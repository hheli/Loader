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120" yWindow="15720" windowWidth="17880" windowHeight="1170" tabRatio="579" firstSheet="1" activeTab="4"/>
  </bookViews>
  <sheets>
    <sheet name="Классификация клиентов" sheetId="1" r:id="rId1"/>
    <sheet name="Классификация КС" sheetId="2" r:id="rId2"/>
    <sheet name="SVOD" sheetId="4" r:id="rId3"/>
    <sheet name="115-Ф" sheetId="13" r:id="rId4"/>
    <sheet name="ПрофСуж" sheetId="10" r:id="rId5"/>
    <sheet name="Лист3" sheetId="3" state="hidden" r:id="rId6"/>
    <sheet name="подразделения" sheetId="11" r:id="rId7"/>
    <sheet name="исключения" sheetId="12" r:id="rId8"/>
    <sheet name="Запросы" sheetId="6" r:id="rId9"/>
    <sheet name="Запр_ПрофСужд" sheetId="9" state="hidden" r:id="rId10"/>
    <sheet name="доп. запросы" sheetId="7" r:id="rId11"/>
  </sheets>
  <functionGroups builtInGroupCount="17"/>
  <definedNames>
    <definedName name="_xlnm._FilterDatabase" localSheetId="3" hidden="1">'115-Ф'!$A$4:$R$4</definedName>
    <definedName name="_xlnm._FilterDatabase" localSheetId="0" hidden="1">'Классификация клиентов'!$A$6:$AE$647</definedName>
    <definedName name="_xlnm._FilterDatabase" localSheetId="1" hidden="1">'Классификация КС'!$A$6:$AG$2285</definedName>
    <definedName name="_xlnm._FilterDatabase" localSheetId="5" hidden="1">Лист3!$A$3:$Y$2527</definedName>
    <definedName name="_xlnm._FilterDatabase" localSheetId="6" hidden="1">подразделения!$A$3:$C$1837</definedName>
    <definedName name="_xlnm._FilterDatabase" localSheetId="4" hidden="1">ПрофСуж!$A$8:$AB$1957</definedName>
    <definedName name="aid_exc">исключения!$A$2:$B$50</definedName>
    <definedName name="DtActPer">'Классификация клиентов'!$C$3</definedName>
    <definedName name="DtAn">'Классификация клиентов'!$C$1</definedName>
    <definedName name="DtAn2">'Классификация клиентов'!$C$3</definedName>
    <definedName name="DtOst">'Классификация клиентов'!$C$2</definedName>
    <definedName name="q_ACC">Запросы!$A$67</definedName>
    <definedName name="q_ACC_NewAID">Запросы!$A$70</definedName>
    <definedName name="q_ACC_OB">Запросы!$A$73</definedName>
    <definedName name="q_AID" localSheetId="9">Запр_ПрофСужд!$A$17</definedName>
    <definedName name="q_AID">Запросы!$A$27</definedName>
    <definedName name="q_AID_1P" localSheetId="9">Запр_ПрофСужд!$A$20</definedName>
    <definedName name="q_AID_1P">Запросы!$A$30</definedName>
    <definedName name="q_AID_313" localSheetId="9">Запр_ПрофСужд!$A$38</definedName>
    <definedName name="q_AID_313">Запросы!$A$48</definedName>
    <definedName name="q_AID_314" localSheetId="9">Запр_ПрофСужд!$A$35</definedName>
    <definedName name="q_AID_314">Запросы!$A$45</definedName>
    <definedName name="q_AID_393_1" localSheetId="9">Запр_ПрофСужд!$A$41</definedName>
    <definedName name="q_AID_393_1">Запросы!$A$51</definedName>
    <definedName name="q_AID_393_2" localSheetId="9">Запр_ПрофСужд!$A$44</definedName>
    <definedName name="q_AID_393_2">Запросы!$A$54</definedName>
    <definedName name="q_AID_Analog" localSheetId="9">Запр_ПрофСужд!$A$47</definedName>
    <definedName name="q_AID_Analog">Запросы!$A$60</definedName>
    <definedName name="q_AID_CQ_IND">Запросы!$A$57</definedName>
    <definedName name="q_AID_Det">Запросы!$A$63</definedName>
    <definedName name="q_AID_Pros" localSheetId="9">Запр_ПрофСужд!$A$23</definedName>
    <definedName name="q_AID_Pros">Запросы!$A$33</definedName>
    <definedName name="q_AID_PRVS" localSheetId="9">Запр_ПрофСужд!$A$29</definedName>
    <definedName name="q_AID_PRVS">Запросы!$A$39</definedName>
    <definedName name="q_AID_PRVS3L" localSheetId="9">Запр_ПрофСужд!$A$32</definedName>
    <definedName name="q_AID_PRVS3L">Запросы!$A$42</definedName>
    <definedName name="q_AID_Restr" localSheetId="9">Запр_ПрофСужд!$A$26</definedName>
    <definedName name="q_AID_Restr">Запросы!$A$36</definedName>
    <definedName name="q_CID" localSheetId="9">Запр_ПрофСужд!$A$2</definedName>
    <definedName name="q_CID">Запросы!$A$2</definedName>
    <definedName name="q_CID_393" localSheetId="9">Запр_ПрофСужд!$A$11</definedName>
    <definedName name="q_CID_393">Запросы!$A$20</definedName>
    <definedName name="q_CID_Conditions">Запросы!$A$14</definedName>
    <definedName name="q_CID_CQ" localSheetId="9">Запр_ПрофСужд!$A$14</definedName>
    <definedName name="q_CID_CQ">Запросы!$A$23</definedName>
    <definedName name="q_CID_Decision">Запросы!$A$17</definedName>
    <definedName name="q_CID_DTFS_wo_LETTER">Запросы!$D$5</definedName>
    <definedName name="q_CID_FS" localSheetId="9">Запр_ПрофСужд!$A$5</definedName>
    <definedName name="q_CID_FS">Запросы!$A$5</definedName>
    <definedName name="q_CID_FS_Exc">Запросы!$A$8</definedName>
    <definedName name="q_CID_Norm" localSheetId="9">Запр_ПрофСужд!$A$8</definedName>
    <definedName name="q_CID_Norm">Запросы!$A$11</definedName>
    <definedName name="q115_ACC">Запросы!$A$77</definedName>
    <definedName name="q115_COD">Запросы!$A$80</definedName>
    <definedName name="q115_OB">Запросы!$A$86</definedName>
    <definedName name="q115_TP">Запросы!$A$83</definedName>
    <definedName name="Report">'Классификация клиентов'!$F$1</definedName>
    <definedName name="wsPrevList">"Лист8"</definedName>
    <definedName name="_xlnm.Print_Titles" localSheetId="4">ПрофСуж!$6:$7</definedName>
    <definedName name="обл_Клиент">OFFSET('Классификация клиентов'!$A$6,1,0,1000,23)</definedName>
    <definedName name="обл_КС">OFFSET('Классификация КС'!$B$6,1,0,3000,32)</definedName>
    <definedName name="обл_Подр">OFFSET(подразделения!$A$3,1,0,2500,4)</definedName>
    <definedName name="обл_Сорт">ПрофСуж!$M$5:$O$5</definedName>
    <definedName name="_xlnm.Print_Area" localSheetId="4">ПрофСуж!#REF!</definedName>
  </definedNames>
  <calcPr calcId="145621" calcMode="manual" calcCompleted="0" calcOnSave="0"/>
  <pivotCaches>
    <pivotCache cacheId="0" r:id="rId12"/>
  </pivotCaches>
</workbook>
</file>

<file path=xl/calcChain.xml><?xml version="1.0" encoding="utf-8"?>
<calcChain xmlns="http://schemas.openxmlformats.org/spreadsheetml/2006/main">
  <c r="AA20" i="10" l="1"/>
  <c r="AA21" i="10"/>
  <c r="AA22" i="10"/>
  <c r="AA23" i="10"/>
  <c r="AA24" i="10"/>
  <c r="AA12" i="10"/>
  <c r="AA10" i="10"/>
  <c r="AA13" i="10"/>
  <c r="AA15" i="10"/>
  <c r="AA25" i="10"/>
  <c r="AA14" i="10"/>
  <c r="AA19" i="10"/>
  <c r="AA11" i="10"/>
  <c r="AA9" i="10"/>
  <c r="AA18" i="10"/>
  <c r="AA16" i="10"/>
  <c r="AA17" i="10"/>
  <c r="Z20" i="10"/>
  <c r="Z21" i="10"/>
  <c r="Z22" i="10"/>
  <c r="Z23" i="10"/>
  <c r="Z24" i="10"/>
  <c r="Y20" i="10"/>
  <c r="Y21" i="10"/>
  <c r="Y22" i="10"/>
  <c r="Y23" i="10"/>
  <c r="Y24" i="10"/>
  <c r="Y12" i="10"/>
  <c r="Y10" i="10"/>
  <c r="Y13" i="10"/>
  <c r="Y15" i="10"/>
  <c r="Y25" i="10"/>
  <c r="Y14" i="10"/>
  <c r="Y19" i="10"/>
  <c r="Y11" i="10"/>
  <c r="Y9" i="10"/>
  <c r="Y18" i="10"/>
  <c r="Y16" i="10"/>
  <c r="Y17" i="10"/>
  <c r="X20" i="10"/>
  <c r="X21" i="10"/>
  <c r="X22" i="10"/>
  <c r="X23" i="10"/>
  <c r="X24" i="10"/>
  <c r="V20" i="10"/>
  <c r="V21" i="10"/>
  <c r="V22" i="10"/>
  <c r="V23" i="10"/>
  <c r="V24" i="10"/>
  <c r="V12" i="10"/>
  <c r="V10" i="10"/>
  <c r="V13" i="10"/>
  <c r="V15" i="10"/>
  <c r="V25" i="10"/>
  <c r="V14" i="10"/>
  <c r="V19" i="10"/>
  <c r="V11" i="10"/>
  <c r="V9" i="10"/>
  <c r="V18" i="10"/>
  <c r="V16" i="10"/>
  <c r="V17" i="10"/>
  <c r="U20" i="10"/>
  <c r="U21" i="10"/>
  <c r="U22" i="10"/>
  <c r="U23" i="10"/>
  <c r="U24" i="10"/>
  <c r="U12" i="10"/>
  <c r="U10" i="10"/>
  <c r="U13" i="10"/>
  <c r="U15" i="10"/>
  <c r="U25" i="10"/>
  <c r="U14" i="10"/>
  <c r="U19" i="10"/>
  <c r="U11" i="10"/>
  <c r="U9" i="10"/>
  <c r="U18" i="10"/>
  <c r="U16" i="10"/>
  <c r="U17" i="10"/>
  <c r="S20" i="10"/>
  <c r="S21" i="10"/>
  <c r="S22" i="10"/>
  <c r="S23" i="10"/>
  <c r="S24" i="10"/>
  <c r="S12" i="10"/>
  <c r="S10" i="10"/>
  <c r="S13" i="10"/>
  <c r="S15" i="10"/>
  <c r="S25" i="10"/>
  <c r="S14" i="10"/>
  <c r="S19" i="10"/>
  <c r="S11" i="10"/>
  <c r="S9" i="10"/>
  <c r="S18" i="10"/>
  <c r="S16" i="10"/>
  <c r="S17" i="10"/>
  <c r="P20" i="10"/>
  <c r="P21" i="10"/>
  <c r="P22" i="10"/>
  <c r="P23" i="10"/>
  <c r="P24" i="10"/>
  <c r="P12" i="10"/>
  <c r="P10" i="10"/>
  <c r="P13" i="10"/>
  <c r="P15" i="10"/>
  <c r="P25" i="10"/>
  <c r="P14" i="10"/>
  <c r="P19" i="10"/>
  <c r="P11" i="10"/>
  <c r="P9" i="10"/>
  <c r="P18" i="10"/>
  <c r="P16" i="10"/>
  <c r="P17" i="10"/>
  <c r="Z10" i="10" l="1"/>
  <c r="X10" i="10" s="1"/>
  <c r="Z11" i="10"/>
  <c r="X11" i="10" s="1"/>
  <c r="Z12" i="10"/>
  <c r="X12" i="10" s="1"/>
  <c r="Z25" i="10"/>
  <c r="X25" i="10" s="1"/>
  <c r="Z13" i="10"/>
  <c r="X13" i="10" s="1"/>
  <c r="Z9" i="10"/>
  <c r="X9" i="10" s="1"/>
  <c r="Z18" i="10"/>
  <c r="X18" i="10" s="1"/>
  <c r="Z19" i="10"/>
  <c r="X19" i="10" s="1"/>
  <c r="Z15" i="10"/>
  <c r="X15" i="10" s="1"/>
  <c r="AA7" i="1"/>
  <c r="T7" i="1"/>
  <c r="S7" i="1"/>
  <c r="R7" i="1"/>
  <c r="Q7" i="1"/>
  <c r="I7" i="1"/>
  <c r="K7" i="1" s="1"/>
  <c r="L7" i="1" s="1"/>
  <c r="N7" i="1" s="1"/>
  <c r="E7" i="1"/>
  <c r="W22" i="10"/>
  <c r="W12" i="10"/>
  <c r="W21" i="10"/>
  <c r="W23" i="10"/>
  <c r="W10" i="10"/>
  <c r="W13" i="10"/>
  <c r="W25" i="10"/>
  <c r="W14" i="10"/>
  <c r="W20" i="10"/>
  <c r="W15" i="10"/>
  <c r="W24" i="10"/>
  <c r="W19" i="10"/>
  <c r="W11" i="10"/>
  <c r="W18" i="10"/>
  <c r="W17" i="10"/>
  <c r="W16" i="10"/>
  <c r="W9" i="10"/>
  <c r="T16" i="10" l="1"/>
  <c r="T17" i="10"/>
  <c r="T19" i="10"/>
  <c r="T25" i="10"/>
  <c r="T12" i="10"/>
  <c r="F7" i="1"/>
  <c r="T22" i="10"/>
  <c r="T23" i="10"/>
  <c r="T20" i="10"/>
  <c r="T24" i="10"/>
  <c r="T21" i="10"/>
  <c r="T15" i="10"/>
  <c r="T9" i="10"/>
  <c r="T11" i="10"/>
  <c r="Z16" i="10"/>
  <c r="X16" i="10" s="1"/>
  <c r="Z17" i="10"/>
  <c r="X17" i="10" s="1"/>
  <c r="T18" i="10"/>
  <c r="T14" i="10"/>
  <c r="Z14" i="10"/>
  <c r="X14" i="10" s="1"/>
  <c r="T13" i="10"/>
  <c r="T10" i="10"/>
  <c r="E6" i="1"/>
  <c r="P8" i="10" l="1"/>
  <c r="V8" i="10"/>
  <c r="W8" i="10"/>
  <c r="L4" i="1" l="1"/>
  <c r="S6" i="1"/>
  <c r="L6" i="1" s="1"/>
  <c r="N6" i="1" s="1"/>
  <c r="T6" i="1" l="1"/>
  <c r="AA6" i="1"/>
  <c r="AA8" i="10" l="1"/>
  <c r="S8" i="10" s="1"/>
  <c r="Z8" i="10"/>
  <c r="X8" i="10" s="1"/>
  <c r="Y8" i="10"/>
  <c r="U8" i="10"/>
  <c r="T8" i="10"/>
  <c r="O8" i="10"/>
  <c r="F8" i="10"/>
  <c r="L8" i="10"/>
  <c r="E8" i="10" l="1"/>
  <c r="P2" i="13"/>
  <c r="O2" i="13"/>
  <c r="N2" i="13"/>
  <c r="M2" i="13"/>
  <c r="A5" i="10" l="1"/>
  <c r="J3" i="2" l="1"/>
  <c r="N1" i="1" l="1"/>
  <c r="K6" i="2" l="1"/>
  <c r="G2" i="13" l="1"/>
  <c r="L2" i="13" l="1"/>
  <c r="F6" i="1" l="1"/>
  <c r="J6" i="2"/>
  <c r="N6" i="2" s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B7" i="10"/>
  <c r="C7" i="10" s="1"/>
  <c r="D7" i="10" s="1"/>
  <c r="E7" i="10" s="1"/>
  <c r="F7" i="10" s="1"/>
  <c r="G7" i="10" s="1"/>
  <c r="H7" i="10" s="1"/>
  <c r="I7" i="10" s="1"/>
  <c r="J7" i="10" s="1"/>
  <c r="K7" i="10" s="1"/>
  <c r="L7" i="10" s="1"/>
  <c r="M7" i="10" s="1"/>
  <c r="N7" i="10" s="1"/>
  <c r="O7" i="10" s="1"/>
  <c r="P7" i="10" s="1"/>
  <c r="Q7" i="10" s="1"/>
  <c r="R7" i="10" s="1"/>
  <c r="S7" i="10" s="1"/>
  <c r="T7" i="10" s="1"/>
  <c r="U7" i="10" s="1"/>
  <c r="V7" i="10" s="1"/>
  <c r="W7" i="10" s="1"/>
  <c r="X7" i="10" s="1"/>
  <c r="Y7" i="10" s="1"/>
  <c r="Z7" i="10" s="1"/>
  <c r="AA7" i="10" s="1"/>
  <c r="AB7" i="10" s="1"/>
  <c r="C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Q6" i="2"/>
  <c r="AD6" i="2"/>
  <c r="AG6" i="2"/>
  <c r="W1" i="1"/>
  <c r="A4" i="1"/>
  <c r="B4" i="1"/>
  <c r="C4" i="1"/>
  <c r="D4" i="1"/>
  <c r="E4" i="1"/>
  <c r="F4" i="1"/>
  <c r="G4" i="1"/>
  <c r="H4" i="1"/>
  <c r="I4" i="1"/>
  <c r="J4" i="1"/>
  <c r="K4" i="1"/>
  <c r="M4" i="1"/>
  <c r="N4" i="1"/>
  <c r="O4" i="1"/>
  <c r="P4" i="1"/>
  <c r="Q4" i="1"/>
  <c r="R4" i="1"/>
  <c r="S4" i="1"/>
  <c r="T4" i="1"/>
  <c r="U4" i="1"/>
  <c r="V4" i="1"/>
  <c r="W4" i="1"/>
  <c r="X4" i="1"/>
  <c r="Z4" i="1"/>
  <c r="AA4" i="1"/>
  <c r="AB4" i="1"/>
  <c r="AC4" i="1"/>
  <c r="AD4" i="1"/>
  <c r="AE4" i="1"/>
  <c r="I6" i="1"/>
  <c r="K6" i="1" s="1"/>
  <c r="Q6" i="1"/>
  <c r="R6" i="1"/>
  <c r="O6" i="2" l="1"/>
  <c r="P6" i="2" s="1"/>
  <c r="U1" i="1" l="1"/>
</calcChain>
</file>

<file path=xl/comments1.xml><?xml version="1.0" encoding="utf-8"?>
<comments xmlns="http://schemas.openxmlformats.org/spreadsheetml/2006/main">
  <authors>
    <author>Вячеслав Вацик</author>
  </authors>
  <commentList>
    <comment ref="I1" authorId="0">
      <text>
        <r>
          <rPr>
            <b/>
            <sz val="8"/>
            <color indexed="81"/>
            <rFont val="Tahoma"/>
            <family val="2"/>
            <charset val="204"/>
          </rPr>
          <t>Вячеслав Вацик:</t>
        </r>
        <r>
          <rPr>
            <sz val="8"/>
            <color indexed="81"/>
            <rFont val="Tahoma"/>
            <family val="2"/>
            <charset val="204"/>
          </rPr>
          <t xml:space="preserve">
чтобы вручную потом не искать, что-куда отправлять, лучше заранее список отсортировать в нужном порядке!!! 
КОЛЛЕГИ! берегите бумагу!</t>
        </r>
      </text>
    </comment>
  </commentList>
</comments>
</file>

<file path=xl/comments2.xml><?xml version="1.0" encoding="utf-8"?>
<comments xmlns="http://schemas.openxmlformats.org/spreadsheetml/2006/main">
  <authors>
    <author>Вацик Вячеслав Анатольевич</author>
  </authors>
  <commentList>
    <comment ref="D8" authorId="0">
      <text>
        <r>
          <rPr>
            <b/>
            <sz val="9"/>
            <color indexed="81"/>
            <rFont val="Tahoma"/>
            <family val="2"/>
            <charset val="204"/>
          </rPr>
          <t>Вацик Вячеслав Анатольевич:</t>
        </r>
        <r>
          <rPr>
            <sz val="9"/>
            <color indexed="81"/>
            <rFont val="Tahoma"/>
            <family val="2"/>
            <charset val="204"/>
          </rPr>
          <t xml:space="preserve">
вспомогательный отчет к базе данных с расшифровкой стран</t>
        </r>
      </text>
    </comment>
  </commentList>
</comments>
</file>

<file path=xl/sharedStrings.xml><?xml version="1.0" encoding="utf-8"?>
<sst xmlns="http://schemas.openxmlformats.org/spreadsheetml/2006/main" count="6929" uniqueCount="2306">
  <si>
    <t>47802810155550000096</t>
  </si>
  <si>
    <t>47802810155550000135</t>
  </si>
  <si>
    <t>47802810255550000129</t>
  </si>
  <si>
    <t>47802810255550000132</t>
  </si>
  <si>
    <t>47801810655550000021</t>
  </si>
  <si>
    <t>Перечень наименований к/с, даты заключения к/с, текстового описания всех ФКР и принятых решений</t>
  </si>
  <si>
    <t>from (</t>
  </si>
  <si>
    <t xml:space="preserve">select ifnull(ruob_dt,'2050-01-01') &lt; now() isRUOB, </t>
  </si>
  <si>
    <t>45208810455550000279</t>
  </si>
  <si>
    <t>select ind, count(distinct isUOB) * max(isUOB) ch 
from (select ind, (GREATEST(ifnull(ruob_dt_act,'2000-01-01'), ifnull(ruob_dt,'2050-01-01')) &gt; @dtAn) isUOB from fcr join aList using(aid) 
where fcr_gid = 1 and ifnull(ds_dt,'2000-01-01') &lt;= @dtAn and ifnull(dt_act,'2000-01-01') &lt;= @dtAn and ifnull(dt_end, '2050-01-01') &gt; @dtAn )t group by 1;</t>
  </si>
  <si>
    <t>45107810755550000012</t>
  </si>
  <si>
    <t>32109840700210000223</t>
  </si>
  <si>
    <t>32109840700210000281</t>
  </si>
  <si>
    <t>47802810955550000212</t>
  </si>
  <si>
    <t>32109840600210000310</t>
  </si>
  <si>
    <t>32109840900210000311</t>
  </si>
  <si>
    <t>32109840200210000312</t>
  </si>
  <si>
    <t>32109840500210000313</t>
  </si>
  <si>
    <t>32109840300210000306</t>
  </si>
  <si>
    <t>32109840600210000307</t>
  </si>
  <si>
    <t>32109840900210000308</t>
  </si>
  <si>
    <t>45207810055550000450</t>
  </si>
  <si>
    <t>32109840200210000354</t>
  </si>
  <si>
    <t>32109840500210000355</t>
  </si>
  <si>
    <t>32109840800210000356</t>
  </si>
  <si>
    <t>32109840100210000357</t>
  </si>
  <si>
    <t>47801810555550000024</t>
  </si>
  <si>
    <t>32109840800210000262</t>
  </si>
  <si>
    <t>uob_id, ruob_num, ruob_dt, convert((select abr from refuob where idUOB=uob_id) using 'utf8') UOB</t>
  </si>
  <si>
    <t>45208810455550000389</t>
  </si>
  <si>
    <t>список ссуд, не учитываемых в классификации клиента</t>
  </si>
  <si>
    <t>0,18,20,28,29</t>
  </si>
  <si>
    <t>0,21,22</t>
  </si>
  <si>
    <t>0,26</t>
  </si>
  <si>
    <t>0,27</t>
  </si>
  <si>
    <t>0,19</t>
  </si>
  <si>
    <t>0,5,7,32</t>
  </si>
  <si>
    <t>2758</t>
  </si>
  <si>
    <t>32309810900210000015</t>
  </si>
  <si>
    <t>45208810355550000366</t>
  </si>
  <si>
    <t>45108978555550000001</t>
  </si>
  <si>
    <t>select ind, 1 from aList join agreements on aid = agr_id where analogLoan=1;</t>
  </si>
  <si>
    <t>acc</t>
  </si>
  <si>
    <t>45208978955550000051</t>
  </si>
  <si>
    <t>Величина РБР не равна остатку по счету</t>
  </si>
  <si>
    <t>51407810000210000018</t>
  </si>
  <si>
    <t>47802810555550000191</t>
  </si>
  <si>
    <t>47802810855550000192</t>
  </si>
  <si>
    <t>47802810755550000124</t>
  </si>
  <si>
    <t>47802810755550000137</t>
  </si>
  <si>
    <t>&lt;&gt;</t>
  </si>
  <si>
    <t>Наименование заемщика</t>
  </si>
  <si>
    <t xml:space="preserve">Выгрузка 1-го платежа по списку кред. соглашений </t>
  </si>
  <si>
    <t>Наименование
заемщика</t>
  </si>
  <si>
    <t>Оценка
финанс.
состояния</t>
  </si>
  <si>
    <t>CID</t>
  </si>
  <si>
    <t>AID</t>
  </si>
  <si>
    <t>Подразделение</t>
  </si>
  <si>
    <t>Задолженность
по основному
долгу, в руб.</t>
  </si>
  <si>
    <t>не учитывать при классификации клиента</t>
  </si>
  <si>
    <t>CQ_CID</t>
  </si>
  <si>
    <t>Минимум CQ_CID</t>
  </si>
  <si>
    <t>Максимум CQ_CID</t>
  </si>
  <si>
    <t>47802810455550000107</t>
  </si>
  <si>
    <t>Перечень к/с с решениями 3.9.3 о повышении на ступень категории качества (по клиентам)</t>
  </si>
  <si>
    <t>45208810555550000360</t>
  </si>
  <si>
    <t>32109840800210000327</t>
  </si>
  <si>
    <t>32109840100210000328</t>
  </si>
  <si>
    <t>32109840800210000330</t>
  </si>
  <si>
    <t>есть ФКР?</t>
  </si>
  <si>
    <t>Перечень клиентов с решениями 3.9.3 о повышении на ступень категории качества</t>
  </si>
  <si>
    <t>0,24</t>
  </si>
  <si>
    <t>Выгрузка информации о погашении ранее выданных ссуд 3-их лиц</t>
  </si>
  <si>
    <t>32109840100210000263</t>
  </si>
  <si>
    <t>32109840400210000264</t>
  </si>
  <si>
    <t>32109840700210000265</t>
  </si>
  <si>
    <t>32109840000210000266</t>
  </si>
  <si>
    <t>32109840300210000267</t>
  </si>
  <si>
    <t>32109840600210000268</t>
  </si>
  <si>
    <t>isFCR</t>
  </si>
  <si>
    <t>Выгрузка информации об использовании ссуды на цели 3.13 и др. стоп-факторы</t>
  </si>
  <si>
    <t>0,12,13</t>
  </si>
  <si>
    <t>32109840400210000280</t>
  </si>
  <si>
    <t>32309810300210000013</t>
  </si>
  <si>
    <t>45208810855550000358</t>
  </si>
  <si>
    <t>45208810955550000355</t>
  </si>
  <si>
    <t>45208810355550000353</t>
  </si>
  <si>
    <t>45208810655550000354</t>
  </si>
  <si>
    <t>Перечень категорий качества на дату отчета</t>
  </si>
  <si>
    <t>Перечень клиентов с ссудной задолженностью ЗА заданную дату (параметры: дата остатков, дата отчета)</t>
  </si>
  <si>
    <t>45208810655550000370</t>
  </si>
  <si>
    <t>32109840900210000285</t>
  </si>
  <si>
    <t>32109840200210000286</t>
  </si>
  <si>
    <t>32109840500210000287</t>
  </si>
  <si>
    <t>32109840800210000288</t>
  </si>
  <si>
    <t>32109840100210000289</t>
  </si>
  <si>
    <t>32109840000210000334</t>
  </si>
  <si>
    <t>32109840300210000335</t>
  </si>
  <si>
    <t>45208810150050000090</t>
  </si>
  <si>
    <t>45208810955550000368</t>
  </si>
  <si>
    <t>32109840900210000094</t>
  </si>
  <si>
    <t>Дата формирования отчета</t>
  </si>
  <si>
    <t>Отчетная дата</t>
  </si>
  <si>
    <t>Величина
расчетной
базы, в руб.</t>
  </si>
  <si>
    <t>Признак субсчета сводного счета</t>
  </si>
  <si>
    <t>Код
контрагента</t>
  </si>
  <si>
    <t>Тип
заемщика</t>
  </si>
  <si>
    <t>Тип фин.
инструмента</t>
  </si>
  <si>
    <t>Категория качества</t>
  </si>
  <si>
    <t>Норма резерв.,
в %</t>
  </si>
  <si>
    <t>45208810055550000174</t>
  </si>
  <si>
    <t>45208810755550000131</t>
  </si>
  <si>
    <t>45208810255550000165</t>
  </si>
  <si>
    <t>45208810655550000147</t>
  </si>
  <si>
    <t>45208810955550000135</t>
  </si>
  <si>
    <t>45208810255550000136</t>
  </si>
  <si>
    <t>45208810255550000152</t>
  </si>
  <si>
    <t>group by isRUOB, Descript</t>
  </si>
  <si>
    <t>)t2;</t>
  </si>
  <si>
    <t>A
B</t>
  </si>
  <si>
    <t>из MySQL</t>
  </si>
  <si>
    <t>приведенный</t>
  </si>
  <si>
    <t>44608810255550000009</t>
  </si>
  <si>
    <t>47801840655550000004</t>
  </si>
  <si>
    <t>47802810255550000080</t>
  </si>
  <si>
    <t>47802810855550000079</t>
  </si>
  <si>
    <t>45208810455550000130</t>
  </si>
  <si>
    <t>select ifnull(ds_dt, @dtMin) ds_dt, ifnull(dt_act, @dtMin) dt_act, fcr_gid gid,</t>
  </si>
  <si>
    <t>32109978600210000004</t>
  </si>
  <si>
    <t>45208810650050000095</t>
  </si>
  <si>
    <t>32109840800210000259</t>
  </si>
  <si>
    <t>32109840200210000260</t>
  </si>
  <si>
    <t>32109840000210000253</t>
  </si>
  <si>
    <t>32108840000210000610</t>
  </si>
  <si>
    <t>32109840100210000373</t>
  </si>
  <si>
    <t>32109840700210000375</t>
  </si>
  <si>
    <t>32109840000210000376</t>
  </si>
  <si>
    <t>47802810155550000216</t>
  </si>
  <si>
    <t>32309978900210000009</t>
  </si>
  <si>
    <t>45208840855550000124</t>
  </si>
  <si>
    <t>45107810355550000014</t>
  </si>
  <si>
    <t>45208810955550000326</t>
  </si>
  <si>
    <t>45208810255550000372</t>
  </si>
  <si>
    <t>32009810600210000013</t>
  </si>
  <si>
    <t>32108840500210000615</t>
  </si>
  <si>
    <t>32109840200210000383</t>
  </si>
  <si>
    <t>32109840500210000384</t>
  </si>
  <si>
    <t>45208840755550000185</t>
  </si>
  <si>
    <t>45208810155550000391</t>
  </si>
  <si>
    <t>32009810900210000014</t>
  </si>
  <si>
    <t>Фин. состояние по перечню клиентов</t>
  </si>
  <si>
    <t>32109840200210000228</t>
  </si>
  <si>
    <t>32109840600210000352</t>
  </si>
  <si>
    <t>32109840900210000353</t>
  </si>
  <si>
    <t>45208810955550000203</t>
  </si>
  <si>
    <t>(пусто)</t>
  </si>
  <si>
    <t>CQmin</t>
  </si>
  <si>
    <t>CQmax</t>
  </si>
  <si>
    <t>47802810055550000109</t>
  </si>
  <si>
    <t>47802810055550000112</t>
  </si>
  <si>
    <t>32109840400210000303</t>
  </si>
  <si>
    <t>32109840700210000304</t>
  </si>
  <si>
    <t>47802810855550000118</t>
  </si>
  <si>
    <t>32309810500210000020</t>
  </si>
  <si>
    <t>45208810855550000280</t>
  </si>
  <si>
    <t>Просрочки</t>
  </si>
  <si>
    <t>select reg_acc, round(max(ost_r)/1000000) ost
from acc join baltypes using (Bal_num) join data using(accid) 
where bal1 = left(@acc,3) and Bal_num &gt;= left(@acc,5) and ClntID = @cid
 and date_ost &gt; SUBDATE(@dtOst, 360) and ActID = 1
 and accid not in (select accid from data where date_ost = @dtOst)
group by 1 order by ost desc;</t>
  </si>
  <si>
    <t>Поиск ссуд, аналогичных данной</t>
  </si>
  <si>
    <t>сумма ЭРБ</t>
  </si>
  <si>
    <t>Поиск счетов "до востребования"</t>
  </si>
  <si>
    <t>45208810155550000294</t>
  </si>
  <si>
    <t>set @cid := 5313, @acc := '32109', @dtOst := '2013-11-27';</t>
  </si>
  <si>
    <t>select left(reg_acc,5), round(max(ost_r)/1000000) ost</t>
  </si>
  <si>
    <t xml:space="preserve">from acc join baltypes using (Bal_num) join data using(accid) </t>
  </si>
  <si>
    <t>where bal1 = left(@acc,3) and Bal_num &gt;= left(@acc,5) and ClntID = @cid</t>
  </si>
  <si>
    <t xml:space="preserve"> and date_ost &gt; SUBDATE(@dtOst, 360) and ActID = 1</t>
  </si>
  <si>
    <t xml:space="preserve"> and accid not in (select accid from data where date_ost = @dtOst)</t>
  </si>
  <si>
    <t>group by 1 order by ost desc;</t>
  </si>
  <si>
    <t>select left(reg_acc,5), round(max(ost_r)/1000000) ost, loanper</t>
  </si>
  <si>
    <t>Более правильный поиск</t>
  </si>
  <si>
    <t>45208810250050000084</t>
  </si>
  <si>
    <t>47801810355550000020</t>
  </si>
  <si>
    <t>47801810250050000010</t>
  </si>
  <si>
    <t>47802810550050000120</t>
  </si>
  <si>
    <t>47802810850050000118</t>
  </si>
  <si>
    <t>47802810550050000081</t>
  </si>
  <si>
    <t>32309810400210000023</t>
  </si>
  <si>
    <t>Norm_UOB</t>
  </si>
  <si>
    <t>CQ_AID</t>
  </si>
  <si>
    <t>ОД - хорошее: 1 платеж был, просрочек нет, реструктуризация по решению УОБ</t>
  </si>
  <si>
    <t>прочие факторы: нет</t>
  </si>
  <si>
    <t>решение об улучшении на 1 категорию качества</t>
  </si>
  <si>
    <t>дата остатков</t>
  </si>
  <si>
    <t>CQ_Base</t>
  </si>
  <si>
    <t>Переклас?</t>
  </si>
  <si>
    <t>Дата анализа</t>
  </si>
  <si>
    <t>dtFPay</t>
  </si>
  <si>
    <t>dtMod</t>
  </si>
  <si>
    <t>32309810400210000010</t>
  </si>
  <si>
    <t>45208810255550000343</t>
  </si>
  <si>
    <t>32109840900210000366</t>
  </si>
  <si>
    <t>32109840300210000296</t>
  </si>
  <si>
    <t>32109840600210000297</t>
  </si>
  <si>
    <t>32109840900210000298</t>
  </si>
  <si>
    <t>ДО-05</t>
  </si>
  <si>
    <t>ДО-16</t>
  </si>
  <si>
    <t>ДО-03</t>
  </si>
  <si>
    <t>ДО-31</t>
  </si>
  <si>
    <t>45208810455550000127</t>
  </si>
  <si>
    <t>45208810455550000347</t>
  </si>
  <si>
    <t>Порядок сортировки</t>
  </si>
  <si>
    <t>47408810400210324200</t>
  </si>
  <si>
    <t>45208810655550000215</t>
  </si>
  <si>
    <t xml:space="preserve">select ind, (dtFPay &lt;= @dtOst) FPay, dtFPay, dtMod, department from agr_inf_pdr i join aList using (aid)
where dtMod = (select max(dtMod) from agr_inf_pdr where dtMod&lt;= @dtAn and aid = i.aid)  </t>
  </si>
  <si>
    <t>Выгрузка информации по просрочкам</t>
  </si>
  <si>
    <t>Выгрузка информации об использовании ссуды на цели 3.14</t>
  </si>
  <si>
    <t>0,25</t>
  </si>
  <si>
    <t>SSD</t>
  </si>
  <si>
    <t>1,15</t>
  </si>
  <si>
    <t>32308810100210000023</t>
  </si>
  <si>
    <t>Сумма обеспечения
2 кат. качества, 
в руб.</t>
  </si>
  <si>
    <t>45208810255550000217</t>
  </si>
  <si>
    <t>УОРПС</t>
  </si>
  <si>
    <t>45208810355550000117</t>
  </si>
  <si>
    <t>45208810055550000116</t>
  </si>
  <si>
    <t>Обновление информации о наличии аналогичных ссуд</t>
  </si>
  <si>
    <t>Перечень к/с, в обслуживание долга по которым принимается информация о наличии аналогичных</t>
  </si>
  <si>
    <t>45208810555550000328</t>
  </si>
  <si>
    <t>Формирование 115 формы</t>
  </si>
  <si>
    <t>1,2,3,4,7,8,13,14,11,28</t>
  </si>
  <si>
    <t>45108810055550000009</t>
  </si>
  <si>
    <t>45108810755550000011</t>
  </si>
  <si>
    <t>0,9,10</t>
  </si>
  <si>
    <t>45208810855550000277</t>
  </si>
  <si>
    <t>1729/СДБО</t>
  </si>
  <si>
    <t>32108840500210000592</t>
  </si>
  <si>
    <t>32109840400210000358</t>
  </si>
  <si>
    <t>32109840700210000359</t>
  </si>
  <si>
    <t>32109840100210000292</t>
  </si>
  <si>
    <t>32109840400210000293</t>
  </si>
  <si>
    <t>Выгрузка кред. соглашений по списку клиентов</t>
  </si>
  <si>
    <t>Улучшаемые</t>
  </si>
  <si>
    <t>Профсуждения</t>
  </si>
  <si>
    <t>UOB Decision</t>
  </si>
  <si>
    <t>0,10,21</t>
  </si>
  <si>
    <t>45606840355550000006</t>
  </si>
  <si>
    <t>32109840900210000230</t>
  </si>
  <si>
    <t>32309810700210000011</t>
  </si>
  <si>
    <t>45812810250050000221</t>
  </si>
  <si>
    <t>45812810550050000222</t>
  </si>
  <si>
    <t>45812810950050000220</t>
  </si>
  <si>
    <t>47802840900210000111</t>
  </si>
  <si>
    <t>32308810300210000027</t>
  </si>
  <si>
    <t>47801810950050000022</t>
  </si>
  <si>
    <t>47801810250050000023</t>
  </si>
  <si>
    <t>47801810550050000024</t>
  </si>
  <si>
    <t>47801810850050000025</t>
  </si>
  <si>
    <t>32108840000210000597</t>
  </si>
  <si>
    <t>32109840100210000360</t>
  </si>
  <si>
    <t>32109840400210000361</t>
  </si>
  <si>
    <t>32109840700210000362</t>
  </si>
  <si>
    <t>32109840000210000363</t>
  </si>
  <si>
    <t>set @cid := 3584, @acc := '45106810755550000026', @dtOst := '2011-12-14';</t>
  </si>
  <si>
    <t>from fcr where aid = @aid order by fcr_gid, ds_num, ds_dt</t>
  </si>
  <si>
    <t>)t</t>
  </si>
  <si>
    <t>select ind, d.fcr_detLst from (fcr join aList using(aid)) join fcr_descript d on fcr_ch1 = tid where d.gid in (2,3) and d.f115 = 0 and ifnull(dt_act,'2000-01-01') &lt;= @dtAn and ifnull(dt_end, '2050-01-01') &gt; @dtAn group by 1;</t>
  </si>
  <si>
    <t>ДО-06</t>
  </si>
  <si>
    <t>ДО-ЦФУ</t>
  </si>
  <si>
    <t>УСКЗДО</t>
  </si>
  <si>
    <t>ДО-04</t>
  </si>
  <si>
    <t>УПБ</t>
  </si>
  <si>
    <t>УОКБО</t>
  </si>
  <si>
    <t>УОДиР</t>
  </si>
  <si>
    <t>УКС</t>
  </si>
  <si>
    <t>ДО-13</t>
  </si>
  <si>
    <t>ДО-39</t>
  </si>
  <si>
    <t>УКРБ</t>
  </si>
  <si>
    <t>ДО-41</t>
  </si>
  <si>
    <t>УДБиВК</t>
  </si>
  <si>
    <t>УДБ</t>
  </si>
  <si>
    <t>FinSt</t>
  </si>
  <si>
    <t>OD</t>
  </si>
  <si>
    <t xml:space="preserve"> </t>
  </si>
  <si>
    <t>aid</t>
  </si>
  <si>
    <t>Dt1Pay</t>
  </si>
  <si>
    <t>1Pay</t>
  </si>
  <si>
    <t>DtOpen</t>
  </si>
  <si>
    <t>DtClose</t>
  </si>
  <si>
    <t>Перечень к/с с решениями 3.9.* об индивидуальной классификации ссуды (по к/с)</t>
  </si>
  <si>
    <t>0,15,32</t>
  </si>
  <si>
    <t>select ind, cq, CONCAT_WS(': ', reason, reason_desc) from cq_exc e join aList using(aid) where aid&lt;&gt;0 and cq&lt;&gt;0 and bdate &lt;= @dtAn and @dtAn &lt; ifnull(edate, '2050-01-01')</t>
  </si>
  <si>
    <t>ФКР</t>
  </si>
  <si>
    <t xml:space="preserve">Неулучшаемые </t>
  </si>
  <si>
    <t>relCond</t>
  </si>
  <si>
    <t>DtDoc</t>
  </si>
  <si>
    <t>Общий итог</t>
  </si>
  <si>
    <t>Данные</t>
  </si>
  <si>
    <t>3.9.3.</t>
  </si>
  <si>
    <t>correct</t>
  </si>
  <si>
    <t>Перечень к/с с решениями 3.9.3 о повышении на ступень категории качества (по к/с)</t>
  </si>
  <si>
    <t xml:space="preserve">if(gid=1, 'реструктуризация', concat( if(gid=2,'цели: ',''), fcr1) ) Descript, </t>
  </si>
  <si>
    <t xml:space="preserve">if(isnull(uob_id), 'РУОБ отсутствует', concat('Р', UOB, ' №', ruob_num, ' от ', ruob_dt) ) ruob </t>
  </si>
  <si>
    <t>45208810055550000255</t>
  </si>
  <si>
    <t>47801840155550000009</t>
  </si>
  <si>
    <t>47802810855550000121</t>
  </si>
  <si>
    <t>32109840600210000242</t>
  </si>
  <si>
    <t>45812810350050000341</t>
  </si>
  <si>
    <t>45812810450050000348</t>
  </si>
  <si>
    <t>45208810050050000080</t>
  </si>
  <si>
    <t>32109840000210000350</t>
  </si>
  <si>
    <t>32109840300210000351</t>
  </si>
  <si>
    <t>45812810650050000342</t>
  </si>
  <si>
    <t>45812810350050000299</t>
  </si>
  <si>
    <t>32308840700210000066</t>
  </si>
  <si>
    <t>32308840000210000067</t>
  </si>
  <si>
    <t>where ds_dt &lt; @dt and dt_act &lt; @dt</t>
  </si>
  <si>
    <t>)t2</t>
  </si>
  <si>
    <t>45208810555550000098</t>
  </si>
  <si>
    <t>45208810455550000101</t>
  </si>
  <si>
    <t>45208810155550000113</t>
  </si>
  <si>
    <t>47802810855550000134</t>
  </si>
  <si>
    <t>УСКЗДО (ДО)</t>
  </si>
  <si>
    <t>45208810850050000086</t>
  </si>
  <si>
    <t>45208810550050000085</t>
  </si>
  <si>
    <t>32109840300210000270</t>
  </si>
  <si>
    <t>32109840600210000271</t>
  </si>
  <si>
    <t>32109840900210000272</t>
  </si>
  <si>
    <t>32109840200210000273</t>
  </si>
  <si>
    <t>32109840500210000274</t>
  </si>
  <si>
    <t>32109840800210000275</t>
  </si>
  <si>
    <t>32109840700210000278</t>
  </si>
  <si>
    <t>45208810555550000357</t>
  </si>
  <si>
    <t>Наименование
лицевого счета</t>
  </si>
  <si>
    <t>Номер
лицевого счета</t>
  </si>
  <si>
    <t>Категория
качества
ссуды</t>
  </si>
  <si>
    <t>Доля
отчислений
в резерв, %</t>
  </si>
  <si>
    <t>Прочие факторы</t>
  </si>
  <si>
    <t>select ind, acc_agr_num, acc_agr_dt, f_AID_FCRtext(aid, @dtAn) from aList join agreements on aid = agr_id</t>
  </si>
  <si>
    <t>45208810950050000083</t>
  </si>
  <si>
    <t>nDays</t>
  </si>
  <si>
    <t>TypeAid</t>
  </si>
  <si>
    <t>Источник информации</t>
  </si>
  <si>
    <t>reg_acc</t>
  </si>
  <si>
    <t>счет</t>
  </si>
  <si>
    <t>остаток</t>
  </si>
  <si>
    <t>sumOst</t>
  </si>
  <si>
    <t>51507810900210000005</t>
  </si>
  <si>
    <t>32309840500210000142</t>
  </si>
  <si>
    <t>32309840800210000143</t>
  </si>
  <si>
    <t>45208810555550000166</t>
  </si>
  <si>
    <t>47802810955550000131</t>
  </si>
  <si>
    <t>подразделение</t>
  </si>
  <si>
    <t>47802810950050000128</t>
  </si>
  <si>
    <t>45812810850050000223</t>
  </si>
  <si>
    <t>45812810250050000302</t>
  </si>
  <si>
    <t>45812810750050000297</t>
  </si>
  <si>
    <t>32109840000210000347</t>
  </si>
  <si>
    <t>32109840300210000348</t>
  </si>
  <si>
    <t>&amp;pdr / &amp;cid</t>
  </si>
  <si>
    <t>32109840200210000215</t>
  </si>
  <si>
    <t>ODPros</t>
  </si>
  <si>
    <t>DtLastPr</t>
  </si>
  <si>
    <t>32309840000210000008</t>
  </si>
  <si>
    <t>0,12</t>
  </si>
  <si>
    <t>45208810555550000085</t>
  </si>
  <si>
    <t>32109840700210000294</t>
  </si>
  <si>
    <t>32109840000210000295</t>
  </si>
  <si>
    <t>Выгрузка информации о погашении ранее выданных ссуд</t>
  </si>
  <si>
    <t>32109840500210000229</t>
  </si>
  <si>
    <t>47802810255550000161</t>
  </si>
  <si>
    <t>47802810955550000160</t>
  </si>
  <si>
    <t>32109840500210000216</t>
  </si>
  <si>
    <t>45208810055550000323</t>
  </si>
  <si>
    <t>45208810755550000322</t>
  </si>
  <si>
    <t>45208810655550000325</t>
  </si>
  <si>
    <t>45208810355550000382</t>
  </si>
  <si>
    <t>32109840200210000341</t>
  </si>
  <si>
    <t>32109840500210000342</t>
  </si>
  <si>
    <t>32109840800210000343</t>
  </si>
  <si>
    <t>32109840100210000344</t>
  </si>
  <si>
    <t>32109840400210000345</t>
  </si>
  <si>
    <t>32109840700210000346</t>
  </si>
  <si>
    <t>47802810455550000136</t>
  </si>
  <si>
    <t>32109840300210000319</t>
  </si>
  <si>
    <t>32109840700210000320</t>
  </si>
  <si>
    <t>32109840000210000321</t>
  </si>
  <si>
    <t>32109840300210000322</t>
  </si>
  <si>
    <t>Rest</t>
  </si>
  <si>
    <t>PayPrevAID</t>
  </si>
  <si>
    <t>f-Stops2</t>
  </si>
  <si>
    <t>cid</t>
  </si>
  <si>
    <t>FS</t>
  </si>
  <si>
    <t>Классификация</t>
  </si>
  <si>
    <t>Общая информация</t>
  </si>
  <si>
    <t>Первый платеж</t>
  </si>
  <si>
    <t>45208810955550000216</t>
  </si>
  <si>
    <t>45208810150050000087</t>
  </si>
  <si>
    <t>Фин. состояние (служебные поля)</t>
  </si>
  <si>
    <t>32109840900210000214</t>
  </si>
  <si>
    <t>45208810155550000346</t>
  </si>
  <si>
    <t>32309810800210000021</t>
  </si>
  <si>
    <t>45308810755550000002</t>
  </si>
  <si>
    <t>45208810755550000351</t>
  </si>
  <si>
    <t>45207810350050000341</t>
  </si>
  <si>
    <t>45207810650050000342</t>
  </si>
  <si>
    <t>45207810950050000343</t>
  </si>
  <si>
    <t>45207810250050000344</t>
  </si>
  <si>
    <t>45208810155550000362</t>
  </si>
  <si>
    <t>47802810755550000108</t>
  </si>
  <si>
    <t>47802810755550000111</t>
  </si>
  <si>
    <t>45208810655550000383</t>
  </si>
  <si>
    <t>Номер лицевого
счета по учету
резерва</t>
  </si>
  <si>
    <t>32109840200210000367</t>
  </si>
  <si>
    <t>32109840500210000368</t>
  </si>
  <si>
    <t>32109840800210000369</t>
  </si>
  <si>
    <t>45208810755550000380</t>
  </si>
  <si>
    <t>45208840255550000180</t>
  </si>
  <si>
    <t>45208810455550000392</t>
  </si>
  <si>
    <t>45208840055550000186</t>
  </si>
  <si>
    <t>45207840355550000298</t>
  </si>
  <si>
    <t>45207840055550000297</t>
  </si>
  <si>
    <t>32009810300210000009</t>
  </si>
  <si>
    <t>44608810655550000010</t>
  </si>
  <si>
    <t>32109840900210000243</t>
  </si>
  <si>
    <t>45208810655550000341</t>
  </si>
  <si>
    <t xml:space="preserve">convert((select fcr_detLst from fcr_descript where tid = fcr_ch1) using 'utf8') fcr1,   </t>
  </si>
  <si>
    <t>44607810055550000048</t>
  </si>
  <si>
    <t>45208810155550000388</t>
  </si>
  <si>
    <t>45208810855550000387</t>
  </si>
  <si>
    <t>32109840400210000235</t>
  </si>
  <si>
    <t>32109978900210000034</t>
  </si>
  <si>
    <t>45606840455550000016</t>
  </si>
  <si>
    <t>45208810055550000352</t>
  </si>
  <si>
    <t>32109840000210000169</t>
  </si>
  <si>
    <t>47408810900210035439</t>
  </si>
  <si>
    <t>32109840200210000370</t>
  </si>
  <si>
    <t>45208810150050000016</t>
  </si>
  <si>
    <t>32109840400210000387</t>
  </si>
  <si>
    <t>32109840000210000389</t>
  </si>
  <si>
    <t>32109840800210000385</t>
  </si>
  <si>
    <t>32109840700210000388</t>
  </si>
  <si>
    <t>45207810255550000454</t>
  </si>
  <si>
    <t>Сумма обеспечения
1 кат. качества, 
в руб.</t>
  </si>
  <si>
    <t>0,2,3,4,14</t>
  </si>
  <si>
    <t>1,2,3,4</t>
  </si>
  <si>
    <t>45208810855550000154</t>
  </si>
  <si>
    <t>45208810555550000153</t>
  </si>
  <si>
    <t>45208810055550000158</t>
  </si>
  <si>
    <t>VTB Bank Belorus (Slavneftebank), Minsk</t>
  </si>
  <si>
    <t>32109840400210000332</t>
  </si>
  <si>
    <t>32109840700210000333</t>
  </si>
  <si>
    <t>45208810555550000218</t>
  </si>
  <si>
    <t>45812810950050000301</t>
  </si>
  <si>
    <t>45812810550050000303</t>
  </si>
  <si>
    <t>47802810355550000126</t>
  </si>
  <si>
    <t>47802810355550000139</t>
  </si>
  <si>
    <t>select reg_acc, max(date_ost) from acc a join data d using(accid) 
where Bal_num in (select Bal_num from baltypes where Bal_num &gt; 40000 and loanPer = 'до востребования')
 and ( reg_acc not in (select reg_acc from acc_erb where erb_type = 2 or erb=0) 
  and if(reg_acc like '5%',mid(reg_acc,14,1)=0,1) ) and date_ost &gt; '2011-12-01'
group by 1;</t>
  </si>
  <si>
    <t>32009810500210000003</t>
  </si>
  <si>
    <t>32109840800210000246</t>
  </si>
  <si>
    <t>32109840700210000168</t>
  </si>
  <si>
    <t>45208810955550000290</t>
  </si>
  <si>
    <t>32009810000210000008</t>
  </si>
  <si>
    <t>Реструктуризации</t>
  </si>
  <si>
    <t>NameAID</t>
  </si>
  <si>
    <t>Dt</t>
  </si>
  <si>
    <t>idSource</t>
  </si>
  <si>
    <t>47802810555550000133</t>
  </si>
  <si>
    <t>45208810355550000285</t>
  </si>
  <si>
    <t>Качество
обслуж.
долга</t>
  </si>
  <si>
    <t>32109840200210000244</t>
  </si>
  <si>
    <t>32309978100210000003</t>
  </si>
  <si>
    <t>32309978800210000002</t>
  </si>
  <si>
    <t>45208810350050000081</t>
  </si>
  <si>
    <t>32109840600210000284</t>
  </si>
  <si>
    <t>32309810000210000009</t>
  </si>
  <si>
    <t>select group_concat(descFull separator ';\n') from (select isRUOB, concat(Descript, ' (', group_concat(ruob), ')') descFull from (select ifnull(ruob_dt,'2050-01-01') &lt; now() isRUOB, if(gid=1, 'реструктуризация', concat( if(gid=2,'цели: ',''), fcr1) ) Descript, if(isnull(uob_id), 'РУОБ отсутствует', concat('Р', UOB, ' №', ruob_num, ' от ', ruob_dt) ) ruob from (select ifnull(ds_dt, @dtMin) ds_dt, ifnull(dt_act, @dtMin) dt_act, fcr_gid gid, convert((select fcr_detLst from fcr_descript where tid = fcr_ch1) using 'utf8') fcr1, uob_id, ruob_num, ruob_dt, convert((select abr from refuob where idUOB=uob_id) using 'utf8') UOB from fcr where aid = @aid order by fcr_gid, ds_num, ds_dt)t where ds_dt &lt; @dt and dt_act &lt; @dt)t2 group by isRUOB, Descript )t2;</t>
  </si>
  <si>
    <t>ПровСужд_2</t>
  </si>
  <si>
    <t>счет резерва</t>
  </si>
  <si>
    <t>Выгрузка обеспечения по счетам</t>
  </si>
  <si>
    <t>32109840400210000170</t>
  </si>
  <si>
    <t>32109840600210000174</t>
  </si>
  <si>
    <t>Введите исполнителей</t>
  </si>
  <si>
    <t>32309756700210000010</t>
  </si>
  <si>
    <t xml:space="preserve">каждый клиент отдельно (для досье) - </t>
  </si>
  <si>
    <t>select ind, e.relative, ifnull(relCond,0) relCond from cq_exc e join aList using(aid) where aid&lt;&gt;0 and cflag = 0 and e.relative&lt;&gt;0 and bdate &lt;= @dtAn and @dtAn &lt; ifnull(edate, '2050-01-01')</t>
  </si>
  <si>
    <t>аналог. ссуды с хор. ОД</t>
  </si>
  <si>
    <t>cntQuater</t>
  </si>
  <si>
    <t>CQ_tbl</t>
  </si>
  <si>
    <t>Цели</t>
  </si>
  <si>
    <t>CQ_FS</t>
  </si>
  <si>
    <t>CQ_UOB</t>
  </si>
  <si>
    <t>дата актуальной отчетности</t>
  </si>
  <si>
    <t>45208810850050000099</t>
  </si>
  <si>
    <t>45208810150050000100</t>
  </si>
  <si>
    <t>45208810450050000101</t>
  </si>
  <si>
    <t>Выгрузка информации по реструктуризациям</t>
  </si>
  <si>
    <t>0,23</t>
  </si>
  <si>
    <t>32108840200210000614</t>
  </si>
  <si>
    <t>32109840900210000379</t>
  </si>
  <si>
    <t>32109840600210000381</t>
  </si>
  <si>
    <t>32109840800210000314</t>
  </si>
  <si>
    <t>32109840100210000315</t>
  </si>
  <si>
    <t>32109840400210000316</t>
  </si>
  <si>
    <t>32109840700210000317</t>
  </si>
  <si>
    <t>45208810255550000369</t>
  </si>
  <si>
    <t>32109840500210000261</t>
  </si>
  <si>
    <t>Формирование проф. суждений</t>
  </si>
  <si>
    <t>Загрузка информации по кредитным соглашениям</t>
  </si>
  <si>
    <t>Выгрузка всех ссудных счетов на отчетную дату</t>
  </si>
  <si>
    <t>45812810650050000258</t>
  </si>
  <si>
    <t>45812810750050000284</t>
  </si>
  <si>
    <t>Выгрузка кода, типа контрагента, типа фин. операции</t>
  </si>
  <si>
    <t>0,5,6,7</t>
  </si>
  <si>
    <t>Величина резерва
с учетом
обеспечения,
в руб.</t>
  </si>
  <si>
    <t>Дата
остатков</t>
  </si>
  <si>
    <t>ВАЖНО!!! далее -&gt;&gt;&gt; СОРТИРОВКА!</t>
  </si>
  <si>
    <t>47802810055550000125</t>
  </si>
  <si>
    <t>45208810355550000188</t>
  </si>
  <si>
    <t>select group_concat(descFull separator ';\n') from (</t>
  </si>
  <si>
    <t>select isRUOB, concat(Descript, ' (', group_concat(ruob), ')') descFull</t>
  </si>
  <si>
    <t>32109840200210000299</t>
  </si>
  <si>
    <t>32109840500210000300</t>
  </si>
  <si>
    <t>45208810350050000104</t>
  </si>
  <si>
    <t>45208810050050000103</t>
  </si>
  <si>
    <t>Управляющая компания Главкино, ЗАО</t>
  </si>
  <si>
    <t>Что печатать</t>
  </si>
  <si>
    <t>правый нижний колонтитул</t>
  </si>
  <si>
    <t>47801810855550000025</t>
  </si>
  <si>
    <t>47801810155550000026</t>
  </si>
  <si>
    <t>45812810850050000236</t>
  </si>
  <si>
    <t>select ind, ob1, ob2 from aList join (select reg_acc, if(pr1&lt;&gt;0, -1, ob1) ob1, if(pr2&lt;&gt;0, -1, ob2) ob2 from (select * from obespechenie where Blok_Id = @bid and date_ost&lt;=@dtOst order by date_ost desc)t group by 1) o using(reg_acc)</t>
  </si>
  <si>
    <t>45208810555550000137</t>
  </si>
  <si>
    <t>45208810955550000151</t>
  </si>
  <si>
    <t>Плохие цели (3.13)</t>
  </si>
  <si>
    <t>f-Stops</t>
  </si>
  <si>
    <t>tid</t>
  </si>
  <si>
    <t>cnt</t>
  </si>
  <si>
    <t>depart</t>
  </si>
  <si>
    <t>УРПЗ</t>
  </si>
  <si>
    <t>УКЗО</t>
  </si>
  <si>
    <t>47801810150050000013</t>
  </si>
  <si>
    <t>45208810855550000219</t>
  </si>
  <si>
    <t>45208810155550000207</t>
  </si>
  <si>
    <t>45208810650050000082</t>
  </si>
  <si>
    <t>47801840855550000008</t>
  </si>
  <si>
    <t>47801840555550000007</t>
  </si>
  <si>
    <t>47801810355550000017</t>
  </si>
  <si>
    <t>47801840255550000006</t>
  </si>
  <si>
    <t>Дата последней просрочки</t>
  </si>
  <si>
    <t>agr_id</t>
  </si>
  <si>
    <t>eDate</t>
  </si>
  <si>
    <t>uob</t>
  </si>
  <si>
    <t>ПРПС</t>
  </si>
  <si>
    <t>ПРПС3Л</t>
  </si>
  <si>
    <t>Плохие цели (3.14)</t>
  </si>
  <si>
    <t>32108840600210000599</t>
  </si>
  <si>
    <t>32108840800210000603</t>
  </si>
  <si>
    <t>32109840300210000364</t>
  </si>
  <si>
    <t>32109840600210000365</t>
  </si>
  <si>
    <t>45207810450050000351</t>
  </si>
  <si>
    <t>44607810355550000049</t>
  </si>
  <si>
    <t>32108978100210000013</t>
  </si>
  <si>
    <t>32108978000210000016</t>
  </si>
  <si>
    <t>45815840150060000003</t>
  </si>
  <si>
    <t>32311810300210000001</t>
  </si>
  <si>
    <t>45105810455550000026</t>
  </si>
  <si>
    <t>2576 Закрытое акционерное общество "Управляющая компания "ГЛАВКИНО"</t>
  </si>
  <si>
    <t>45215810950050000924</t>
  </si>
  <si>
    <t>Просрочка</t>
  </si>
  <si>
    <t>45207810350050000354</t>
  </si>
  <si>
    <t>32108840100210000646</t>
  </si>
  <si>
    <t>32108840400210000650</t>
  </si>
  <si>
    <t>32109840300210000403</t>
  </si>
  <si>
    <t>32109840600210000404</t>
  </si>
  <si>
    <t>32109840900210000405</t>
  </si>
  <si>
    <t>32109840200210000406</t>
  </si>
  <si>
    <t>32109840500210000407</t>
  </si>
  <si>
    <t>32109840800210000408</t>
  </si>
  <si>
    <t>32109840100210000409</t>
  </si>
  <si>
    <t>32109840500210000410</t>
  </si>
  <si>
    <t>32108840000210000652</t>
  </si>
  <si>
    <t>32108840200210000656</t>
  </si>
  <si>
    <t>32108840100210000662</t>
  </si>
  <si>
    <t>32109840800210000411</t>
  </si>
  <si>
    <t>32109840100210000412</t>
  </si>
  <si>
    <t>32109840400210000413</t>
  </si>
  <si>
    <t>32109840700210000414</t>
  </si>
  <si>
    <t>32109840000210000415</t>
  </si>
  <si>
    <t>32109840300210000416</t>
  </si>
  <si>
    <t>update agreements set analogLoan=1 where agr_id in (...)</t>
  </si>
  <si>
    <t>47307840700210000007</t>
  </si>
  <si>
    <t>45207810650050000355</t>
  </si>
  <si>
    <t>45208810250050000107</t>
  </si>
  <si>
    <t>45208810550050000108</t>
  </si>
  <si>
    <t>45208810850050000109</t>
  </si>
  <si>
    <t>45208810950050000106</t>
  </si>
  <si>
    <t>45208810755550000393</t>
  </si>
  <si>
    <t>45207810550050000358</t>
  </si>
  <si>
    <t>45207810950050000356</t>
  </si>
  <si>
    <t>45207810250050000357</t>
  </si>
  <si>
    <t>Бражников Ю.В.</t>
  </si>
  <si>
    <t>45606810955550000009</t>
  </si>
  <si>
    <t>45208810055550000394</t>
  </si>
  <si>
    <t>45815810400030000001</t>
  </si>
  <si>
    <t>П/зад-ть по ов-там по счетам б/к граждан</t>
  </si>
  <si>
    <t>45818810355550000536</t>
  </si>
  <si>
    <t>45208810355550000395</t>
  </si>
  <si>
    <t>45207810855550000469</t>
  </si>
  <si>
    <t>45812810050050000382</t>
  </si>
  <si>
    <t>45812810450050000380</t>
  </si>
  <si>
    <t>45812810750050000381</t>
  </si>
  <si>
    <t>32108840900210000668</t>
  </si>
  <si>
    <t>32109840600210000417</t>
  </si>
  <si>
    <t>45812810255550000894</t>
  </si>
  <si>
    <t>45208810055550000404</t>
  </si>
  <si>
    <t>45812810855550000896</t>
  </si>
  <si>
    <t>47801810755550000028</t>
  </si>
  <si>
    <t>45812810655550000892</t>
  </si>
  <si>
    <t>45812810555550000895</t>
  </si>
  <si>
    <t>45812810355550000888</t>
  </si>
  <si>
    <t>45812810355550000891</t>
  </si>
  <si>
    <t>45812810155550000897</t>
  </si>
  <si>
    <t>45812810455550000898</t>
  </si>
  <si>
    <t>45812810755550000899</t>
  </si>
  <si>
    <t>45812810055550000900</t>
  </si>
  <si>
    <t>45812810655550000889</t>
  </si>
  <si>
    <t>45812810955550000893</t>
  </si>
  <si>
    <t>32108840900210000671</t>
  </si>
  <si>
    <t>32109840900210000418</t>
  </si>
  <si>
    <t>32109840200210000419</t>
  </si>
  <si>
    <t>32109840600210000420</t>
  </si>
  <si>
    <t>45208810250050000110</t>
  </si>
  <si>
    <t>45108810255550000016</t>
  </si>
  <si>
    <t>47802840155550000024</t>
  </si>
  <si>
    <t>32309840100210000173</t>
  </si>
  <si>
    <t>32309840800210000172</t>
  </si>
  <si>
    <t>45605810155550000020</t>
  </si>
  <si>
    <t>32108840500210000673</t>
  </si>
  <si>
    <t>32109840900210000421</t>
  </si>
  <si>
    <t>47802810755550000218</t>
  </si>
  <si>
    <t>45107810050050000026</t>
  </si>
  <si>
    <t>32109840200210000422</t>
  </si>
  <si>
    <t>32108840000210000678</t>
  </si>
  <si>
    <t>32108840300210000679</t>
  </si>
  <si>
    <t>32108840700210000680</t>
  </si>
  <si>
    <t>32108840000210000681</t>
  </si>
  <si>
    <t>32108840300210000682</t>
  </si>
  <si>
    <t>32109840500210000423</t>
  </si>
  <si>
    <t>32308756700210000008</t>
  </si>
  <si>
    <t>45208978255550000052</t>
  </si>
  <si>
    <t>45208810550050000111</t>
  </si>
  <si>
    <t>32108978300210000020</t>
  </si>
  <si>
    <t>32109810000210000005</t>
  </si>
  <si>
    <t>45208810255550000408</t>
  </si>
  <si>
    <t>45208810555550000409</t>
  </si>
  <si>
    <t>32108840500210000686</t>
  </si>
  <si>
    <t>32109840800210000424</t>
  </si>
  <si>
    <t>45606840755550000017</t>
  </si>
  <si>
    <t>47802840055550000027</t>
  </si>
  <si>
    <t>32009840000210000007</t>
  </si>
  <si>
    <t>32108840400210000689</t>
  </si>
  <si>
    <t>32108840800210000690</t>
  </si>
  <si>
    <t>32109840100210000425</t>
  </si>
  <si>
    <t>32109840400210000426</t>
  </si>
  <si>
    <t>32109840700210000427</t>
  </si>
  <si>
    <t>32109840000210000428</t>
  </si>
  <si>
    <t>45606840055550000018</t>
  </si>
  <si>
    <t>45106810055550000072</t>
  </si>
  <si>
    <t>45206810055550000419</t>
  </si>
  <si>
    <t>32109840300210000429</t>
  </si>
  <si>
    <t>32109840700210000430</t>
  </si>
  <si>
    <t>45208810255550000411</t>
  </si>
  <si>
    <t>32108840700210000693</t>
  </si>
  <si>
    <t>45207810750050000365</t>
  </si>
  <si>
    <t>32108840000210000694</t>
  </si>
  <si>
    <t>32108840900210000697</t>
  </si>
  <si>
    <t>32109840000210000431</t>
  </si>
  <si>
    <t>32109840300210000432</t>
  </si>
  <si>
    <t>32109840600210000433</t>
  </si>
  <si>
    <t>32109840900210000434</t>
  </si>
  <si>
    <t>32109840200210000435</t>
  </si>
  <si>
    <t>32108840200210000698</t>
  </si>
  <si>
    <t>32108840100210000701</t>
  </si>
  <si>
    <t>32109840500210000436</t>
  </si>
  <si>
    <t>32109840800210000437</t>
  </si>
  <si>
    <t>45208810850050000112</t>
  </si>
  <si>
    <t>45208810150050000113</t>
  </si>
  <si>
    <t>45208810855550000413</t>
  </si>
  <si>
    <t>45208810750050000115</t>
  </si>
  <si>
    <t>45208810450050000114</t>
  </si>
  <si>
    <t>45208810350050000117</t>
  </si>
  <si>
    <t>32108840600210000706</t>
  </si>
  <si>
    <t>32108840400210000702</t>
  </si>
  <si>
    <t>32109840700210000443</t>
  </si>
  <si>
    <t>45208810650050000118</t>
  </si>
  <si>
    <t>45208810950050000119</t>
  </si>
  <si>
    <t>Юр.лицо по сводным счетам 2 к.к.</t>
  </si>
  <si>
    <t>45816810255550000007</t>
  </si>
  <si>
    <t>45207810950050000369</t>
  </si>
  <si>
    <t>32108840200210000708</t>
  </si>
  <si>
    <t>32108840200210000711</t>
  </si>
  <si>
    <t>32109840000210000444</t>
  </si>
  <si>
    <t>32109840300210000445</t>
  </si>
  <si>
    <t>32109840600210000446</t>
  </si>
  <si>
    <t>32109840900210000447</t>
  </si>
  <si>
    <t>32108840500210000712</t>
  </si>
  <si>
    <t>32108840800210000713</t>
  </si>
  <si>
    <t>32108840100210000714</t>
  </si>
  <si>
    <t>32108840000210000720</t>
  </si>
  <si>
    <t>32109840200210000448</t>
  </si>
  <si>
    <t>32108840300210000721</t>
  </si>
  <si>
    <t>32108840600210000722</t>
  </si>
  <si>
    <t>32109840500210000449</t>
  </si>
  <si>
    <t>32109840900210000450</t>
  </si>
  <si>
    <t>32109810300210000006</t>
  </si>
  <si>
    <t>45208810350050000120</t>
  </si>
  <si>
    <t>32309810200210000032</t>
  </si>
  <si>
    <t>select ind, round(cq,1) from aList join (select * from (select idrec cid, cq from arccq a where DtCQ &lt;= @dtAn order by DtCQ desc ) t group by 1)tt using(cid)</t>
  </si>
  <si>
    <t>44209810255550000013</t>
  </si>
  <si>
    <t>44209810755550000018</t>
  </si>
  <si>
    <t>45208810650050000121</t>
  </si>
  <si>
    <t>45208810950050000122</t>
  </si>
  <si>
    <t>45107810855550000022</t>
  </si>
  <si>
    <t>45208810250050000123</t>
  </si>
  <si>
    <t>32108840200210000737</t>
  </si>
  <si>
    <t>45606840355550000019</t>
  </si>
  <si>
    <t>45208810850050000125</t>
  </si>
  <si>
    <t>45208810150050000126</t>
  </si>
  <si>
    <t>Проф. суждение о классификации: оценка ФС отсутствует, задолженность кратковременная</t>
  </si>
  <si>
    <t>45207810255550000483</t>
  </si>
  <si>
    <t>32108978900210000035</t>
  </si>
  <si>
    <t>32108840800210000739</t>
  </si>
  <si>
    <t>32109840000210000460</t>
  </si>
  <si>
    <t>32109840300210000461</t>
  </si>
  <si>
    <t>32109840600210000462</t>
  </si>
  <si>
    <t>32109840900210000463</t>
  </si>
  <si>
    <t>45208810750050000128</t>
  </si>
  <si>
    <t>45208810450050000127</t>
  </si>
  <si>
    <t>44608810955550000011</t>
  </si>
  <si>
    <t>45208810050050000132</t>
  </si>
  <si>
    <t>32108840000210000746</t>
  </si>
  <si>
    <t>45208810455550000415</t>
  </si>
  <si>
    <t>45208840355550000187</t>
  </si>
  <si>
    <t>45812810550050000400</t>
  </si>
  <si>
    <t xml:space="preserve">from acc join baltypes b using (Bal_num) join data using(accid) </t>
  </si>
  <si>
    <t>where b.bal1 = left(@acc,3) and ClntID = @cid</t>
  </si>
  <si>
    <t>45208810355550000418</t>
  </si>
  <si>
    <t>45208810655550000419</t>
  </si>
  <si>
    <t>45206810750050000638</t>
  </si>
  <si>
    <t>45812810050050000395</t>
  </si>
  <si>
    <t>45812810350050000396</t>
  </si>
  <si>
    <t>45812810750050000394</t>
  </si>
  <si>
    <t>45207810855550000485</t>
  </si>
  <si>
    <t>45108810555550000020</t>
  </si>
  <si>
    <t>45208810350050000133</t>
  </si>
  <si>
    <t>45208810055550000420</t>
  </si>
  <si>
    <t>45207810450050000377</t>
  </si>
  <si>
    <t>45812810350050000406</t>
  </si>
  <si>
    <t>45207810155550000486</t>
  </si>
  <si>
    <t>32109810900210000008</t>
  </si>
  <si>
    <t>45208810250050000136</t>
  </si>
  <si>
    <t>32109810900210000011</t>
  </si>
  <si>
    <t>45208810550050000137</t>
  </si>
  <si>
    <t>45208810355550000421</t>
  </si>
  <si>
    <t>32109810200210000012</t>
  </si>
  <si>
    <t>45208810850050000138</t>
  </si>
  <si>
    <t>45208810655550000422</t>
  </si>
  <si>
    <t>45208810955550000423</t>
  </si>
  <si>
    <t>45208810555550000425</t>
  </si>
  <si>
    <t>45208810855550000426</t>
  </si>
  <si>
    <t>45208810150050000139</t>
  </si>
  <si>
    <t>32009810500210000016</t>
  </si>
  <si>
    <t>45812810600040000001</t>
  </si>
  <si>
    <t>32015</t>
  </si>
  <si>
    <t>32115</t>
  </si>
  <si>
    <t>32311</t>
  </si>
  <si>
    <t>Просроченная задолженность по овердрафтам по счетам банковских карт негосударственных коммерческих организаций</t>
  </si>
  <si>
    <t>45818810300210000025</t>
  </si>
  <si>
    <t>45814810250050000012</t>
  </si>
  <si>
    <t>45814810550050000013</t>
  </si>
  <si>
    <t>45208810155550000427</t>
  </si>
  <si>
    <t>45208810550050000140</t>
  </si>
  <si>
    <t>45208810850050000141</t>
  </si>
  <si>
    <t>32109810800210000014</t>
  </si>
  <si>
    <t>32108810300210000065</t>
  </si>
  <si>
    <t>45207810950050000385</t>
  </si>
  <si>
    <t>45208810450050000143</t>
  </si>
  <si>
    <t>32108840100210000756</t>
  </si>
  <si>
    <t>32108840700210000758</t>
  </si>
  <si>
    <t>32109840700210000469</t>
  </si>
  <si>
    <t>32109840100210000470</t>
  </si>
  <si>
    <t>32109840400210000471</t>
  </si>
  <si>
    <t>32109840000210000473</t>
  </si>
  <si>
    <t>32109840300210000474</t>
  </si>
  <si>
    <t>32109840600210000475</t>
  </si>
  <si>
    <t>32109840900210000476</t>
  </si>
  <si>
    <t>32109840200210000477</t>
  </si>
  <si>
    <t>32109840500210000478</t>
  </si>
  <si>
    <t>45207810250050000386</t>
  </si>
  <si>
    <t>47802840655550000032</t>
  </si>
  <si>
    <t>45107810350050000030</t>
  </si>
  <si>
    <t>45207810455550000490</t>
  </si>
  <si>
    <t>45206810650050000657</t>
  </si>
  <si>
    <t>47802810755550000221</t>
  </si>
  <si>
    <t>47802840955550000033</t>
  </si>
  <si>
    <t>32108840700210000761</t>
  </si>
  <si>
    <t>32108840000210000762</t>
  </si>
  <si>
    <t>32109840800210000479</t>
  </si>
  <si>
    <t>32109840200210000480</t>
  </si>
  <si>
    <t>32109840500210000481</t>
  </si>
  <si>
    <t>32109840800210000482</t>
  </si>
  <si>
    <t>32109840100210000483</t>
  </si>
  <si>
    <t>45208810050050000145</t>
  </si>
  <si>
    <t>45208810955550000313</t>
  </si>
  <si>
    <t>45208810055550000378</t>
  </si>
  <si>
    <t>45207810555550000387</t>
  </si>
  <si>
    <t>32309840800210000185</t>
  </si>
  <si>
    <t>45208810755550000429</t>
  </si>
  <si>
    <t>45812978950050000007</t>
  </si>
  <si>
    <t>47802840155550000037</t>
  </si>
  <si>
    <t>32108810300210000078</t>
  </si>
  <si>
    <t>32108840900210000765</t>
  </si>
  <si>
    <t>32108840200210000766</t>
  </si>
  <si>
    <t>32109840700210000485</t>
  </si>
  <si>
    <t>32109840000210000486</t>
  </si>
  <si>
    <t>45207810850050000388</t>
  </si>
  <si>
    <t>45606840055550000021</t>
  </si>
  <si>
    <t>45606840755550000020</t>
  </si>
  <si>
    <t>45208810355550000434</t>
  </si>
  <si>
    <t>32108810600210000079</t>
  </si>
  <si>
    <t>32108810300210000081</t>
  </si>
  <si>
    <t>32108840100210000769</t>
  </si>
  <si>
    <t>32108840500210000770</t>
  </si>
  <si>
    <t>32108840800210000771</t>
  </si>
  <si>
    <t>32109840300210000487</t>
  </si>
  <si>
    <t>32109840600210000488</t>
  </si>
  <si>
    <t>32109840900210000489</t>
  </si>
  <si>
    <t>32109840300210000490</t>
  </si>
  <si>
    <t>45205810850050000335</t>
  </si>
  <si>
    <t>45208810350050000146</t>
  </si>
  <si>
    <t>45206810450050000666</t>
  </si>
  <si>
    <t>45208810055550000433</t>
  </si>
  <si>
    <t>45207810150050000392</t>
  </si>
  <si>
    <t>32108840100210000772</t>
  </si>
  <si>
    <t>32108840400210000773</t>
  </si>
  <si>
    <t>32108840700210000774</t>
  </si>
  <si>
    <t>32109840600210000491</t>
  </si>
  <si>
    <t>32109840900210000492</t>
  </si>
  <si>
    <t>32109840200210000493</t>
  </si>
  <si>
    <t>32109840500210000494</t>
  </si>
  <si>
    <t>32109810400210000016</t>
  </si>
  <si>
    <t>32108810600210000082</t>
  </si>
  <si>
    <t>45812810255550000920</t>
  </si>
  <si>
    <t>32109810700210000017</t>
  </si>
  <si>
    <t>47802810655550000224</t>
  </si>
  <si>
    <t>45208810855550000439</t>
  </si>
  <si>
    <t>45208810650050000147</t>
  </si>
  <si>
    <t>32108810200210000084</t>
  </si>
  <si>
    <t>45208810255550000440</t>
  </si>
  <si>
    <t>32108810500210000085</t>
  </si>
  <si>
    <t>45208840655550000188</t>
  </si>
  <si>
    <t>45208840955550000189</t>
  </si>
  <si>
    <t>32108840900210000781</t>
  </si>
  <si>
    <t>32108840200210000782</t>
  </si>
  <si>
    <t>32108840500210000783</t>
  </si>
  <si>
    <t>32109840800210000495</t>
  </si>
  <si>
    <t>32109840100210000496</t>
  </si>
  <si>
    <t>32109840400210000497</t>
  </si>
  <si>
    <t>32109840700210000498</t>
  </si>
  <si>
    <t>45205810750050000341</t>
  </si>
  <si>
    <t>45207810155550000499</t>
  </si>
  <si>
    <t>46607810000210000001</t>
  </si>
  <si>
    <t>32109840000210000499</t>
  </si>
  <si>
    <t>32109840300210000500</t>
  </si>
  <si>
    <t>32109840600210000501</t>
  </si>
  <si>
    <t>32109840900210000502</t>
  </si>
  <si>
    <t>45208810455550000444</t>
  </si>
  <si>
    <t>45208810755550000445</t>
  </si>
  <si>
    <t>45206810550050000676</t>
  </si>
  <si>
    <t>45208810950050000148</t>
  </si>
  <si>
    <t>45207810050050000395</t>
  </si>
  <si>
    <t>32109810300210000019</t>
  </si>
  <si>
    <t>45816978000040000002</t>
  </si>
  <si>
    <t>45812810455550000924</t>
  </si>
  <si>
    <t>47802840955550000046</t>
  </si>
  <si>
    <t>47802840755550000042</t>
  </si>
  <si>
    <t>47802840255550000047</t>
  </si>
  <si>
    <t>47802840355550000044</t>
  </si>
  <si>
    <t>47802840655550000045</t>
  </si>
  <si>
    <t>45104810355550000033</t>
  </si>
  <si>
    <t>45205810950050000345</t>
  </si>
  <si>
    <t>Просроченная задолженность по овердрафтам по счетам банковских карт юридических лиц-нерезидентов</t>
  </si>
  <si>
    <t>45818810950050001045</t>
  </si>
  <si>
    <t>45207810455550000500</t>
  </si>
  <si>
    <t>45105810155550000025</t>
  </si>
  <si>
    <t>45208810355550000447</t>
  </si>
  <si>
    <t>45208810655550000448</t>
  </si>
  <si>
    <t>45208810955550000449</t>
  </si>
  <si>
    <t>Прочие факторы (в том числе, наличие признаков отсутствия реальной деятельности)</t>
  </si>
  <si>
    <t>45208840355550000190</t>
  </si>
  <si>
    <t>32108840700210000790</t>
  </si>
  <si>
    <t>32109840200210000503</t>
  </si>
  <si>
    <t>32109840500210000504</t>
  </si>
  <si>
    <t>32109840800210000505</t>
  </si>
  <si>
    <t>32109840100210000506</t>
  </si>
  <si>
    <t>32109840400210000507</t>
  </si>
  <si>
    <t>45208810655550000451</t>
  </si>
  <si>
    <t>45208810355550000450</t>
  </si>
  <si>
    <t>45815810900190000001</t>
  </si>
  <si>
    <t>45208810955550000452</t>
  </si>
  <si>
    <t>Физ.лицо 5 к.к.</t>
  </si>
  <si>
    <t>П/зад-ть по ов-там ФЛ/рез.по сч. б/к пл.систем Visa и MCI</t>
  </si>
  <si>
    <t>45818810000210000011</t>
  </si>
  <si>
    <t>Искл</t>
  </si>
  <si>
    <t>0,7,8</t>
  </si>
  <si>
    <t>0,20</t>
  </si>
  <si>
    <t>select ind, cq, rate from cq_exc e join aList using(cid) where cflag = 1 and cq &gt; 0 and bdate &lt;= @dtAn and @dtAn &lt; ifnull(edate, '2050-01-01') group by 1</t>
  </si>
  <si>
    <t>select ind, group_concat( if(reason like 'пункт%', reason_desc, CONCAT(reason,': ', reason_desc) )  separator ', ') from cq_exc e join aList using(cid) where cflag = 1 and cq &lt;&gt; 0 and bdate &lt;= @dtAn and @dtAn &lt; ifnull(edate, '2050-01-01') group by 1</t>
  </si>
  <si>
    <t>Нормы резервирования и кат. качества по перечню клиентов</t>
  </si>
  <si>
    <t>Принятые УОБ по перечню клиентов (кроме 3.9.3)</t>
  </si>
  <si>
    <t>select ind, DtDoc from aList a join 
 (select * from 
  (select idrec, DtDoc from commcompb 
  where repkind &lt;&gt; 3 and DtEval &lt;= @dtAn and EditState&lt;&gt;1 
  order by DtDoc desc, DtEval desc)t
 group by 1)tt on idrec = cid;</t>
  </si>
  <si>
    <t>0,3</t>
  </si>
  <si>
    <t>actFS</t>
  </si>
  <si>
    <t>actOD</t>
  </si>
  <si>
    <t>actCQ</t>
  </si>
  <si>
    <t>Услови, при которых применяются решения (КК, ОФС, ОД)</t>
  </si>
  <si>
    <t>cntDecision</t>
  </si>
  <si>
    <t>0,27,28,29,30</t>
  </si>
  <si>
    <t>контроль решений по клиенту</t>
  </si>
  <si>
    <t>45208810255550000453</t>
  </si>
  <si>
    <t>47408810500210035457</t>
  </si>
  <si>
    <t>47801810055550000029</t>
  </si>
  <si>
    <t>47801810455550000030</t>
  </si>
  <si>
    <t>45105810755550000030</t>
  </si>
  <si>
    <t>45208810250050000149</t>
  </si>
  <si>
    <t>45812810050050000421</t>
  </si>
  <si>
    <t>45812810650050000423</t>
  </si>
  <si>
    <t>45812810150050000428</t>
  </si>
  <si>
    <t>45812810250050000425</t>
  </si>
  <si>
    <t>45812810350050000422</t>
  </si>
  <si>
    <t>45812810950050000424</t>
  </si>
  <si>
    <t>32009810400210000022</t>
  </si>
  <si>
    <t>45812810550050000426</t>
  </si>
  <si>
    <t>45812810850050000427</t>
  </si>
  <si>
    <t>45812840055550000255</t>
  </si>
  <si>
    <t>45812840755550000254</t>
  </si>
  <si>
    <t>32009810700210000023</t>
  </si>
  <si>
    <t>45206810255550000455</t>
  </si>
  <si>
    <t>45207810150050000402</t>
  </si>
  <si>
    <t>45207810850050000401</t>
  </si>
  <si>
    <t>45208810555550000454</t>
  </si>
  <si>
    <t>45812810055550000926</t>
  </si>
  <si>
    <t>45812810355550000927</t>
  </si>
  <si>
    <t>45208810155550000456</t>
  </si>
  <si>
    <t>45812810650050000449</t>
  </si>
  <si>
    <t>45812810350050000448</t>
  </si>
  <si>
    <t>32108810200210000097</t>
  </si>
  <si>
    <t>45208810455550000457</t>
  </si>
  <si>
    <t>45208840655550000191</t>
  </si>
  <si>
    <t>44608810555550000013</t>
  </si>
  <si>
    <t>45206810155550000458</t>
  </si>
  <si>
    <t>45812810655550000928</t>
  </si>
  <si>
    <t>44607810255550000055</t>
  </si>
  <si>
    <t>45812810955550000929</t>
  </si>
  <si>
    <t>45208840955550000192</t>
  </si>
  <si>
    <t>45208840255550000193</t>
  </si>
  <si>
    <t>45208810055550000459</t>
  </si>
  <si>
    <t>select ind, count(*) cnt, round(actCQ,1), round(actFS,1), actOD from cq_exc e join aList using(cid) where cflag = 1 and cq &gt; -1 and bdate &lt;= @dtAn and @dtAn &lt; ifnull(edate, '2050-01-01') group by 1</t>
  </si>
  <si>
    <t>45207810755550000514</t>
  </si>
  <si>
    <t>45208810650050000150</t>
  </si>
  <si>
    <t>45208810950050000151</t>
  </si>
  <si>
    <t>45812810555550000905</t>
  </si>
  <si>
    <t>45208810250050000152</t>
  </si>
  <si>
    <t>45208810850050000154</t>
  </si>
  <si>
    <t>45207810750050000404</t>
  </si>
  <si>
    <t>45208810150050000155</t>
  </si>
  <si>
    <t>45207810050050000405</t>
  </si>
  <si>
    <t>45208810550050000153</t>
  </si>
  <si>
    <t>45208810755550000461</t>
  </si>
  <si>
    <t>32108810200210000110</t>
  </si>
  <si>
    <t>45811810850050000017</t>
  </si>
  <si>
    <t>45208840555550000194</t>
  </si>
  <si>
    <t>47101810400210000012</t>
  </si>
  <si>
    <t>45812810650060000002</t>
  </si>
  <si>
    <t>47802826955550000002</t>
  </si>
  <si>
    <t>44607810555550000056</t>
  </si>
  <si>
    <t>45107810650050000031</t>
  </si>
  <si>
    <t>32109810700210000020</t>
  </si>
  <si>
    <t>45208810355550000463</t>
  </si>
  <si>
    <t>32308810700210000119</t>
  </si>
  <si>
    <t>45207810155550000525</t>
  </si>
  <si>
    <t>45207810455550000526</t>
  </si>
  <si>
    <t>45208810655550000464</t>
  </si>
  <si>
    <t>45208810955550000465</t>
  </si>
  <si>
    <t>45208810255550000466</t>
  </si>
  <si>
    <t>45208810555550000467</t>
  </si>
  <si>
    <t>45208810155550000469</t>
  </si>
  <si>
    <t>45208810555550000470</t>
  </si>
  <si>
    <t>47802810155550000229</t>
  </si>
  <si>
    <t>45208840155550000196</t>
  </si>
  <si>
    <t>45812810055550000942</t>
  </si>
  <si>
    <t>45812810355550000943</t>
  </si>
  <si>
    <t>45812810455550000940</t>
  </si>
  <si>
    <t>45812810755550000941</t>
  </si>
  <si>
    <t>45206810955550000467</t>
  </si>
  <si>
    <t>47802840755550000055</t>
  </si>
  <si>
    <t>45605840955550000025</t>
  </si>
  <si>
    <t>45812810050050000463</t>
  </si>
  <si>
    <t>45812810750050000462</t>
  </si>
  <si>
    <t>45208978055550000058</t>
  </si>
  <si>
    <t>45812810550050000468</t>
  </si>
  <si>
    <t>45812810250050000467</t>
  </si>
  <si>
    <t>45206810950050000713</t>
  </si>
  <si>
    <t>45205810650050000373</t>
  </si>
  <si>
    <t>45206810250050000714</t>
  </si>
  <si>
    <t>45208810055550000475</t>
  </si>
  <si>
    <t>45205810850050000377</t>
  </si>
  <si>
    <t>45812810850050000469</t>
  </si>
  <si>
    <t>45208810355550000476</t>
  </si>
  <si>
    <t>select ind, e.relative, ifnull(relCond,0) relCond from cq_exc e join rvps2 a using(cid) join aList l on l.aid=a.aid where cflag = 1 and e.relative&lt;&gt;0 and bdate &lt;= @dtAn and @dtAn &lt; ifnull(edate, '2050-01-01')</t>
  </si>
  <si>
    <t>47802840655550000058</t>
  </si>
  <si>
    <t>32108840100210000798</t>
  </si>
  <si>
    <t>32108840300210000792</t>
  </si>
  <si>
    <t>32108840400210000799</t>
  </si>
  <si>
    <t>32108840500210000796</t>
  </si>
  <si>
    <t>32108840600210000793</t>
  </si>
  <si>
    <t>32108840800210000797</t>
  </si>
  <si>
    <t>32108840900210000794</t>
  </si>
  <si>
    <t>32109840000210000509</t>
  </si>
  <si>
    <t>32109840000210000512</t>
  </si>
  <si>
    <t>32109840200210000516</t>
  </si>
  <si>
    <t>32109840300210000513</t>
  </si>
  <si>
    <t>32109840400210000510</t>
  </si>
  <si>
    <t>32109840500210000517</t>
  </si>
  <si>
    <t>32109840600210000514</t>
  </si>
  <si>
    <t>32109840700210000511</t>
  </si>
  <si>
    <t>32109840900210000515</t>
  </si>
  <si>
    <t>45106810355550000073</t>
  </si>
  <si>
    <t>45812810150050000460</t>
  </si>
  <si>
    <t>45812810450050000461</t>
  </si>
  <si>
    <t>45812810650050000465</t>
  </si>
  <si>
    <t>47801810755550000031</t>
  </si>
  <si>
    <t>47802840355550000057</t>
  </si>
  <si>
    <t>45205810150050000378</t>
  </si>
  <si>
    <t>47802840355550000060</t>
  </si>
  <si>
    <t>select ind, ifnull(relCond,0) relCond, if(reason like 'пункт%', reason_desc, CONCAT(reason,': ', reason_desc) ) from cq_exc e join aList using(cid) where cflag = 1 and e.relative &lt; 0 and bdate &lt;= @dtAn and @dtAn &lt; ifnull(edate, '2050-01-01')</t>
  </si>
  <si>
    <t>45812810955550000945</t>
  </si>
  <si>
    <t>45812810255550000946</t>
  </si>
  <si>
    <t>45812810655550000944</t>
  </si>
  <si>
    <t>47801810450050000027</t>
  </si>
  <si>
    <t>47802810855550000231</t>
  </si>
  <si>
    <t>45208810655550000477</t>
  </si>
  <si>
    <t>45603978855550000002</t>
  </si>
  <si>
    <t>45205810750050000383</t>
  </si>
  <si>
    <t>45207810055550000531</t>
  </si>
  <si>
    <t>45207810755550000530</t>
  </si>
  <si>
    <t>45816826355550000001</t>
  </si>
  <si>
    <t>45208810350050000162</t>
  </si>
  <si>
    <t>45208840455550000197</t>
  </si>
  <si>
    <t>45208840755550000198</t>
  </si>
  <si>
    <t>45207810355550000532</t>
  </si>
  <si>
    <t>32108840000210000801</t>
  </si>
  <si>
    <t>32108840300210000802</t>
  </si>
  <si>
    <t>32108840700210000800</t>
  </si>
  <si>
    <t>32109840000210000525</t>
  </si>
  <si>
    <t>32109840100210000519</t>
  </si>
  <si>
    <t>32109840100210000522</t>
  </si>
  <si>
    <t>32109840200210000529</t>
  </si>
  <si>
    <t>32109840200210000532</t>
  </si>
  <si>
    <t>32109840300210000526</t>
  </si>
  <si>
    <t>32109840400210000523</t>
  </si>
  <si>
    <t>32109840500210000520</t>
  </si>
  <si>
    <t>32109840600210000527</t>
  </si>
  <si>
    <t>32109840600210000530</t>
  </si>
  <si>
    <t>32109840700210000524</t>
  </si>
  <si>
    <t>32109840800210000518</t>
  </si>
  <si>
    <t>32109840800210000521</t>
  </si>
  <si>
    <t>32109840900210000528</t>
  </si>
  <si>
    <t>32109840900210000531</t>
  </si>
  <si>
    <t>45812810150050000473</t>
  </si>
  <si>
    <t>45812810250050000470</t>
  </si>
  <si>
    <t>45812810550050000471</t>
  </si>
  <si>
    <t>47801810750050000028</t>
  </si>
  <si>
    <t>47802840955550000059</t>
  </si>
  <si>
    <t>45206810250050000727</t>
  </si>
  <si>
    <t>32309810000210000038</t>
  </si>
  <si>
    <t>45207810655550000533</t>
  </si>
  <si>
    <t>45207810550050000413</t>
  </si>
  <si>
    <t>45207810955550000534</t>
  </si>
  <si>
    <t>45207810255550000535</t>
  </si>
  <si>
    <t>select ind, count(distinct isUOB) * max(isUOB) ch 
from (select ind, (GREATEST(ifnull(ruob_dt_act,'2000-01-01'), ifnull(ruob_dt,'2050-01-01')) &gt; @dtAn) isUOB from fcr join aList using(aid) 
where fcr_ch1 in (select tid from fcr_descript d where d.f115 = 2) and ifnull(ds_dt,'2000-01-01') &lt;= @dtAn and ifnull(dt_act,'2000-01-01') &lt;= @dtAn and ifnull(dt_end, '2050-01-01') &gt; @dtAn )t group by 1;</t>
  </si>
  <si>
    <t>45812810750050000475</t>
  </si>
  <si>
    <t>45205810250050000388</t>
  </si>
  <si>
    <t>45206810655550000479</t>
  </si>
  <si>
    <t>45205810550050000389</t>
  </si>
  <si>
    <t>45207810555550000536</t>
  </si>
  <si>
    <t>45208810955550000478</t>
  </si>
  <si>
    <t>45205810950050000390</t>
  </si>
  <si>
    <t>45207840755550000306</t>
  </si>
  <si>
    <t>45206810350050000737</t>
  </si>
  <si>
    <t>45207810450050000416</t>
  </si>
  <si>
    <t>45206810150050000733</t>
  </si>
  <si>
    <t>45207810855550000537</t>
  </si>
  <si>
    <t>45207810155550000538</t>
  </si>
  <si>
    <t>45207810455550000539</t>
  </si>
  <si>
    <t>45207810855550000540</t>
  </si>
  <si>
    <t>select ind, count(distinct isUOB) * max(isUOB) ch 
from (select ind, (GREATEST(ifnull(ruob_dt_act,'2000-01-01'), ifnull(ruob_dt,'2050-01-01')) &gt; @dtAn) isUOB from fcr join aList using(aid) 
where fcr_ch1 = 10 and ifnull(ds_dt,'2000-01-01') &lt;= @dtAn and ifnull(dt_act,'2000-01-01') &lt;= @dtAn and ifnull(dt_end, '2050-01-01') &gt; @dtAn )t group by 1;</t>
  </si>
  <si>
    <t>select ind, count(distinct isUOB) * max(isUOB) ch 
from (select ind, (GREATEST(ifnull(ruob_dt_act,'2000-01-01'), ifnull(ruob_dt,'2050-01-01')) &gt; @dtAn) isUOB from fcr join aList using(aid) 
where fcr_ch1 = 11 and ifnull(ds_dt,'2000-01-01') &lt;= @dtAn and ifnull(dt_act,'2000-01-01') &lt;= @dtAn and ifnull(dt_end, '2050-01-01') &gt; @dtAn )t group by 1;</t>
  </si>
  <si>
    <t>45812810955550000806</t>
  </si>
  <si>
    <t>45205810850050000393</t>
  </si>
  <si>
    <t>45812810755550000925</t>
  </si>
  <si>
    <t>45208810650050000163</t>
  </si>
  <si>
    <t>45207810750050000417</t>
  </si>
  <si>
    <t>45206810650050000741</t>
  </si>
  <si>
    <t>32009810600210000026</t>
  </si>
  <si>
    <t>32108840900210000804</t>
  </si>
  <si>
    <t>32109840500210000533</t>
  </si>
  <si>
    <t>32109840800210000534</t>
  </si>
  <si>
    <t>45812810050050000476</t>
  </si>
  <si>
    <t>45812810155550000949</t>
  </si>
  <si>
    <t>45812810855550000951</t>
  </si>
  <si>
    <t>47802840900210000001</t>
  </si>
  <si>
    <t>47802840955550000062</t>
  </si>
  <si>
    <t>51407810300210000019</t>
  </si>
  <si>
    <t>VTB BANK  (FRANCE) S.A., PARIS</t>
  </si>
  <si>
    <t>45208810955550000481</t>
  </si>
  <si>
    <t>45208810255550000482</t>
  </si>
  <si>
    <t>45208810655550000480</t>
  </si>
  <si>
    <t>45206810450050000747</t>
  </si>
  <si>
    <t>45206810750050000748</t>
  </si>
  <si>
    <t>45208978355550000059</t>
  </si>
  <si>
    <t>45812810950060000003</t>
  </si>
  <si>
    <t>45205810050050000397</t>
  </si>
  <si>
    <t>45205810350050000398</t>
  </si>
  <si>
    <t>45208810955550000436</t>
  </si>
  <si>
    <t>45208810255550000356</t>
  </si>
  <si>
    <t>45208810455550000431</t>
  </si>
  <si>
    <t>45208810755550000432</t>
  </si>
  <si>
    <t>45207810350050000419</t>
  </si>
  <si>
    <t>45206810050050000749</t>
  </si>
  <si>
    <t>45812810350050000477</t>
  </si>
  <si>
    <t>45812810650050000478</t>
  </si>
  <si>
    <t>45206810355550000481</t>
  </si>
  <si>
    <t>45812810250060000004</t>
  </si>
  <si>
    <t>45812810550060000005</t>
  </si>
  <si>
    <t>45812810950050000479</t>
  </si>
  <si>
    <t>45812810650050000481</t>
  </si>
  <si>
    <t>45812810350050000480</t>
  </si>
  <si>
    <t>45812810050050000489</t>
  </si>
  <si>
    <t>45812810950050000482</t>
  </si>
  <si>
    <t>45812810250050000483</t>
  </si>
  <si>
    <t>45812810550050000484</t>
  </si>
  <si>
    <t>45812810850050000485</t>
  </si>
  <si>
    <t>45812810150050000486</t>
  </si>
  <si>
    <t>45812810450050000487</t>
  </si>
  <si>
    <t>45205810250050000401</t>
  </si>
  <si>
    <t>45812810755550000954</t>
  </si>
  <si>
    <t>45812810455550000953</t>
  </si>
  <si>
    <t>45207810750050000420</t>
  </si>
  <si>
    <t>select ifnull(cid, 0), sum(ost_r), comments from rvps2 group by cid;</t>
  </si>
  <si>
    <t>1,15,22</t>
  </si>
  <si>
    <t xml:space="preserve"> - только по новым ссудам</t>
  </si>
  <si>
    <r>
      <t xml:space="preserve">Выгрузка ссудных счетов по </t>
    </r>
    <r>
      <rPr>
        <b/>
        <i/>
        <sz val="10"/>
        <rFont val="Arial Cyr"/>
        <charset val="204"/>
      </rPr>
      <t xml:space="preserve">новым </t>
    </r>
    <r>
      <rPr>
        <i/>
        <sz val="10"/>
        <rFont val="Arial Cyr"/>
        <charset val="204"/>
      </rPr>
      <t>кредитным соглашениям на отчетную дату</t>
    </r>
  </si>
  <si>
    <t>45208810950050000164</t>
  </si>
  <si>
    <t>45208810755550000487</t>
  </si>
  <si>
    <t>45208810155550000485</t>
  </si>
  <si>
    <t>45208810455550000486</t>
  </si>
  <si>
    <t>45206810750050000751</t>
  </si>
  <si>
    <t>45208810055550000488</t>
  </si>
  <si>
    <t>45207810355550000545</t>
  </si>
  <si>
    <t>45205810850050000403</t>
  </si>
  <si>
    <t>45206810350050000753</t>
  </si>
  <si>
    <t>45206810655550000482</t>
  </si>
  <si>
    <t>45206810650050000754</t>
  </si>
  <si>
    <t>45207810255550000548</t>
  </si>
  <si>
    <t>45816810255550000010</t>
  </si>
  <si>
    <t>45204810250050000240</t>
  </si>
  <si>
    <t>32107810200210000069</t>
  </si>
  <si>
    <t>32107810200210000072</t>
  </si>
  <si>
    <t>32107810600210000070</t>
  </si>
  <si>
    <t>32107810900210000071</t>
  </si>
  <si>
    <t>32108810500210000111</t>
  </si>
  <si>
    <t>32108810800210000112</t>
  </si>
  <si>
    <t>45207810655550000546</t>
  </si>
  <si>
    <t>45816810555550000011</t>
  </si>
  <si>
    <t>32308840000210000106</t>
  </si>
  <si>
    <t>45207810555550000549</t>
  </si>
  <si>
    <t>47431810050060000010</t>
  </si>
  <si>
    <t>47431810650060000012</t>
  </si>
  <si>
    <t>47431810750060000022</t>
  </si>
  <si>
    <t>47431810850060000016</t>
  </si>
  <si>
    <t>47431810450060000018</t>
  </si>
  <si>
    <t>47431810250060000014</t>
  </si>
  <si>
    <t>47431810750060000019</t>
  </si>
  <si>
    <t>47431810150060000017</t>
  </si>
  <si>
    <t>47431810350060000011</t>
  </si>
  <si>
    <t>47431810550060000015</t>
  </si>
  <si>
    <t>47431810150060000020</t>
  </si>
  <si>
    <t>47431810050060000023</t>
  </si>
  <si>
    <t>47431810950060000013</t>
  </si>
  <si>
    <t>47431810450060000021</t>
  </si>
  <si>
    <t>45205810350050000408</t>
  </si>
  <si>
    <t>45306810455550000003</t>
  </si>
  <si>
    <t>45307810455550000002</t>
  </si>
  <si>
    <t>47802840555550000064</t>
  </si>
  <si>
    <t>45208810355550000489</t>
  </si>
  <si>
    <t>45206810550050000757</t>
  </si>
  <si>
    <t>45205810050050000410</t>
  </si>
  <si>
    <t>45208810755550000490</t>
  </si>
  <si>
    <t>45208840055550000199</t>
  </si>
  <si>
    <t>45206810150050000759</t>
  </si>
  <si>
    <t>45205810650050000412</t>
  </si>
  <si>
    <t>45205810950050000413</t>
  </si>
  <si>
    <t>45204810150050000243</t>
  </si>
  <si>
    <t>45205810250050000414</t>
  </si>
  <si>
    <t>45812810350050000493</t>
  </si>
  <si>
    <t>45812810050050000492</t>
  </si>
  <si>
    <t>45812810650050000494</t>
  </si>
  <si>
    <t>45208810250050000165</t>
  </si>
  <si>
    <t>45206810850050000761</t>
  </si>
  <si>
    <t>45208810055550000491</t>
  </si>
  <si>
    <t>45208810355550000492</t>
  </si>
  <si>
    <t>45207810950050000424</t>
  </si>
  <si>
    <t>45205810450050000418</t>
  </si>
  <si>
    <t>45207810955550000550</t>
  </si>
  <si>
    <t>47423810450050004922</t>
  </si>
  <si>
    <t>47423810050050004924</t>
  </si>
  <si>
    <t>47423810950050004927</t>
  </si>
  <si>
    <t>47423810950050004930</t>
  </si>
  <si>
    <t>47423810550050004932</t>
  </si>
  <si>
    <t>47423810150050004934</t>
  </si>
  <si>
    <t>45206810255550000484</t>
  </si>
  <si>
    <t>45206810555550000485</t>
  </si>
  <si>
    <t>45206810855550000486</t>
  </si>
  <si>
    <t>45206810155550000487</t>
  </si>
  <si>
    <t>45206810455550000488</t>
  </si>
  <si>
    <t>45206810755550000489</t>
  </si>
  <si>
    <t>45208810655550000493</t>
  </si>
  <si>
    <t>45812810055550000955</t>
  </si>
  <si>
    <t>45207810250050000425</t>
  </si>
  <si>
    <t>32107810100210000075</t>
  </si>
  <si>
    <t>32107810400210000076</t>
  </si>
  <si>
    <t>32107810500210000073</t>
  </si>
  <si>
    <t>32107810700210000077</t>
  </si>
  <si>
    <t>32107810800210000074</t>
  </si>
  <si>
    <t>32108810000210000116</t>
  </si>
  <si>
    <t>32108810100210000113</t>
  </si>
  <si>
    <t>32108810300210000117</t>
  </si>
  <si>
    <t>32108810400210000114</t>
  </si>
  <si>
    <t>32108810600210000118</t>
  </si>
  <si>
    <t>32108810700210000115</t>
  </si>
  <si>
    <t>32108810900210000119</t>
  </si>
  <si>
    <t>45206840555550000361</t>
  </si>
  <si>
    <t>45307810755550000003</t>
  </si>
  <si>
    <t>45604978455550000003</t>
  </si>
  <si>
    <t>45812810450050000490</t>
  </si>
  <si>
    <t>45812810750050000491</t>
  </si>
  <si>
    <t>45604840955550000026</t>
  </si>
  <si>
    <t>45206810750050000764</t>
  </si>
  <si>
    <t>45811810450050000022</t>
  </si>
  <si>
    <t>45811810150050000021</t>
  </si>
  <si>
    <t>45811810750050000023</t>
  </si>
  <si>
    <t>45205810750050000422</t>
  </si>
  <si>
    <t>45208810955550000494</t>
  </si>
  <si>
    <t>45207810550050000426</t>
  </si>
  <si>
    <t>45207810255550000551</t>
  </si>
  <si>
    <t>20311A98755550000001</t>
  </si>
  <si>
    <t>45208840955550000202</t>
  </si>
  <si>
    <t>45205810350050000424</t>
  </si>
  <si>
    <t>44607810855550000057</t>
  </si>
  <si>
    <t>45206840155550000363</t>
  </si>
  <si>
    <t>45206810350050000766</t>
  </si>
  <si>
    <t>45206810650050000767</t>
  </si>
  <si>
    <t>45811810050050000024</t>
  </si>
  <si>
    <t>45811810350050000025</t>
  </si>
  <si>
    <t>45107810950050000032</t>
  </si>
  <si>
    <t>45206810155550000490</t>
  </si>
  <si>
    <t>45206810250050000769</t>
  </si>
  <si>
    <t>45811810650050000026</t>
  </si>
  <si>
    <t>45207810850050000427</t>
  </si>
  <si>
    <t>45208810255550000495</t>
  </si>
  <si>
    <t>45201810150050000592</t>
  </si>
  <si>
    <t>45206810650050000770</t>
  </si>
  <si>
    <t>32308840600210000108</t>
  </si>
  <si>
    <t>45208810555550000496</t>
  </si>
  <si>
    <t>45205810250050000427</t>
  </si>
  <si>
    <t>45205810950050000426</t>
  </si>
  <si>
    <t>45812810355550000956</t>
  </si>
  <si>
    <t>45812810655550000957</t>
  </si>
  <si>
    <t>45606810255550000013</t>
  </si>
  <si>
    <t>45208810550050000166</t>
  </si>
  <si>
    <t>45207344255550000001</t>
  </si>
  <si>
    <t>45208810855550000497</t>
  </si>
  <si>
    <t>47802840855550000065</t>
  </si>
  <si>
    <t>47802840155550000066</t>
  </si>
  <si>
    <t>45811810250050000028</t>
  </si>
  <si>
    <t>45207810555550000552</t>
  </si>
  <si>
    <t>45208810155550000498</t>
  </si>
  <si>
    <t>45206840750050000077</t>
  </si>
  <si>
    <t>45208810455550000499</t>
  </si>
  <si>
    <t>45208810150050000168</t>
  </si>
  <si>
    <t>45206810850050000774</t>
  </si>
  <si>
    <t>45207810855550000553</t>
  </si>
  <si>
    <t>45208810755550000500</t>
  </si>
  <si>
    <t>45208810355550000502</t>
  </si>
  <si>
    <t>45207810150050000428</t>
  </si>
  <si>
    <t>20311A98055550000002</t>
  </si>
  <si>
    <t>45811810950050000030</t>
  </si>
  <si>
    <t>45207810450050000429</t>
  </si>
  <si>
    <t>47431810350060000024</t>
  </si>
  <si>
    <t>32308810200210000172</t>
  </si>
  <si>
    <t>45205810250050000430</t>
  </si>
  <si>
    <t>45207810455550000555</t>
  </si>
  <si>
    <t>45108810855550000021</t>
  </si>
  <si>
    <t>45207810755550000556</t>
  </si>
  <si>
    <t>45208810655550000503</t>
  </si>
  <si>
    <t>32009810400210000035</t>
  </si>
  <si>
    <t>32107810300210000082</t>
  </si>
  <si>
    <t>32107810700210000080</t>
  </si>
  <si>
    <t>32107810900210000084</t>
  </si>
  <si>
    <t>32108810300210000120</t>
  </si>
  <si>
    <t>32108810600210000121</t>
  </si>
  <si>
    <t>32108840500210000806</t>
  </si>
  <si>
    <t>32109810000210000021</t>
  </si>
  <si>
    <t>45205978055550000006</t>
  </si>
  <si>
    <t>45207810155550000554</t>
  </si>
  <si>
    <t>45816840055550000015</t>
  </si>
  <si>
    <t>47802840755550000068</t>
  </si>
  <si>
    <t>Сумма обеспечения 
1 категории качества, руб.</t>
  </si>
  <si>
    <t>Сумма обеспечения 
2 категории качества, руб.</t>
  </si>
  <si>
    <t>1,2,3,8,9,10,11,16</t>
  </si>
  <si>
    <t>0,13,14,17,18</t>
  </si>
  <si>
    <t>select ind, ifnull(if(pr1&lt;&gt;0, ostR, ob1),0), ifnull(if(pr2&lt;&gt;0, ostR, ob2),0), pr1, pr2 
from aList left join (
 select reg_acc, ob1, ob2, pr1, pr2 from (
  select * from obespechenie where Blok_Id = @bid and date_ost&lt;=@dtOst order by date_ost desc
  )t group by 1
 ) o using(reg_acc);</t>
  </si>
  <si>
    <t>45207810055550000557</t>
  </si>
  <si>
    <t>45812810755550000970</t>
  </si>
  <si>
    <t>Исп. Вацик В.А., вн. 1-86-40,
        Балиев Д.В., вн. 1-66-13</t>
  </si>
  <si>
    <t>45203840155550000078</t>
  </si>
  <si>
    <t>45208810450050000169</t>
  </si>
  <si>
    <t>45205810850050000432</t>
  </si>
  <si>
    <t>45204810950050000249</t>
  </si>
  <si>
    <t>45205810150050000433</t>
  </si>
  <si>
    <t>45207810355550000558</t>
  </si>
  <si>
    <t>45207810655550000559</t>
  </si>
  <si>
    <t>45812810950050000453</t>
  </si>
  <si>
    <t>45812810450050000458</t>
  </si>
  <si>
    <t>ВСЁ</t>
  </si>
  <si>
    <t>45206810355550000494</t>
  </si>
  <si>
    <t>45205810450050000434</t>
  </si>
  <si>
    <t>45208810555550000506</t>
  </si>
  <si>
    <t>45208810955550000504</t>
  </si>
  <si>
    <t>45208810255550000505</t>
  </si>
  <si>
    <t>45201810450050000593</t>
  </si>
  <si>
    <t>45205810750050000435</t>
  </si>
  <si>
    <t>45207810055550000560</t>
  </si>
  <si>
    <t>45206810050050000778</t>
  </si>
  <si>
    <t>47006840900210000001</t>
  </si>
  <si>
    <t>32107810800210000087</t>
  </si>
  <si>
    <t>32107810100210000088</t>
  </si>
  <si>
    <t>45812810050050000502</t>
  </si>
  <si>
    <t>Восстановленные суммы партисипационного кредита ВТБ Франция (проч разм средства) (сд. 702812056)</t>
  </si>
  <si>
    <t>47408840700210005024</t>
  </si>
  <si>
    <t>45207810655550000562</t>
  </si>
  <si>
    <t>45207810955550000563</t>
  </si>
  <si>
    <t>45207810255550000564</t>
  </si>
  <si>
    <t>45205810350050000437</t>
  </si>
  <si>
    <t>45207810150050000431</t>
  </si>
  <si>
    <t>45207810450050000432</t>
  </si>
  <si>
    <t>45812810750060000009</t>
  </si>
  <si>
    <t>45208810850050000170</t>
  </si>
  <si>
    <t>45204810850050000239</t>
  </si>
  <si>
    <t>45205810650050000438</t>
  </si>
  <si>
    <t>45208810155550000508</t>
  </si>
  <si>
    <t>45208810455550000509</t>
  </si>
  <si>
    <t>45208810855550000507</t>
  </si>
  <si>
    <t>45208810855550000510</t>
  </si>
  <si>
    <t>45207810750050000433</t>
  </si>
  <si>
    <t>45206810050050000781</t>
  </si>
  <si>
    <t>45206810750050000780</t>
  </si>
  <si>
    <t>45207810050050000434</t>
  </si>
  <si>
    <t>45206810150050000762</t>
  </si>
  <si>
    <t>45206810650050000783</t>
  </si>
  <si>
    <t>45206810350050000782</t>
  </si>
  <si>
    <t>45206810950050000742</t>
  </si>
  <si>
    <t>45816840355550000016</t>
  </si>
  <si>
    <t>45207810350050000435</t>
  </si>
  <si>
    <t>45816840255550000019</t>
  </si>
  <si>
    <t>45816840655550000017</t>
  </si>
  <si>
    <t>45207810855550000566</t>
  </si>
  <si>
    <t>45207810555550000565</t>
  </si>
  <si>
    <t>45208810155550000511</t>
  </si>
  <si>
    <t>45812810150060000010</t>
  </si>
  <si>
    <t>45606810655550000008</t>
  </si>
  <si>
    <t>45606810855550000015</t>
  </si>
  <si>
    <t>45606840955550000024</t>
  </si>
  <si>
    <t>45207810155550000567</t>
  </si>
  <si>
    <t>44707810755550000002</t>
  </si>
  <si>
    <t>45205810350050000440</t>
  </si>
  <si>
    <t>45207840055550000307</t>
  </si>
  <si>
    <t>45206810250050000785</t>
  </si>
  <si>
    <t>письма счастья НЕ учитываются</t>
  </si>
  <si>
    <t>select cid, aid * 1, reg_acc, ost from 
 (select cid, ifnull(aid, concat('10000', cid)) aid, min(reg_acc) reg_acc, sum(ost_r) ost from rvps2 where ifnull(cid, 0)&gt;0 group by 1,2) t 
order by 1, 2, concat(left(reg_acc, 8), right(reg_Acc, 11));</t>
  </si>
  <si>
    <t>32108810200210000123</t>
  </si>
  <si>
    <t>32108810500210000124</t>
  </si>
  <si>
    <t>32108810900210000122</t>
  </si>
  <si>
    <t>45812810050050000447</t>
  </si>
  <si>
    <t>45812810150050000431</t>
  </si>
  <si>
    <t>45812810150050000444</t>
  </si>
  <si>
    <t>45812810150050000499</t>
  </si>
  <si>
    <t>45812810250050000438</t>
  </si>
  <si>
    <t>45812810250050000441</t>
  </si>
  <si>
    <t>45812810350050000435</t>
  </si>
  <si>
    <t>45812810450050000429</t>
  </si>
  <si>
    <t>45812810450050000432</t>
  </si>
  <si>
    <t>45812810450050000445</t>
  </si>
  <si>
    <t>45812810550050000439</t>
  </si>
  <si>
    <t>45812810550050000442</t>
  </si>
  <si>
    <t>45812810650050000436</t>
  </si>
  <si>
    <t>45812810750050000433</t>
  </si>
  <si>
    <t>45812810750050000446</t>
  </si>
  <si>
    <t>45812810850050000430</t>
  </si>
  <si>
    <t>45812810850050000443</t>
  </si>
  <si>
    <t>45812810950050000437</t>
  </si>
  <si>
    <t>45812810950050000440</t>
  </si>
  <si>
    <t>45816840655550000020</t>
  </si>
  <si>
    <t>45816840955550000018</t>
  </si>
  <si>
    <t>select ind, (select IND_COD from acc where reg_acc = r.reg_acc) cod, 
 if(TypeClnt=4, 'КО', if(TypeClnt=7, 'ФЛ', 'ЮЛ')) TypeClnt, 
 (select OperName from baltypes b join operations using(OperID) where Bal_num = left(reg_Acc,5) and b.ActId=1 ) OperName
from aList join rvps2 r using(reg_acc) join clntmain k on cid=idrec</t>
  </si>
  <si>
    <t>45206810550050000786</t>
  </si>
  <si>
    <t>45206810955550000496</t>
  </si>
  <si>
    <t>45205810250050000443</t>
  </si>
  <si>
    <t>47101810400210000106</t>
  </si>
  <si>
    <t>47101810700210000107</t>
  </si>
  <si>
    <t>47101810000210000111</t>
  </si>
  <si>
    <t>47101810300210000112</t>
  </si>
  <si>
    <t>47101810300210000109</t>
  </si>
  <si>
    <t>47101810700210000110</t>
  </si>
  <si>
    <t>Резерв к формированию, 
в руб.</t>
  </si>
  <si>
    <t>20312A98100210000005</t>
  </si>
  <si>
    <t>45207810755550000569</t>
  </si>
  <si>
    <t>45206810450050000792</t>
  </si>
  <si>
    <t>45206810750050000793</t>
  </si>
  <si>
    <t>Industrial and Commercial Bank of China  (Asia) Ltd</t>
  </si>
  <si>
    <t>45205810850050000416</t>
  </si>
  <si>
    <t>45812810250050000506</t>
  </si>
  <si>
    <t>45205810950050000374</t>
  </si>
  <si>
    <t>45207810155550000570</t>
  </si>
  <si>
    <t>45606840255550000025</t>
  </si>
  <si>
    <t>32305156950018000404</t>
  </si>
  <si>
    <t>45207810950050000437</t>
  </si>
  <si>
    <t>45108810455550000023</t>
  </si>
  <si>
    <t>45108810755550000024</t>
  </si>
  <si>
    <t>45812810850050000508</t>
  </si>
  <si>
    <t>45208810055550000514</t>
  </si>
  <si>
    <t>45208810355550000515</t>
  </si>
  <si>
    <t>45206810050050000794</t>
  </si>
  <si>
    <t>45201810050050000595</t>
  </si>
  <si>
    <t>45812810550050000510</t>
  </si>
  <si>
    <t>45207810455550000571</t>
  </si>
  <si>
    <t>Максимум по полю OD</t>
  </si>
  <si>
    <t>Максимум по полю ODPros</t>
  </si>
  <si>
    <t>20312A98400210000006</t>
  </si>
  <si>
    <t>20312A98800210000004</t>
  </si>
  <si>
    <t>32108810000210000129</t>
  </si>
  <si>
    <t>32108810100210000126</t>
  </si>
  <si>
    <t>32108810400210000127</t>
  </si>
  <si>
    <t>32108810700210000128</t>
  </si>
  <si>
    <t>32108810800210000125</t>
  </si>
  <si>
    <t>32108840000210000814</t>
  </si>
  <si>
    <t>32108840700210000813</t>
  </si>
  <si>
    <t>Industrial and Commercial Bank of China</t>
  </si>
  <si>
    <t>45207810455550000568</t>
  </si>
  <si>
    <t>45207978955550000049</t>
  </si>
  <si>
    <t>45812810350050000503</t>
  </si>
  <si>
    <t>45816810800040000001</t>
  </si>
  <si>
    <t>Просроченная задолженность по овердрафтам по счетам банковских крат юридических лиц-нерезидентов</t>
  </si>
  <si>
    <t>45818810850050001255</t>
  </si>
  <si>
    <t>45206810650050000796</t>
  </si>
  <si>
    <t>45205810455550000308</t>
  </si>
  <si>
    <t>45206810255550000497</t>
  </si>
  <si>
    <t>45204810050050000259</t>
  </si>
  <si>
    <t>45206810950050000797</t>
  </si>
  <si>
    <t>32101978450020000675</t>
  </si>
  <si>
    <t>проф. суждение: просрочка по физ. лицу свыше 365 дней</t>
  </si>
  <si>
    <t>45206810250050000798</t>
  </si>
  <si>
    <t>45206810550050000799</t>
  </si>
  <si>
    <t>45208810150050000171</t>
  </si>
  <si>
    <t>45206810850050000800</t>
  </si>
  <si>
    <t>45205810950050000455</t>
  </si>
  <si>
    <t>45206810855550000499</t>
  </si>
  <si>
    <t>45206810155550000500</t>
  </si>
  <si>
    <t>45205810112800000003</t>
  </si>
  <si>
    <t>45205810512800000001</t>
  </si>
  <si>
    <t>45205810208800000001</t>
  </si>
  <si>
    <t>45204810750050000261</t>
  </si>
  <si>
    <t>45205810508800000015</t>
  </si>
  <si>
    <t>45205810055550000313</t>
  </si>
  <si>
    <t>45205810550050000460</t>
  </si>
  <si>
    <t>45204810650050000264</t>
  </si>
  <si>
    <t>20312A98300210000009</t>
  </si>
  <si>
    <t>45812810850050000511</t>
  </si>
  <si>
    <t>47802810955550000254</t>
  </si>
  <si>
    <t>47802810255550000255</t>
  </si>
  <si>
    <t>32402810800210000009</t>
  </si>
  <si>
    <t>32402840300210000100</t>
  </si>
  <si>
    <t>45208810955550000546</t>
  </si>
  <si>
    <t>45207810550050000439</t>
  </si>
  <si>
    <t>45207810250050000438</t>
  </si>
  <si>
    <t>47801810655550000034</t>
  </si>
  <si>
    <t>Agricultural Bank of China, Пекин</t>
  </si>
  <si>
    <t>32305156450018000409</t>
  </si>
  <si>
    <t>45206810750050000803</t>
  </si>
  <si>
    <t>45206810050050000804</t>
  </si>
  <si>
    <t>45208840855550000218</t>
  </si>
  <si>
    <t>45207810055550000599</t>
  </si>
  <si>
    <t>45207810355550000600</t>
  </si>
  <si>
    <t>45207810950050000440</t>
  </si>
  <si>
    <t>45206810350050000805</t>
  </si>
  <si>
    <t>45208810255550000550</t>
  </si>
  <si>
    <t>32106810200210000057</t>
  </si>
  <si>
    <t>32106810600210000055</t>
  </si>
  <si>
    <t>32106810900210000056</t>
  </si>
  <si>
    <t>32107810000210000094</t>
  </si>
  <si>
    <t>32107810100210000091</t>
  </si>
  <si>
    <t>32107810300210000095</t>
  </si>
  <si>
    <t>32107810400210000092</t>
  </si>
  <si>
    <t>32107810700210000093</t>
  </si>
  <si>
    <t>Agricultural Bank of China Limited (Shanghai Branch)</t>
  </si>
  <si>
    <t>СБЕРБАНК РОССИИ, ПАО</t>
  </si>
  <si>
    <t>45207810550050000442</t>
  </si>
  <si>
    <t>45205810155550000323</t>
  </si>
  <si>
    <t>45207810250050000441</t>
  </si>
  <si>
    <t>45206810650050000806</t>
  </si>
  <si>
    <t>select ind, getNewPr2(aid, @dtAn) Pr, if(eDate = '2050-01-01', null, eDate) from aList left join 
 (select agr_id aid, max(ifnull(eDate,'2050-01-01')) eDate from ovch where bDate &lt;= @dtAn and ifnull(eDate,'2000-01-01') &lt;= @dtAn and ifnull(date_off, '2050-01-01') &gt; @dtAn
 group by 1 having ifnull(eDate,'2050-01-01') &gt;= SUBDATE(@dtAn, 180) ) o using(aid)</t>
  </si>
  <si>
    <t>45206810055550000516</t>
  </si>
  <si>
    <t>32010810050010000001</t>
  </si>
  <si>
    <t>32309840100210000186</t>
  </si>
  <si>
    <t>45207810855550000579</t>
  </si>
  <si>
    <t>45207810555550000594</t>
  </si>
  <si>
    <t>47802840455550000070</t>
  </si>
  <si>
    <t>45812810050060000013</t>
  </si>
  <si>
    <t>45812810350060000014</t>
  </si>
  <si>
    <t>45812810955550000990</t>
  </si>
  <si>
    <t>45208810155550000524</t>
  </si>
  <si>
    <t>45208810355550000531</t>
  </si>
  <si>
    <t>47802810755550000234</t>
  </si>
  <si>
    <t>45812810155550000978</t>
  </si>
  <si>
    <t>45108810055550000025</t>
  </si>
  <si>
    <t>45207810955550000589</t>
  </si>
  <si>
    <t>45208978055550000061</t>
  </si>
  <si>
    <t>47802810055550000251</t>
  </si>
  <si>
    <t>51507810500210000007</t>
  </si>
  <si>
    <t>51507810800210000008</t>
  </si>
  <si>
    <t>32309840000210000189</t>
  </si>
  <si>
    <t>45205810655550000315</t>
  </si>
  <si>
    <t>45207810255550000580</t>
  </si>
  <si>
    <t>45207810055550000586</t>
  </si>
  <si>
    <t>45107810455550000024</t>
  </si>
  <si>
    <t>45207840655550000309</t>
  </si>
  <si>
    <t>45207810655550000591</t>
  </si>
  <si>
    <t>45207810655550000588</t>
  </si>
  <si>
    <t>32109978200210000035</t>
  </si>
  <si>
    <t>45207810755550000608</t>
  </si>
  <si>
    <t>45606978355550000004</t>
  </si>
  <si>
    <t>45208810055550000530</t>
  </si>
  <si>
    <t>45606810155550000016</t>
  </si>
  <si>
    <t>45208810755550000542</t>
  </si>
  <si>
    <t>45108810555550000033</t>
  </si>
  <si>
    <t>45108810855550000034</t>
  </si>
  <si>
    <t>45108810955550000028</t>
  </si>
  <si>
    <t>20312A98700210000010</t>
  </si>
  <si>
    <t>45208840655550000214</t>
  </si>
  <si>
    <t>45606978655550000005</t>
  </si>
  <si>
    <t>45812810450060000011</t>
  </si>
  <si>
    <t>32109840400210000536</t>
  </si>
  <si>
    <t>32007978000210000010</t>
  </si>
  <si>
    <t>32007840500210000033</t>
  </si>
  <si>
    <t>45812810750060000012</t>
  </si>
  <si>
    <t>45208810255550000534</t>
  </si>
  <si>
    <t>45208810755550000526</t>
  </si>
  <si>
    <t>45208810055550000527</t>
  </si>
  <si>
    <t>45208810955550000520</t>
  </si>
  <si>
    <t>45208810355550000528</t>
  </si>
  <si>
    <t>45207810155550000583</t>
  </si>
  <si>
    <t>45208810155550000540</t>
  </si>
  <si>
    <t>45208810255550000547</t>
  </si>
  <si>
    <t>45208840055550000212</t>
  </si>
  <si>
    <t>45208810855550000523</t>
  </si>
  <si>
    <t>45208810055550000543</t>
  </si>
  <si>
    <t>45207810655550000575</t>
  </si>
  <si>
    <t>45208810555550000522</t>
  </si>
  <si>
    <t>45208978955550000064</t>
  </si>
  <si>
    <t>45208810555550000519</t>
  </si>
  <si>
    <t>45207810055550000573</t>
  </si>
  <si>
    <t>45208840955550000215</t>
  </si>
  <si>
    <t>45208810755550000539</t>
  </si>
  <si>
    <t>45207810255550000593</t>
  </si>
  <si>
    <t>45208810955550000533</t>
  </si>
  <si>
    <t>45208810255550000521</t>
  </si>
  <si>
    <t>45208840755550000208</t>
  </si>
  <si>
    <t>45208840055550000209</t>
  </si>
  <si>
    <t>45208840355550000213</t>
  </si>
  <si>
    <t>45208840555550000217</t>
  </si>
  <si>
    <t>45108810955550000031</t>
  </si>
  <si>
    <t>45208840155550000206</t>
  </si>
  <si>
    <t>45208840755550000211</t>
  </si>
  <si>
    <t>45208840255550000203</t>
  </si>
  <si>
    <t>45208840455550000210</t>
  </si>
  <si>
    <t>векселя</t>
  </si>
  <si>
    <t>45812810255550000975</t>
  </si>
  <si>
    <t>45812810255550000988</t>
  </si>
  <si>
    <t>45812810555550000989</t>
  </si>
  <si>
    <t>47802810055550000235</t>
  </si>
  <si>
    <t>47802810055550000248</t>
  </si>
  <si>
    <t>47802810155550000258</t>
  </si>
  <si>
    <t>47802810255550000239</t>
  </si>
  <si>
    <t>47802810255550000242</t>
  </si>
  <si>
    <t>47802810355550000236</t>
  </si>
  <si>
    <t>47802810355550000249</t>
  </si>
  <si>
    <t>47802810355550000252</t>
  </si>
  <si>
    <t>47802810455550000246</t>
  </si>
  <si>
    <t>47802810455550000259</t>
  </si>
  <si>
    <t>47802810555550000243</t>
  </si>
  <si>
    <t>47802810655550000237</t>
  </si>
  <si>
    <t>47802810655550000253</t>
  </si>
  <si>
    <t>47802810855550000244</t>
  </si>
  <si>
    <t>47802810855550000257</t>
  </si>
  <si>
    <t>47802810955550000238</t>
  </si>
  <si>
    <t>47802810955550000241</t>
  </si>
  <si>
    <t>45208978255550000065</t>
  </si>
  <si>
    <t>45208978655550000063</t>
  </si>
  <si>
    <t>45208978755550000060</t>
  </si>
  <si>
    <t>47802810155550000245</t>
  </si>
  <si>
    <t>47802840055550000072</t>
  </si>
  <si>
    <t>47802810755550000250</t>
  </si>
  <si>
    <t>45206810950050000807</t>
  </si>
  <si>
    <t>45816840450060000003</t>
  </si>
  <si>
    <t>45208810855550000552</t>
  </si>
  <si>
    <t>45207810850050000443</t>
  </si>
  <si>
    <t>45208810555550000551</t>
  </si>
  <si>
    <t>45208810455550000554</t>
  </si>
  <si>
    <t>45205810750050000464</t>
  </si>
  <si>
    <t>45206810250050000808</t>
  </si>
  <si>
    <t>45204810250050000266</t>
  </si>
  <si>
    <t>45208344855550000002</t>
  </si>
  <si>
    <t>45206810550050000809</t>
  </si>
  <si>
    <t>45206810950050000810</t>
  </si>
  <si>
    <t>47423810250050005121</t>
  </si>
  <si>
    <t>47423810750050005155</t>
  </si>
  <si>
    <t>47423810450050005206</t>
  </si>
  <si>
    <t>45107810250050000033</t>
  </si>
  <si>
    <t>45207810455550000610</t>
  </si>
  <si>
    <t>45205810950050000468</t>
  </si>
  <si>
    <t>45205810250050000469</t>
  </si>
  <si>
    <t>45606840555550000026</t>
  </si>
  <si>
    <t>45606840155550000028</t>
  </si>
  <si>
    <t>45606840855550000027</t>
  </si>
  <si>
    <t>45208810450050000172</t>
  </si>
  <si>
    <t>плохие цели</t>
  </si>
  <si>
    <t>45204810850050000268</t>
  </si>
  <si>
    <t>45206978950050000008</t>
  </si>
  <si>
    <t>45207810150050000444</t>
  </si>
  <si>
    <t>45206810550050000812</t>
  </si>
  <si>
    <t>45207810755550000611</t>
  </si>
  <si>
    <t>45207810055550000612</t>
  </si>
  <si>
    <t>45208810755550000555</t>
  </si>
  <si>
    <t>45208810355550000557</t>
  </si>
  <si>
    <t>45206810108800000003</t>
  </si>
  <si>
    <t>45208810055550000556</t>
  </si>
  <si>
    <t>44505810116800000001</t>
  </si>
  <si>
    <t>УОРПС ЦАБС</t>
  </si>
  <si>
    <t>45207810750050000446</t>
  </si>
  <si>
    <t>CQ_Calc1</t>
  </si>
  <si>
    <t>CQ_Calc2</t>
  </si>
  <si>
    <t>1,16,23</t>
  </si>
  <si>
    <t>0,2,3,4,15</t>
  </si>
  <si>
    <t>0,28,29,30,31</t>
  </si>
  <si>
    <t>0,21</t>
  </si>
  <si>
    <t>0,10,22</t>
  </si>
  <si>
    <t>0,13</t>
  </si>
  <si>
    <t>45812810050050000515</t>
  </si>
  <si>
    <t>45205810250050000472</t>
  </si>
  <si>
    <t>45208810655550000558</t>
  </si>
  <si>
    <t>45207810050050000447</t>
  </si>
  <si>
    <t>ПАО Сбербанк</t>
  </si>
  <si>
    <t>32107840200210000372</t>
  </si>
  <si>
    <t>32107840900210000371</t>
  </si>
  <si>
    <t>32107978600210000048</t>
  </si>
  <si>
    <t>32108840200210000818</t>
  </si>
  <si>
    <t>32108840300210000815</t>
  </si>
  <si>
    <t>32108840600210000816</t>
  </si>
  <si>
    <t>32108840900210000817</t>
  </si>
  <si>
    <t>32109810300210000022</t>
  </si>
  <si>
    <t>32109840000210000538</t>
  </si>
  <si>
    <t>32109840000210000541</t>
  </si>
  <si>
    <t>32109840300210000539</t>
  </si>
  <si>
    <t>32109840300210000542</t>
  </si>
  <si>
    <t>32109840600210000543</t>
  </si>
  <si>
    <t>32109840700210000537</t>
  </si>
  <si>
    <t>32109840700210000540</t>
  </si>
  <si>
    <t>32109840900210000544</t>
  </si>
  <si>
    <t>45204840155550000145</t>
  </si>
  <si>
    <t>45207810055550000609</t>
  </si>
  <si>
    <t>45208810555550000548</t>
  </si>
  <si>
    <t>45208810955550000517</t>
  </si>
  <si>
    <t>45208840455550000207</t>
  </si>
  <si>
    <t>45208840855550000205</t>
  </si>
  <si>
    <t>45812810055550000984</t>
  </si>
  <si>
    <t>45812810155550000994</t>
  </si>
  <si>
    <t>45812810255550000991</t>
  </si>
  <si>
    <t>45812810255550001000</t>
  </si>
  <si>
    <t>45812810355550000998</t>
  </si>
  <si>
    <t>45812810650060000015</t>
  </si>
  <si>
    <t>45812810755550000996</t>
  </si>
  <si>
    <t>45812840255550000262</t>
  </si>
  <si>
    <t>47802810755550000247</t>
  </si>
  <si>
    <t>47802840755550000071</t>
  </si>
  <si>
    <t>без учета решения</t>
  </si>
  <si>
    <t>с учетом инд. класс.</t>
  </si>
  <si>
    <t>32107978300210000050</t>
  </si>
  <si>
    <t>45206810955550000519</t>
  </si>
  <si>
    <t>45207810855550000618</t>
  </si>
  <si>
    <t>45208810955550000562</t>
  </si>
  <si>
    <t>45207810350050000451</t>
  </si>
  <si>
    <t>45206810750050000816</t>
  </si>
  <si>
    <t>45206810850050000813</t>
  </si>
  <si>
    <t>45208810355550000560</t>
  </si>
  <si>
    <t>45208810655550000561</t>
  </si>
  <si>
    <t>45205810150050000417</t>
  </si>
  <si>
    <t>45208840155550000219</t>
  </si>
  <si>
    <t>45208810555550000564</t>
  </si>
  <si>
    <t>45104810550050000011</t>
  </si>
  <si>
    <t>45104810850050000012</t>
  </si>
  <si>
    <t>45207810350050000448</t>
  </si>
  <si>
    <t>45205810050050000478</t>
  </si>
  <si>
    <t>45207810355550000613</t>
  </si>
  <si>
    <t>45208810750050000173</t>
  </si>
  <si>
    <t>45206810350050000821</t>
  </si>
  <si>
    <t>45205810450050000476</t>
  </si>
  <si>
    <t>32106840300210000215</t>
  </si>
  <si>
    <t>44605810655550000055</t>
  </si>
  <si>
    <t>20311A98355550000003</t>
  </si>
  <si>
    <t>45206810450050000815</t>
  </si>
  <si>
    <t>45205810850050000474</t>
  </si>
  <si>
    <t>45205810750050000477</t>
  </si>
  <si>
    <t>47101810300210000138</t>
  </si>
  <si>
    <t>45207810255550000616</t>
  </si>
  <si>
    <t>45207810155550000619</t>
  </si>
  <si>
    <t>45208810255550000563</t>
  </si>
  <si>
    <t>45206810650050000819</t>
  </si>
  <si>
    <t>45207810950050000453</t>
  </si>
  <si>
    <t>20312A98000210000011</t>
  </si>
  <si>
    <t>20312A98300210000012</t>
  </si>
  <si>
    <t>20312A98600210000013</t>
  </si>
  <si>
    <t>20312A98900210000014</t>
  </si>
  <si>
    <t>45207810650050000452</t>
  </si>
  <si>
    <t>45206810150050000814</t>
  </si>
  <si>
    <t>45208810050050000174</t>
  </si>
  <si>
    <t>45208810955550000559</t>
  </si>
  <si>
    <t>45205810350050000479</t>
  </si>
  <si>
    <t>45206810016800000001</t>
  </si>
  <si>
    <t>45205810050050000423</t>
  </si>
  <si>
    <t>45208810350050000175</t>
  </si>
  <si>
    <t>45206810355550000520</t>
  </si>
  <si>
    <t>45206810050050000817</t>
  </si>
  <si>
    <t>45206978250050000009</t>
  </si>
  <si>
    <t>45205810750050000480</t>
  </si>
  <si>
    <t>45208810155550000566</t>
  </si>
  <si>
    <t>45812840350060000013</t>
  </si>
  <si>
    <t>45812840750060000011</t>
  </si>
  <si>
    <t>45812840050060000012</t>
  </si>
  <si>
    <t>45812978550060000002</t>
  </si>
  <si>
    <t>45812810755550000983</t>
  </si>
  <si>
    <t>47431978250060000024</t>
  </si>
  <si>
    <t>47431978650060000022</t>
  </si>
  <si>
    <t>47431978950060000023</t>
  </si>
  <si>
    <t>45812810455550000979</t>
  </si>
  <si>
    <t>45108810755550000037</t>
  </si>
  <si>
    <t>45208810455550000567</t>
  </si>
  <si>
    <t>47408840100210153550</t>
  </si>
  <si>
    <t>45208810950050000177</t>
  </si>
  <si>
    <t>44606810655550000151</t>
  </si>
  <si>
    <t>45812810055550000997</t>
  </si>
  <si>
    <t>20312A98200210000015</t>
  </si>
  <si>
    <t>45812810855550000980</t>
  </si>
  <si>
    <t>32106978600210000036</t>
  </si>
  <si>
    <t>32107810600210000096</t>
  </si>
  <si>
    <t>32107978900210000049</t>
  </si>
  <si>
    <t>32107978600210000051</t>
  </si>
  <si>
    <t>32108978000210000061</t>
  </si>
  <si>
    <t>32108978300210000062</t>
  </si>
  <si>
    <t>32108978600210000063</t>
  </si>
  <si>
    <t>32108978900210000064</t>
  </si>
  <si>
    <t>32108978200210000065</t>
  </si>
  <si>
    <t>32108978500210000066</t>
  </si>
  <si>
    <t>32108978800210000067</t>
  </si>
  <si>
    <t>32108978100210000068</t>
  </si>
  <si>
    <t>32108978400210000069</t>
  </si>
  <si>
    <t>32109978800210000040</t>
  </si>
  <si>
    <t>32109978100210000041</t>
  </si>
  <si>
    <t>45605978755550000003</t>
  </si>
  <si>
    <t>32108840500210000819</t>
  </si>
  <si>
    <t>45205840755550000188</t>
  </si>
  <si>
    <t>45812810855550000993</t>
  </si>
  <si>
    <t>45812978055550000075</t>
  </si>
  <si>
    <t>45812978155550000072</t>
  </si>
  <si>
    <t>45812978855550000071</t>
  </si>
  <si>
    <t>45812978655550000077</t>
  </si>
  <si>
    <t>45812978955550000078</t>
  </si>
  <si>
    <t>45812840855550000264</t>
  </si>
  <si>
    <t>45812810150050000509</t>
  </si>
  <si>
    <t>select (select FullClntName from clntmain where idrec = CID) ClntName,   
 (select nameacc from acc where reg_acc = r.reg_acc) nameacc, reg_acc, OST_R, round(cqRep,1), normRep/100, CID, ifnull(AID, concat('10000', cid))*1 AID, resFact, reserv_acc
from rvps2 r order by ClntName, aid, concat(left(reg_acc, 8), right(reg_Acc, 11));</t>
  </si>
  <si>
    <t>select (select FullClntName from clntmain where idrec = CID) ClntName,   
 (select nameacc from acc where reg_acc = r.reg_acc) nameacc, reg_acc, OST_R, 
 round(cqRep,1), normRep/100, CID, ifnull(AID, concat('10000', cid))*1 AID, resFact, reserv_acc
from rvps2 r where aid not in (select aid from rvps1 where aid&gt;0)
order by ClntName, aid, concat(left(reg_acc, 8), right(reg_Acc, 11));</t>
  </si>
  <si>
    <t>select reg_acc, (select nameacc from acc where reg_acc = r.reg_acc), ost_r, round(cqRep,0), normRep/100, reserv_acc, resfact, if(abs(resCalc-resFact)&gt;0.011, 'ДА', '') nonBal from rvps2 r</t>
  </si>
  <si>
    <t>0,7</t>
  </si>
  <si>
    <t>Выгрузка типа операций по счетам исключениям (когда тип не соответсвтует балансовой позиции)</t>
  </si>
  <si>
    <t>select ind, OperName from aList a join (
 select a.* from acc_erb a join (select reg_Acc, max(dtact) dtact from acc_erb group by 1)t using(reg_Acc, dtact) where erb_type = 1
 ) tt using(reg_acc) join operations using(operid)</t>
  </si>
  <si>
    <t>45205810050050000481</t>
  </si>
  <si>
    <t>45205810350050000482</t>
  </si>
  <si>
    <t>45812810550060000018</t>
  </si>
  <si>
    <t>45205810650050000483</t>
  </si>
  <si>
    <t>45205810950050000484</t>
  </si>
  <si>
    <t>45206810715800000001</t>
  </si>
  <si>
    <t>45207810550050000455</t>
  </si>
  <si>
    <t>45205810250050000485</t>
  </si>
  <si>
    <t>32107810900210000097</t>
  </si>
  <si>
    <t>45206810655550000521</t>
  </si>
  <si>
    <t>51504810800210000001</t>
  </si>
  <si>
    <t>44605810955550000056</t>
  </si>
  <si>
    <t>45812840455550000266</t>
  </si>
  <si>
    <t>45812840755550000267</t>
  </si>
  <si>
    <t>45208810455550000570</t>
  </si>
  <si>
    <t>45205810850050000487</t>
  </si>
  <si>
    <t>45205810355550000327</t>
  </si>
  <si>
    <t>47408840800210005018</t>
  </si>
  <si>
    <t>45206810250050000824</t>
  </si>
  <si>
    <t>45207810750050000459</t>
  </si>
  <si>
    <t>45207810450050000458</t>
  </si>
  <si>
    <t>45205810550050000486</t>
  </si>
  <si>
    <t>44606810255550000153</t>
  </si>
  <si>
    <t>45207810850050000456</t>
  </si>
  <si>
    <t>44606810955550000152</t>
  </si>
  <si>
    <t>20312A98500210000016</t>
  </si>
  <si>
    <t>45206810315800000003</t>
  </si>
  <si>
    <t>45207810150050000457</t>
  </si>
  <si>
    <t>45812810650050000517</t>
  </si>
  <si>
    <t>45812810350050000516</t>
  </si>
  <si>
    <t>45812810950050000518</t>
  </si>
  <si>
    <t>45812810250050000519</t>
  </si>
  <si>
    <t>45205810450050000489</t>
  </si>
  <si>
    <t>45208810755550000571</t>
  </si>
  <si>
    <t>45205810850050000490</t>
  </si>
  <si>
    <t>45207810150050000460</t>
  </si>
  <si>
    <t>45205810150050000491</t>
  </si>
  <si>
    <t>45207810450050000461</t>
  </si>
  <si>
    <t>44607810155550000058</t>
  </si>
  <si>
    <t>45207810555550000620</t>
  </si>
  <si>
    <t>45206810550050000825</t>
  </si>
  <si>
    <t>45812810850060000019</t>
  </si>
  <si>
    <t>45812810750060000025</t>
  </si>
  <si>
    <t>45812810850060000022</t>
  </si>
  <si>
    <t>45812810150060000023</t>
  </si>
  <si>
    <t>45812810250060000020</t>
  </si>
  <si>
    <t>45812810450060000024</t>
  </si>
  <si>
    <t>45812810550060000021</t>
  </si>
  <si>
    <t>45206978650050000010</t>
  </si>
  <si>
    <t>45206810850050000826</t>
  </si>
  <si>
    <t>45812810150050000525</t>
  </si>
  <si>
    <t>45207810750050000462</t>
  </si>
  <si>
    <t>45204810055550000275</t>
  </si>
  <si>
    <t>45207810855550000621</t>
  </si>
  <si>
    <t>45207810050050000463</t>
  </si>
  <si>
    <t>45206810955550000522</t>
  </si>
  <si>
    <t>45207810604800000001</t>
  </si>
  <si>
    <t>45206810255550000523</t>
  </si>
  <si>
    <t>45208810055550000572</t>
  </si>
  <si>
    <t>45204810750050000274</t>
  </si>
  <si>
    <t>45205810750050000493</t>
  </si>
  <si>
    <t>45205810415800000001</t>
  </si>
  <si>
    <t>45207810350050000464</t>
  </si>
  <si>
    <t>45809810100800000000</t>
  </si>
  <si>
    <t>20312A98100210000018</t>
  </si>
  <si>
    <t>20312A98400210000019</t>
  </si>
  <si>
    <t>32009810700210000036</t>
  </si>
  <si>
    <t>Закрытое акционерное общество Банк ВТБ (Беларусь)</t>
  </si>
  <si>
    <t>32108810400210000130</t>
  </si>
  <si>
    <t>СВОДНЫЙ-Просроченная задолженность по предоставленным кредитам и прочим размещенным средствам коммерческим организациям, находящимся в государственной (кроме федеральной) собственности Просроченная задолженность по предоставленным кредитам и прочим размещ</t>
  </si>
  <si>
    <t>45818810900800000000</t>
  </si>
  <si>
    <t>45812978655550000080</t>
  </si>
  <si>
    <t>45208810850050000183</t>
  </si>
  <si>
    <t>45208810550050000182</t>
  </si>
  <si>
    <t>45206810250050000772</t>
  </si>
  <si>
    <t>45207810650050000465</t>
  </si>
  <si>
    <t>45205810655550000328</t>
  </si>
  <si>
    <t>45208810350050000191</t>
  </si>
  <si>
    <t>45207810850050000469</t>
  </si>
  <si>
    <t>45205810050050000494</t>
  </si>
  <si>
    <t>45207810550050000468</t>
  </si>
  <si>
    <t>45208810750050000186</t>
  </si>
  <si>
    <t>45208810350050000188</t>
  </si>
  <si>
    <t>45208810050050000187</t>
  </si>
  <si>
    <t>45208810950050000193</t>
  </si>
  <si>
    <t>45208810450050000185</t>
  </si>
  <si>
    <t>45207810250050000467</t>
  </si>
  <si>
    <t>45208810650050000189</t>
  </si>
  <si>
    <t>45208810050050000190</t>
  </si>
  <si>
    <t>45206810150050000830</t>
  </si>
  <si>
    <t>45205810350050000495</t>
  </si>
  <si>
    <t>45206810750050000829</t>
  </si>
  <si>
    <t>45206810450050000831</t>
  </si>
  <si>
    <t>45206810750050000832</t>
  </si>
  <si>
    <t>45204810350050000276</t>
  </si>
  <si>
    <t>45204810250050000208</t>
  </si>
  <si>
    <t>45208810250050000194</t>
  </si>
  <si>
    <t>45205810650050000496</t>
  </si>
  <si>
    <t>45208810355550000573</t>
  </si>
  <si>
    <t>45205810950050000497</t>
  </si>
  <si>
    <t>45206810812800000001</t>
  </si>
  <si>
    <t>45206810050050000833</t>
  </si>
  <si>
    <t>45205810850050000500</t>
  </si>
  <si>
    <t>45208810550050000195</t>
  </si>
  <si>
    <t>45205810250050000498</t>
  </si>
  <si>
    <t>45204810650050000277</t>
  </si>
  <si>
    <t>45205810550050000499</t>
  </si>
  <si>
    <t>45206810350050000834</t>
  </si>
  <si>
    <t>45208810850050000196</t>
  </si>
  <si>
    <t>45205810150050000501</t>
  </si>
  <si>
    <t>45207810755550000624</t>
  </si>
  <si>
    <t>45207810250050000470</t>
  </si>
  <si>
    <t>44606810555550000154</t>
  </si>
  <si>
    <t>45205810450050000502</t>
  </si>
  <si>
    <t>45205810750050000503</t>
  </si>
  <si>
    <t>45207810850050000472</t>
  </si>
  <si>
    <t>45207810150050000473</t>
  </si>
  <si>
    <t>45201810350050000596</t>
  </si>
  <si>
    <t>20312A98800210000020</t>
  </si>
  <si>
    <t>45812810355550001010</t>
  </si>
  <si>
    <t>45208810255550000576</t>
  </si>
  <si>
    <t>45208810555550000577</t>
  </si>
  <si>
    <t>45208810855550000578</t>
  </si>
  <si>
    <t>45208810155550000579</t>
  </si>
  <si>
    <t>45812810850050000537</t>
  </si>
  <si>
    <t>45207810355550000626</t>
  </si>
  <si>
    <t>44606810050050000007</t>
  </si>
  <si>
    <t>45206810250050000837</t>
  </si>
  <si>
    <t>45206810855550000525</t>
  </si>
  <si>
    <t>44606810855550000155</t>
  </si>
  <si>
    <t>45208810904800000001</t>
  </si>
  <si>
    <t>45206810850050000839</t>
  </si>
  <si>
    <t>45204810908800000001</t>
  </si>
  <si>
    <t>45205810650050000506</t>
  </si>
  <si>
    <t>45605840555550000027</t>
  </si>
  <si>
    <t>45205810950050000507</t>
  </si>
  <si>
    <t>45205810015800000003</t>
  </si>
  <si>
    <t>45606810755550000018</t>
  </si>
  <si>
    <t>Citibank NA, New York, USA</t>
  </si>
  <si>
    <t>32105810200210000155</t>
  </si>
  <si>
    <t>32105978400210000143</t>
  </si>
  <si>
    <t>32106978900210000037</t>
  </si>
  <si>
    <t>32107840000210000378</t>
  </si>
  <si>
    <t>32107840100210000375</t>
  </si>
  <si>
    <t>32107840400210000376</t>
  </si>
  <si>
    <t>32107840700210000377</t>
  </si>
  <si>
    <t>32107840800210000374</t>
  </si>
  <si>
    <t>32109840200210000545</t>
  </si>
  <si>
    <t>32109840500210000546</t>
  </si>
  <si>
    <t>45205810050050000504</t>
  </si>
  <si>
    <t>45205810350050000505</t>
  </si>
  <si>
    <t>45206810555550000524</t>
  </si>
  <si>
    <t>45207810455550000623</t>
  </si>
  <si>
    <t>45812810050050000528</t>
  </si>
  <si>
    <t>45812810050050000531</t>
  </si>
  <si>
    <t>45812810250050000522</t>
  </si>
  <si>
    <t>45812810250050000535</t>
  </si>
  <si>
    <t>45812810350050000529</t>
  </si>
  <si>
    <t>45812810350050000532</t>
  </si>
  <si>
    <t>45812810450050000526</t>
  </si>
  <si>
    <t>45812810550050000523</t>
  </si>
  <si>
    <t>45812810550050000536</t>
  </si>
  <si>
    <t>45812810650050000520</t>
  </si>
  <si>
    <t>45812810650050000533</t>
  </si>
  <si>
    <t>45812810750050000527</t>
  </si>
  <si>
    <t>45812810750050000530</t>
  </si>
  <si>
    <t>45812810950050000521</t>
  </si>
  <si>
    <t>45205810250050000508</t>
  </si>
  <si>
    <t>47304810700210000001</t>
  </si>
  <si>
    <t>45208810150050000197</t>
  </si>
  <si>
    <t>45206810250050000840</t>
  </si>
  <si>
    <t>45205810915800000006</t>
  </si>
  <si>
    <t>32204840000210000161</t>
  </si>
  <si>
    <t>45812810150050000538</t>
  </si>
  <si>
    <t>45812810450050000539</t>
  </si>
  <si>
    <t>45812810850050000540</t>
  </si>
  <si>
    <t>45812810050060000026</t>
  </si>
  <si>
    <t>45204810355550000276</t>
  </si>
  <si>
    <t>20312A98400210000022</t>
  </si>
  <si>
    <t>45605840155550000029</t>
  </si>
  <si>
    <t>47002810000210081323</t>
  </si>
  <si>
    <t>45204810650050000280</t>
  </si>
  <si>
    <t>45207810655550000627</t>
  </si>
  <si>
    <t>45204810950050000281</t>
  </si>
  <si>
    <t>45208810504800000003</t>
  </si>
  <si>
    <t>45206810550050000841</t>
  </si>
  <si>
    <t>45205810550050000509</t>
  </si>
  <si>
    <t>45201810055550000320</t>
  </si>
  <si>
    <t>45206810150050000843</t>
  </si>
  <si>
    <t>45204810250050000282</t>
  </si>
  <si>
    <t>45206810850050000842</t>
  </si>
  <si>
    <t>45204810655550000277</t>
  </si>
  <si>
    <t>45208810450050000198</t>
  </si>
  <si>
    <t>45205810950050000510</t>
  </si>
  <si>
    <t>45204810550050000283</t>
  </si>
  <si>
    <t>45204810212800000001</t>
  </si>
  <si>
    <t>45103810355550000021</t>
  </si>
  <si>
    <t>45204810850050000284</t>
  </si>
  <si>
    <t>45205810250050000511</t>
  </si>
  <si>
    <t>45208810519800000001</t>
  </si>
  <si>
    <t>45812810155550000981</t>
  </si>
  <si>
    <t>45208810455550000583</t>
  </si>
  <si>
    <t>45208810755550000584</t>
  </si>
  <si>
    <t>45206810702800000001</t>
  </si>
  <si>
    <t>45207810400800000001</t>
  </si>
  <si>
    <t>45204810150050000285</t>
  </si>
  <si>
    <t>45812810855550000948</t>
  </si>
  <si>
    <t>45207810750050000475</t>
  </si>
  <si>
    <t>45205810550050000512</t>
  </si>
  <si>
    <t>45206810020800000000</t>
  </si>
  <si>
    <t>45205810814800000000</t>
  </si>
  <si>
    <t>45208810615800000002</t>
  </si>
  <si>
    <t>45206810910800000000</t>
  </si>
  <si>
    <t>32108392700210000015</t>
  </si>
  <si>
    <t>32108392100210000013</t>
  </si>
  <si>
    <t>32108392400210000014</t>
  </si>
  <si>
    <t>32108810000210000132</t>
  </si>
  <si>
    <t>45207810905800000001</t>
  </si>
  <si>
    <t>45204810450050000286</t>
  </si>
  <si>
    <t>45204810955550000278</t>
  </si>
  <si>
    <t>45204810750050000287</t>
  </si>
  <si>
    <t>45205810850050000513</t>
  </si>
  <si>
    <t>47408036400210000065</t>
  </si>
  <si>
    <t>47408826100210000009</t>
  </si>
  <si>
    <t>20316A98800210000068</t>
  </si>
  <si>
    <t>20312A98700210000023</t>
  </si>
  <si>
    <t>45204810012800000007</t>
  </si>
  <si>
    <t>32103784000210000043</t>
  </si>
  <si>
    <t>45206810155550000526</t>
  </si>
  <si>
    <t>45207810350050000477</t>
  </si>
  <si>
    <t>45208810055550000585</t>
  </si>
  <si>
    <t>Корректировка даты актуальной отчетности по клиентам Кипра (возможно, других стран)</t>
  </si>
  <si>
    <t>0,4</t>
  </si>
  <si>
    <t>select * from (
 select ind, (select DtActPer from actper where IDTypeClnt = 1 and IDSubTypeClnt = 21
    and month(dtaction) = month(@dtActPer) and year(dtaction) = year(@dtActPer)) DtActPer
 from clntmain k join aList a on idrec = cid 
 where k.TypeClnt = 1 and k.SubTypeClnt = 2 and IdCountry = 196
) t where DtActPer &gt;0</t>
  </si>
  <si>
    <t>select * from (
 select distinct cid, (select DtActPer from actper where IDTypeClnt = 1 and IDSubTypeClnt = 21
   and month(dtaction) = month(@dtActPer) and year(dtaction) = year(@dtActPer)) DtActPer,
  FullClntName, IdCountry, Country_Name_Rus, Country_Name_Lat
 from rvps2 r join clntmain k on r.cid = k.idrec join countries on IdCountry = Id_country
 where k.TypeClnt = 1 and k.SubTypeClnt = 2 and IdCountry = 196
) t where DtActPer &gt;0</t>
  </si>
  <si>
    <t>32104398600210000003</t>
  </si>
  <si>
    <t>45208810655550000587</t>
  </si>
  <si>
    <t>45206810450050000844</t>
  </si>
  <si>
    <t>32103840100210005837</t>
  </si>
  <si>
    <t>45204810050050000288</t>
  </si>
  <si>
    <t>45812810655550001011</t>
  </si>
  <si>
    <t>45205810150050000514</t>
  </si>
  <si>
    <t>45205810150050000488</t>
  </si>
  <si>
    <t>45201810200190000001</t>
  </si>
  <si>
    <t>45207810955550000628</t>
  </si>
  <si>
    <t>45206810455550000527</t>
  </si>
  <si>
    <t>45207810955550000615</t>
  </si>
  <si>
    <t>32103840450018000098</t>
  </si>
  <si>
    <t>32003840700210001250</t>
  </si>
  <si>
    <t>32103840250018000188</t>
  </si>
  <si>
    <t>32103840700210005842</t>
  </si>
  <si>
    <t>32203840000210004456</t>
  </si>
  <si>
    <t>47002840000210016193</t>
  </si>
  <si>
    <t>47002840100210016187</t>
  </si>
  <si>
    <t>47002810600210081781</t>
  </si>
  <si>
    <t>32203840000210004427</t>
  </si>
  <si>
    <t>32203810600210018241</t>
  </si>
  <si>
    <t>32203810300210018240</t>
  </si>
  <si>
    <t>32203810200210018243</t>
  </si>
  <si>
    <t>32203840600210004474</t>
  </si>
  <si>
    <t>45204810350050000289</t>
  </si>
  <si>
    <t>45208810255550000589</t>
  </si>
  <si>
    <t>45207810950050000479</t>
  </si>
  <si>
    <t>32103978700210001530</t>
  </si>
  <si>
    <t>32103840000210005843</t>
  </si>
  <si>
    <t>32103810300210001302</t>
  </si>
  <si>
    <t>45605840555550000030</t>
  </si>
  <si>
    <t>45208810955550000588</t>
  </si>
  <si>
    <t>45208810405800000005</t>
  </si>
  <si>
    <t>45206810205800000003</t>
  </si>
  <si>
    <t>45206810605800000001</t>
  </si>
  <si>
    <t>45208810205800000001</t>
  </si>
  <si>
    <t>45208810805800000003</t>
  </si>
  <si>
    <t>45206810755550000528</t>
  </si>
  <si>
    <t>45208810005800000007</t>
  </si>
  <si>
    <t>51501810400210000006</t>
  </si>
  <si>
    <t>47408124700210000075</t>
  </si>
  <si>
    <t>BANK OF NEW YORK, New York</t>
  </si>
  <si>
    <t>20312A98100210000021</t>
  </si>
  <si>
    <t>32103840100210005840</t>
  </si>
  <si>
    <t>32103840200210005834</t>
  </si>
  <si>
    <t>CITIBANK N.A.</t>
  </si>
  <si>
    <t>32103840300210005831</t>
  </si>
  <si>
    <t>32103840400210005838</t>
  </si>
  <si>
    <t>32103840400210005841</t>
  </si>
  <si>
    <t>THE BANK OF NEW YORK MELLON</t>
  </si>
  <si>
    <t>32103840500210005835</t>
  </si>
  <si>
    <t>32103840600210005832</t>
  </si>
  <si>
    <t>32103840700210005839</t>
  </si>
  <si>
    <t>32103840800210005836</t>
  </si>
  <si>
    <t>32103840900210005833</t>
  </si>
  <si>
    <t>32103978000210001528</t>
  </si>
  <si>
    <t>32103978300210001529</t>
  </si>
  <si>
    <t>32105810100210000158</t>
  </si>
  <si>
    <t>32105810400210000159</t>
  </si>
  <si>
    <t>32105810500210000156</t>
  </si>
  <si>
    <t>32105810800210000157</t>
  </si>
  <si>
    <t>32106810800210000059</t>
  </si>
  <si>
    <t>32107810100210000101</t>
  </si>
  <si>
    <t>32107810200210000098</t>
  </si>
  <si>
    <t>32107810500210000099</t>
  </si>
  <si>
    <t>32107810800210000100</t>
  </si>
  <si>
    <t>32203840000210004430</t>
  </si>
  <si>
    <t>32203840000210004469</t>
  </si>
  <si>
    <t>32203840000210004472</t>
  </si>
  <si>
    <t>32203840000210004498</t>
  </si>
  <si>
    <t>32203840100210004424</t>
  </si>
  <si>
    <t>32203840100210004437</t>
  </si>
  <si>
    <t>32203840100210004453</t>
  </si>
  <si>
    <t>32203840100210004466</t>
  </si>
  <si>
    <t>32203840100210004495</t>
  </si>
  <si>
    <t>32203840200210004418</t>
  </si>
  <si>
    <t>32203840200210004421</t>
  </si>
  <si>
    <t>32203840200210004434</t>
  </si>
  <si>
    <t>32203840200210004447</t>
  </si>
  <si>
    <t>32203840200210004450</t>
  </si>
  <si>
    <t>32203840200210004489</t>
  </si>
  <si>
    <t>32203840200210004492</t>
  </si>
  <si>
    <t>32203840200210004502</t>
  </si>
  <si>
    <t>32203840300210004428</t>
  </si>
  <si>
    <t>32203840300210004431</t>
  </si>
  <si>
    <t>32203840300210004499</t>
  </si>
  <si>
    <t>32203840400210004425</t>
  </si>
  <si>
    <t>32203840400210004454</t>
  </si>
  <si>
    <t>32203840400210004467</t>
  </si>
  <si>
    <t>32203840400210004470</t>
  </si>
  <si>
    <t>32203840400210004496</t>
  </si>
  <si>
    <t>32203840500210004419</t>
  </si>
  <si>
    <t>32203840500210004422</t>
  </si>
  <si>
    <t>32203840500210004435</t>
  </si>
  <si>
    <t>32203840500210004448</t>
  </si>
  <si>
    <t>32203840500210004451</t>
  </si>
  <si>
    <t>32203840500210004493</t>
  </si>
  <si>
    <t>32203840500210004503</t>
  </si>
  <si>
    <t>32203840600210004416</t>
  </si>
  <si>
    <t>32203840600210004429</t>
  </si>
  <si>
    <t>32203840600210004432</t>
  </si>
  <si>
    <t>32203840600210004490</t>
  </si>
  <si>
    <t>32203840600210004500</t>
  </si>
  <si>
    <t>32203840700210004426</t>
  </si>
  <si>
    <t>32203840700210004455</t>
  </si>
  <si>
    <t>32203840700210004468</t>
  </si>
  <si>
    <t>32203840700210004471</t>
  </si>
  <si>
    <t>32203840700210004497</t>
  </si>
  <si>
    <t>32203840800210004423</t>
  </si>
  <si>
    <t>32203840800210004436</t>
  </si>
  <si>
    <t>32203840800210004449</t>
  </si>
  <si>
    <t>32203840800210004452</t>
  </si>
  <si>
    <t>32203840800210004465</t>
  </si>
  <si>
    <t>32203840800210004494</t>
  </si>
  <si>
    <t>32203840800210004504</t>
  </si>
  <si>
    <t>32203840900210004417</t>
  </si>
  <si>
    <t>32203840900210004420</t>
  </si>
  <si>
    <t>32203840900210004433</t>
  </si>
  <si>
    <t>32203840900210004446</t>
  </si>
  <si>
    <t>32203840900210004488</t>
  </si>
  <si>
    <t>32203840900210004491</t>
  </si>
  <si>
    <t>32203840900210004501</t>
  </si>
  <si>
    <t>32204840100210000168</t>
  </si>
  <si>
    <t>32204840200210000165</t>
  </si>
  <si>
    <t>32204840300210000159</t>
  </si>
  <si>
    <t>32204840300210000162</t>
  </si>
  <si>
    <t>32204840500210000166</t>
  </si>
  <si>
    <t>32204840600210000163</t>
  </si>
  <si>
    <t>32204840700210000160</t>
  </si>
  <si>
    <t>32204840800210000167</t>
  </si>
  <si>
    <t>32204840900210000164</t>
  </si>
  <si>
    <t>44605810016800000001</t>
  </si>
  <si>
    <t>44607810455550000059</t>
  </si>
  <si>
    <t>45106810755550000071</t>
  </si>
  <si>
    <t>Cводный сч.для учета овердрафтов по сч.банковских карт юр.лиц-резидентов</t>
  </si>
  <si>
    <t>45215810600210000357</t>
  </si>
  <si>
    <t>45205810955550000329</t>
  </si>
  <si>
    <t>45206810455550000475</t>
  </si>
  <si>
    <t>45812810150050000541</t>
  </si>
  <si>
    <t>45812810400800000001</t>
  </si>
  <si>
    <t>Сводный счет по учету просроченной задолженности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</si>
  <si>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45818810200800000001</t>
  </si>
  <si>
    <t>45812810700160000001</t>
  </si>
  <si>
    <t>45818810050050001372</t>
  </si>
  <si>
    <t>47002810000210081747</t>
  </si>
  <si>
    <t>47002810000210081750</t>
  </si>
  <si>
    <t>47002810000210081789</t>
  </si>
  <si>
    <t>47002810000210081792</t>
  </si>
  <si>
    <t>47002810000210081802</t>
  </si>
  <si>
    <t>47002810100210081757</t>
  </si>
  <si>
    <t>47002810100210081786</t>
  </si>
  <si>
    <t>47002810100210081799</t>
  </si>
  <si>
    <t>47002810200210081754</t>
  </si>
  <si>
    <t>47002810200210081783</t>
  </si>
  <si>
    <t>47002810200210081796</t>
  </si>
  <si>
    <t>47002810300210081324</t>
  </si>
  <si>
    <t>47002810300210081748</t>
  </si>
  <si>
    <t>47002810300210081751</t>
  </si>
  <si>
    <t>47002810300210081793</t>
  </si>
  <si>
    <t>47002810300210081803</t>
  </si>
  <si>
    <t>47002810400210081758</t>
  </si>
  <si>
    <t>47002810400210081787</t>
  </si>
  <si>
    <t>47002810400210081790</t>
  </si>
  <si>
    <t>47002810400210081800</t>
  </si>
  <si>
    <t>47002810500210081755</t>
  </si>
  <si>
    <t>47002810500210081784</t>
  </si>
  <si>
    <t>47002810500210081797</t>
  </si>
  <si>
    <t>47002810600210081749</t>
  </si>
  <si>
    <t>47002810600210081752</t>
  </si>
  <si>
    <t>47002810600210081794</t>
  </si>
  <si>
    <t>47002810700210081322</t>
  </si>
  <si>
    <t>47002810700210081759</t>
  </si>
  <si>
    <t>47002810700210081788</t>
  </si>
  <si>
    <t>47002810700210081791</t>
  </si>
  <si>
    <t>47002810700210081801</t>
  </si>
  <si>
    <t>47002810800210081756</t>
  </si>
  <si>
    <t>47002810800210081785</t>
  </si>
  <si>
    <t>47002810800210081798</t>
  </si>
  <si>
    <t>47002810900210081753</t>
  </si>
  <si>
    <t>47002810900210081782</t>
  </si>
  <si>
    <t>47002810900210081795</t>
  </si>
  <si>
    <t>47002840000210016203</t>
  </si>
  <si>
    <t>47002840000210016216</t>
  </si>
  <si>
    <t>47002840000210016229</t>
  </si>
  <si>
    <t>47002840000210016232</t>
  </si>
  <si>
    <t>47002840100210016190</t>
  </si>
  <si>
    <t>47002840100210016200</t>
  </si>
  <si>
    <t>47002840100210016213</t>
  </si>
  <si>
    <t>47002840100210016226</t>
  </si>
  <si>
    <t>47002840200210016184</t>
  </si>
  <si>
    <t>47002840200210016197</t>
  </si>
  <si>
    <t>47002840200210016207</t>
  </si>
  <si>
    <t>47002840200210016210</t>
  </si>
  <si>
    <t>47002840200210016223</t>
  </si>
  <si>
    <t>47002840300210016194</t>
  </si>
  <si>
    <t>47002840300210016204</t>
  </si>
  <si>
    <t>47002840300210016217</t>
  </si>
  <si>
    <t>47002840300210016220</t>
  </si>
  <si>
    <t>47002840300210016233</t>
  </si>
  <si>
    <t>47002840400210016188</t>
  </si>
  <si>
    <t>47002840400210016191</t>
  </si>
  <si>
    <t>47002840400210016201</t>
  </si>
  <si>
    <t>47002840400210016214</t>
  </si>
  <si>
    <t>47002840400210016227</t>
  </si>
  <si>
    <t>47002840400210016230</t>
  </si>
  <si>
    <t>47002840500210016185</t>
  </si>
  <si>
    <t>47002840500210016198</t>
  </si>
  <si>
    <t>47002840500210016208</t>
  </si>
  <si>
    <t>47002840500210016211</t>
  </si>
  <si>
    <t>47002840500210016224</t>
  </si>
  <si>
    <t>47002840600210016182</t>
  </si>
  <si>
    <t>47002840600210016195</t>
  </si>
  <si>
    <t>47002840600210016205</t>
  </si>
  <si>
    <t>47002840600210016218</t>
  </si>
  <si>
    <t>47002840600210016221</t>
  </si>
  <si>
    <t>47002840600210016234</t>
  </si>
  <si>
    <t>47002840700210016189</t>
  </si>
  <si>
    <t>47002840700210016192</t>
  </si>
  <si>
    <t>47002840700210016202</t>
  </si>
  <si>
    <t>47002840700210016215</t>
  </si>
  <si>
    <t>47002840700210016228</t>
  </si>
  <si>
    <t>47002840700210016231</t>
  </si>
  <si>
    <t>47002840800210016186</t>
  </si>
  <si>
    <t>47002840800210016199</t>
  </si>
  <si>
    <t>47002840800210016209</t>
  </si>
  <si>
    <t>47002840800210016212</t>
  </si>
  <si>
    <t>47002840800210016225</t>
  </si>
  <si>
    <t>47002840900210016183</t>
  </si>
  <si>
    <t>47002840900210016196</t>
  </si>
  <si>
    <t>47002840900210016206</t>
  </si>
  <si>
    <t>47002840900210016219</t>
  </si>
  <si>
    <t>47002840900210016222</t>
  </si>
  <si>
    <t>47002840900210016235</t>
  </si>
  <si>
    <t>47003810000210000031</t>
  </si>
  <si>
    <t>47003810300210000029</t>
  </si>
  <si>
    <t>47003810700210000030</t>
  </si>
  <si>
    <t>47006840200210000002</t>
  </si>
  <si>
    <t>47006840500210000003</t>
  </si>
  <si>
    <t>47408840100210005019</t>
  </si>
  <si>
    <t>47408840100210005022</t>
  </si>
  <si>
    <t>47408840300210005013</t>
  </si>
  <si>
    <t>47801810955550000035</t>
  </si>
  <si>
    <t>select ind, if(TypeClnt=7, FS, ifnull(finst, FS)), date( if(TypeClnt=7, ActDocDt, ifnull(DtDoc, ActDocDt)) ), DtAct, FullClntName 
from 
 (select ind, IdRec, FullClntName, if(FS=0 or DtFS&gt;@dtAn, 2,  if(FS &gt; 5, FS/10, FS) ) FS, if(DtFS &gt; @dtAn, Null, ActDocDt) ActDocDt, TypeClnt
 from clntmain k join aList a on idrec = cid 
 ) k
left join 
 (select * 
 from (
  select idrec, if(finst &gt; 5, finst/10, finst) finst, DtDoc, DtEval, DtAct from commcompb where DtEval &lt;= @dtAn and EditState&lt;&gt;1
   UNION
  select idrec, if(finst &gt; 5, finst/10, finst) finst, DtDoc, DtEval, DtAct from compnoresb where DtEval &lt;= @dtAn and EditState&lt;&gt;1
   UNION
  select idrec, finst, DtDoc, DtEval, DtAct from gov where DtEval &lt;= @dtAn and EditState&lt;&gt;1
   UNION
  select idrec, finst, DtDoc, DtSt, DtAct from govnores where DtSt &lt;= @dtAn and EditState&lt;&gt;1
   UNION
  select idrec, finst, DtDoc, DtSt, DtAct from banknores where DtSt &lt;= @dtAn and EditState&lt;&gt;1
   UNION
  select idrec, finst, DtDoc, DtSt, DtAct from bankres where DtSt &lt;= @dtAn and EditState&lt;&gt;1
   UNION
  select idrec, finst, DtDoc, DtSt, DtAct from bankcentral where DtSt &lt;= @dtAn and EditState&lt;&gt;1
   UNION
  select idrec, finst, DtDoc, DtSt, DtAct from fincompnores where DtSt &lt;= @dtAn and EditState&lt;&gt;1
   UNION
  select idrec, finst, DtDoc, DtSt, DtAct from fincompres where DtSt &lt;= @dtAn and EditState&lt;&gt;1
   UNION
  select idrec, finst, DtDoc, DtSt, DtAct from insur where DtSt &lt;= @dtAn and EditState&lt;&gt;1
  order by DtDoc desc, DtEval desc
  )t group by 1
 ) tt using (IDrec)</t>
  </si>
  <si>
    <t>DtAct</t>
  </si>
  <si>
    <t>хорошее</t>
  </si>
  <si>
    <t>отсутствуют</t>
  </si>
  <si>
    <t>среднее</t>
  </si>
  <si>
    <t>неуд.</t>
  </si>
  <si>
    <t>сводный счет</t>
  </si>
  <si>
    <t>расчет резерва на основании просрочки отдельных сумм в рамках сводного счета</t>
  </si>
  <si>
    <t>отсутств.</t>
  </si>
  <si>
    <t>среднее-2</t>
  </si>
  <si>
    <t>среднее, отсутств. более 1 кв.</t>
  </si>
  <si>
    <t>плохое</t>
  </si>
  <si>
    <t>к/с от 30.06.2010 №2576:
реструктуризация (РП №85 от 2010-12-21, РКК №34 от 2011-04-27);
цели: погашение ранее выданной ссуды (РП №37 от 2010-06-01);
цели: предоставление/погашение займов 3 лицам (РКК №10 от 2011-02-14)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</si>
</sst>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* #,##0_р_._-;\-* #,##0_р_._-;_-* &quot;-&quot;_р_._-;_-@_-"/>
    <numFmt numFmtId="165" formatCode="_-* #,##0.00_р_._-;\-* #,##0.00_р_._-;_-* &quot;-&quot;??_р_._-;_-@_-"/>
    <numFmt numFmtId="166" formatCode="#,##0.0"/>
    <numFmt numFmtId="167" formatCode="dd/mm/yyyy\ h:mm:ss;@"/>
    <numFmt numFmtId="168" formatCode="#,##0.00_ ;\-#,##0.00\ "/>
    <numFmt numFmtId="169" formatCode="&quot;по состоянию на&quot;\ dd\.mm\.yyyy"/>
    <numFmt numFmtId="170" formatCode="0.000000%"/>
  </numFmts>
  <fonts count="27" x14ac:knownFonts="1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  <font>
      <sz val="10"/>
      <color indexed="23"/>
      <name val="Arial Cyr"/>
      <charset val="204"/>
    </font>
    <font>
      <sz val="10"/>
      <color indexed="9"/>
      <name val="Arial Cyr"/>
      <charset val="204"/>
    </font>
    <font>
      <i/>
      <sz val="10"/>
      <name val="Arial Cyr"/>
      <charset val="204"/>
    </font>
    <font>
      <sz val="10"/>
      <color indexed="55"/>
      <name val="Arial Cyr"/>
      <charset val="204"/>
    </font>
    <font>
      <sz val="8"/>
      <color indexed="55"/>
      <name val="Arial Cyr"/>
      <charset val="204"/>
    </font>
    <font>
      <sz val="10"/>
      <name val="Arial Cyr"/>
      <charset val="204"/>
    </font>
    <font>
      <sz val="10"/>
      <name val="Arial Cyr"/>
    </font>
    <font>
      <sz val="8"/>
      <color indexed="62"/>
      <name val="Arial Cyr"/>
      <charset val="204"/>
    </font>
    <font>
      <b/>
      <sz val="10"/>
      <color indexed="10"/>
      <name val="Arial Cyr"/>
      <charset val="204"/>
    </font>
    <font>
      <sz val="8"/>
      <color indexed="8"/>
      <name val="Arial"/>
      <family val="2"/>
      <charset val="204"/>
    </font>
    <font>
      <b/>
      <i/>
      <sz val="10"/>
      <name val="Arial Cyr"/>
      <charset val="204"/>
    </font>
    <font>
      <sz val="8"/>
      <color rgb="FF000000"/>
      <name val="Tahoma"/>
      <family val="2"/>
      <charset val="204"/>
    </font>
    <font>
      <sz val="10"/>
      <color rgb="FF000000"/>
      <name val="Arial Cyr"/>
    </font>
    <font>
      <b/>
      <sz val="10"/>
      <color rgb="FF800000"/>
      <name val="Arial Cyr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sz val="12"/>
      <color rgb="FF000000"/>
      <name val="Arial Cyr"/>
    </font>
    <font>
      <sz val="10"/>
      <color theme="0" tint="-0.499984740745262"/>
      <name val="Arial Cyr"/>
      <charset val="204"/>
    </font>
    <font>
      <sz val="10"/>
      <color rgb="FFFF0000"/>
      <name val="Arial Cyr"/>
      <charset val="204"/>
    </font>
    <font>
      <sz val="10"/>
      <color rgb="FF0070C0"/>
      <name val="Arial Cyr"/>
      <charset val="204"/>
    </font>
    <font>
      <b/>
      <sz val="8"/>
      <color indexed="8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6">
    <xf numFmtId="0" fontId="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</cellStyleXfs>
  <cellXfs count="17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2" xfId="0" applyBorder="1"/>
    <xf numFmtId="49" fontId="0" fillId="0" borderId="0" xfId="0" applyNumberFormat="1"/>
    <xf numFmtId="49" fontId="0" fillId="0" borderId="2" xfId="0" applyNumberFormat="1" applyBorder="1"/>
    <xf numFmtId="3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3" xfId="0" applyBorder="1"/>
    <xf numFmtId="14" fontId="0" fillId="3" borderId="3" xfId="0" applyNumberFormat="1" applyFill="1" applyBorder="1"/>
    <xf numFmtId="0" fontId="0" fillId="4" borderId="4" xfId="0" applyFill="1" applyBorder="1"/>
    <xf numFmtId="0" fontId="0" fillId="0" borderId="0" xfId="0" applyAlignment="1">
      <alignment horizontal="left"/>
    </xf>
    <xf numFmtId="3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" xfId="0" applyBorder="1" applyAlignment="1"/>
    <xf numFmtId="0" fontId="0" fillId="0" borderId="0" xfId="0" applyAlignment="1">
      <alignment horizontal="center"/>
    </xf>
    <xf numFmtId="14" fontId="0" fillId="5" borderId="0" xfId="0" applyNumberFormat="1" applyFill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0" borderId="5" xfId="0" applyBorder="1"/>
    <xf numFmtId="0" fontId="0" fillId="0" borderId="6" xfId="0" applyBorder="1"/>
    <xf numFmtId="0" fontId="0" fillId="0" borderId="5" xfId="0" pivotButton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5" xfId="0" applyNumberFormat="1" applyBorder="1"/>
    <xf numFmtId="0" fontId="0" fillId="0" borderId="9" xfId="0" applyNumberFormat="1" applyBorder="1"/>
    <xf numFmtId="0" fontId="0" fillId="0" borderId="7" xfId="0" applyNumberFormat="1" applyBorder="1"/>
    <xf numFmtId="0" fontId="0" fillId="0" borderId="10" xfId="0" applyNumberFormat="1" applyBorder="1"/>
    <xf numFmtId="0" fontId="0" fillId="0" borderId="8" xfId="0" applyNumberFormat="1" applyBorder="1"/>
    <xf numFmtId="0" fontId="0" fillId="0" borderId="11" xfId="0" applyNumberFormat="1" applyBorder="1"/>
    <xf numFmtId="0" fontId="5" fillId="0" borderId="0" xfId="0" applyFont="1"/>
    <xf numFmtId="0" fontId="0" fillId="6" borderId="12" xfId="0" applyFill="1" applyBorder="1"/>
    <xf numFmtId="0" fontId="0" fillId="6" borderId="13" xfId="0" applyFill="1" applyBorder="1"/>
    <xf numFmtId="14" fontId="0" fillId="6" borderId="13" xfId="0" applyNumberFormat="1" applyFill="1" applyBorder="1"/>
    <xf numFmtId="0" fontId="0" fillId="6" borderId="14" xfId="0" applyFill="1" applyBorder="1"/>
    <xf numFmtId="0" fontId="0" fillId="6" borderId="15" xfId="0" applyFill="1" applyBorder="1"/>
    <xf numFmtId="0" fontId="4" fillId="6" borderId="16" xfId="0" applyFont="1" applyFill="1" applyBorder="1"/>
    <xf numFmtId="0" fontId="0" fillId="6" borderId="17" xfId="0" applyFill="1" applyBorder="1"/>
    <xf numFmtId="0" fontId="0" fillId="6" borderId="18" xfId="0" applyFill="1" applyBorder="1"/>
    <xf numFmtId="14" fontId="4" fillId="6" borderId="17" xfId="0" applyNumberFormat="1" applyFont="1" applyFill="1" applyBorder="1"/>
    <xf numFmtId="0" fontId="0" fillId="0" borderId="0" xfId="0" applyAlignment="1"/>
    <xf numFmtId="0" fontId="6" fillId="0" borderId="0" xfId="0" applyFont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3" borderId="1" xfId="0" applyFill="1" applyBorder="1" applyAlignment="1"/>
    <xf numFmtId="0" fontId="0" fillId="4" borderId="1" xfId="0" applyFill="1" applyBorder="1" applyAlignment="1"/>
    <xf numFmtId="0" fontId="7" fillId="0" borderId="0" xfId="0" applyFont="1"/>
    <xf numFmtId="0" fontId="8" fillId="0" borderId="0" xfId="0" applyFont="1" applyAlignment="1">
      <alignment horizontal="center"/>
    </xf>
    <xf numFmtId="49" fontId="8" fillId="0" borderId="0" xfId="0" applyNumberFormat="1" applyFont="1" applyAlignment="1">
      <alignment horizontal="center"/>
    </xf>
    <xf numFmtId="4" fontId="0" fillId="0" borderId="0" xfId="0" applyNumberFormat="1"/>
    <xf numFmtId="0" fontId="0" fillId="7" borderId="1" xfId="0" applyFill="1" applyBorder="1" applyAlignment="1"/>
    <xf numFmtId="0" fontId="0" fillId="7" borderId="1" xfId="0" applyFill="1" applyBorder="1"/>
    <xf numFmtId="49" fontId="0" fillId="7" borderId="1" xfId="0" applyNumberFormat="1" applyFill="1" applyBorder="1"/>
    <xf numFmtId="0" fontId="0" fillId="7" borderId="1" xfId="0" applyFill="1" applyBorder="1" applyAlignment="1">
      <alignment horizontal="center"/>
    </xf>
    <xf numFmtId="14" fontId="7" fillId="0" borderId="0" xfId="0" applyNumberFormat="1" applyFont="1"/>
    <xf numFmtId="0" fontId="6" fillId="0" borderId="0" xfId="0" applyFont="1" applyAlignment="1"/>
    <xf numFmtId="0" fontId="9" fillId="0" borderId="0" xfId="0" applyFont="1" applyAlignment="1"/>
    <xf numFmtId="0" fontId="4" fillId="0" borderId="0" xfId="0" applyFont="1"/>
    <xf numFmtId="0" fontId="4" fillId="0" borderId="0" xfId="0" applyFont="1" applyAlignment="1"/>
    <xf numFmtId="0" fontId="0" fillId="7" borderId="19" xfId="0" applyFill="1" applyBorder="1" applyAlignment="1">
      <alignment horizontal="center" wrapText="1"/>
    </xf>
    <xf numFmtId="0" fontId="7" fillId="7" borderId="20" xfId="0" applyFont="1" applyFill="1" applyBorder="1" applyAlignment="1">
      <alignment horizontal="center" wrapText="1"/>
    </xf>
    <xf numFmtId="0" fontId="1" fillId="0" borderId="0" xfId="2" applyFont="1" applyAlignment="1">
      <alignment vertical="center"/>
    </xf>
    <xf numFmtId="0" fontId="1" fillId="0" borderId="0" xfId="2" applyFont="1"/>
    <xf numFmtId="0" fontId="3" fillId="0" borderId="1" xfId="2" applyNumberFormat="1" applyFont="1" applyBorder="1" applyAlignment="1">
      <alignment horizontal="center" vertical="center" wrapText="1"/>
    </xf>
    <xf numFmtId="0" fontId="3" fillId="0" borderId="1" xfId="2" applyNumberFormat="1" applyFont="1" applyFill="1" applyBorder="1" applyAlignment="1">
      <alignment horizontal="center" vertical="center" wrapText="1"/>
    </xf>
    <xf numFmtId="0" fontId="10" fillId="5" borderId="1" xfId="2" applyNumberFormat="1" applyFill="1" applyBorder="1" applyAlignment="1">
      <alignment horizontal="center" vertical="center"/>
    </xf>
    <xf numFmtId="0" fontId="10" fillId="5" borderId="1" xfId="2" applyNumberFormat="1" applyFill="1" applyBorder="1" applyAlignment="1">
      <alignment horizontal="center" vertical="center" wrapText="1"/>
    </xf>
    <xf numFmtId="0" fontId="1" fillId="0" borderId="0" xfId="2" applyFont="1" applyAlignment="1">
      <alignment horizontal="center" vertical="center"/>
    </xf>
    <xf numFmtId="0" fontId="1" fillId="0" borderId="0" xfId="2" applyFont="1" applyFill="1" applyAlignment="1">
      <alignment vertical="center" wrapText="1"/>
    </xf>
    <xf numFmtId="0" fontId="10" fillId="0" borderId="1" xfId="2" applyFont="1" applyBorder="1" applyAlignment="1">
      <alignment vertical="center" wrapText="1"/>
    </xf>
    <xf numFmtId="49" fontId="10" fillId="0" borderId="1" xfId="2" applyNumberFormat="1" applyFont="1" applyBorder="1" applyAlignment="1">
      <alignment horizontal="center" vertical="center"/>
    </xf>
    <xf numFmtId="165" fontId="10" fillId="0" borderId="1" xfId="2" applyNumberFormat="1" applyFont="1" applyBorder="1" applyAlignment="1">
      <alignment horizontal="center" vertical="center"/>
    </xf>
    <xf numFmtId="0" fontId="10" fillId="0" borderId="1" xfId="2" applyNumberFormat="1" applyFont="1" applyBorder="1" applyAlignment="1">
      <alignment horizontal="center" vertical="center"/>
    </xf>
    <xf numFmtId="1" fontId="10" fillId="5" borderId="1" xfId="2" applyNumberFormat="1" applyFont="1" applyFill="1" applyBorder="1" applyAlignment="1">
      <alignment horizontal="left" vertical="center"/>
    </xf>
    <xf numFmtId="0" fontId="10" fillId="5" borderId="1" xfId="2" applyNumberFormat="1" applyFont="1" applyFill="1" applyBorder="1" applyAlignment="1">
      <alignment horizontal="left" vertical="center"/>
    </xf>
    <xf numFmtId="0" fontId="7" fillId="0" borderId="0" xfId="2" applyFont="1"/>
    <xf numFmtId="0" fontId="7" fillId="0" borderId="0" xfId="2" applyFont="1" applyFill="1" applyAlignment="1">
      <alignment wrapText="1"/>
    </xf>
    <xf numFmtId="0" fontId="10" fillId="7" borderId="1" xfId="2" applyNumberFormat="1" applyFill="1" applyBorder="1" applyAlignment="1">
      <alignment horizontal="center" vertical="center"/>
    </xf>
    <xf numFmtId="0" fontId="10" fillId="7" borderId="1" xfId="2" applyNumberFormat="1" applyFill="1" applyBorder="1" applyAlignment="1">
      <alignment horizontal="center" vertical="center" wrapText="1"/>
    </xf>
    <xf numFmtId="0" fontId="10" fillId="4" borderId="1" xfId="2" applyNumberFormat="1" applyFill="1" applyBorder="1" applyAlignment="1">
      <alignment horizontal="center" vertical="center"/>
    </xf>
    <xf numFmtId="0" fontId="0" fillId="0" borderId="0" xfId="0" applyNumberFormat="1" applyAlignment="1"/>
    <xf numFmtId="0" fontId="1" fillId="0" borderId="1" xfId="2" applyFont="1" applyBorder="1" applyAlignment="1">
      <alignment horizontal="center" vertical="center" wrapText="1"/>
    </xf>
    <xf numFmtId="0" fontId="1" fillId="0" borderId="1" xfId="2" applyFont="1" applyBorder="1" applyAlignment="1">
      <alignment horizontal="center" vertical="center"/>
    </xf>
    <xf numFmtId="9" fontId="1" fillId="0" borderId="1" xfId="2" applyNumberFormat="1" applyFont="1" applyBorder="1" applyAlignment="1">
      <alignment horizontal="center" vertical="center"/>
    </xf>
    <xf numFmtId="0" fontId="1" fillId="0" borderId="1" xfId="2" applyNumberFormat="1" applyFont="1" applyBorder="1" applyAlignment="1">
      <alignment horizontal="left" vertical="center" wrapText="1"/>
    </xf>
    <xf numFmtId="0" fontId="10" fillId="5" borderId="21" xfId="2" applyNumberFormat="1" applyFill="1" applyBorder="1" applyAlignment="1">
      <alignment horizontal="center" vertical="center" wrapText="1"/>
    </xf>
    <xf numFmtId="0" fontId="10" fillId="0" borderId="0" xfId="2" applyNumberFormat="1" applyFill="1" applyBorder="1" applyAlignment="1">
      <alignment horizontal="center" vertical="center" wrapText="1"/>
    </xf>
    <xf numFmtId="49" fontId="2" fillId="0" borderId="1" xfId="4" applyNumberFormat="1" applyFont="1" applyBorder="1" applyAlignment="1">
      <alignment horizontal="center" vertical="center"/>
    </xf>
    <xf numFmtId="49" fontId="11" fillId="0" borderId="1" xfId="4" applyNumberFormat="1" applyFont="1" applyBorder="1" applyAlignment="1">
      <alignment horizontal="left" vertical="center"/>
    </xf>
    <xf numFmtId="0" fontId="0" fillId="4" borderId="1" xfId="0" applyFill="1" applyBorder="1"/>
    <xf numFmtId="0" fontId="0" fillId="4" borderId="1" xfId="0" applyFill="1" applyBorder="1" applyAlignment="1">
      <alignment wrapText="1"/>
    </xf>
    <xf numFmtId="0" fontId="1" fillId="0" borderId="0" xfId="2" applyFont="1" applyFill="1" applyAlignment="1">
      <alignment horizontal="right" wrapText="1"/>
    </xf>
    <xf numFmtId="0" fontId="1" fillId="4" borderId="1" xfId="2" applyFont="1" applyFill="1" applyBorder="1"/>
    <xf numFmtId="0" fontId="12" fillId="0" borderId="0" xfId="0" applyFont="1" applyAlignment="1">
      <alignment horizontal="right" wrapText="1"/>
    </xf>
    <xf numFmtId="0" fontId="0" fillId="4" borderId="2" xfId="0" applyFill="1" applyBorder="1"/>
    <xf numFmtId="0" fontId="0" fillId="4" borderId="22" xfId="0" applyFill="1" applyBorder="1"/>
    <xf numFmtId="0" fontId="0" fillId="4" borderId="21" xfId="0" applyFill="1" applyBorder="1"/>
    <xf numFmtId="0" fontId="1" fillId="0" borderId="0" xfId="2" applyFont="1" applyAlignment="1">
      <alignment horizontal="right" vertical="center" wrapText="1"/>
    </xf>
    <xf numFmtId="0" fontId="1" fillId="0" borderId="0" xfId="2" applyFont="1" applyBorder="1" applyAlignment="1">
      <alignment horizontal="left" vertical="center" indent="1"/>
    </xf>
    <xf numFmtId="0" fontId="1" fillId="0" borderId="17" xfId="2" applyFont="1" applyBorder="1" applyAlignment="1">
      <alignment vertical="center"/>
    </xf>
    <xf numFmtId="0" fontId="1" fillId="0" borderId="21" xfId="2" applyFont="1" applyBorder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16" xfId="2" applyFont="1" applyBorder="1" applyAlignment="1">
      <alignment horizontal="left" vertical="center" indent="1"/>
    </xf>
    <xf numFmtId="0" fontId="0" fillId="4" borderId="1" xfId="0" applyFill="1" applyBorder="1" applyAlignment="1">
      <alignment vertical="center"/>
    </xf>
    <xf numFmtId="0" fontId="5" fillId="0" borderId="0" xfId="2" applyFont="1" applyAlignment="1">
      <alignment vertical="center"/>
    </xf>
    <xf numFmtId="0" fontId="10" fillId="7" borderId="2" xfId="2" applyNumberFormat="1" applyFill="1" applyBorder="1" applyAlignment="1">
      <alignment horizontal="center" vertical="center" wrapText="1"/>
    </xf>
    <xf numFmtId="0" fontId="0" fillId="0" borderId="17" xfId="0" applyBorder="1"/>
    <xf numFmtId="4" fontId="2" fillId="0" borderId="1" xfId="4" applyNumberFormat="1" applyFont="1" applyBorder="1" applyAlignment="1">
      <alignment horizontal="right" vertical="center"/>
    </xf>
    <xf numFmtId="0" fontId="3" fillId="0" borderId="3" xfId="0" applyFont="1" applyBorder="1" applyAlignment="1"/>
    <xf numFmtId="0" fontId="6" fillId="0" borderId="0" xfId="0" applyFont="1" applyFill="1" applyBorder="1" applyAlignment="1"/>
    <xf numFmtId="49" fontId="3" fillId="0" borderId="0" xfId="3" applyNumberFormat="1" applyFont="1" applyAlignment="1">
      <alignment horizontal="left" vertical="center"/>
    </xf>
    <xf numFmtId="167" fontId="1" fillId="0" borderId="0" xfId="3" applyNumberFormat="1" applyFont="1" applyAlignment="1">
      <alignment horizontal="left" vertical="center"/>
    </xf>
    <xf numFmtId="165" fontId="1" fillId="0" borderId="0" xfId="3" applyNumberFormat="1" applyFont="1" applyAlignment="1">
      <alignment horizontal="center" vertical="center"/>
    </xf>
    <xf numFmtId="0" fontId="1" fillId="0" borderId="0" xfId="3" applyNumberFormat="1" applyFont="1" applyAlignment="1">
      <alignment horizontal="center" vertical="center"/>
    </xf>
    <xf numFmtId="167" fontId="1" fillId="0" borderId="0" xfId="3" applyNumberFormat="1" applyFont="1" applyAlignment="1">
      <alignment horizontal="center" vertical="center"/>
    </xf>
    <xf numFmtId="9" fontId="1" fillId="0" borderId="0" xfId="3" applyNumberFormat="1" applyFont="1" applyAlignment="1">
      <alignment horizontal="center" vertical="center"/>
    </xf>
    <xf numFmtId="49" fontId="1" fillId="0" borderId="0" xfId="3" applyNumberFormat="1" applyFont="1" applyAlignment="1">
      <alignment horizontal="center" vertical="center"/>
    </xf>
    <xf numFmtId="14" fontId="1" fillId="0" borderId="0" xfId="3" applyNumberFormat="1" applyFont="1" applyAlignment="1">
      <alignment horizontal="left" vertical="center"/>
    </xf>
    <xf numFmtId="4" fontId="1" fillId="0" borderId="0" xfId="3" applyNumberFormat="1" applyFont="1" applyAlignment="1">
      <alignment horizontal="center" vertical="center"/>
    </xf>
    <xf numFmtId="164" fontId="1" fillId="0" borderId="0" xfId="3" applyNumberFormat="1" applyFont="1" applyAlignment="1">
      <alignment horizontal="center" vertical="center"/>
    </xf>
    <xf numFmtId="49" fontId="3" fillId="0" borderId="1" xfId="3" applyNumberFormat="1" applyFont="1" applyBorder="1" applyAlignment="1">
      <alignment horizontal="center" vertical="center" wrapText="1"/>
    </xf>
    <xf numFmtId="0" fontId="3" fillId="0" borderId="1" xfId="3" applyNumberFormat="1" applyFont="1" applyBorder="1" applyAlignment="1">
      <alignment horizontal="center" vertical="center" wrapText="1"/>
    </xf>
    <xf numFmtId="165" fontId="3" fillId="0" borderId="1" xfId="3" applyNumberFormat="1" applyFont="1" applyBorder="1" applyAlignment="1">
      <alignment horizontal="center" vertical="center" wrapText="1"/>
    </xf>
    <xf numFmtId="0" fontId="3" fillId="0" borderId="1" xfId="3" applyNumberFormat="1" applyFont="1" applyFill="1" applyBorder="1" applyAlignment="1">
      <alignment horizontal="center" vertical="center" wrapText="1"/>
    </xf>
    <xf numFmtId="9" fontId="3" fillId="0" borderId="1" xfId="3" applyNumberFormat="1" applyFont="1" applyBorder="1" applyAlignment="1">
      <alignment horizontal="center" vertical="center" wrapText="1"/>
    </xf>
    <xf numFmtId="49" fontId="1" fillId="0" borderId="1" xfId="3" applyNumberFormat="1" applyFont="1" applyBorder="1" applyAlignment="1">
      <alignment horizontal="center" vertical="center"/>
    </xf>
    <xf numFmtId="0" fontId="1" fillId="0" borderId="1" xfId="3" applyNumberFormat="1" applyFont="1" applyBorder="1" applyAlignment="1">
      <alignment horizontal="left" vertical="center"/>
    </xf>
    <xf numFmtId="0" fontId="1" fillId="0" borderId="1" xfId="3" applyNumberFormat="1" applyFont="1" applyBorder="1" applyAlignment="1">
      <alignment horizontal="center" vertical="center"/>
    </xf>
    <xf numFmtId="9" fontId="1" fillId="0" borderId="1" xfId="3" applyNumberFormat="1" applyFont="1" applyBorder="1" applyAlignment="1">
      <alignment horizontal="center" vertical="center"/>
    </xf>
    <xf numFmtId="14" fontId="1" fillId="0" borderId="1" xfId="3" applyNumberFormat="1" applyFont="1" applyBorder="1" applyAlignment="1">
      <alignment horizontal="center" vertical="center"/>
    </xf>
    <xf numFmtId="0" fontId="0" fillId="4" borderId="19" xfId="0" applyFill="1" applyBorder="1"/>
    <xf numFmtId="0" fontId="0" fillId="4" borderId="20" xfId="0" applyFill="1" applyBorder="1"/>
    <xf numFmtId="0" fontId="0" fillId="4" borderId="2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8" xfId="0" applyFill="1" applyBorder="1"/>
    <xf numFmtId="168" fontId="1" fillId="0" borderId="1" xfId="3" applyNumberFormat="1" applyFont="1" applyBorder="1" applyAlignment="1">
      <alignment vertical="center"/>
    </xf>
    <xf numFmtId="0" fontId="13" fillId="0" borderId="1" xfId="5" applyFont="1" applyBorder="1" applyAlignment="1">
      <alignment horizontal="center"/>
    </xf>
    <xf numFmtId="166" fontId="0" fillId="0" borderId="0" xfId="0" applyNumberFormat="1" applyAlignment="1">
      <alignment horizontal="center"/>
    </xf>
    <xf numFmtId="0" fontId="14" fillId="0" borderId="0" xfId="0" applyFont="1"/>
    <xf numFmtId="0" fontId="0" fillId="0" borderId="0" xfId="0" applyAlignment="1">
      <alignment horizontal="center"/>
    </xf>
    <xf numFmtId="0" fontId="0" fillId="9" borderId="4" xfId="0" applyFill="1" applyBorder="1"/>
    <xf numFmtId="0" fontId="1" fillId="0" borderId="0" xfId="0" applyFont="1" applyAlignment="1"/>
    <xf numFmtId="0" fontId="21" fillId="0" borderId="0" xfId="0" applyFont="1"/>
    <xf numFmtId="1" fontId="0" fillId="0" borderId="0" xfId="0" applyNumberFormat="1"/>
    <xf numFmtId="0" fontId="3" fillId="0" borderId="0" xfId="0" applyFont="1" applyAlignment="1">
      <alignment horizontal="center"/>
    </xf>
    <xf numFmtId="0" fontId="23" fillId="0" borderId="0" xfId="0" applyFont="1" applyAlignment="1">
      <alignment horizontal="right"/>
    </xf>
    <xf numFmtId="0" fontId="22" fillId="4" borderId="4" xfId="0" applyFont="1" applyFill="1" applyBorder="1" applyAlignment="1">
      <alignment horizontal="center"/>
    </xf>
    <xf numFmtId="166" fontId="0" fillId="0" borderId="0" xfId="0" applyNumberFormat="1"/>
    <xf numFmtId="0" fontId="21" fillId="0" borderId="0" xfId="0" applyFont="1" applyAlignment="1">
      <alignment horizontal="left" indent="2"/>
    </xf>
    <xf numFmtId="0" fontId="24" fillId="10" borderId="1" xfId="5" applyFont="1" applyFill="1" applyBorder="1" applyAlignment="1">
      <alignment horizontal="center" vertical="center" wrapText="1"/>
    </xf>
    <xf numFmtId="0" fontId="1" fillId="0" borderId="1" xfId="2" applyFont="1" applyBorder="1" applyAlignment="1">
      <alignment horizontal="center" vertical="center"/>
    </xf>
    <xf numFmtId="0" fontId="0" fillId="0" borderId="24" xfId="0" applyBorder="1"/>
    <xf numFmtId="0" fontId="0" fillId="0" borderId="25" xfId="0" applyBorder="1"/>
    <xf numFmtId="0" fontId="0" fillId="0" borderId="25" xfId="0" applyNumberFormat="1" applyBorder="1"/>
    <xf numFmtId="0" fontId="0" fillId="0" borderId="26" xfId="0" applyNumberFormat="1" applyBorder="1"/>
    <xf numFmtId="0" fontId="0" fillId="0" borderId="0" xfId="0" applyAlignment="1">
      <alignment horizontal="center"/>
    </xf>
    <xf numFmtId="0" fontId="1" fillId="0" borderId="1" xfId="2" applyFont="1" applyBorder="1" applyAlignment="1">
      <alignment horizontal="center" vertical="center"/>
    </xf>
    <xf numFmtId="0" fontId="0" fillId="0" borderId="1" xfId="2" applyFont="1" applyBorder="1" applyAlignment="1">
      <alignment horizontal="center" vertical="center"/>
    </xf>
    <xf numFmtId="0" fontId="0" fillId="0" borderId="1" xfId="2" applyNumberFormat="1" applyFont="1" applyBorder="1" applyAlignment="1">
      <alignment horizontal="left" vertical="center" wrapText="1"/>
    </xf>
    <xf numFmtId="170" fontId="1" fillId="0" borderId="1" xfId="2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169" fontId="1" fillId="0" borderId="17" xfId="2" applyNumberFormat="1" applyFont="1" applyBorder="1" applyAlignment="1">
      <alignment horizontal="left"/>
    </xf>
    <xf numFmtId="0" fontId="1" fillId="0" borderId="1" xfId="2" applyFont="1" applyBorder="1" applyAlignment="1">
      <alignment horizontal="center" vertical="center"/>
    </xf>
    <xf numFmtId="0" fontId="1" fillId="0" borderId="1" xfId="2" applyNumberFormat="1" applyFont="1" applyFill="1" applyBorder="1" applyAlignment="1">
      <alignment horizontal="center" vertical="center" wrapText="1"/>
    </xf>
  </cellXfs>
  <cellStyles count="6">
    <cellStyle name="Обычный" xfId="0" builtinId="0"/>
    <cellStyle name="Обычный_2012-01-01_ПрофСуж_МБК (значения)" xfId="2"/>
    <cellStyle name="Обычный_2013-06-03_16-39-27_RVPS_1" xfId="3"/>
    <cellStyle name="Обычный_Форма 2 (данные по 254-П от подр) new" xfId="4"/>
    <cellStyle name="Обычный_Шаблон для 115-Ф" xfId="5"/>
    <cellStyle name="Стиль 1" xfId="1"/>
  </cellStyles>
  <dxfs count="3">
    <dxf>
      <font>
        <strike val="0"/>
        <color rgb="FFFF000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F$1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O$1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fmlaLink="$G$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47625</xdr:rowOff>
        </xdr:from>
        <xdr:to>
          <xdr:col>4</xdr:col>
          <xdr:colOff>533400</xdr:colOff>
          <xdr:row>1</xdr:row>
          <xdr:rowOff>104775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- отчетная дата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0</xdr:row>
          <xdr:rowOff>38100</xdr:rowOff>
        </xdr:from>
        <xdr:to>
          <xdr:col>7</xdr:col>
          <xdr:colOff>695325</xdr:colOff>
          <xdr:row>1</xdr:row>
          <xdr:rowOff>114300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Выгрузить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47625</xdr:rowOff>
        </xdr:from>
        <xdr:to>
          <xdr:col>14</xdr:col>
          <xdr:colOff>2009775</xdr:colOff>
          <xdr:row>1</xdr:row>
          <xdr:rowOff>123825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Подготовить проф. суждения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0</xdr:row>
          <xdr:rowOff>47625</xdr:rowOff>
        </xdr:from>
        <xdr:to>
          <xdr:col>15</xdr:col>
          <xdr:colOff>1171575</xdr:colOff>
          <xdr:row>1</xdr:row>
          <xdr:rowOff>123825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115-Ф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</xdr:row>
          <xdr:rowOff>133350</xdr:rowOff>
        </xdr:from>
        <xdr:to>
          <xdr:col>14</xdr:col>
          <xdr:colOff>295275</xdr:colOff>
          <xdr:row>3</xdr:row>
          <xdr:rowOff>38100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0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 лист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0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Форматирование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0</xdr:col>
          <xdr:colOff>1476375</xdr:colOff>
          <xdr:row>0</xdr:row>
          <xdr:rowOff>314325</xdr:rowOff>
        </xdr:to>
        <xdr:sp macro="" textlink="">
          <xdr:nvSpPr>
            <xdr:cNvPr id="6179" name="Button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38100</xdr:rowOff>
        </xdr:from>
        <xdr:to>
          <xdr:col>14</xdr:col>
          <xdr:colOff>1009650</xdr:colOff>
          <xdr:row>0</xdr:row>
          <xdr:rowOff>314325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СОРТИРОВАТЬ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0</xdr:row>
          <xdr:rowOff>333375</xdr:rowOff>
        </xdr:from>
        <xdr:to>
          <xdr:col>5</xdr:col>
          <xdr:colOff>600075</xdr:colOff>
          <xdr:row>2</xdr:row>
          <xdr:rowOff>38100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Вацик Вячеслав Анатольевич" refreshedDate="42654.62887685185" createdVersion="4" refreshedVersion="4" minRefreshableVersion="3" recordCount="2964">
  <cacheSource type="worksheet">
    <worksheetSource ref="A5:AA2969" sheet="Классификация КС"/>
  </cacheSource>
  <cacheFields count="27">
    <cacheField name="cid" numFmtId="0">
      <sharedItems containsBlank="1" containsMixedTypes="1" containsNumber="1" containsInteger="1" minValue="1" maxValue="8162" count="793">
        <s v="&lt;&gt;"/>
        <n v="52"/>
        <n v="77"/>
        <n v="89"/>
        <n v="100"/>
        <n v="104"/>
        <n v="119"/>
        <n v="124"/>
        <n v="146"/>
        <n v="158"/>
        <n v="164"/>
        <n v="201"/>
        <n v="267"/>
        <n v="319"/>
        <n v="329"/>
        <n v="331"/>
        <n v="343"/>
        <n v="347"/>
        <n v="348"/>
        <n v="351"/>
        <n v="364"/>
        <n v="388"/>
        <n v="406"/>
        <n v="415"/>
        <n v="435"/>
        <n v="449"/>
        <n v="455"/>
        <n v="457"/>
        <n v="460"/>
        <n v="490"/>
        <n v="497"/>
        <n v="541"/>
        <n v="585"/>
        <n v="664"/>
        <n v="686"/>
        <n v="722"/>
        <n v="752"/>
        <n v="809"/>
        <n v="900"/>
        <n v="912"/>
        <n v="991"/>
        <n v="1019"/>
        <n v="1034"/>
        <n v="1042"/>
        <n v="1044"/>
        <n v="1051"/>
        <n v="1222"/>
        <n v="1241"/>
        <n v="1283"/>
        <n v="1286"/>
        <n v="1343"/>
        <n v="1360"/>
        <n v="1368"/>
        <n v="1407"/>
        <n v="1449"/>
        <n v="1492"/>
        <n v="1568"/>
        <n v="1610"/>
        <n v="1712"/>
        <n v="1766"/>
        <n v="1854"/>
        <n v="1859"/>
        <n v="1870"/>
        <n v="1873"/>
        <n v="1879"/>
        <n v="1947"/>
        <n v="2039"/>
        <n v="2046"/>
        <n v="2058"/>
        <n v="2078"/>
        <n v="2091"/>
        <n v="2104"/>
        <n v="2148"/>
        <n v="2173"/>
        <n v="2174"/>
        <n v="2180"/>
        <n v="2221"/>
        <n v="2324"/>
        <n v="2341"/>
        <n v="2375"/>
        <n v="2404"/>
        <n v="2420"/>
        <n v="2437"/>
        <n v="2457"/>
        <n v="2460"/>
        <n v="2486"/>
        <n v="2490"/>
        <n v="2491"/>
        <n v="2516"/>
        <n v="2517"/>
        <n v="2652"/>
        <n v="2669"/>
        <n v="2686"/>
        <n v="2697"/>
        <n v="2712"/>
        <n v="2718"/>
        <n v="2730"/>
        <n v="2736"/>
        <n v="2788"/>
        <n v="2803"/>
        <n v="2850"/>
        <n v="2852"/>
        <n v="2909"/>
        <n v="2983"/>
        <n v="2996"/>
        <n v="3000"/>
        <n v="3009"/>
        <n v="3010"/>
        <n v="3044"/>
        <n v="3070"/>
        <n v="3073"/>
        <n v="3075"/>
        <n v="3091"/>
        <n v="3169"/>
        <n v="3171"/>
        <n v="3177"/>
        <n v="3185"/>
        <n v="3216"/>
        <n v="3262"/>
        <n v="3271"/>
        <n v="3274"/>
        <n v="3279"/>
        <n v="3282"/>
        <n v="3297"/>
        <n v="3322"/>
        <n v="3328"/>
        <n v="3351"/>
        <n v="3365"/>
        <n v="3376"/>
        <n v="3389"/>
        <n v="3467"/>
        <n v="3480"/>
        <n v="3495"/>
        <n v="3546"/>
        <n v="3584"/>
        <n v="3592"/>
        <n v="3599"/>
        <n v="3604"/>
        <n v="3616"/>
        <n v="3617"/>
        <n v="3624"/>
        <n v="3629"/>
        <n v="3644"/>
        <n v="3663"/>
        <n v="3677"/>
        <n v="3686"/>
        <n v="3718"/>
        <n v="3727"/>
        <n v="3731"/>
        <n v="3816"/>
        <n v="3822"/>
        <n v="3861"/>
        <n v="3880"/>
        <n v="3896"/>
        <n v="3909"/>
        <n v="3998"/>
        <n v="4007"/>
        <n v="4012"/>
        <n v="4056"/>
        <n v="4144"/>
        <n v="4200"/>
        <n v="4204"/>
        <n v="4234"/>
        <n v="4249"/>
        <n v="4290"/>
        <n v="4291"/>
        <n v="4293"/>
        <n v="4295"/>
        <n v="4306"/>
        <n v="4342"/>
        <n v="4351"/>
        <n v="4362"/>
        <n v="4372"/>
        <n v="4380"/>
        <n v="4390"/>
        <n v="4406"/>
        <n v="4414"/>
        <n v="4424"/>
        <n v="4438"/>
        <n v="4469"/>
        <n v="4484"/>
        <n v="4490"/>
        <n v="4496"/>
        <n v="4505"/>
        <n v="4521"/>
        <n v="4523"/>
        <n v="4524"/>
        <n v="4558"/>
        <n v="4575"/>
        <n v="4581"/>
        <n v="4597"/>
        <n v="4601"/>
        <n v="4633"/>
        <n v="4642"/>
        <n v="4651"/>
        <n v="4695"/>
        <n v="4741"/>
        <n v="4752"/>
        <n v="4768"/>
        <n v="4778"/>
        <n v="4792"/>
        <n v="4814"/>
        <n v="4821"/>
        <n v="4827"/>
        <n v="4864"/>
        <n v="4876"/>
        <n v="4887"/>
        <n v="4893"/>
        <n v="4894"/>
        <n v="4896"/>
        <n v="4934"/>
        <n v="4944"/>
        <n v="4958"/>
        <n v="4961"/>
        <n v="4966"/>
        <n v="4971"/>
        <n v="4986"/>
        <n v="4988"/>
        <n v="4989"/>
        <n v="4990"/>
        <n v="4994"/>
        <n v="5026"/>
        <n v="5039"/>
        <n v="5041"/>
        <n v="5046"/>
        <n v="5049"/>
        <n v="5065"/>
        <n v="5070"/>
        <n v="5073"/>
        <n v="5084"/>
        <n v="5087"/>
        <n v="5089"/>
        <n v="5092"/>
        <n v="5095"/>
        <n v="5097"/>
        <n v="5113"/>
        <n v="5123"/>
        <n v="5126"/>
        <n v="5133"/>
        <n v="5135"/>
        <n v="5138"/>
        <n v="5145"/>
        <n v="5147"/>
        <n v="5161"/>
        <n v="5182"/>
        <n v="5199"/>
        <n v="5206"/>
        <n v="5208"/>
        <n v="5210"/>
        <n v="5216"/>
        <n v="5220"/>
        <n v="5254"/>
        <n v="5255"/>
        <n v="5257"/>
        <n v="5258"/>
        <n v="5259"/>
        <n v="5260"/>
        <n v="5265"/>
        <n v="5278"/>
        <n v="5289"/>
        <n v="5308"/>
        <n v="5313"/>
        <n v="5325"/>
        <n v="5326"/>
        <n v="5333"/>
        <n v="5335"/>
        <n v="5336"/>
        <n v="5337"/>
        <n v="5339"/>
        <n v="5342"/>
        <n v="5347"/>
        <n v="5348"/>
        <n v="5354"/>
        <n v="5357"/>
        <n v="5373"/>
        <n v="5380"/>
        <n v="5384"/>
        <n v="5398"/>
        <n v="5400"/>
        <n v="5408"/>
        <n v="5412"/>
        <n v="5414"/>
        <n v="5415"/>
        <n v="5416"/>
        <n v="5421"/>
        <n v="5422"/>
        <n v="5433"/>
        <n v="5434"/>
        <n v="5436"/>
        <n v="5458"/>
        <n v="5462"/>
        <n v="5479"/>
        <n v="5496"/>
        <n v="5500"/>
        <n v="5501"/>
        <n v="5503"/>
        <n v="5504"/>
        <n v="5505"/>
        <n v="5506"/>
        <n v="5511"/>
        <n v="5520"/>
        <n v="5535"/>
        <n v="5544"/>
        <n v="5571"/>
        <n v="5572"/>
        <n v="5573"/>
        <n v="5577"/>
        <n v="5580"/>
        <n v="5581"/>
        <n v="5591"/>
        <n v="5600"/>
        <n v="5603"/>
        <n v="5607"/>
        <n v="5615"/>
        <n v="5625"/>
        <n v="5626"/>
        <n v="5627"/>
        <n v="5646"/>
        <n v="5652"/>
        <n v="5653"/>
        <n v="5659"/>
        <n v="5665"/>
        <n v="5669"/>
        <n v="5670"/>
        <n v="5671"/>
        <n v="5672"/>
        <n v="5682"/>
        <n v="5705"/>
        <n v="5709"/>
        <n v="5712"/>
        <n v="5714"/>
        <n v="5715"/>
        <n v="5717"/>
        <n v="5718"/>
        <n v="5723"/>
        <n v="5724"/>
        <n v="5726"/>
        <n v="5739"/>
        <n v="5743"/>
        <n v="5744"/>
        <n v="5745"/>
        <n v="5748"/>
        <n v="5770"/>
        <n v="5782"/>
        <n v="5784"/>
        <n v="5785"/>
        <n v="5786"/>
        <n v="5794"/>
        <n v="5801"/>
        <n v="5818"/>
        <n v="5823"/>
        <n v="5824"/>
        <n v="5829"/>
        <n v="5852"/>
        <n v="5860"/>
        <n v="5861"/>
        <n v="5862"/>
        <n v="5865"/>
        <n v="5867"/>
        <n v="5870"/>
        <n v="5874"/>
        <n v="5882"/>
        <n v="5894"/>
        <n v="5904"/>
        <n v="5922"/>
        <n v="5923"/>
        <n v="5928"/>
        <n v="5932"/>
        <n v="5942"/>
        <n v="5943"/>
        <n v="5946"/>
        <n v="5958"/>
        <n v="5959"/>
        <n v="5960"/>
        <n v="5965"/>
        <n v="5976"/>
        <n v="5981"/>
        <n v="5983"/>
        <n v="6000"/>
        <n v="6010"/>
        <n v="6012"/>
        <n v="6013"/>
        <n v="6020"/>
        <n v="6026"/>
        <n v="6038"/>
        <n v="6041"/>
        <n v="6042"/>
        <n v="6046"/>
        <n v="6052"/>
        <n v="6055"/>
        <n v="6068"/>
        <n v="6076"/>
        <n v="6078"/>
        <n v="6088"/>
        <n v="6091"/>
        <n v="6098"/>
        <n v="6099"/>
        <n v="6105"/>
        <n v="6112"/>
        <n v="6124"/>
        <n v="6125"/>
        <n v="6131"/>
        <n v="6132"/>
        <n v="6133"/>
        <n v="6135"/>
        <n v="6142"/>
        <n v="6144"/>
        <n v="6160"/>
        <n v="6202"/>
        <n v="6205"/>
        <n v="6210"/>
        <n v="6214"/>
        <n v="6216"/>
        <n v="6222"/>
        <n v="6223"/>
        <n v="6224"/>
        <n v="6226"/>
        <n v="6228"/>
        <n v="6241"/>
        <n v="6244"/>
        <n v="6268"/>
        <n v="6292"/>
        <n v="6311"/>
        <n v="6312"/>
        <n v="6315"/>
        <n v="6322"/>
        <n v="6329"/>
        <n v="6345"/>
        <n v="6353"/>
        <n v="6354"/>
        <n v="6356"/>
        <n v="6357"/>
        <n v="6359"/>
        <n v="6364"/>
        <n v="6370"/>
        <n v="6372"/>
        <n v="6383"/>
        <n v="6393"/>
        <n v="6395"/>
        <n v="6396"/>
        <n v="6413"/>
        <n v="6414"/>
        <n v="6415"/>
        <n v="6416"/>
        <n v="6420"/>
        <n v="6427"/>
        <n v="6449"/>
        <n v="6450"/>
        <n v="6451"/>
        <n v="6461"/>
        <n v="6465"/>
        <n v="6469"/>
        <n v="6476"/>
        <n v="6477"/>
        <n v="6479"/>
        <n v="6485"/>
        <n v="6490"/>
        <n v="6491"/>
        <n v="6515"/>
        <n v="6516"/>
        <n v="6518"/>
        <n v="6528"/>
        <n v="6536"/>
        <n v="6538"/>
        <n v="6548"/>
        <n v="6550"/>
        <n v="6554"/>
        <n v="6562"/>
        <n v="6568"/>
        <n v="6570"/>
        <n v="6573"/>
        <n v="6577"/>
        <n v="6578"/>
        <n v="6580"/>
        <n v="6582"/>
        <n v="6583"/>
        <n v="6584"/>
        <n v="6585"/>
        <n v="6589"/>
        <n v="6605"/>
        <n v="6613"/>
        <n v="6615"/>
        <n v="6618"/>
        <n v="6624"/>
        <n v="6626"/>
        <n v="6627"/>
        <n v="6629"/>
        <n v="6630"/>
        <n v="6631"/>
        <n v="6632"/>
        <n v="6633"/>
        <n v="6635"/>
        <n v="6637"/>
        <n v="6640"/>
        <n v="6642"/>
        <n v="6644"/>
        <n v="6645"/>
        <n v="6646"/>
        <n v="6647"/>
        <n v="6662"/>
        <n v="6672"/>
        <n v="6674"/>
        <n v="6685"/>
        <n v="6686"/>
        <n v="6691"/>
        <n v="6692"/>
        <n v="6696"/>
        <n v="6697"/>
        <n v="6705"/>
        <n v="6706"/>
        <n v="6715"/>
        <n v="6716"/>
        <n v="6719"/>
        <n v="6728"/>
        <n v="6737"/>
        <n v="6742"/>
        <n v="6745"/>
        <n v="6750"/>
        <n v="6775"/>
        <n v="6803"/>
        <n v="6804"/>
        <n v="6809"/>
        <n v="6812"/>
        <n v="6813"/>
        <n v="6814"/>
        <n v="6815"/>
        <n v="6816"/>
        <n v="6817"/>
        <n v="6819"/>
        <n v="6820"/>
        <n v="6822"/>
        <n v="6823"/>
        <n v="6826"/>
        <n v="6833"/>
        <n v="6834"/>
        <n v="6836"/>
        <n v="6840"/>
        <n v="6842"/>
        <n v="6843"/>
        <n v="6847"/>
        <n v="6849"/>
        <n v="6852"/>
        <n v="6853"/>
        <n v="6854"/>
        <n v="6859"/>
        <n v="6860"/>
        <n v="6861"/>
        <n v="6862"/>
        <n v="6879"/>
        <n v="6884"/>
        <n v="6891"/>
        <n v="6893"/>
        <n v="6894"/>
        <n v="6895"/>
        <n v="6903"/>
        <n v="6908"/>
        <n v="6913"/>
        <n v="6915"/>
        <n v="6916"/>
        <n v="6924"/>
        <n v="6941"/>
        <n v="6945"/>
        <n v="6951"/>
        <n v="6956"/>
        <n v="6958"/>
        <n v="6960"/>
        <n v="6961"/>
        <n v="6970"/>
        <n v="6972"/>
        <n v="6980"/>
        <n v="6981"/>
        <n v="6984"/>
        <n v="6987"/>
        <n v="6993"/>
        <n v="7257"/>
        <n v="7285"/>
        <n v="7321"/>
        <n v="7376"/>
        <n v="7385"/>
        <n v="7386"/>
        <n v="7455"/>
        <n v="7486"/>
        <n v="7500"/>
        <n v="7507"/>
        <n v="7508"/>
        <n v="7509"/>
        <n v="7517"/>
        <n v="7519"/>
        <n v="7536"/>
        <n v="7538"/>
        <n v="7544"/>
        <n v="7573"/>
        <n v="7580"/>
        <n v="7590"/>
        <n v="7593"/>
        <n v="7596"/>
        <n v="7640"/>
        <n v="7655"/>
        <n v="7686"/>
        <n v="7693"/>
        <n v="7710"/>
        <n v="7713"/>
        <n v="7716"/>
        <n v="7727"/>
        <n v="7741"/>
        <n v="7745"/>
        <n v="7750"/>
        <n v="7757"/>
        <n v="7762"/>
        <n v="7765"/>
        <n v="7773"/>
        <n v="7781"/>
        <n v="7787"/>
        <n v="7792"/>
        <n v="7813"/>
        <n v="7852"/>
        <n v="7886"/>
        <n v="7918"/>
        <n v="8001"/>
        <n v="8003"/>
        <n v="8005"/>
        <n v="8011"/>
        <n v="8014"/>
        <n v="8022"/>
        <n v="8026"/>
        <n v="8057"/>
        <n v="8058"/>
        <n v="8061"/>
        <n v="8065"/>
        <n v="8066"/>
        <n v="8067"/>
        <n v="8068"/>
        <n v="8074"/>
        <n v="8075"/>
        <n v="8088"/>
        <n v="8119"/>
        <n v="8141"/>
        <n v="8148"/>
        <n v="8157"/>
        <m/>
        <n v="6487" u="1"/>
        <n v="94" u="1"/>
        <n v="6881" u="1"/>
        <n v="6818" u="1"/>
        <n v="86" u="1"/>
        <n v="4872" u="1"/>
        <n v="5526" u="1"/>
        <n v="1186" u="1"/>
        <n v="910" u="1"/>
        <n v="3456" u="1"/>
        <n v="4770" u="1"/>
        <n v="5747" u="1"/>
        <n v="5487" u="1"/>
        <n v="7701" u="1"/>
        <n v="3980" u="1"/>
        <n v="111" u="1"/>
        <n v="1" u="1"/>
        <n v="2684" u="1"/>
        <n v="2621" u="1"/>
        <n v="4400" u="1"/>
        <n v="6811" u="1"/>
        <n v="6291" u="1"/>
        <n v="8048" u="1"/>
        <n v="6748" u="1"/>
        <n v="6102" u="1"/>
        <n v="87" u="1"/>
        <n v="6827" u="1"/>
        <n v="6378" u="1"/>
        <n v="1076" u="1"/>
        <n v="5157" u="1"/>
        <n v="6394" u="1"/>
        <n v="6331" u="1"/>
        <n v="1728" u="1"/>
        <n v="1338" u="1"/>
        <n v="4125" u="1"/>
        <n v="5362" u="1"/>
        <n v="5756" u="1"/>
        <n v="4787" u="1"/>
        <n v="5701" u="1"/>
        <n v="3760" u="1"/>
        <n v="4921" u="1"/>
        <n v="6552" u="1"/>
        <n v="924" u="1"/>
        <n v="5331" u="1"/>
        <n v="5788" u="1"/>
        <n v="2275" u="1"/>
        <n v="5993" u="1"/>
        <n v="5938" u="1"/>
        <n v="2220" u="1"/>
        <n v="4835" u="1"/>
        <n v="539" u="1"/>
        <n v="6143" u="1"/>
        <n v="493" u="1"/>
        <n v="7577" u="1"/>
        <n v="5568" u="1"/>
        <n v="6545" u="1"/>
        <n v="196" u="1"/>
        <n v="131" u="1"/>
        <n v="2496" u="1"/>
        <n v="803" u="1"/>
        <n v="81" u="1"/>
        <n v="6569" u="1"/>
        <n v="268" u="1"/>
        <n v="6774" u="1"/>
        <n v="36" u="1"/>
        <n v="2445" u="1"/>
        <n v="6845" u="1"/>
        <n v="2185" u="1"/>
        <n v="122" u="1"/>
        <n v="165" u="1"/>
        <n v="2386" u="1"/>
        <n v="6467" u="1"/>
        <n v="6404" u="1"/>
        <n v="106" u="1"/>
        <n v="400" u="1"/>
        <n v="4789" u="1"/>
        <n v="4466" u="1"/>
        <n v="133" u="1"/>
        <n v="433" u="1"/>
        <n v="6365" u="1"/>
        <n v="943" u="1"/>
        <n v="6192" u="1"/>
        <n v="4120" u="1"/>
        <n v="61" u="1"/>
        <n v="3135" u="1"/>
        <n v="2615" u="1"/>
        <n v="8162" u="1"/>
        <n v="57" u="1"/>
        <n v="8036" u="1"/>
        <n v="2879" u="1"/>
        <n v="14" u="1"/>
        <n v="6744" u="1"/>
        <n v="99" u="1"/>
        <n v="6752" u="1"/>
        <n v="45" u="1"/>
        <n v="5200" u="1"/>
        <n v="8131" u="1"/>
        <n v="471" u="1"/>
        <n v="5602" u="1"/>
        <n v="5413" u="1"/>
        <n v="9" u="1"/>
        <n v="1987" u="1"/>
        <n v="1727" u="1"/>
        <n v="5941" u="1"/>
        <n v="4641" u="1"/>
        <n v="6398" u="1"/>
        <n v="6138" u="1"/>
        <n v="6855" u="1"/>
        <n v="6792" u="1"/>
        <n v="1079" u="1"/>
        <n v="6863" u="1"/>
        <n v="1731" u="1"/>
        <n v="108" u="1"/>
        <n v="6997" u="1"/>
        <n v="137" u="1"/>
        <n v="6808" u="1"/>
        <n v="4925" u="1"/>
        <n v="3443" u="1"/>
        <n v="6824" u="1"/>
        <n v="2403" u="1"/>
        <n v="6375" u="1"/>
        <n v="8132" u="1"/>
        <n v="5666" u="1"/>
        <n v="138" u="1"/>
        <n v="252" u="1"/>
        <n v="4437" u="1"/>
        <n v="6793" u="1"/>
        <n v="58" u="1"/>
        <n v="6667" u="1"/>
        <n v="6801" u="1"/>
        <n v="6541" u="1"/>
        <n v="54" u="1"/>
        <n v="4054" u="1"/>
        <n v="5509" u="1"/>
        <n v="50" u="1"/>
        <n v="237" u="1"/>
        <n v="46" u="1"/>
        <n v="640" u="1"/>
        <n v="4674" u="1"/>
        <n v="4871" u="1"/>
        <n v="6959" u="1"/>
        <n v="156" u="1"/>
        <n v="6896" u="1"/>
        <n v="6707" u="1"/>
        <n v="1107" u="1"/>
        <n v="773" u="1"/>
        <n v="5738" u="1"/>
        <n v="5037" u="1"/>
        <n v="157" u="1"/>
        <n v="1958" u="1"/>
        <n v="6668" u="1"/>
        <n v="5628" u="1"/>
        <n v="6802" u="1"/>
      </sharedItems>
    </cacheField>
    <cacheField name="aid" numFmtId="0">
      <sharedItems containsBlank="1" containsMixedTypes="1" containsNumber="1" containsInteger="1" minValue="66" maxValue="100006961"/>
    </cacheField>
    <cacheField name="reg_acc" numFmtId="0">
      <sharedItems containsBlank="1"/>
    </cacheField>
    <cacheField name="sumOst" numFmtId="0">
      <sharedItems containsBlank="1" containsMixedTypes="1" containsNumber="1" minValue="1" maxValue="236127780868.79999"/>
    </cacheField>
    <cacheField name="NameAID" numFmtId="0">
      <sharedItems containsBlank="1"/>
    </cacheField>
    <cacheField name="TypeAid" numFmtId="0">
      <sharedItems containsNonDate="0" containsString="0" containsBlank="1"/>
    </cacheField>
    <cacheField name="DtOpen" numFmtId="0">
      <sharedItems containsNonDate="0" containsDate="1" containsString="0" containsBlank="1" minDate="2002-08-19T00:00:00" maxDate="2016-10-01T00:00:00"/>
    </cacheField>
    <cacheField name="DtClose" numFmtId="0">
      <sharedItems containsNonDate="0" containsString="0" containsBlank="1"/>
    </cacheField>
    <cacheField name="nDays" numFmtId="0">
      <sharedItems containsBlank="1"/>
    </cacheField>
    <cacheField name="FinSt" numFmtId="0">
      <sharedItems containsBlank="1" containsMixedTypes="1" containsNumber="1" minValue="0" maxValue="3"/>
    </cacheField>
    <cacheField name="OD" numFmtId="0">
      <sharedItems containsString="0" containsBlank="1" containsNumber="1" containsInteger="1" minValue="1" maxValue="3"/>
    </cacheField>
    <cacheField name="correct" numFmtId="0">
      <sharedItems containsString="0" containsBlank="1" containsNumber="1" containsInteger="1" minValue="-2" maxValue="0"/>
    </cacheField>
    <cacheField name="relCond" numFmtId="0">
      <sharedItems containsBlank="1"/>
    </cacheField>
    <cacheField name="CQ_tbl" numFmtId="0">
      <sharedItems containsBlank="1" containsMixedTypes="1" containsNumber="1" minValue="1" maxValue="5"/>
    </cacheField>
    <cacheField name="CQ_AID" numFmtId="0">
      <sharedItems containsBlank="1" containsMixedTypes="1" containsNumber="1" minValue="1" maxValue="5"/>
    </cacheField>
    <cacheField name="CQ_CID" numFmtId="0">
      <sharedItems containsBlank="1" containsMixedTypes="1" containsNumber="1" minValue="1" maxValue="5"/>
    </cacheField>
    <cacheField name="не учитывать при классификации клиента" numFmtId="0">
      <sharedItems containsString="0" containsBlank="1" containsNumber="1" containsInteger="1" minValue="0" maxValue="1"/>
    </cacheField>
    <cacheField name="1Pay" numFmtId="0">
      <sharedItems containsBlank="1" containsMixedTypes="1" containsNumber="1" containsInteger="1" minValue="0" maxValue="1"/>
    </cacheField>
    <cacheField name="аналог. ссуды с хор. ОД" numFmtId="0">
      <sharedItems containsBlank="1" containsMixedTypes="1" containsNumber="1" containsInteger="1" minValue="1" maxValue="1"/>
    </cacheField>
    <cacheField name="Dt1Pay" numFmtId="0">
      <sharedItems containsDate="1" containsBlank="1" containsMixedTypes="1" minDate="2000-01-01T00:00:00" maxDate="2500-01-02T00:00:00"/>
    </cacheField>
    <cacheField name="ODPros" numFmtId="0">
      <sharedItems containsBlank="1" containsMixedTypes="1" containsNumber="1" containsInteger="1" minValue="0" maxValue="1754"/>
    </cacheField>
    <cacheField name="DtLastPr" numFmtId="0">
      <sharedItems containsBlank="1"/>
    </cacheField>
    <cacheField name="Rest" numFmtId="0">
      <sharedItems containsBlank="1" containsMixedTypes="1" containsNumber="1" containsInteger="1" minValue="0" maxValue="2"/>
    </cacheField>
    <cacheField name="PayPrevAID" numFmtId="0">
      <sharedItems containsBlank="1" containsMixedTypes="1" containsNumber="1" containsInteger="1" minValue="0" maxValue="1"/>
    </cacheField>
    <cacheField name="Цели" numFmtId="0">
      <sharedItems containsBlank="1" containsMixedTypes="1" containsNumber="1" containsInteger="1" minValue="0" maxValue="1"/>
    </cacheField>
    <cacheField name="PayPrevAID2" numFmtId="0">
      <sharedItems containsBlank="1" containsMixedTypes="1" containsNumber="1" containsInteger="1" minValue="0" maxValue="1"/>
    </cacheField>
    <cacheField name="f-Stops2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64">
  <r>
    <x v="0"/>
    <s v="&lt;&gt;"/>
    <s v="&lt;&gt;"/>
    <s v="&lt;&gt;"/>
    <m/>
    <m/>
    <m/>
    <m/>
    <s v=" "/>
    <e v="#N/A"/>
    <n v="3"/>
    <n v="0"/>
    <m/>
    <e v="#N/A"/>
    <e v="#N/A"/>
    <e v="#N/A"/>
    <n v="0"/>
    <s v="&lt;&gt;"/>
    <s v="&lt;&gt;"/>
    <s v="&lt;&gt;"/>
    <s v="&lt;&gt;"/>
    <s v="&lt;&gt;"/>
    <s v="&lt;&gt;"/>
    <s v="&lt;&gt;"/>
    <s v="&lt;&gt;"/>
    <s v="&lt;&gt;"/>
    <s v="&lt;&gt;"/>
  </r>
  <r>
    <x v="1"/>
    <n v="1000052"/>
    <s v="32109978600210000004"/>
    <n v="346827.09"/>
    <m/>
    <m/>
    <m/>
    <m/>
    <m/>
    <n v="1"/>
    <n v="1"/>
    <m/>
    <m/>
    <n v="1"/>
    <n v="1"/>
    <n v="1"/>
    <n v="0"/>
    <m/>
    <m/>
    <m/>
    <n v="0"/>
    <m/>
    <m/>
    <m/>
    <m/>
    <m/>
    <m/>
  </r>
  <r>
    <x v="2"/>
    <n v="1000077"/>
    <s v="32107978300210000050"/>
    <n v="41179959000"/>
    <m/>
    <m/>
    <m/>
    <m/>
    <m/>
    <n v="1"/>
    <n v="1"/>
    <m/>
    <m/>
    <n v="1"/>
    <n v="1"/>
    <n v="1"/>
    <n v="0"/>
    <m/>
    <m/>
    <m/>
    <n v="0"/>
    <m/>
    <m/>
    <m/>
    <m/>
    <m/>
    <m/>
  </r>
  <r>
    <x v="3"/>
    <n v="9852"/>
    <s v="32109840900210000214"/>
    <n v="6315810000"/>
    <s v="700506121"/>
    <m/>
    <d v="2012-06-05T00:00:00"/>
    <m/>
    <m/>
    <n v="1"/>
    <n v="1"/>
    <n v="-1"/>
    <s v="0"/>
    <n v="1"/>
    <n v="1"/>
    <n v="1"/>
    <n v="0"/>
    <n v="1"/>
    <m/>
    <d v="2012-09-06T00:00:00"/>
    <n v="0"/>
    <m/>
    <m/>
    <m/>
    <m/>
    <m/>
    <m/>
  </r>
  <r>
    <x v="3"/>
    <n v="1000089"/>
    <s v="32103840100210005837"/>
    <n v="236127780868.79999"/>
    <m/>
    <m/>
    <m/>
    <m/>
    <m/>
    <n v="1"/>
    <n v="1"/>
    <m/>
    <m/>
    <n v="1"/>
    <n v="1"/>
    <n v="1"/>
    <n v="0"/>
    <m/>
    <m/>
    <m/>
    <n v="0"/>
    <m/>
    <m/>
    <m/>
    <m/>
    <m/>
    <m/>
  </r>
  <r>
    <x v="4"/>
    <n v="10000100"/>
    <s v="32103840450018000098"/>
    <n v="478053827.35000002"/>
    <m/>
    <m/>
    <m/>
    <m/>
    <m/>
    <n v="1"/>
    <n v="1"/>
    <m/>
    <m/>
    <n v="1"/>
    <n v="1"/>
    <n v="1"/>
    <n v="0"/>
    <m/>
    <m/>
    <m/>
    <n v="0"/>
    <m/>
    <m/>
    <m/>
    <m/>
    <m/>
    <m/>
  </r>
  <r>
    <x v="5"/>
    <n v="10000104"/>
    <s v="32003840700210001250"/>
    <n v="631581000"/>
    <m/>
    <m/>
    <m/>
    <m/>
    <m/>
    <n v="1"/>
    <n v="1"/>
    <m/>
    <m/>
    <n v="1"/>
    <n v="1"/>
    <n v="1"/>
    <n v="0"/>
    <m/>
    <m/>
    <m/>
    <n v="0"/>
    <m/>
    <m/>
    <m/>
    <m/>
    <m/>
    <m/>
  </r>
  <r>
    <x v="6"/>
    <n v="16699"/>
    <s v="47802840900210000001"/>
    <n v="37894860000"/>
    <s v="703009151 (уступка ПТ Банком Москвы)"/>
    <m/>
    <d v="2015-09-30T00:00:00"/>
    <m/>
    <m/>
    <n v="1"/>
    <n v="1"/>
    <m/>
    <m/>
    <n v="1"/>
    <n v="1"/>
    <n v="1"/>
    <n v="0"/>
    <n v="1"/>
    <m/>
    <d v="2015-10-30T00:00:00"/>
    <n v="0"/>
    <m/>
    <m/>
    <m/>
    <m/>
    <m/>
    <m/>
  </r>
  <r>
    <x v="6"/>
    <n v="10000119"/>
    <s v="32009840000210000007"/>
    <n v="7578972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7"/>
    <n v="1132"/>
    <s v="47802840900210000111"/>
    <n v="6315810000"/>
    <s v="701108081"/>
    <m/>
    <d v="2008-08-11T00:00:00"/>
    <m/>
    <m/>
    <n v="1"/>
    <n v="1"/>
    <m/>
    <m/>
    <n v="1"/>
    <n v="1"/>
    <n v="1"/>
    <n v="0"/>
    <n v="1"/>
    <m/>
    <d v="2008-09-26T00:00:00"/>
    <n v="0"/>
    <m/>
    <m/>
    <m/>
    <m/>
    <m/>
    <m/>
  </r>
  <r>
    <x v="7"/>
    <n v="1654"/>
    <s v="32009810500210000003"/>
    <n v="15000000000"/>
    <s v="502212081"/>
    <m/>
    <d v="2008-12-22T00:00:00"/>
    <m/>
    <m/>
    <n v="1"/>
    <n v="1"/>
    <m/>
    <m/>
    <n v="1"/>
    <n v="1"/>
    <n v="1"/>
    <n v="0"/>
    <n v="1"/>
    <m/>
    <d v="2008-12-31T00:00:00"/>
    <n v="0"/>
    <m/>
    <n v="0"/>
    <m/>
    <m/>
    <m/>
    <m/>
  </r>
  <r>
    <x v="7"/>
    <n v="14109"/>
    <s v="32009810000210000008"/>
    <n v="3000000000"/>
    <s v="502812111"/>
    <m/>
    <d v="2011-12-28T00:00:00"/>
    <m/>
    <m/>
    <n v="1"/>
    <n v="1"/>
    <m/>
    <m/>
    <n v="1"/>
    <n v="1"/>
    <n v="1"/>
    <n v="0"/>
    <n v="1"/>
    <m/>
    <d v="2011-12-30T00:00:00"/>
    <n v="0"/>
    <m/>
    <n v="0"/>
    <m/>
    <m/>
    <m/>
    <m/>
  </r>
  <r>
    <x v="7"/>
    <n v="10000124"/>
    <s v="32009810300210000009"/>
    <n v="63573544149.949997"/>
    <m/>
    <m/>
    <m/>
    <m/>
    <m/>
    <n v="1"/>
    <n v="1"/>
    <m/>
    <m/>
    <n v="1"/>
    <n v="1"/>
    <n v="1"/>
    <n v="0"/>
    <m/>
    <m/>
    <m/>
    <n v="0"/>
    <m/>
    <m/>
    <m/>
    <m/>
    <m/>
    <m/>
  </r>
  <r>
    <x v="8"/>
    <n v="10000146"/>
    <s v="32204840000210000161"/>
    <n v="29039314451.979996"/>
    <m/>
    <m/>
    <m/>
    <m/>
    <m/>
    <n v="1"/>
    <n v="1"/>
    <m/>
    <m/>
    <n v="1"/>
    <n v="1"/>
    <n v="1"/>
    <n v="0"/>
    <m/>
    <m/>
    <m/>
    <n v="0"/>
    <m/>
    <m/>
    <m/>
    <m/>
    <m/>
    <m/>
  </r>
  <r>
    <x v="9"/>
    <n v="8193"/>
    <s v="51407810000210000018"/>
    <n v="180572147.5"/>
    <s v="векселя_2012-11-26"/>
    <m/>
    <d v="2012-11-26T00:00:00"/>
    <m/>
    <m/>
    <n v="1"/>
    <n v="1"/>
    <m/>
    <m/>
    <n v="1"/>
    <n v="1"/>
    <n v="1"/>
    <n v="0"/>
    <n v="0"/>
    <m/>
    <d v="2500-01-01T00:00:00"/>
    <n v="0"/>
    <m/>
    <m/>
    <m/>
    <n v="0"/>
    <m/>
    <m/>
  </r>
  <r>
    <x v="10"/>
    <n v="10000164"/>
    <s v="32010810050010000001"/>
    <n v="950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11"/>
    <n v="10000201"/>
    <s v="32305156450018000409"/>
    <n v="30417.66"/>
    <m/>
    <m/>
    <m/>
    <m/>
    <m/>
    <n v="1"/>
    <n v="1"/>
    <m/>
    <m/>
    <n v="1"/>
    <n v="1"/>
    <n v="1"/>
    <n v="0"/>
    <m/>
    <m/>
    <m/>
    <n v="0"/>
    <m/>
    <m/>
    <m/>
    <m/>
    <m/>
    <m/>
  </r>
  <r>
    <x v="12"/>
    <n v="10000267"/>
    <s v="47408036400210000065"/>
    <n v="2422745000"/>
    <m/>
    <m/>
    <m/>
    <m/>
    <m/>
    <n v="1"/>
    <n v="1"/>
    <m/>
    <m/>
    <n v="1"/>
    <n v="1"/>
    <n v="1"/>
    <n v="0"/>
    <m/>
    <m/>
    <m/>
    <n v="0"/>
    <m/>
    <m/>
    <m/>
    <m/>
    <m/>
    <m/>
  </r>
  <r>
    <x v="13"/>
    <n v="17571"/>
    <s v="45207810855550000566"/>
    <n v="7000000000"/>
    <s v="3822"/>
    <m/>
    <d v="2016-02-11T00:00:00"/>
    <m/>
    <m/>
    <n v="2.1"/>
    <n v="1"/>
    <n v="-1"/>
    <s v="0"/>
    <n v="1.1000000000000001"/>
    <n v="1.1000000000000001"/>
    <n v="1.1000000000000001"/>
    <n v="0"/>
    <n v="1"/>
    <m/>
    <d v="2016-02-17T00:00:00"/>
    <n v="0"/>
    <m/>
    <m/>
    <m/>
    <m/>
    <m/>
    <m/>
  </r>
  <r>
    <x v="14"/>
    <n v="8008"/>
    <s v="45208840655550000188"/>
    <n v="22105335000"/>
    <s v="3058"/>
    <m/>
    <d v="2012-10-12T00:00:00"/>
    <m/>
    <m/>
    <n v="1"/>
    <n v="1"/>
    <m/>
    <m/>
    <n v="1"/>
    <n v="1"/>
    <n v="1"/>
    <n v="0"/>
    <n v="1"/>
    <m/>
    <d v="2012-10-12T00:00:00"/>
    <n v="0"/>
    <m/>
    <n v="0"/>
    <m/>
    <n v="0"/>
    <m/>
    <m/>
  </r>
  <r>
    <x v="14"/>
    <n v="8024"/>
    <s v="45208840955550000189"/>
    <n v="15789525000"/>
    <s v="3096"/>
    <m/>
    <d v="2012-10-17T00:00:00"/>
    <m/>
    <m/>
    <n v="1"/>
    <n v="1"/>
    <m/>
    <m/>
    <n v="1"/>
    <n v="1"/>
    <n v="1"/>
    <n v="0"/>
    <n v="1"/>
    <m/>
    <d v="2012-10-18T00:00:00"/>
    <n v="0"/>
    <m/>
    <n v="0"/>
    <m/>
    <n v="0"/>
    <m/>
    <m/>
  </r>
  <r>
    <x v="15"/>
    <n v="17170"/>
    <s v="45207978955550000049"/>
    <n v="4961761000"/>
    <s v="3727"/>
    <m/>
    <d v="2015-10-23T00:00:00"/>
    <m/>
    <m/>
    <n v="1"/>
    <n v="1"/>
    <m/>
    <m/>
    <n v="1"/>
    <n v="1"/>
    <n v="1"/>
    <n v="0"/>
    <n v="1"/>
    <m/>
    <d v="2015-12-01T00:00:00"/>
    <n v="0"/>
    <m/>
    <m/>
    <m/>
    <m/>
    <m/>
    <m/>
  </r>
  <r>
    <x v="16"/>
    <n v="10303"/>
    <s v="44607810055550000048"/>
    <n v="500000000"/>
    <s v="3395"/>
    <m/>
    <d v="2013-11-29T00:00:00"/>
    <m/>
    <m/>
    <n v="1"/>
    <n v="1"/>
    <m/>
    <m/>
    <n v="1"/>
    <n v="1"/>
    <n v="1"/>
    <n v="0"/>
    <n v="1"/>
    <m/>
    <d v="2013-12-03T00:00:00"/>
    <n v="0"/>
    <m/>
    <m/>
    <m/>
    <m/>
    <m/>
    <m/>
  </r>
  <r>
    <x v="16"/>
    <n v="10804"/>
    <s v="44607810355550000049"/>
    <n v="1500000000"/>
    <s v="3448"/>
    <m/>
    <d v="2014-01-24T00:00:00"/>
    <m/>
    <m/>
    <n v="1"/>
    <n v="1"/>
    <m/>
    <m/>
    <n v="1"/>
    <n v="1"/>
    <n v="1"/>
    <n v="0"/>
    <n v="1"/>
    <m/>
    <d v="2014-01-24T00:00:00"/>
    <n v="0"/>
    <m/>
    <m/>
    <m/>
    <m/>
    <m/>
    <m/>
  </r>
  <r>
    <x v="16"/>
    <n v="15212"/>
    <s v="44607810255550000055"/>
    <n v="2000000000"/>
    <s v="3687"/>
    <m/>
    <d v="2015-04-16T00:00:00"/>
    <m/>
    <m/>
    <n v="1"/>
    <n v="1"/>
    <m/>
    <m/>
    <n v="1"/>
    <n v="1"/>
    <n v="1"/>
    <n v="0"/>
    <n v="1"/>
    <m/>
    <d v="2015-04-20T00:00:00"/>
    <n v="0"/>
    <m/>
    <m/>
    <m/>
    <m/>
    <m/>
    <m/>
  </r>
  <r>
    <x v="17"/>
    <n v="14430"/>
    <s v="45812810850060000019"/>
    <n v="2043484515.97"/>
    <s v="гарантия 1808/2987-е"/>
    <m/>
    <d v="2014-12-31T00:00:00"/>
    <m/>
    <m/>
    <n v="3"/>
    <n v="3"/>
    <m/>
    <m/>
    <n v="5"/>
    <n v="5"/>
    <n v="5"/>
    <n v="0"/>
    <n v="1"/>
    <m/>
    <d v="2000-01-01T00:00:00"/>
    <n v="643"/>
    <m/>
    <m/>
    <m/>
    <m/>
    <m/>
    <m/>
  </r>
  <r>
    <x v="17"/>
    <n v="14431"/>
    <s v="45812810750060000025"/>
    <n v="2651989631.8800001"/>
    <s v="IGR11/MSHD/6765"/>
    <m/>
    <d v="2014-12-31T00:00:00"/>
    <m/>
    <m/>
    <n v="3"/>
    <n v="3"/>
    <m/>
    <m/>
    <n v="5"/>
    <n v="5"/>
    <n v="5"/>
    <n v="0"/>
    <n v="1"/>
    <m/>
    <d v="2000-01-01T00:00:00"/>
    <n v="640"/>
    <m/>
    <m/>
    <m/>
    <m/>
    <m/>
    <m/>
  </r>
  <r>
    <x v="17"/>
    <n v="14443"/>
    <s v="45812810850060000022"/>
    <n v="4755085.08"/>
    <s v="1808/2990-e"/>
    <m/>
    <d v="2014-12-31T00:00:00"/>
    <m/>
    <m/>
    <n v="3"/>
    <n v="3"/>
    <m/>
    <m/>
    <n v="5"/>
    <n v="5"/>
    <n v="5"/>
    <n v="0"/>
    <n v="1"/>
    <m/>
    <d v="2000-01-01T00:00:00"/>
    <n v="643"/>
    <m/>
    <m/>
    <m/>
    <m/>
    <m/>
    <m/>
  </r>
  <r>
    <x v="17"/>
    <n v="14444"/>
    <s v="45812810150060000023"/>
    <n v="46814295.140000001"/>
    <s v="1808/2992-e"/>
    <m/>
    <d v="2014-12-31T00:00:00"/>
    <m/>
    <m/>
    <n v="3"/>
    <n v="3"/>
    <m/>
    <m/>
    <n v="5"/>
    <n v="5"/>
    <n v="5"/>
    <n v="0"/>
    <n v="1"/>
    <m/>
    <d v="2000-01-01T00:00:00"/>
    <n v="643"/>
    <m/>
    <m/>
    <m/>
    <m/>
    <m/>
    <m/>
  </r>
  <r>
    <x v="17"/>
    <n v="14445"/>
    <s v="45812810250060000020"/>
    <n v="1431689071.26"/>
    <s v="1808/2988-e"/>
    <m/>
    <d v="2014-12-31T00:00:00"/>
    <m/>
    <m/>
    <n v="3"/>
    <n v="3"/>
    <m/>
    <m/>
    <n v="5"/>
    <n v="5"/>
    <n v="5"/>
    <n v="0"/>
    <n v="1"/>
    <m/>
    <d v="2000-01-01T00:00:00"/>
    <n v="643"/>
    <m/>
    <m/>
    <m/>
    <m/>
    <m/>
    <m/>
  </r>
  <r>
    <x v="17"/>
    <n v="14478"/>
    <s v="45812810450060000024"/>
    <n v="164407524.93000001"/>
    <s v="IGR07/MSHD/4241"/>
    <m/>
    <d v="2007-05-16T00:00:00"/>
    <m/>
    <m/>
    <n v="3"/>
    <n v="3"/>
    <m/>
    <m/>
    <n v="5"/>
    <n v="5"/>
    <n v="5"/>
    <n v="0"/>
    <n v="1"/>
    <m/>
    <d v="2000-01-01T00:00:00"/>
    <n v="628"/>
    <m/>
    <m/>
    <m/>
    <m/>
    <m/>
    <m/>
  </r>
  <r>
    <x v="17"/>
    <n v="14485"/>
    <s v="45812810550060000021"/>
    <n v="93563177.609999999"/>
    <s v="1808/2989-Е"/>
    <m/>
    <d v="2005-11-18T00:00:00"/>
    <m/>
    <m/>
    <n v="3"/>
    <n v="3"/>
    <m/>
    <m/>
    <n v="5"/>
    <n v="5"/>
    <n v="5"/>
    <n v="0"/>
    <n v="1"/>
    <m/>
    <d v="2000-01-01T00:00:00"/>
    <n v="640"/>
    <m/>
    <m/>
    <m/>
    <m/>
    <m/>
    <m/>
  </r>
  <r>
    <x v="18"/>
    <n v="7065"/>
    <s v="45205840755550000188"/>
    <n v="88683367824.820007"/>
    <s v="1729/СДБО"/>
    <m/>
    <d v="2012-04-10T00:00:00"/>
    <m/>
    <m/>
    <n v="2.1"/>
    <n v="1"/>
    <n v="-2"/>
    <s v="0"/>
    <n v="1"/>
    <n v="1"/>
    <n v="1"/>
    <n v="1"/>
    <n v="1"/>
    <m/>
    <d v="2012-04-12T00:00:00"/>
    <n v="0"/>
    <m/>
    <m/>
    <n v="0"/>
    <n v="0"/>
    <m/>
    <m/>
  </r>
  <r>
    <x v="18"/>
    <n v="9129"/>
    <s v="45208810855550000358"/>
    <n v="3850000000"/>
    <s v="3244"/>
    <m/>
    <d v="2013-05-29T00:00:00"/>
    <m/>
    <m/>
    <n v="2.1"/>
    <n v="1"/>
    <n v="-2"/>
    <s v="0"/>
    <n v="1"/>
    <n v="1"/>
    <n v="1"/>
    <n v="0"/>
    <n v="1"/>
    <m/>
    <d v="2015-11-30T00:00:00"/>
    <n v="0"/>
    <m/>
    <m/>
    <n v="0"/>
    <m/>
    <m/>
    <m/>
  </r>
  <r>
    <x v="18"/>
    <n v="17127"/>
    <s v="45206810255550000484"/>
    <n v="5000000000"/>
    <s v="3875"/>
    <m/>
    <d v="2015-11-27T00:00:00"/>
    <m/>
    <m/>
    <n v="2.1"/>
    <n v="1"/>
    <n v="-2"/>
    <s v="0"/>
    <n v="1"/>
    <n v="1"/>
    <n v="1"/>
    <n v="0"/>
    <n v="1"/>
    <m/>
    <d v="2013-04-30T00:00:00"/>
    <n v="0"/>
    <m/>
    <m/>
    <n v="0"/>
    <m/>
    <m/>
    <m/>
  </r>
  <r>
    <x v="18"/>
    <n v="17135"/>
    <s v="45206810555550000485"/>
    <n v="5000000000"/>
    <s v="3879"/>
    <m/>
    <d v="2015-11-27T00:00:00"/>
    <m/>
    <m/>
    <n v="2.1"/>
    <n v="1"/>
    <n v="-2"/>
    <s v="0"/>
    <n v="1"/>
    <n v="1"/>
    <n v="1"/>
    <n v="0"/>
    <n v="1"/>
    <m/>
    <d v="2013-05-31T00:00:00"/>
    <n v="0"/>
    <m/>
    <m/>
    <n v="0"/>
    <m/>
    <m/>
    <m/>
  </r>
  <r>
    <x v="18"/>
    <n v="17136"/>
    <s v="45206810855550000486"/>
    <n v="5000000000"/>
    <s v="3880"/>
    <m/>
    <d v="2015-11-27T00:00:00"/>
    <m/>
    <m/>
    <n v="2.1"/>
    <n v="1"/>
    <n v="-2"/>
    <s v="0"/>
    <n v="1"/>
    <n v="1"/>
    <n v="1"/>
    <n v="0"/>
    <n v="1"/>
    <m/>
    <d v="2013-09-24T00:00:00"/>
    <n v="0"/>
    <m/>
    <m/>
    <n v="0"/>
    <m/>
    <m/>
    <m/>
  </r>
  <r>
    <x v="18"/>
    <n v="17138"/>
    <s v="45206810155550000487"/>
    <n v="4000000000"/>
    <s v="3876"/>
    <m/>
    <d v="2015-11-30T00:00:00"/>
    <m/>
    <m/>
    <n v="2.1"/>
    <n v="1"/>
    <n v="-2"/>
    <s v="0"/>
    <n v="1"/>
    <n v="1"/>
    <n v="1"/>
    <n v="0"/>
    <n v="1"/>
    <m/>
    <d v="2015-02-25T00:00:00"/>
    <n v="0"/>
    <m/>
    <m/>
    <n v="0"/>
    <m/>
    <m/>
    <m/>
  </r>
  <r>
    <x v="18"/>
    <n v="17139"/>
    <s v="45206810455550000488"/>
    <n v="4000000000"/>
    <s v="3881"/>
    <m/>
    <d v="2015-11-30T00:00:00"/>
    <m/>
    <m/>
    <n v="2.1"/>
    <n v="1"/>
    <n v="-2"/>
    <s v="0"/>
    <n v="1"/>
    <n v="1"/>
    <n v="1"/>
    <n v="0"/>
    <n v="1"/>
    <m/>
    <d v="2015-11-27T00:00:00"/>
    <n v="0"/>
    <m/>
    <m/>
    <n v="0"/>
    <m/>
    <m/>
    <m/>
  </r>
  <r>
    <x v="18"/>
    <n v="17140"/>
    <s v="45206810755550000489"/>
    <n v="4000000000"/>
    <s v="3882"/>
    <m/>
    <d v="2015-11-30T00:00:00"/>
    <m/>
    <m/>
    <n v="2.1"/>
    <n v="1"/>
    <n v="-2"/>
    <s v="0"/>
    <n v="1"/>
    <n v="1"/>
    <n v="1"/>
    <n v="0"/>
    <n v="1"/>
    <m/>
    <d v="2015-11-27T00:00:00"/>
    <n v="0"/>
    <m/>
    <m/>
    <n v="0"/>
    <m/>
    <m/>
    <m/>
  </r>
  <r>
    <x v="18"/>
    <n v="17500"/>
    <s v="45207810655550000562"/>
    <n v="5500000000"/>
    <s v="3921"/>
    <m/>
    <d v="2016-02-01T00:00:00"/>
    <m/>
    <m/>
    <n v="2.1"/>
    <n v="1"/>
    <n v="-2"/>
    <s v="0"/>
    <n v="1"/>
    <n v="1"/>
    <n v="1"/>
    <n v="0"/>
    <n v="1"/>
    <m/>
    <d v="2016-02-01T00:00:00"/>
    <n v="0"/>
    <m/>
    <m/>
    <n v="0"/>
    <m/>
    <m/>
    <m/>
  </r>
  <r>
    <x v="18"/>
    <n v="17501"/>
    <s v="45207810955550000563"/>
    <n v="7000000000"/>
    <s v="3918"/>
    <m/>
    <d v="2016-02-01T00:00:00"/>
    <m/>
    <m/>
    <n v="2.1"/>
    <n v="1"/>
    <n v="-2"/>
    <s v="0"/>
    <n v="1"/>
    <n v="1"/>
    <n v="1"/>
    <n v="0"/>
    <n v="1"/>
    <m/>
    <d v="2016-02-01T00:00:00"/>
    <n v="0"/>
    <m/>
    <m/>
    <n v="0"/>
    <m/>
    <m/>
    <m/>
  </r>
  <r>
    <x v="18"/>
    <n v="22407"/>
    <s v="45208810155550000566"/>
    <n v="1813641784.21"/>
    <s v="4037"/>
    <m/>
    <d v="2016-06-30T00:00:00"/>
    <m/>
    <m/>
    <n v="2.1"/>
    <n v="1"/>
    <n v="-2"/>
    <s v="0"/>
    <n v="1"/>
    <n v="1"/>
    <n v="1"/>
    <n v="0"/>
    <n v="1"/>
    <n v="1"/>
    <d v="2016-09-30T00:00:00"/>
    <n v="0"/>
    <m/>
    <m/>
    <m/>
    <n v="0"/>
    <n v="0"/>
    <m/>
  </r>
  <r>
    <x v="19"/>
    <n v="16750"/>
    <s v="45208978355550000059"/>
    <n v="7442641500"/>
    <s v="3812"/>
    <m/>
    <d v="2015-10-09T00:00:00"/>
    <m/>
    <m/>
    <n v="1"/>
    <n v="1"/>
    <m/>
    <m/>
    <n v="1"/>
    <n v="1"/>
    <n v="1"/>
    <n v="0"/>
    <n v="1"/>
    <m/>
    <d v="2015-10-12T00:00:00"/>
    <n v="0"/>
    <m/>
    <m/>
    <m/>
    <n v="0"/>
    <m/>
    <m/>
  </r>
  <r>
    <x v="20"/>
    <n v="66"/>
    <s v="44608810555550000013"/>
    <n v="254628770.49000001"/>
    <s v="727"/>
    <m/>
    <d v="2002-08-19T00:00:00"/>
    <m/>
    <m/>
    <n v="1"/>
    <n v="1"/>
    <m/>
    <m/>
    <n v="1"/>
    <n v="1"/>
    <n v="1"/>
    <n v="0"/>
    <n v="1"/>
    <m/>
    <d v="2000-01-01T00:00:00"/>
    <n v="0"/>
    <m/>
    <n v="0"/>
    <m/>
    <m/>
    <m/>
    <m/>
  </r>
  <r>
    <x v="21"/>
    <n v="8793"/>
    <s v="47802810055550000109"/>
    <n v="29309603.84"/>
    <s v="К2600/13-0026КС/Д000"/>
    <m/>
    <d v="2013-02-06T00:00:00"/>
    <m/>
    <m/>
    <n v="1"/>
    <n v="1"/>
    <m/>
    <m/>
    <n v="1"/>
    <n v="1"/>
    <n v="1"/>
    <n v="0"/>
    <n v="1"/>
    <m/>
    <d v="2013-02-28T00:00:00"/>
    <n v="0"/>
    <m/>
    <n v="0"/>
    <m/>
    <m/>
    <m/>
    <m/>
  </r>
  <r>
    <x v="21"/>
    <n v="8794"/>
    <s v="47802810055550000112"/>
    <n v="19356091.210000001"/>
    <s v="К2600/12-0536КС/Д000"/>
    <m/>
    <d v="2012-11-13T00:00:00"/>
    <m/>
    <m/>
    <n v="1"/>
    <n v="1"/>
    <m/>
    <m/>
    <n v="1"/>
    <n v="1"/>
    <n v="1"/>
    <n v="0"/>
    <n v="1"/>
    <m/>
    <d v="2012-12-07T00:00:00"/>
    <n v="0"/>
    <m/>
    <n v="0"/>
    <m/>
    <m/>
    <m/>
    <m/>
  </r>
  <r>
    <x v="21"/>
    <n v="8795"/>
    <s v="47802810055550000125"/>
    <n v="112956501.7"/>
    <s v="К2600/11-0245КС/Д000"/>
    <m/>
    <d v="2011-04-19T00:00:00"/>
    <m/>
    <m/>
    <n v="1"/>
    <n v="1"/>
    <m/>
    <m/>
    <n v="1"/>
    <n v="1"/>
    <n v="1"/>
    <n v="0"/>
    <n v="1"/>
    <m/>
    <d v="2011-04-29T00:00:00"/>
    <n v="0"/>
    <m/>
    <n v="0"/>
    <m/>
    <m/>
    <m/>
    <m/>
  </r>
  <r>
    <x v="21"/>
    <n v="8798"/>
    <s v="47802810155550000096"/>
    <n v="37429555.979999997"/>
    <s v="К2600/13-0025КС/Д000"/>
    <m/>
    <d v="2013-02-06T00:00:00"/>
    <m/>
    <m/>
    <n v="1"/>
    <n v="1"/>
    <m/>
    <m/>
    <n v="1"/>
    <n v="1"/>
    <n v="1"/>
    <n v="0"/>
    <n v="1"/>
    <m/>
    <d v="2013-02-28T00:00:00"/>
    <n v="0"/>
    <m/>
    <n v="0"/>
    <m/>
    <m/>
    <m/>
    <m/>
  </r>
  <r>
    <x v="21"/>
    <n v="8802"/>
    <s v="47802810155550000135"/>
    <n v="52569315.539999999"/>
    <s v="К2600/12-0251ЛВ/Д000"/>
    <m/>
    <d v="2012-06-18T00:00:00"/>
    <m/>
    <m/>
    <n v="1"/>
    <n v="1"/>
    <m/>
    <m/>
    <n v="1"/>
    <n v="1"/>
    <n v="1"/>
    <n v="0"/>
    <n v="1"/>
    <m/>
    <d v="2012-06-29T00:00:00"/>
    <n v="0"/>
    <m/>
    <n v="0"/>
    <m/>
    <m/>
    <m/>
    <m/>
  </r>
  <r>
    <x v="21"/>
    <n v="8806"/>
    <s v="47802810255550000129"/>
    <n v="21770122.039999999"/>
    <s v="К2600/11-0505ЛВ/Д000"/>
    <m/>
    <d v="2011-07-08T00:00:00"/>
    <m/>
    <m/>
    <n v="1"/>
    <n v="1"/>
    <m/>
    <m/>
    <n v="1"/>
    <n v="1"/>
    <n v="1"/>
    <n v="0"/>
    <n v="1"/>
    <m/>
    <d v="2011-07-29T00:00:00"/>
    <n v="0"/>
    <m/>
    <n v="0"/>
    <m/>
    <m/>
    <m/>
    <m/>
  </r>
  <r>
    <x v="21"/>
    <n v="8807"/>
    <s v="47802810255550000132"/>
    <n v="511427250.06999999"/>
    <s v="К2600/11-0825ЛВ/Д000"/>
    <m/>
    <d v="2011-11-30T00:00:00"/>
    <m/>
    <m/>
    <n v="1"/>
    <n v="1"/>
    <m/>
    <m/>
    <n v="1"/>
    <n v="1"/>
    <n v="1"/>
    <n v="0"/>
    <n v="1"/>
    <m/>
    <d v="2011-12-27T00:00:00"/>
    <n v="0"/>
    <m/>
    <n v="0"/>
    <m/>
    <m/>
    <m/>
    <m/>
  </r>
  <r>
    <x v="21"/>
    <n v="8812"/>
    <s v="47802810355550000126"/>
    <n v="836213132.24000001"/>
    <s v="К2600/11-0450ЛВ/Д000"/>
    <m/>
    <d v="2011-06-24T00:00:00"/>
    <m/>
    <m/>
    <n v="1"/>
    <n v="1"/>
    <m/>
    <m/>
    <n v="1"/>
    <n v="1"/>
    <n v="1"/>
    <n v="0"/>
    <n v="1"/>
    <m/>
    <d v="2011-06-30T00:00:00"/>
    <n v="0"/>
    <m/>
    <n v="0"/>
    <m/>
    <m/>
    <m/>
    <m/>
  </r>
  <r>
    <x v="21"/>
    <n v="8813"/>
    <s v="47802810355550000139"/>
    <n v="933728469.84000003"/>
    <s v="К2600/12-0507КС/Д000"/>
    <m/>
    <d v="2012-10-31T00:00:00"/>
    <m/>
    <m/>
    <n v="1"/>
    <n v="1"/>
    <m/>
    <m/>
    <n v="1"/>
    <n v="1"/>
    <n v="1"/>
    <n v="0"/>
    <n v="1"/>
    <m/>
    <d v="2012-11-30T00:00:00"/>
    <n v="0"/>
    <m/>
    <n v="0"/>
    <m/>
    <m/>
    <m/>
    <m/>
  </r>
  <r>
    <x v="21"/>
    <n v="8816"/>
    <s v="47802810455550000107"/>
    <n v="677819141.39999998"/>
    <s v="К2600/11-0125ЛВ/Д000"/>
    <m/>
    <d v="2011-03-04T00:00:00"/>
    <m/>
    <m/>
    <n v="1"/>
    <n v="1"/>
    <m/>
    <m/>
    <n v="1"/>
    <n v="1"/>
    <n v="1"/>
    <n v="0"/>
    <n v="1"/>
    <m/>
    <d v="2011-03-31T00:00:00"/>
    <n v="0"/>
    <m/>
    <n v="0"/>
    <m/>
    <m/>
    <m/>
    <m/>
  </r>
  <r>
    <x v="21"/>
    <n v="8819"/>
    <s v="47802810455550000136"/>
    <n v="63314842.07"/>
    <s v="К2600/12-0290КС/Д000"/>
    <m/>
    <d v="2012-06-05T00:00:00"/>
    <m/>
    <m/>
    <n v="1"/>
    <n v="1"/>
    <m/>
    <m/>
    <n v="1"/>
    <n v="1"/>
    <n v="1"/>
    <n v="0"/>
    <n v="1"/>
    <m/>
    <d v="2012-06-26T00:00:00"/>
    <n v="0"/>
    <m/>
    <n v="0"/>
    <m/>
    <m/>
    <m/>
    <m/>
  </r>
  <r>
    <x v="21"/>
    <n v="8824"/>
    <s v="47802810555550000133"/>
    <n v="1173994160.8800001"/>
    <s v="К2600/12-0149ЛВ/Д000"/>
    <m/>
    <d v="2012-03-29T00:00:00"/>
    <m/>
    <m/>
    <n v="1"/>
    <n v="1"/>
    <m/>
    <m/>
    <n v="1"/>
    <n v="1"/>
    <n v="1"/>
    <n v="0"/>
    <n v="1"/>
    <m/>
    <d v="2012-03-30T00:00:00"/>
    <n v="0"/>
    <m/>
    <n v="0"/>
    <m/>
    <m/>
    <m/>
    <m/>
  </r>
  <r>
    <x v="21"/>
    <n v="8833"/>
    <s v="47802810755550000108"/>
    <n v="170061242.72"/>
    <s v="К2600/11-0268ЛВ/Д000"/>
    <m/>
    <d v="2011-04-29T00:00:00"/>
    <m/>
    <m/>
    <n v="1"/>
    <n v="1"/>
    <m/>
    <m/>
    <n v="1"/>
    <n v="1"/>
    <n v="1"/>
    <n v="0"/>
    <n v="1"/>
    <m/>
    <d v="2011-04-29T00:00:00"/>
    <n v="0"/>
    <m/>
    <n v="0"/>
    <m/>
    <m/>
    <m/>
    <m/>
  </r>
  <r>
    <x v="21"/>
    <n v="8834"/>
    <s v="47802810755550000111"/>
    <n v="317878704.61000001"/>
    <s v="К2600/11-0362ЛВ/Д000"/>
    <m/>
    <d v="2011-05-26T00:00:00"/>
    <m/>
    <m/>
    <n v="1"/>
    <n v="1"/>
    <m/>
    <m/>
    <n v="1"/>
    <n v="1"/>
    <n v="1"/>
    <n v="0"/>
    <n v="1"/>
    <m/>
    <d v="2011-05-31T00:00:00"/>
    <n v="0"/>
    <m/>
    <n v="0"/>
    <m/>
    <m/>
    <m/>
    <m/>
  </r>
  <r>
    <x v="21"/>
    <n v="8835"/>
    <s v="47802810755550000124"/>
    <n v="1373568521.03"/>
    <s v="К2600/11-0198ЛВ/Д000"/>
    <m/>
    <d v="2011-04-01T00:00:00"/>
    <m/>
    <m/>
    <n v="1"/>
    <n v="1"/>
    <m/>
    <m/>
    <n v="1"/>
    <n v="1"/>
    <n v="1"/>
    <n v="0"/>
    <n v="1"/>
    <m/>
    <d v="2011-04-29T00:00:00"/>
    <n v="0"/>
    <m/>
    <n v="0"/>
    <m/>
    <m/>
    <m/>
    <m/>
  </r>
  <r>
    <x v="21"/>
    <n v="8836"/>
    <s v="47802810755550000137"/>
    <n v="41880913.390000001"/>
    <s v="К2600/12-0434ЛВ/Д000"/>
    <m/>
    <d v="2012-10-02T00:00:00"/>
    <m/>
    <m/>
    <n v="1"/>
    <n v="1"/>
    <m/>
    <m/>
    <n v="1"/>
    <n v="1"/>
    <n v="1"/>
    <n v="0"/>
    <n v="1"/>
    <m/>
    <d v="2012-10-31T00:00:00"/>
    <n v="0"/>
    <m/>
    <n v="0"/>
    <m/>
    <m/>
    <m/>
    <m/>
  </r>
  <r>
    <x v="21"/>
    <n v="8839"/>
    <s v="47802810855550000118"/>
    <n v="1556523215.0599999"/>
    <s v="К2600/11-0115ЛВ/Д000"/>
    <m/>
    <d v="2011-03-02T00:00:00"/>
    <m/>
    <m/>
    <n v="1"/>
    <n v="1"/>
    <m/>
    <m/>
    <n v="1"/>
    <n v="1"/>
    <n v="1"/>
    <n v="0"/>
    <n v="1"/>
    <m/>
    <d v="2011-03-31T00:00:00"/>
    <n v="0"/>
    <m/>
    <n v="0"/>
    <m/>
    <m/>
    <m/>
    <m/>
  </r>
  <r>
    <x v="21"/>
    <n v="8840"/>
    <s v="47802810855550000121"/>
    <n v="288536383.30000001"/>
    <s v="К2600/11-0180ЛВ/Д000"/>
    <m/>
    <d v="2011-03-25T00:00:00"/>
    <m/>
    <m/>
    <n v="1"/>
    <n v="1"/>
    <m/>
    <m/>
    <n v="1"/>
    <n v="1"/>
    <n v="1"/>
    <n v="0"/>
    <n v="1"/>
    <m/>
    <d v="2011-03-31T00:00:00"/>
    <n v="0"/>
    <m/>
    <n v="0"/>
    <m/>
    <m/>
    <m/>
    <m/>
  </r>
  <r>
    <x v="21"/>
    <n v="8841"/>
    <s v="47802810855550000134"/>
    <n v="177737665.16999999"/>
    <s v="К2600/12-0150КС/Д000"/>
    <m/>
    <d v="2012-03-29T00:00:00"/>
    <m/>
    <m/>
    <n v="1"/>
    <n v="1"/>
    <m/>
    <m/>
    <n v="1"/>
    <n v="1"/>
    <n v="1"/>
    <n v="0"/>
    <n v="1"/>
    <m/>
    <d v="2012-03-30T00:00:00"/>
    <n v="0"/>
    <m/>
    <n v="0"/>
    <m/>
    <m/>
    <m/>
    <m/>
  </r>
  <r>
    <x v="21"/>
    <n v="8848"/>
    <s v="47802810955550000131"/>
    <n v="58237771.590000004"/>
    <s v="К2600/11-0824КС/Д000"/>
    <m/>
    <d v="2011-11-30T00:00:00"/>
    <m/>
    <m/>
    <n v="1"/>
    <n v="1"/>
    <m/>
    <m/>
    <n v="1"/>
    <n v="1"/>
    <n v="1"/>
    <n v="0"/>
    <n v="1"/>
    <m/>
    <d v="2011-12-23T00:00:00"/>
    <n v="0"/>
    <m/>
    <n v="0"/>
    <m/>
    <m/>
    <m/>
    <m/>
  </r>
  <r>
    <x v="21"/>
    <n v="17699"/>
    <s v="45108810455550000023"/>
    <n v="545868225.69000006"/>
    <s v="24/11"/>
    <m/>
    <d v="2011-03-17T00:00:00"/>
    <m/>
    <m/>
    <n v="1"/>
    <n v="1"/>
    <m/>
    <m/>
    <n v="1"/>
    <n v="1"/>
    <n v="1"/>
    <n v="0"/>
    <n v="1"/>
    <m/>
    <d v="2000-01-01T00:00:00"/>
    <n v="0"/>
    <m/>
    <n v="0"/>
    <m/>
    <m/>
    <m/>
    <m/>
  </r>
  <r>
    <x v="21"/>
    <n v="17700"/>
    <s v="45108810755550000024"/>
    <n v="465055108.80000001"/>
    <s v="61/11"/>
    <m/>
    <d v="2011-06-30T00:00:00"/>
    <m/>
    <m/>
    <n v="1"/>
    <n v="1"/>
    <m/>
    <m/>
    <n v="1"/>
    <n v="1"/>
    <n v="1"/>
    <n v="0"/>
    <n v="1"/>
    <m/>
    <d v="2000-01-01T00:00:00"/>
    <n v="0"/>
    <m/>
    <n v="0"/>
    <m/>
    <m/>
    <m/>
    <m/>
  </r>
  <r>
    <x v="22"/>
    <n v="9810"/>
    <s v="45208810655550000383"/>
    <n v="8250000000"/>
    <s v="3329"/>
    <m/>
    <d v="2013-10-28T00:00:00"/>
    <m/>
    <m/>
    <n v="1"/>
    <n v="1"/>
    <m/>
    <m/>
    <n v="1"/>
    <n v="1"/>
    <n v="1"/>
    <n v="0"/>
    <n v="1"/>
    <m/>
    <d v="2013-12-31T00:00:00"/>
    <n v="0"/>
    <m/>
    <m/>
    <m/>
    <n v="0"/>
    <m/>
    <m/>
  </r>
  <r>
    <x v="23"/>
    <n v="9482"/>
    <s v="45208810955550000368"/>
    <n v="23001627219.48"/>
    <s v="3163"/>
    <m/>
    <d v="2013-08-01T00:00:00"/>
    <m/>
    <m/>
    <n v="1"/>
    <n v="1"/>
    <m/>
    <m/>
    <n v="1"/>
    <n v="1"/>
    <n v="1"/>
    <n v="0"/>
    <n v="1"/>
    <m/>
    <d v="2013-08-02T00:00:00"/>
    <n v="0"/>
    <m/>
    <n v="0"/>
    <m/>
    <n v="0"/>
    <m/>
    <m/>
  </r>
  <r>
    <x v="23"/>
    <n v="18227"/>
    <s v="45208810455550000554"/>
    <n v="1511913547.76"/>
    <s v="79-1006/15/1229-14-КР"/>
    <m/>
    <d v="2014-12-30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24"/>
    <n v="10562"/>
    <s v="45208810155550000391"/>
    <n v="30000000000"/>
    <s v="б/ н"/>
    <m/>
    <d v="2013-12-18T00:00:00"/>
    <m/>
    <m/>
    <n v="1"/>
    <n v="1"/>
    <m/>
    <m/>
    <n v="1"/>
    <n v="1"/>
    <n v="1"/>
    <n v="0"/>
    <n v="1"/>
    <m/>
    <d v="2014-01-21T00:00:00"/>
    <n v="0"/>
    <m/>
    <m/>
    <m/>
    <n v="0"/>
    <m/>
    <m/>
  </r>
  <r>
    <x v="24"/>
    <n v="16572"/>
    <s v="45208810355550000492"/>
    <n v="4021914754.6300001"/>
    <s v="3704"/>
    <m/>
    <d v="2015-09-01T00:00:00"/>
    <m/>
    <m/>
    <n v="1"/>
    <n v="1"/>
    <m/>
    <m/>
    <n v="1"/>
    <n v="1"/>
    <n v="1"/>
    <n v="0"/>
    <n v="1"/>
    <m/>
    <d v="2015-12-25T00:00:00"/>
    <n v="0"/>
    <m/>
    <m/>
    <m/>
    <m/>
    <m/>
    <m/>
  </r>
  <r>
    <x v="24"/>
    <n v="16869"/>
    <s v="45208810655550000493"/>
    <n v="8000000000"/>
    <s v="3800"/>
    <m/>
    <d v="2015-10-21T00:00:00"/>
    <m/>
    <m/>
    <n v="1"/>
    <n v="1"/>
    <m/>
    <m/>
    <n v="1"/>
    <n v="1"/>
    <n v="1"/>
    <n v="0"/>
    <n v="1"/>
    <m/>
    <d v="2015-12-31T00:00:00"/>
    <n v="0"/>
    <m/>
    <n v="0"/>
    <n v="0"/>
    <m/>
    <m/>
    <m/>
  </r>
  <r>
    <x v="24"/>
    <n v="17377"/>
    <s v="45208810155550000498"/>
    <n v="11000000000"/>
    <s v="3877"/>
    <m/>
    <d v="2015-12-14T00:00:00"/>
    <m/>
    <m/>
    <n v="1"/>
    <n v="1"/>
    <m/>
    <m/>
    <n v="1"/>
    <n v="1"/>
    <n v="1"/>
    <n v="0"/>
    <n v="1"/>
    <m/>
    <d v="2015-12-31T00:00:00"/>
    <n v="0"/>
    <m/>
    <n v="0"/>
    <m/>
    <n v="0"/>
    <m/>
    <m/>
  </r>
  <r>
    <x v="24"/>
    <n v="17706"/>
    <s v="45208810055550000514"/>
    <n v="20000000000"/>
    <s v="3846"/>
    <m/>
    <d v="2016-03-28T00:00:00"/>
    <m/>
    <m/>
    <n v="1"/>
    <n v="1"/>
    <m/>
    <m/>
    <n v="1"/>
    <n v="1"/>
    <n v="1"/>
    <n v="0"/>
    <n v="1"/>
    <m/>
    <d v="2016-03-31T00:00:00"/>
    <n v="0"/>
    <m/>
    <m/>
    <m/>
    <n v="0"/>
    <m/>
    <m/>
  </r>
  <r>
    <x v="24"/>
    <n v="26633"/>
    <s v="45201810055550000320"/>
    <n v="113861330.62"/>
    <s v="4103"/>
    <m/>
    <d v="2016-09-12T00:00:00"/>
    <m/>
    <m/>
    <n v="1"/>
    <n v="1"/>
    <m/>
    <m/>
    <n v="1"/>
    <n v="1"/>
    <n v="1"/>
    <n v="0"/>
    <n v="0"/>
    <m/>
    <d v="2016-10-03T00:00:00"/>
    <n v="0"/>
    <m/>
    <m/>
    <m/>
    <m/>
    <m/>
    <m/>
  </r>
  <r>
    <x v="25"/>
    <n v="4824"/>
    <s v="45208840955550000192"/>
    <n v="1345267530"/>
    <s v="2738"/>
    <m/>
    <d v="2011-04-13T00:00:00"/>
    <m/>
    <m/>
    <n v="1"/>
    <n v="1"/>
    <n v="-2"/>
    <s v="0"/>
    <n v="1"/>
    <n v="1"/>
    <n v="1"/>
    <n v="0"/>
    <n v="1"/>
    <m/>
    <d v="2011-04-20T00:00:00"/>
    <n v="0"/>
    <m/>
    <n v="0"/>
    <m/>
    <n v="0"/>
    <m/>
    <m/>
  </r>
  <r>
    <x v="25"/>
    <n v="4827"/>
    <s v="45208840255550000193"/>
    <n v="6315810000"/>
    <s v="2749"/>
    <m/>
    <d v="2011-04-13T00:00:00"/>
    <m/>
    <m/>
    <n v="1"/>
    <n v="1"/>
    <n v="-2"/>
    <s v="0"/>
    <n v="1"/>
    <n v="1"/>
    <n v="1"/>
    <n v="0"/>
    <n v="1"/>
    <m/>
    <d v="2011-04-20T00:00:00"/>
    <n v="0"/>
    <m/>
    <n v="0"/>
    <m/>
    <n v="0"/>
    <m/>
    <m/>
  </r>
  <r>
    <x v="25"/>
    <n v="16357"/>
    <s v="45207810355550000532"/>
    <n v="808000000"/>
    <s v="3777"/>
    <m/>
    <d v="2015-08-31T00:00:00"/>
    <m/>
    <m/>
    <n v="1"/>
    <n v="1"/>
    <n v="-2"/>
    <s v="0"/>
    <n v="1"/>
    <n v="1"/>
    <n v="1"/>
    <n v="0"/>
    <n v="1"/>
    <m/>
    <d v="2015-09-20T00:00:00"/>
    <n v="0"/>
    <m/>
    <m/>
    <m/>
    <m/>
    <m/>
    <m/>
  </r>
  <r>
    <x v="25"/>
    <n v="17588"/>
    <s v="45207810155550000567"/>
    <n v="750000000"/>
    <s v="3860"/>
    <m/>
    <d v="2016-02-16T00:00:00"/>
    <m/>
    <m/>
    <n v="1"/>
    <n v="1"/>
    <n v="-2"/>
    <s v="0"/>
    <n v="1"/>
    <n v="1"/>
    <n v="1"/>
    <n v="0"/>
    <n v="1"/>
    <m/>
    <d v="2016-03-20T00:00:00"/>
    <n v="0"/>
    <m/>
    <m/>
    <m/>
    <m/>
    <m/>
    <m/>
  </r>
  <r>
    <x v="25"/>
    <n v="17596"/>
    <s v="45207840055550000307"/>
    <n v="2400007800"/>
    <s v="3878"/>
    <m/>
    <d v="2016-02-17T00:00:00"/>
    <m/>
    <m/>
    <n v="1"/>
    <n v="1"/>
    <n v="-2"/>
    <s v="0"/>
    <n v="1"/>
    <n v="1"/>
    <n v="1"/>
    <n v="0"/>
    <n v="1"/>
    <m/>
    <d v="2016-03-20T00:00:00"/>
    <n v="0"/>
    <m/>
    <m/>
    <m/>
    <m/>
    <m/>
    <m/>
  </r>
  <r>
    <x v="25"/>
    <n v="22028"/>
    <s v="45206810955550000519"/>
    <n v="1254100000"/>
    <s v="3998"/>
    <m/>
    <d v="2016-06-27T00:00:00"/>
    <m/>
    <m/>
    <n v="1"/>
    <n v="1"/>
    <n v="-2"/>
    <s v="0"/>
    <n v="1"/>
    <n v="1"/>
    <n v="1"/>
    <n v="0"/>
    <n v="1"/>
    <m/>
    <d v="2016-06-30T00:00:00"/>
    <n v="0"/>
    <m/>
    <m/>
    <m/>
    <m/>
    <m/>
    <m/>
  </r>
  <r>
    <x v="25"/>
    <n v="26547"/>
    <s v="45206810855550000525"/>
    <n v="445500000"/>
    <s v="4063"/>
    <m/>
    <d v="2016-08-24T00:00:00"/>
    <m/>
    <m/>
    <n v="1"/>
    <n v="1"/>
    <n v="-2"/>
    <s v="0"/>
    <n v="1"/>
    <n v="1"/>
    <n v="1"/>
    <n v="0"/>
    <n v="1"/>
    <m/>
    <d v="2016-09-20T00:00:00"/>
    <n v="0"/>
    <m/>
    <m/>
    <m/>
    <m/>
    <m/>
    <m/>
  </r>
  <r>
    <x v="26"/>
    <n v="8948"/>
    <s v="45207810455550000500"/>
    <n v="12446211665.91"/>
    <s v="3160"/>
    <m/>
    <d v="2013-04-02T00:00:00"/>
    <m/>
    <m/>
    <n v="1"/>
    <n v="1"/>
    <m/>
    <m/>
    <n v="1"/>
    <n v="1"/>
    <n v="1"/>
    <n v="0"/>
    <n v="1"/>
    <m/>
    <d v="2013-07-15T00:00:00"/>
    <n v="0"/>
    <m/>
    <n v="0"/>
    <m/>
    <m/>
    <m/>
    <m/>
  </r>
  <r>
    <x v="27"/>
    <n v="7073"/>
    <s v="45203840155550000078"/>
    <n v="5115806100"/>
    <s v="01/2007"/>
    <m/>
    <d v="2007-09-03T00:00:00"/>
    <m/>
    <m/>
    <n v="2.1"/>
    <n v="1"/>
    <m/>
    <m/>
    <n v="2.1"/>
    <n v="2.1"/>
    <n v="2.1"/>
    <n v="0"/>
    <n v="1"/>
    <m/>
    <d v="2012-07-24T00:00:00"/>
    <n v="0"/>
    <m/>
    <m/>
    <n v="0"/>
    <n v="0"/>
    <m/>
    <m/>
  </r>
  <r>
    <x v="28"/>
    <n v="16447"/>
    <s v="45207810655550000533"/>
    <n v="12000000000"/>
    <s v="3503"/>
    <m/>
    <d v="2014-09-25T00:00:00"/>
    <m/>
    <m/>
    <n v="1"/>
    <n v="1"/>
    <m/>
    <m/>
    <n v="1"/>
    <n v="1"/>
    <n v="1"/>
    <n v="0"/>
    <n v="1"/>
    <m/>
    <d v="2015-09-07T00:00:00"/>
    <n v="0"/>
    <m/>
    <n v="0"/>
    <m/>
    <n v="0"/>
    <m/>
    <m/>
  </r>
  <r>
    <x v="28"/>
    <n v="26678"/>
    <s v="45204810955550000278"/>
    <n v="2000000000"/>
    <s v="3434/СДБО"/>
    <m/>
    <d v="2014-09-25T00:00:00"/>
    <m/>
    <m/>
    <n v="1"/>
    <n v="1"/>
    <m/>
    <m/>
    <n v="1"/>
    <n v="1"/>
    <n v="1"/>
    <n v="0"/>
    <n v="0"/>
    <m/>
    <d v="2016-10-28T00:00:00"/>
    <n v="0"/>
    <m/>
    <m/>
    <m/>
    <n v="0"/>
    <m/>
    <m/>
  </r>
  <r>
    <x v="29"/>
    <n v="721"/>
    <s v="45208840855550000124"/>
    <n v="6804426072.21"/>
    <s v="1597"/>
    <m/>
    <d v="2006-06-22T00:00:00"/>
    <m/>
    <m/>
    <n v="2.1"/>
    <n v="1"/>
    <n v="-1"/>
    <s v="0"/>
    <n v="1.1000000000000001"/>
    <n v="1.1000000000000001"/>
    <n v="1.1000000000000001"/>
    <n v="0"/>
    <n v="1"/>
    <m/>
    <d v="2008-03-05T00:00:00"/>
    <n v="0"/>
    <m/>
    <m/>
    <m/>
    <m/>
    <m/>
    <m/>
  </r>
  <r>
    <x v="30"/>
    <n v="10421"/>
    <s v="32308840000210000067"/>
    <n v="834234264.51999998"/>
    <s v="701612139 - участ. Якутуголь"/>
    <m/>
    <d v="2013-12-16T00:00:00"/>
    <m/>
    <m/>
    <n v="3"/>
    <n v="3"/>
    <n v="-2"/>
    <s v="345"/>
    <n v="4"/>
    <n v="4"/>
    <n v="4"/>
    <n v="0"/>
    <n v="1"/>
    <m/>
    <d v="2014-03-11T00:00:00"/>
    <n v="752"/>
    <m/>
    <m/>
    <m/>
    <n v="0"/>
    <m/>
    <m/>
  </r>
  <r>
    <x v="30"/>
    <n v="14061"/>
    <s v="45208810955550000436"/>
    <n v="5818336163.0799999"/>
    <s v="КС-757000/2008/00021"/>
    <m/>
    <d v="2008-11-27T00:00:00"/>
    <m/>
    <m/>
    <n v="3"/>
    <n v="3"/>
    <n v="-2"/>
    <s v="345"/>
    <n v="4"/>
    <n v="4"/>
    <n v="4"/>
    <n v="0"/>
    <n v="1"/>
    <m/>
    <d v="2000-01-01T00:00:00"/>
    <n v="712"/>
    <m/>
    <n v="2"/>
    <m/>
    <m/>
    <m/>
    <m/>
  </r>
  <r>
    <x v="30"/>
    <n v="14432"/>
    <s v="45812840055550000255"/>
    <n v="1625136810.0999999"/>
    <s v="цесс_2010-09-06 (б/ н.)"/>
    <m/>
    <d v="2010-09-06T00:00:00"/>
    <m/>
    <m/>
    <n v="3"/>
    <n v="3"/>
    <n v="-2"/>
    <s v="345"/>
    <n v="4"/>
    <n v="4"/>
    <n v="4"/>
    <n v="0"/>
    <n v="1"/>
    <m/>
    <d v="2000-01-01T00:00:00"/>
    <n v="752"/>
    <m/>
    <m/>
    <m/>
    <n v="0"/>
    <m/>
    <m/>
  </r>
  <r>
    <x v="30"/>
    <n v="18225"/>
    <s v="32309840100210000186"/>
    <n v="1643459737.8599999"/>
    <s v="701005161 - участ. Якутуголь"/>
    <m/>
    <d v="2013-04-26T00:00:00"/>
    <m/>
    <m/>
    <n v="3"/>
    <n v="3"/>
    <n v="-2"/>
    <s v="345"/>
    <n v="4"/>
    <n v="4"/>
    <n v="4"/>
    <n v="0"/>
    <n v="1"/>
    <m/>
    <d v="2013-06-10T00:00:00"/>
    <n v="752"/>
    <m/>
    <n v="0"/>
    <m/>
    <n v="0"/>
    <m/>
    <m/>
  </r>
  <r>
    <x v="31"/>
    <n v="10000541"/>
    <s v="47408124700210000075"/>
    <n v="9646140"/>
    <m/>
    <m/>
    <m/>
    <m/>
    <m/>
    <n v="1"/>
    <n v="1"/>
    <m/>
    <m/>
    <n v="1"/>
    <n v="1"/>
    <n v="1"/>
    <n v="0"/>
    <m/>
    <m/>
    <m/>
    <n v="0"/>
    <m/>
    <m/>
    <m/>
    <m/>
    <m/>
    <m/>
  </r>
  <r>
    <x v="32"/>
    <n v="16594"/>
    <s v="45208810955550000478"/>
    <n v="20000000000"/>
    <s v="3780"/>
    <m/>
    <d v="2015-09-23T00:00:00"/>
    <m/>
    <m/>
    <n v="1"/>
    <n v="1"/>
    <m/>
    <m/>
    <n v="1"/>
    <n v="1"/>
    <n v="1"/>
    <n v="0"/>
    <n v="1"/>
    <m/>
    <d v="2015-12-31T00:00:00"/>
    <n v="0"/>
    <m/>
    <m/>
    <m/>
    <m/>
    <m/>
    <m/>
  </r>
  <r>
    <x v="33"/>
    <n v="8916"/>
    <s v="45208810355550000353"/>
    <n v="8840000000"/>
    <s v="3161"/>
    <m/>
    <d v="2013-04-03T00:00:00"/>
    <m/>
    <m/>
    <n v="1"/>
    <n v="1"/>
    <m/>
    <m/>
    <n v="1"/>
    <n v="1"/>
    <n v="1"/>
    <n v="0"/>
    <n v="1"/>
    <m/>
    <d v="2013-07-15T00:00:00"/>
    <n v="0"/>
    <m/>
    <m/>
    <m/>
    <m/>
    <m/>
    <m/>
  </r>
  <r>
    <x v="33"/>
    <n v="8917"/>
    <s v="45208810655550000354"/>
    <n v="1428100000"/>
    <s v="3162"/>
    <m/>
    <d v="2013-04-03T00:00:00"/>
    <m/>
    <m/>
    <n v="1"/>
    <n v="1"/>
    <m/>
    <m/>
    <n v="1"/>
    <n v="1"/>
    <n v="1"/>
    <n v="0"/>
    <n v="1"/>
    <m/>
    <d v="2013-07-15T00:00:00"/>
    <n v="0"/>
    <m/>
    <m/>
    <m/>
    <m/>
    <m/>
    <m/>
  </r>
  <r>
    <x v="33"/>
    <n v="11161"/>
    <s v="45208810355550000395"/>
    <n v="8555124000"/>
    <s v="3454"/>
    <m/>
    <d v="2014-03-04T00:00:00"/>
    <m/>
    <m/>
    <n v="1"/>
    <n v="1"/>
    <m/>
    <m/>
    <n v="1"/>
    <n v="1"/>
    <n v="1"/>
    <n v="0"/>
    <n v="1"/>
    <m/>
    <d v="2014-04-15T00:00:00"/>
    <n v="0"/>
    <m/>
    <m/>
    <m/>
    <m/>
    <m/>
    <m/>
  </r>
  <r>
    <x v="33"/>
    <n v="14047"/>
    <s v="45208810355550000434"/>
    <n v="2000000000"/>
    <s v="3614"/>
    <m/>
    <d v="2014-11-21T00:00:00"/>
    <m/>
    <m/>
    <n v="1"/>
    <n v="1"/>
    <m/>
    <m/>
    <n v="1"/>
    <n v="1"/>
    <n v="1"/>
    <n v="0"/>
    <n v="1"/>
    <m/>
    <d v="2015-01-15T00:00:00"/>
    <n v="0"/>
    <m/>
    <m/>
    <m/>
    <m/>
    <m/>
    <m/>
  </r>
  <r>
    <x v="33"/>
    <n v="16693"/>
    <s v="45208810955550000481"/>
    <n v="1150863820"/>
    <s v="3785"/>
    <m/>
    <d v="2015-09-30T00:00:00"/>
    <m/>
    <m/>
    <n v="1"/>
    <n v="1"/>
    <m/>
    <m/>
    <n v="1"/>
    <n v="1"/>
    <n v="1"/>
    <n v="0"/>
    <n v="1"/>
    <m/>
    <d v="2016-01-15T00:00:00"/>
    <n v="0"/>
    <m/>
    <m/>
    <m/>
    <n v="0"/>
    <m/>
    <m/>
  </r>
  <r>
    <x v="33"/>
    <n v="16694"/>
    <s v="45208810255550000482"/>
    <n v="956882010"/>
    <s v="3788"/>
    <m/>
    <d v="2015-09-30T00:00:00"/>
    <m/>
    <m/>
    <n v="1"/>
    <n v="1"/>
    <m/>
    <m/>
    <n v="1"/>
    <n v="1"/>
    <n v="1"/>
    <n v="0"/>
    <n v="1"/>
    <m/>
    <d v="2016-01-15T00:00:00"/>
    <n v="0"/>
    <m/>
    <m/>
    <m/>
    <n v="0"/>
    <m/>
    <m/>
  </r>
  <r>
    <x v="33"/>
    <n v="16860"/>
    <s v="45208810755550000487"/>
    <n v="150000000"/>
    <s v="3787"/>
    <m/>
    <d v="2015-10-22T00:00:00"/>
    <m/>
    <m/>
    <n v="1"/>
    <n v="1"/>
    <m/>
    <m/>
    <n v="1"/>
    <n v="1"/>
    <n v="1"/>
    <n v="0"/>
    <n v="1"/>
    <m/>
    <d v="2016-01-15T00:00:00"/>
    <n v="0"/>
    <m/>
    <m/>
    <m/>
    <m/>
    <m/>
    <m/>
  </r>
  <r>
    <x v="33"/>
    <n v="16861"/>
    <s v="45208810155550000485"/>
    <n v="200000000"/>
    <s v="3790"/>
    <m/>
    <d v="2015-10-22T00:00:00"/>
    <m/>
    <m/>
    <n v="1"/>
    <n v="1"/>
    <m/>
    <m/>
    <n v="1"/>
    <n v="1"/>
    <n v="1"/>
    <n v="0"/>
    <n v="1"/>
    <m/>
    <d v="2016-01-15T00:00:00"/>
    <n v="0"/>
    <m/>
    <m/>
    <m/>
    <m/>
    <m/>
    <m/>
  </r>
  <r>
    <x v="33"/>
    <n v="16862"/>
    <s v="45208810455550000486"/>
    <n v="85300000"/>
    <s v="3791"/>
    <m/>
    <d v="2015-10-22T00:00:00"/>
    <m/>
    <m/>
    <n v="1"/>
    <n v="1"/>
    <m/>
    <m/>
    <n v="1"/>
    <n v="1"/>
    <n v="1"/>
    <n v="0"/>
    <n v="1"/>
    <m/>
    <d v="2016-01-15T00:00:00"/>
    <n v="0"/>
    <m/>
    <m/>
    <m/>
    <m/>
    <m/>
    <m/>
  </r>
  <r>
    <x v="33"/>
    <n v="17400"/>
    <s v="45207810755550000556"/>
    <n v="1310600000"/>
    <s v="3909"/>
    <m/>
    <d v="2015-12-30T00:00:00"/>
    <m/>
    <m/>
    <n v="1"/>
    <n v="1"/>
    <m/>
    <m/>
    <n v="1"/>
    <n v="1"/>
    <n v="1"/>
    <n v="0"/>
    <n v="1"/>
    <m/>
    <d v="2015-04-15T00:00:00"/>
    <n v="0"/>
    <m/>
    <m/>
    <m/>
    <m/>
    <m/>
    <m/>
  </r>
  <r>
    <x v="33"/>
    <n v="17401"/>
    <s v="45208810655550000503"/>
    <n v="1630000000"/>
    <s v="3908"/>
    <m/>
    <d v="2015-12-30T00:00:00"/>
    <m/>
    <m/>
    <n v="1"/>
    <n v="1"/>
    <m/>
    <m/>
    <n v="1"/>
    <n v="1"/>
    <n v="1"/>
    <n v="0"/>
    <n v="1"/>
    <m/>
    <d v="2015-04-15T00:00:00"/>
    <n v="0"/>
    <m/>
    <m/>
    <m/>
    <m/>
    <m/>
    <m/>
  </r>
  <r>
    <x v="33"/>
    <n v="17402"/>
    <s v="45207810455550000555"/>
    <n v="9150160"/>
    <s v="3907"/>
    <m/>
    <d v="2015-12-30T00:00:00"/>
    <m/>
    <m/>
    <n v="1"/>
    <n v="1"/>
    <m/>
    <m/>
    <n v="1"/>
    <n v="1"/>
    <n v="1"/>
    <n v="0"/>
    <n v="1"/>
    <m/>
    <d v="2015-04-15T00:00:00"/>
    <n v="0"/>
    <m/>
    <m/>
    <m/>
    <m/>
    <m/>
    <m/>
  </r>
  <r>
    <x v="33"/>
    <n v="17424"/>
    <s v="45207810855550000618"/>
    <n v="50000000"/>
    <s v="3906"/>
    <m/>
    <d v="2015-12-30T00:00:00"/>
    <m/>
    <m/>
    <n v="1"/>
    <n v="1"/>
    <m/>
    <m/>
    <n v="1"/>
    <n v="1"/>
    <n v="1"/>
    <n v="0"/>
    <n v="1"/>
    <m/>
    <d v="2016-07-15T00:00:00"/>
    <n v="0"/>
    <m/>
    <m/>
    <m/>
    <n v="0"/>
    <m/>
    <m/>
  </r>
  <r>
    <x v="33"/>
    <n v="26440"/>
    <s v="45208810555550000577"/>
    <n v="785672080"/>
    <s v="4064"/>
    <m/>
    <d v="2016-08-17T00:00:00"/>
    <m/>
    <m/>
    <n v="1"/>
    <n v="1"/>
    <m/>
    <m/>
    <n v="1"/>
    <n v="1"/>
    <n v="1"/>
    <n v="0"/>
    <n v="0"/>
    <m/>
    <d v="2016-10-15T00:00:00"/>
    <n v="0"/>
    <m/>
    <m/>
    <m/>
    <n v="0"/>
    <m/>
    <m/>
  </r>
  <r>
    <x v="33"/>
    <n v="26441"/>
    <s v="45208810855550000578"/>
    <n v="554368080"/>
    <s v="4062"/>
    <m/>
    <d v="2016-08-17T00:00:00"/>
    <m/>
    <m/>
    <n v="1"/>
    <n v="1"/>
    <m/>
    <m/>
    <n v="1"/>
    <n v="1"/>
    <n v="1"/>
    <n v="0"/>
    <n v="0"/>
    <m/>
    <d v="2016-10-15T00:00:00"/>
    <n v="0"/>
    <m/>
    <m/>
    <m/>
    <n v="0"/>
    <m/>
    <m/>
  </r>
  <r>
    <x v="33"/>
    <n v="26531"/>
    <s v="45208810155550000579"/>
    <n v="37905390"/>
    <s v="4065"/>
    <m/>
    <d v="2016-08-18T00:00:00"/>
    <m/>
    <m/>
    <n v="1"/>
    <n v="1"/>
    <m/>
    <m/>
    <n v="1"/>
    <n v="1"/>
    <n v="1"/>
    <n v="0"/>
    <n v="0"/>
    <m/>
    <d v="2016-10-15T00:00:00"/>
    <n v="0"/>
    <m/>
    <m/>
    <m/>
    <n v="0"/>
    <m/>
    <m/>
  </r>
  <r>
    <x v="34"/>
    <n v="4353"/>
    <s v="45208810255550000356"/>
    <n v="44770317385.480003"/>
    <s v="2640"/>
    <m/>
    <d v="2010-12-27T00:00:00"/>
    <m/>
    <m/>
    <n v="2.2999999999999998"/>
    <n v="3"/>
    <n v="-2"/>
    <s v="345"/>
    <n v="3"/>
    <n v="3"/>
    <n v="3"/>
    <n v="0"/>
    <n v="1"/>
    <m/>
    <d v="2000-01-01T00:00:00"/>
    <n v="834"/>
    <m/>
    <n v="2"/>
    <m/>
    <n v="0"/>
    <m/>
    <m/>
  </r>
  <r>
    <x v="35"/>
    <n v="1130"/>
    <s v="32309840000210000008"/>
    <n v="41989022097.980003"/>
    <s v="702812052"/>
    <m/>
    <d v="2005-12-28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35"/>
    <n v="1131"/>
    <s v="32309978900210000009"/>
    <n v="14044463827.27"/>
    <s v="702812053"/>
    <m/>
    <d v="2005-12-28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35"/>
    <n v="2212"/>
    <s v="32309756700210000010"/>
    <n v="6694956051.8900003"/>
    <s v="702812056"/>
    <m/>
    <d v="2005-12-28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36"/>
    <n v="10000752"/>
    <s v="32103840250018000188"/>
    <n v="3697148857.8000002"/>
    <m/>
    <m/>
    <m/>
    <m/>
    <m/>
    <n v="1"/>
    <n v="1"/>
    <m/>
    <m/>
    <n v="1"/>
    <n v="1"/>
    <n v="1"/>
    <n v="0"/>
    <m/>
    <m/>
    <m/>
    <n v="0"/>
    <m/>
    <m/>
    <m/>
    <m/>
    <m/>
    <m/>
  </r>
  <r>
    <x v="37"/>
    <n v="11133"/>
    <s v="45207810855550000469"/>
    <n v="12500000000"/>
    <s v="3468"/>
    <m/>
    <d v="2014-02-26T00:00:00"/>
    <m/>
    <m/>
    <n v="1"/>
    <n v="1"/>
    <n v="-1"/>
    <s v="0"/>
    <n v="1"/>
    <n v="1"/>
    <n v="1"/>
    <n v="0"/>
    <n v="1"/>
    <m/>
    <d v="2014-03-25T00:00:00"/>
    <n v="0"/>
    <m/>
    <n v="0"/>
    <m/>
    <n v="0"/>
    <m/>
    <m/>
  </r>
  <r>
    <x v="37"/>
    <n v="17478"/>
    <s v="45208810555550000506"/>
    <n v="15000000000"/>
    <s v="3923"/>
    <m/>
    <d v="2016-01-27T00:00:00"/>
    <m/>
    <m/>
    <n v="1"/>
    <n v="1"/>
    <n v="-1"/>
    <s v="0"/>
    <n v="1"/>
    <n v="1"/>
    <n v="1"/>
    <n v="0"/>
    <n v="1"/>
    <m/>
    <d v="2016-03-25T00:00:00"/>
    <n v="0"/>
    <m/>
    <m/>
    <n v="0"/>
    <m/>
    <m/>
    <m/>
  </r>
  <r>
    <x v="37"/>
    <n v="17479"/>
    <s v="45208810955550000504"/>
    <n v="20000000000"/>
    <s v="3924"/>
    <m/>
    <d v="2016-01-27T00:00:00"/>
    <m/>
    <m/>
    <n v="1"/>
    <n v="1"/>
    <n v="-1"/>
    <s v="0"/>
    <n v="1"/>
    <n v="1"/>
    <n v="1"/>
    <n v="0"/>
    <n v="1"/>
    <m/>
    <d v="2016-03-25T00:00:00"/>
    <n v="0"/>
    <m/>
    <m/>
    <n v="0"/>
    <m/>
    <m/>
    <m/>
  </r>
  <r>
    <x v="37"/>
    <n v="17480"/>
    <s v="45208810255550000505"/>
    <n v="15000000000"/>
    <s v="3925"/>
    <m/>
    <d v="2016-01-27T00:00:00"/>
    <m/>
    <m/>
    <n v="1"/>
    <n v="1"/>
    <n v="-1"/>
    <s v="0"/>
    <n v="1"/>
    <n v="1"/>
    <n v="1"/>
    <n v="0"/>
    <n v="1"/>
    <m/>
    <d v="2016-03-25T00:00:00"/>
    <n v="0"/>
    <m/>
    <m/>
    <n v="0"/>
    <m/>
    <m/>
    <m/>
  </r>
  <r>
    <x v="37"/>
    <n v="17543"/>
    <s v="45208810155550000508"/>
    <n v="10000000000"/>
    <s v="3927"/>
    <m/>
    <d v="2016-02-09T00:00:00"/>
    <m/>
    <m/>
    <n v="1"/>
    <n v="1"/>
    <n v="-1"/>
    <s v="0"/>
    <n v="1"/>
    <n v="1"/>
    <n v="1"/>
    <n v="0"/>
    <n v="1"/>
    <m/>
    <d v="2016-03-25T00:00:00"/>
    <n v="0"/>
    <m/>
    <m/>
    <n v="0"/>
    <m/>
    <m/>
    <m/>
  </r>
  <r>
    <x v="37"/>
    <n v="17544"/>
    <s v="45208810455550000509"/>
    <n v="10000000000"/>
    <s v="3928"/>
    <m/>
    <d v="2016-02-09T00:00:00"/>
    <m/>
    <m/>
    <n v="1"/>
    <n v="1"/>
    <n v="-1"/>
    <s v="0"/>
    <n v="1"/>
    <n v="1"/>
    <n v="1"/>
    <n v="0"/>
    <n v="1"/>
    <m/>
    <d v="2016-03-25T00:00:00"/>
    <n v="0"/>
    <m/>
    <m/>
    <n v="0"/>
    <m/>
    <m/>
    <m/>
  </r>
  <r>
    <x v="37"/>
    <n v="17545"/>
    <s v="45208810855550000507"/>
    <n v="20000000000"/>
    <s v="3926"/>
    <m/>
    <d v="2016-02-09T00:00:00"/>
    <m/>
    <m/>
    <n v="1"/>
    <n v="1"/>
    <n v="-1"/>
    <s v="0"/>
    <n v="1"/>
    <n v="1"/>
    <n v="1"/>
    <n v="0"/>
    <n v="1"/>
    <m/>
    <d v="2016-03-25T00:00:00"/>
    <n v="0"/>
    <m/>
    <m/>
    <n v="0"/>
    <m/>
    <m/>
    <m/>
  </r>
  <r>
    <x v="37"/>
    <n v="17546"/>
    <s v="45208810855550000510"/>
    <n v="10000000000"/>
    <s v="3929"/>
    <m/>
    <d v="2016-02-09T00:00:00"/>
    <m/>
    <m/>
    <n v="1"/>
    <n v="1"/>
    <n v="-1"/>
    <s v="0"/>
    <n v="1"/>
    <n v="1"/>
    <n v="1"/>
    <n v="0"/>
    <n v="1"/>
    <m/>
    <d v="2016-03-25T00:00:00"/>
    <n v="0"/>
    <m/>
    <m/>
    <n v="0"/>
    <m/>
    <m/>
    <m/>
  </r>
  <r>
    <x v="38"/>
    <n v="9911"/>
    <s v="32109840200210000215"/>
    <n v="322106310"/>
    <s v="702706121"/>
    <m/>
    <d v="2012-06-27T00:00:00"/>
    <m/>
    <m/>
    <n v="1"/>
    <n v="1"/>
    <n v="-1"/>
    <s v="0"/>
    <n v="1"/>
    <n v="1"/>
    <n v="1"/>
    <n v="0"/>
    <n v="1"/>
    <m/>
    <d v="2012-09-27T00:00:00"/>
    <n v="0"/>
    <m/>
    <m/>
    <m/>
    <m/>
    <m/>
    <m/>
  </r>
  <r>
    <x v="38"/>
    <n v="9915"/>
    <s v="32109840600210000242"/>
    <n v="315790500"/>
    <s v="701112121"/>
    <m/>
    <d v="2012-12-11T00:00:00"/>
    <m/>
    <m/>
    <n v="1"/>
    <n v="1"/>
    <n v="-1"/>
    <s v="0"/>
    <n v="1"/>
    <n v="1"/>
    <n v="1"/>
    <n v="0"/>
    <n v="1"/>
    <m/>
    <d v="2013-03-11T00:00:00"/>
    <n v="0"/>
    <m/>
    <m/>
    <m/>
    <m/>
    <m/>
    <m/>
  </r>
  <r>
    <x v="38"/>
    <n v="9921"/>
    <s v="32109840600210000284"/>
    <n v="694739100"/>
    <s v="702406131"/>
    <m/>
    <d v="2013-06-24T00:00:00"/>
    <m/>
    <m/>
    <n v="1"/>
    <n v="1"/>
    <n v="-1"/>
    <s v="0"/>
    <n v="1"/>
    <n v="1"/>
    <n v="1"/>
    <n v="0"/>
    <n v="1"/>
    <m/>
    <d v="2013-09-24T00:00:00"/>
    <n v="0"/>
    <m/>
    <m/>
    <m/>
    <m/>
    <m/>
    <m/>
  </r>
  <r>
    <x v="38"/>
    <n v="10000900"/>
    <s v="32107810900210000097"/>
    <n v="35000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39"/>
    <n v="26659"/>
    <s v="32108840700210000813"/>
    <n v="1231582950"/>
    <s v="703103164"/>
    <m/>
    <d v="2016-03-31T00:00:00"/>
    <m/>
    <m/>
    <n v="1"/>
    <n v="1"/>
    <m/>
    <m/>
    <n v="1"/>
    <n v="1"/>
    <n v="1"/>
    <n v="0"/>
    <n v="1"/>
    <m/>
    <d v="2016-06-30T00:00:00"/>
    <n v="0"/>
    <m/>
    <n v="0"/>
    <m/>
    <m/>
    <m/>
    <m/>
  </r>
  <r>
    <x v="39"/>
    <n v="26660"/>
    <s v="32108840000210000814"/>
    <n v="978950550"/>
    <s v="703103165"/>
    <m/>
    <d v="2016-03-31T00:00:00"/>
    <m/>
    <m/>
    <n v="1"/>
    <n v="1"/>
    <m/>
    <m/>
    <n v="1"/>
    <n v="1"/>
    <n v="1"/>
    <n v="0"/>
    <n v="1"/>
    <m/>
    <d v="2016-05-23T00:00:00"/>
    <n v="0"/>
    <m/>
    <n v="0"/>
    <m/>
    <m/>
    <m/>
    <m/>
  </r>
  <r>
    <x v="39"/>
    <n v="10000912"/>
    <s v="32103840700210005842"/>
    <n v="4112426237.46"/>
    <m/>
    <m/>
    <m/>
    <m/>
    <m/>
    <n v="1"/>
    <n v="1"/>
    <m/>
    <m/>
    <n v="1"/>
    <n v="1"/>
    <n v="1"/>
    <n v="0"/>
    <m/>
    <m/>
    <m/>
    <n v="0"/>
    <m/>
    <m/>
    <m/>
    <m/>
    <m/>
    <m/>
  </r>
  <r>
    <x v="40"/>
    <n v="18228"/>
    <s v="45207810855550000579"/>
    <n v="1719765859.3399999"/>
    <s v="38-177/15/410-13-КР"/>
    <m/>
    <d v="2013-11-18T00:00:00"/>
    <m/>
    <m/>
    <n v="3"/>
    <n v="1"/>
    <m/>
    <m/>
    <n v="3"/>
    <n v="3"/>
    <n v="3"/>
    <n v="0"/>
    <n v="1"/>
    <m/>
    <d v="2000-01-01T00:00:00"/>
    <n v="0"/>
    <m/>
    <m/>
    <m/>
    <m/>
    <m/>
    <m/>
  </r>
  <r>
    <x v="41"/>
    <n v="463"/>
    <s v="45208810755550000131"/>
    <n v="180776586.99000001"/>
    <s v="1649"/>
    <m/>
    <d v="2006-08-10T00:00:00"/>
    <m/>
    <m/>
    <n v="2.1"/>
    <n v="1"/>
    <m/>
    <m/>
    <n v="2.1"/>
    <n v="2.1"/>
    <n v="2.1"/>
    <n v="0"/>
    <n v="1"/>
    <m/>
    <d v="2006-08-10T00:00:00"/>
    <n v="0"/>
    <m/>
    <n v="0"/>
    <m/>
    <m/>
    <m/>
    <m/>
  </r>
  <r>
    <x v="41"/>
    <n v="481"/>
    <s v="45208810255550000165"/>
    <n v="29869370.949999999"/>
    <s v="1682"/>
    <m/>
    <d v="2006-10-16T00:00:00"/>
    <m/>
    <m/>
    <n v="2.1"/>
    <n v="1"/>
    <m/>
    <m/>
    <n v="2.1"/>
    <n v="2.1"/>
    <n v="2.1"/>
    <n v="0"/>
    <n v="1"/>
    <m/>
    <d v="2006-10-16T00:00:00"/>
    <n v="0"/>
    <m/>
    <n v="0"/>
    <m/>
    <m/>
    <m/>
    <m/>
  </r>
  <r>
    <x v="41"/>
    <n v="482"/>
    <s v="45208810655550000147"/>
    <n v="144968501.91999999"/>
    <s v="1685"/>
    <m/>
    <d v="2006-10-19T00:00:00"/>
    <m/>
    <m/>
    <n v="2.1"/>
    <n v="1"/>
    <m/>
    <m/>
    <n v="2.1"/>
    <n v="2.1"/>
    <n v="2.1"/>
    <n v="0"/>
    <n v="1"/>
    <m/>
    <d v="2006-10-19T00:00:00"/>
    <n v="0"/>
    <m/>
    <n v="0"/>
    <m/>
    <m/>
    <m/>
    <m/>
  </r>
  <r>
    <x v="41"/>
    <n v="496"/>
    <s v="45208810955550000135"/>
    <n v="174051434.37"/>
    <s v="1719"/>
    <m/>
    <d v="2006-12-20T00:00:00"/>
    <m/>
    <m/>
    <n v="2.1"/>
    <n v="1"/>
    <m/>
    <m/>
    <n v="2.1"/>
    <n v="2.1"/>
    <n v="2.1"/>
    <n v="0"/>
    <n v="1"/>
    <m/>
    <d v="2006-12-20T00:00:00"/>
    <n v="0"/>
    <m/>
    <n v="0"/>
    <m/>
    <m/>
    <m/>
    <m/>
  </r>
  <r>
    <x v="41"/>
    <n v="506"/>
    <s v="45208810255550000136"/>
    <n v="160177069.13"/>
    <s v="1737"/>
    <m/>
    <d v="2007-02-20T00:00:00"/>
    <m/>
    <m/>
    <n v="2.1"/>
    <n v="1"/>
    <m/>
    <m/>
    <n v="2.1"/>
    <n v="2.1"/>
    <n v="2.1"/>
    <n v="0"/>
    <n v="1"/>
    <m/>
    <d v="2007-02-21T00:00:00"/>
    <n v="0"/>
    <m/>
    <n v="0"/>
    <m/>
    <m/>
    <m/>
    <m/>
  </r>
  <r>
    <x v="41"/>
    <n v="507"/>
    <s v="45208810255550000152"/>
    <n v="1834326062.72"/>
    <s v="1750"/>
    <m/>
    <d v="2007-03-16T00:00:00"/>
    <m/>
    <m/>
    <n v="2.1"/>
    <n v="1"/>
    <m/>
    <m/>
    <n v="2.1"/>
    <n v="2.1"/>
    <n v="2.1"/>
    <n v="0"/>
    <n v="1"/>
    <m/>
    <d v="2007-03-16T00:00:00"/>
    <n v="0"/>
    <m/>
    <n v="0"/>
    <m/>
    <m/>
    <m/>
    <m/>
  </r>
  <r>
    <x v="41"/>
    <n v="515"/>
    <s v="45208810555550000137"/>
    <n v="320291755.89999998"/>
    <s v="1765"/>
    <m/>
    <d v="2007-04-05T00:00:00"/>
    <m/>
    <m/>
    <n v="2.1"/>
    <n v="1"/>
    <m/>
    <m/>
    <n v="2.1"/>
    <n v="2.1"/>
    <n v="2.1"/>
    <n v="0"/>
    <n v="1"/>
    <m/>
    <d v="2007-04-05T00:00:00"/>
    <n v="0"/>
    <m/>
    <n v="0"/>
    <m/>
    <m/>
    <m/>
    <m/>
  </r>
  <r>
    <x v="41"/>
    <n v="539"/>
    <s v="45208810955550000151"/>
    <n v="2404552699.2600002"/>
    <s v="1841"/>
    <m/>
    <d v="2007-08-23T00:00:00"/>
    <m/>
    <m/>
    <n v="2.1"/>
    <n v="1"/>
    <m/>
    <m/>
    <n v="2.1"/>
    <n v="2.1"/>
    <n v="2.1"/>
    <n v="0"/>
    <n v="1"/>
    <m/>
    <d v="2007-08-23T00:00:00"/>
    <n v="0"/>
    <m/>
    <n v="0"/>
    <m/>
    <m/>
    <m/>
    <m/>
  </r>
  <r>
    <x v="41"/>
    <n v="578"/>
    <s v="45208810855550000154"/>
    <n v="379593531.56"/>
    <s v="1927"/>
    <m/>
    <d v="2007-12-13T00:00:00"/>
    <m/>
    <m/>
    <n v="2.1"/>
    <n v="1"/>
    <m/>
    <m/>
    <n v="2.1"/>
    <n v="2.1"/>
    <n v="2.1"/>
    <n v="0"/>
    <n v="1"/>
    <m/>
    <d v="2007-12-13T00:00:00"/>
    <n v="0"/>
    <m/>
    <n v="0"/>
    <m/>
    <m/>
    <m/>
    <m/>
  </r>
  <r>
    <x v="41"/>
    <n v="584"/>
    <s v="45208810555550000153"/>
    <n v="1125000000"/>
    <s v="1958"/>
    <m/>
    <d v="2007-12-24T00:00:00"/>
    <m/>
    <m/>
    <n v="2.1"/>
    <n v="1"/>
    <m/>
    <m/>
    <n v="2.1"/>
    <n v="2.1"/>
    <n v="2.1"/>
    <n v="0"/>
    <n v="1"/>
    <m/>
    <d v="2007-12-24T00:00:00"/>
    <n v="0"/>
    <m/>
    <n v="0"/>
    <m/>
    <m/>
    <m/>
    <m/>
  </r>
  <r>
    <x v="41"/>
    <n v="629"/>
    <s v="45208810055550000158"/>
    <n v="1869858265"/>
    <s v="2016"/>
    <m/>
    <d v="2008-05-29T00:00:00"/>
    <m/>
    <m/>
    <n v="2.1"/>
    <n v="1"/>
    <m/>
    <m/>
    <n v="2.1"/>
    <n v="2.1"/>
    <n v="2.1"/>
    <n v="0"/>
    <n v="1"/>
    <m/>
    <d v="2008-05-29T00:00:00"/>
    <n v="0"/>
    <m/>
    <n v="0"/>
    <m/>
    <m/>
    <m/>
    <m/>
  </r>
  <r>
    <x v="42"/>
    <n v="3650"/>
    <s v="45208810955550000216"/>
    <n v="626064372.12"/>
    <s v="2582"/>
    <m/>
    <d v="2010-07-21T00:00:00"/>
    <m/>
    <m/>
    <n v="1"/>
    <n v="1"/>
    <m/>
    <m/>
    <n v="1"/>
    <n v="1"/>
    <n v="1"/>
    <n v="0"/>
    <n v="1"/>
    <m/>
    <d v="2010-07-28T00:00:00"/>
    <n v="0"/>
    <m/>
    <n v="0"/>
    <m/>
    <n v="0"/>
    <m/>
    <m/>
  </r>
  <r>
    <x v="43"/>
    <n v="100001042"/>
    <s v="32203840000210004456"/>
    <n v="3778708000.7999992"/>
    <m/>
    <m/>
    <m/>
    <m/>
    <m/>
    <n v="1"/>
    <n v="1"/>
    <m/>
    <m/>
    <n v="1"/>
    <n v="1"/>
    <n v="1"/>
    <n v="0"/>
    <m/>
    <m/>
    <m/>
    <n v="0"/>
    <m/>
    <m/>
    <m/>
    <m/>
    <m/>
    <m/>
  </r>
  <r>
    <x v="44"/>
    <n v="11841"/>
    <s v="45208810255550000411"/>
    <n v="3000000000"/>
    <s v="3387"/>
    <m/>
    <d v="2014-04-28T00:00:00"/>
    <m/>
    <m/>
    <n v="1"/>
    <n v="1"/>
    <m/>
    <m/>
    <n v="1"/>
    <n v="1"/>
    <n v="1"/>
    <n v="0"/>
    <n v="1"/>
    <m/>
    <d v="2014-05-12T00:00:00"/>
    <n v="0"/>
    <m/>
    <m/>
    <m/>
    <n v="0"/>
    <m/>
    <m/>
  </r>
  <r>
    <x v="44"/>
    <n v="14352"/>
    <s v="45208810755550000445"/>
    <n v="3000000000"/>
    <s v="3585"/>
    <m/>
    <d v="2014-12-12T00:00:00"/>
    <m/>
    <m/>
    <n v="1"/>
    <n v="1"/>
    <m/>
    <m/>
    <n v="1"/>
    <n v="1"/>
    <n v="1"/>
    <n v="0"/>
    <n v="1"/>
    <m/>
    <d v="2014-12-22T00:00:00"/>
    <n v="0"/>
    <m/>
    <m/>
    <m/>
    <m/>
    <m/>
    <m/>
  </r>
  <r>
    <x v="45"/>
    <n v="701"/>
    <s v="45208810555550000085"/>
    <n v="320049600"/>
    <s v="1653"/>
    <m/>
    <d v="2006-09-08T00:00:00"/>
    <m/>
    <m/>
    <n v="1"/>
    <n v="1"/>
    <m/>
    <m/>
    <n v="1"/>
    <n v="1"/>
    <n v="1"/>
    <n v="0"/>
    <n v="1"/>
    <m/>
    <d v="2006-09-08T00:00:00"/>
    <n v="0"/>
    <m/>
    <n v="0"/>
    <m/>
    <m/>
    <m/>
    <m/>
  </r>
  <r>
    <x v="45"/>
    <n v="737"/>
    <s v="45208810555550000098"/>
    <n v="1690379107.9400001"/>
    <s v="1842"/>
    <m/>
    <d v="2007-08-23T00:00:00"/>
    <m/>
    <m/>
    <n v="1"/>
    <n v="1"/>
    <m/>
    <m/>
    <n v="1"/>
    <n v="1"/>
    <n v="1"/>
    <n v="0"/>
    <n v="1"/>
    <m/>
    <d v="2007-08-23T00:00:00"/>
    <n v="0"/>
    <m/>
    <n v="0"/>
    <m/>
    <m/>
    <m/>
    <m/>
  </r>
  <r>
    <x v="45"/>
    <n v="743"/>
    <s v="45208810455550000101"/>
    <n v="1432912579.8800001"/>
    <s v="1881"/>
    <m/>
    <d v="2007-11-16T00:00:00"/>
    <m/>
    <m/>
    <n v="1"/>
    <n v="1"/>
    <m/>
    <m/>
    <n v="1"/>
    <n v="1"/>
    <n v="1"/>
    <n v="0"/>
    <n v="1"/>
    <m/>
    <d v="2007-11-16T00:00:00"/>
    <n v="0"/>
    <m/>
    <n v="0"/>
    <m/>
    <m/>
    <m/>
    <m/>
  </r>
  <r>
    <x v="45"/>
    <n v="1247"/>
    <s v="45208810155550000113"/>
    <n v="4999033722.3900003"/>
    <s v="2181"/>
    <m/>
    <d v="2008-11-11T00:00:00"/>
    <m/>
    <m/>
    <n v="1"/>
    <n v="1"/>
    <m/>
    <m/>
    <n v="1"/>
    <n v="1"/>
    <n v="1"/>
    <n v="0"/>
    <n v="1"/>
    <m/>
    <d v="2008-11-11T00:00:00"/>
    <n v="0"/>
    <m/>
    <n v="0"/>
    <m/>
    <m/>
    <m/>
    <m/>
  </r>
  <r>
    <x v="45"/>
    <n v="2070"/>
    <s v="45208810055550000174"/>
    <n v="9450000000"/>
    <s v="2278"/>
    <m/>
    <d v="2009-04-15T00:00:00"/>
    <m/>
    <m/>
    <n v="1"/>
    <n v="1"/>
    <m/>
    <m/>
    <n v="1"/>
    <n v="1"/>
    <n v="1"/>
    <n v="0"/>
    <n v="1"/>
    <m/>
    <d v="2009-04-15T00:00:00"/>
    <n v="0"/>
    <m/>
    <n v="0"/>
    <m/>
    <m/>
    <m/>
    <m/>
  </r>
  <r>
    <x v="46"/>
    <n v="17825"/>
    <s v="45208810955550000562"/>
    <n v="5150000000"/>
    <s v="3644"/>
    <m/>
    <d v="2016-02-05T00:00:00"/>
    <m/>
    <m/>
    <n v="1"/>
    <n v="1"/>
    <m/>
    <m/>
    <n v="1"/>
    <n v="1"/>
    <n v="1"/>
    <n v="0"/>
    <n v="1"/>
    <m/>
    <d v="2016-04-29T00:00:00"/>
    <n v="0"/>
    <m/>
    <m/>
    <m/>
    <n v="0"/>
    <m/>
    <m/>
  </r>
  <r>
    <x v="47"/>
    <n v="778"/>
    <s v="45606840355550000006"/>
    <n v="1142535387.96"/>
    <s v="б/н"/>
    <m/>
    <d v="2006-12-22T00:00:00"/>
    <m/>
    <m/>
    <n v="1"/>
    <n v="1"/>
    <m/>
    <m/>
    <n v="1"/>
    <n v="1"/>
    <n v="1"/>
    <n v="0"/>
    <n v="1"/>
    <m/>
    <d v="2006-12-28T00:00:00"/>
    <n v="0"/>
    <m/>
    <m/>
    <m/>
    <m/>
    <m/>
    <m/>
  </r>
  <r>
    <x v="48"/>
    <n v="10963"/>
    <s v="45207810350050000354"/>
    <n v="233333333.36000001"/>
    <s v="00617/МР"/>
    <m/>
    <d v="2014-01-31T00:00:00"/>
    <m/>
    <m/>
    <n v="1"/>
    <n v="1"/>
    <m/>
    <m/>
    <n v="1"/>
    <n v="1"/>
    <n v="1"/>
    <n v="0"/>
    <n v="1"/>
    <m/>
    <d v="2014-02-24T00:00:00"/>
    <n v="1"/>
    <s v="2016-04-26"/>
    <m/>
    <m/>
    <n v="0"/>
    <m/>
    <m/>
  </r>
  <r>
    <x v="48"/>
    <n v="17814"/>
    <s v="45207810950050000440"/>
    <n v="341916666.63999999"/>
    <s v="01356/МР"/>
    <m/>
    <d v="2016-04-28T00:00:00"/>
    <m/>
    <m/>
    <n v="1"/>
    <n v="1"/>
    <m/>
    <m/>
    <n v="1"/>
    <n v="1"/>
    <n v="1"/>
    <n v="0"/>
    <n v="1"/>
    <m/>
    <d v="2015-05-24T00:00:00"/>
    <n v="0"/>
    <m/>
    <m/>
    <m/>
    <m/>
    <m/>
    <m/>
  </r>
  <r>
    <x v="49"/>
    <n v="16006"/>
    <s v="45206810950050000713"/>
    <n v="100000000"/>
    <s v="01067/МР"/>
    <m/>
    <d v="2015-07-20T00:00:00"/>
    <m/>
    <m/>
    <n v="1"/>
    <n v="1"/>
    <m/>
    <m/>
    <n v="1"/>
    <n v="1"/>
    <n v="1"/>
    <n v="0"/>
    <n v="1"/>
    <m/>
    <d v="2015-08-17T00:00:00"/>
    <n v="0"/>
    <m/>
    <m/>
    <m/>
    <m/>
    <m/>
    <m/>
  </r>
  <r>
    <x v="49"/>
    <n v="16387"/>
    <s v="45206810250050000727"/>
    <n v="50000000"/>
    <s v="01109/МР"/>
    <m/>
    <d v="2015-08-31T00:00:00"/>
    <m/>
    <m/>
    <n v="1"/>
    <n v="1"/>
    <m/>
    <m/>
    <n v="1"/>
    <n v="1"/>
    <n v="1"/>
    <n v="0"/>
    <n v="1"/>
    <m/>
    <d v="2015-09-15T00:00:00"/>
    <n v="0"/>
    <m/>
    <m/>
    <m/>
    <m/>
    <m/>
    <m/>
  </r>
  <r>
    <x v="49"/>
    <n v="17815"/>
    <s v="45206810350050000805"/>
    <n v="50000000"/>
    <s v="01351/МР"/>
    <m/>
    <d v="2016-04-29T00:00:00"/>
    <m/>
    <m/>
    <n v="1"/>
    <n v="1"/>
    <m/>
    <m/>
    <n v="1"/>
    <n v="1"/>
    <n v="1"/>
    <n v="0"/>
    <n v="1"/>
    <m/>
    <d v="2015-05-16T00:00:00"/>
    <n v="0"/>
    <m/>
    <m/>
    <m/>
    <m/>
    <m/>
    <m/>
  </r>
  <r>
    <x v="50"/>
    <n v="9436"/>
    <s v="47801810250050000010"/>
    <n v="17873122.989999998"/>
    <s v="К2600/10-0624ЛВ/Д000"/>
    <m/>
    <d v="2011-01-19T00:00:00"/>
    <m/>
    <m/>
    <n v="3"/>
    <n v="3"/>
    <m/>
    <m/>
    <n v="5"/>
    <n v="5"/>
    <n v="5"/>
    <n v="0"/>
    <n v="1"/>
    <m/>
    <d v="2000-01-01T00:00:00"/>
    <n v="1719"/>
    <m/>
    <m/>
    <m/>
    <m/>
    <m/>
    <m/>
  </r>
  <r>
    <x v="50"/>
    <n v="9446"/>
    <s v="47802810550050000120"/>
    <n v="1"/>
    <s v="А2600/10-1584АВ/Д000"/>
    <m/>
    <d v="2010-12-16T00:00:00"/>
    <m/>
    <m/>
    <n v="3"/>
    <n v="3"/>
    <m/>
    <m/>
    <n v="5"/>
    <n v="5"/>
    <n v="5"/>
    <n v="0"/>
    <n v="1"/>
    <m/>
    <d v="2000-01-01T00:00:00"/>
    <n v="1754"/>
    <m/>
    <m/>
    <m/>
    <m/>
    <m/>
    <m/>
  </r>
  <r>
    <x v="50"/>
    <n v="9451"/>
    <s v="47802810850050000118"/>
    <n v="12934516.060000001"/>
    <s v="К2600/10-0654ЛВ/Д000"/>
    <m/>
    <d v="2010-12-16T00:00:00"/>
    <m/>
    <m/>
    <n v="3"/>
    <n v="3"/>
    <m/>
    <m/>
    <n v="5"/>
    <n v="5"/>
    <n v="5"/>
    <n v="0"/>
    <n v="1"/>
    <m/>
    <d v="2000-01-01T00:00:00"/>
    <n v="1751"/>
    <m/>
    <m/>
    <m/>
    <m/>
    <m/>
    <m/>
  </r>
  <r>
    <x v="51"/>
    <n v="16646"/>
    <s v="45207810855550000537"/>
    <n v="24000000000"/>
    <s v="3767"/>
    <m/>
    <d v="2015-09-28T00:00:00"/>
    <m/>
    <m/>
    <n v="1"/>
    <n v="1"/>
    <m/>
    <m/>
    <n v="1"/>
    <n v="1"/>
    <n v="1"/>
    <n v="0"/>
    <n v="1"/>
    <m/>
    <d v="2015-09-29T00:00:00"/>
    <n v="0"/>
    <m/>
    <m/>
    <n v="0"/>
    <n v="0"/>
    <m/>
    <m/>
  </r>
  <r>
    <x v="52"/>
    <n v="18601"/>
    <s v="45207810555550000594"/>
    <n v="1049923031.97"/>
    <s v="38-196/15/380-13-КР"/>
    <m/>
    <d v="2013-12-27T00:00:00"/>
    <m/>
    <m/>
    <n v="3"/>
    <n v="3"/>
    <m/>
    <m/>
    <n v="5"/>
    <n v="5"/>
    <n v="5"/>
    <n v="0"/>
    <n v="1"/>
    <m/>
    <d v="2000-01-01T00:00:00"/>
    <n v="275"/>
    <m/>
    <m/>
    <m/>
    <m/>
    <m/>
    <m/>
  </r>
  <r>
    <x v="53"/>
    <n v="3640"/>
    <s v="45208810255550000217"/>
    <n v="2765358105.02"/>
    <s v="2584"/>
    <m/>
    <d v="2010-07-21T00:00:00"/>
    <m/>
    <m/>
    <n v="1"/>
    <n v="1"/>
    <m/>
    <m/>
    <n v="1"/>
    <n v="1"/>
    <n v="1"/>
    <n v="0"/>
    <n v="1"/>
    <m/>
    <d v="2010-07-28T00:00:00"/>
    <n v="0"/>
    <m/>
    <n v="0"/>
    <m/>
    <n v="0"/>
    <m/>
    <m/>
  </r>
  <r>
    <x v="54"/>
    <n v="12419"/>
    <s v="45207810255550000483"/>
    <n v="5000000000"/>
    <s v="3500"/>
    <m/>
    <d v="2014-07-01T00:00:00"/>
    <m/>
    <m/>
    <n v="1"/>
    <n v="1"/>
    <m/>
    <m/>
    <n v="1"/>
    <n v="1"/>
    <n v="1"/>
    <n v="0"/>
    <n v="1"/>
    <m/>
    <d v="2014-07-31T00:00:00"/>
    <n v="0"/>
    <m/>
    <n v="0"/>
    <m/>
    <n v="0"/>
    <m/>
    <m/>
  </r>
  <r>
    <x v="54"/>
    <n v="12835"/>
    <s v="45207810855550000485"/>
    <n v="5000000000"/>
    <s v="3550"/>
    <m/>
    <d v="2014-08-06T00:00:00"/>
    <m/>
    <m/>
    <n v="1"/>
    <n v="1"/>
    <m/>
    <m/>
    <n v="1"/>
    <n v="1"/>
    <n v="1"/>
    <n v="0"/>
    <n v="1"/>
    <m/>
    <d v="2014-08-29T00:00:00"/>
    <n v="0"/>
    <m/>
    <n v="0"/>
    <m/>
    <n v="0"/>
    <m/>
    <m/>
  </r>
  <r>
    <x v="55"/>
    <n v="8900"/>
    <s v="45208810055550000352"/>
    <n v="12000000000"/>
    <s v="3152"/>
    <m/>
    <d v="2013-03-28T00:00:00"/>
    <m/>
    <m/>
    <n v="1"/>
    <n v="1"/>
    <m/>
    <m/>
    <n v="1"/>
    <n v="1"/>
    <n v="1"/>
    <n v="0"/>
    <n v="1"/>
    <m/>
    <d v="2013-07-15T00:00:00"/>
    <n v="0"/>
    <m/>
    <m/>
    <m/>
    <m/>
    <m/>
    <m/>
  </r>
  <r>
    <x v="55"/>
    <n v="11082"/>
    <s v="45208810755550000393"/>
    <n v="17900000000"/>
    <s v="3464"/>
    <m/>
    <d v="2014-02-25T00:00:00"/>
    <m/>
    <m/>
    <n v="1"/>
    <n v="1"/>
    <m/>
    <m/>
    <n v="1"/>
    <n v="1"/>
    <n v="1"/>
    <n v="0"/>
    <n v="1"/>
    <m/>
    <d v="2014-04-15T00:00:00"/>
    <n v="0"/>
    <m/>
    <m/>
    <m/>
    <m/>
    <m/>
    <m/>
  </r>
  <r>
    <x v="56"/>
    <n v="15157"/>
    <s v="45812810655550000928"/>
    <n v="394935407.98000002"/>
    <s v="КС-725950/2013/00010"/>
    <m/>
    <d v="2013-04-15T00:00:00"/>
    <m/>
    <m/>
    <n v="2.2000000000000002"/>
    <n v="3"/>
    <m/>
    <m/>
    <n v="4.2"/>
    <n v="4.2"/>
    <n v="4.2"/>
    <n v="0"/>
    <n v="1"/>
    <m/>
    <d v="2000-01-01T00:00:00"/>
    <n v="885"/>
    <m/>
    <n v="2"/>
    <m/>
    <m/>
    <m/>
    <m/>
  </r>
  <r>
    <x v="57"/>
    <n v="15640"/>
    <s v="32308810700210000119"/>
    <n v="8025000000"/>
    <s v="500806154 - участ. ГК ПИК"/>
    <m/>
    <d v="2015-06-08T00:00:00"/>
    <m/>
    <m/>
    <n v="1"/>
    <n v="1"/>
    <m/>
    <m/>
    <n v="1"/>
    <n v="1"/>
    <n v="1"/>
    <n v="0"/>
    <n v="1"/>
    <m/>
    <d v="2015-06-11T00:00:00"/>
    <n v="0"/>
    <m/>
    <n v="0"/>
    <m/>
    <n v="0"/>
    <m/>
    <m/>
  </r>
  <r>
    <x v="58"/>
    <n v="16909"/>
    <s v="45206810350050000753"/>
    <n v="135871720.97999999"/>
    <s v="01164/МР"/>
    <m/>
    <d v="2015-10-27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58"/>
    <n v="17395"/>
    <s v="45207810450050000429"/>
    <n v="250000000"/>
    <s v="01248/МР"/>
    <m/>
    <d v="2015-12-29T00:00:00"/>
    <m/>
    <m/>
    <n v="1"/>
    <n v="1"/>
    <m/>
    <m/>
    <n v="1"/>
    <n v="1"/>
    <n v="1"/>
    <n v="0"/>
    <n v="0"/>
    <m/>
    <d v="2016-12-25T00:00:00"/>
    <n v="0"/>
    <m/>
    <m/>
    <m/>
    <n v="0"/>
    <m/>
    <m/>
  </r>
  <r>
    <x v="58"/>
    <n v="17471"/>
    <s v="45207810050050000434"/>
    <n v="200000000"/>
    <s v="01249/МР"/>
    <m/>
    <d v="2016-01-13T00:00:00"/>
    <m/>
    <m/>
    <n v="1"/>
    <n v="1"/>
    <m/>
    <m/>
    <n v="1"/>
    <n v="1"/>
    <n v="1"/>
    <n v="0"/>
    <n v="1"/>
    <m/>
    <d v="2016-01-15T00:00:00"/>
    <n v="0"/>
    <m/>
    <m/>
    <m/>
    <m/>
    <m/>
    <m/>
  </r>
  <r>
    <x v="58"/>
    <n v="17550"/>
    <s v="45207810750050000433"/>
    <n v="150000000"/>
    <s v="01270/МР"/>
    <m/>
    <d v="2016-02-10T00:00:00"/>
    <m/>
    <m/>
    <n v="1"/>
    <n v="1"/>
    <m/>
    <m/>
    <n v="1"/>
    <n v="1"/>
    <n v="1"/>
    <n v="0"/>
    <n v="1"/>
    <m/>
    <d v="2016-02-15T00:00:00"/>
    <n v="0"/>
    <m/>
    <m/>
    <m/>
    <m/>
    <m/>
    <m/>
  </r>
  <r>
    <x v="58"/>
    <n v="18447"/>
    <s v="45206810950050000807"/>
    <n v="483128279.01999998"/>
    <s v="01353/МР"/>
    <m/>
    <d v="2016-05-06T00:00:00"/>
    <m/>
    <m/>
    <n v="1"/>
    <n v="1"/>
    <m/>
    <m/>
    <n v="1"/>
    <n v="1"/>
    <n v="1"/>
    <n v="0"/>
    <n v="1"/>
    <m/>
    <d v="2016-05-16T00:00:00"/>
    <n v="0"/>
    <m/>
    <m/>
    <m/>
    <m/>
    <m/>
    <m/>
  </r>
  <r>
    <x v="58"/>
    <n v="25375"/>
    <s v="45206810150050000830"/>
    <n v="150000000"/>
    <s v="01440/МР"/>
    <m/>
    <d v="2016-08-04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59"/>
    <n v="2877"/>
    <s v="45108978555550000001"/>
    <n v="4416272692.0600004"/>
    <s v="2530"/>
    <m/>
    <d v="2010-04-20T00:00:00"/>
    <m/>
    <m/>
    <n v="1"/>
    <n v="1"/>
    <n v="-2"/>
    <s v="0"/>
    <n v="1"/>
    <n v="1"/>
    <n v="1"/>
    <n v="0"/>
    <n v="1"/>
    <m/>
    <d v="2010-07-12T00:00:00"/>
    <n v="0"/>
    <m/>
    <m/>
    <m/>
    <n v="0"/>
    <m/>
    <m/>
  </r>
  <r>
    <x v="59"/>
    <n v="7158"/>
    <s v="45106810055550000072"/>
    <n v="160500000"/>
    <s v="1/СДБО"/>
    <m/>
    <d v="2009-12-16T00:00:00"/>
    <m/>
    <m/>
    <n v="1"/>
    <n v="1"/>
    <n v="-2"/>
    <s v="0"/>
    <n v="1"/>
    <n v="1"/>
    <n v="1"/>
    <n v="0"/>
    <n v="1"/>
    <m/>
    <d v="2012-05-17T00:00:00"/>
    <n v="0"/>
    <m/>
    <m/>
    <n v="0"/>
    <n v="0"/>
    <m/>
    <m/>
  </r>
  <r>
    <x v="59"/>
    <n v="10722"/>
    <s v="45105810155550000025"/>
    <n v="25738919853.810001"/>
    <s v="1/СДБО_20140117"/>
    <m/>
    <d v="2014-01-17T00:00:00"/>
    <m/>
    <m/>
    <n v="1"/>
    <n v="1"/>
    <n v="-2"/>
    <s v="0"/>
    <n v="1"/>
    <n v="1"/>
    <n v="1"/>
    <n v="0"/>
    <n v="1"/>
    <m/>
    <d v="2012-05-17T00:00:00"/>
    <n v="0"/>
    <m/>
    <m/>
    <n v="0"/>
    <n v="0"/>
    <m/>
    <m/>
  </r>
  <r>
    <x v="59"/>
    <n v="17950"/>
    <s v="47006840900210000001"/>
    <n v="29052726000"/>
    <s v="414162-280116-1/1-2"/>
    <m/>
    <d v="2016-01-28T00:00:00"/>
    <m/>
    <m/>
    <n v="1"/>
    <n v="1"/>
    <n v="-2"/>
    <s v="0"/>
    <n v="1"/>
    <n v="1"/>
    <n v="1"/>
    <n v="0"/>
    <n v="0"/>
    <n v="1"/>
    <d v="2500-01-01T00:00:00"/>
    <n v="0"/>
    <m/>
    <m/>
    <m/>
    <m/>
    <m/>
    <m/>
  </r>
  <r>
    <x v="59"/>
    <n v="100001766"/>
    <s v="47002810000210081323"/>
    <n v="97034348579.380005"/>
    <m/>
    <m/>
    <m/>
    <m/>
    <m/>
    <n v="1"/>
    <n v="1"/>
    <m/>
    <m/>
    <n v="1"/>
    <n v="1"/>
    <n v="1"/>
    <n v="0"/>
    <m/>
    <m/>
    <m/>
    <n v="0"/>
    <m/>
    <m/>
    <m/>
    <m/>
    <m/>
    <m/>
  </r>
  <r>
    <x v="60"/>
    <n v="100001854"/>
    <s v="47002840000210016193"/>
    <n v="3031382857.8600006"/>
    <m/>
    <m/>
    <m/>
    <m/>
    <m/>
    <n v="1"/>
    <n v="1"/>
    <m/>
    <m/>
    <n v="1"/>
    <n v="1"/>
    <n v="1"/>
    <n v="0"/>
    <m/>
    <m/>
    <m/>
    <n v="0"/>
    <m/>
    <m/>
    <m/>
    <m/>
    <m/>
    <m/>
  </r>
  <r>
    <x v="61"/>
    <n v="17421"/>
    <s v="45204810850050000268"/>
    <n v="3000000"/>
    <s v="01223/МР"/>
    <m/>
    <d v="2015-12-28T00:00:00"/>
    <m/>
    <m/>
    <n v="1"/>
    <n v="1"/>
    <m/>
    <m/>
    <n v="1"/>
    <n v="1"/>
    <n v="1"/>
    <n v="0"/>
    <n v="1"/>
    <m/>
    <d v="2016-05-25T00:00:00"/>
    <n v="0"/>
    <m/>
    <m/>
    <m/>
    <m/>
    <m/>
    <m/>
  </r>
  <r>
    <x v="61"/>
    <n v="17717"/>
    <s v="45206810650050000796"/>
    <n v="252783297.75999999"/>
    <s v="01308/МР"/>
    <m/>
    <d v="2016-03-24T00:00:00"/>
    <m/>
    <m/>
    <n v="1"/>
    <n v="1"/>
    <m/>
    <m/>
    <n v="1"/>
    <n v="1"/>
    <n v="1"/>
    <n v="0"/>
    <n v="1"/>
    <m/>
    <d v="2016-04-25T00:00:00"/>
    <n v="0"/>
    <m/>
    <m/>
    <m/>
    <m/>
    <m/>
    <m/>
  </r>
  <r>
    <x v="61"/>
    <n v="25382"/>
    <s v="45206810750050000832"/>
    <n v="269056220.23000002"/>
    <s v="01449/МР"/>
    <m/>
    <d v="2016-08-05T00:00:00"/>
    <m/>
    <m/>
    <n v="1"/>
    <n v="1"/>
    <m/>
    <m/>
    <n v="1"/>
    <n v="1"/>
    <n v="1"/>
    <n v="0"/>
    <n v="1"/>
    <m/>
    <d v="2016-08-25T00:00:00"/>
    <n v="0"/>
    <m/>
    <m/>
    <m/>
    <m/>
    <m/>
    <m/>
  </r>
  <r>
    <x v="62"/>
    <n v="17381"/>
    <s v="45206840750050000077"/>
    <n v="103376230.70999999"/>
    <s v="01243/МР"/>
    <m/>
    <d v="2015-12-25T00:00:00"/>
    <m/>
    <m/>
    <n v="1"/>
    <n v="1"/>
    <m/>
    <m/>
    <n v="1"/>
    <n v="1"/>
    <n v="1"/>
    <n v="0"/>
    <n v="1"/>
    <m/>
    <d v="2016-01-15T00:00:00"/>
    <n v="0"/>
    <m/>
    <m/>
    <m/>
    <m/>
    <m/>
    <m/>
  </r>
  <r>
    <x v="63"/>
    <n v="100001873"/>
    <s v="47408826100210000009"/>
    <n v="357828063.76999998"/>
    <m/>
    <m/>
    <m/>
    <m/>
    <m/>
    <n v="1"/>
    <n v="1"/>
    <m/>
    <m/>
    <n v="1"/>
    <n v="1"/>
    <n v="1"/>
    <n v="0"/>
    <m/>
    <m/>
    <m/>
    <n v="0"/>
    <m/>
    <m/>
    <m/>
    <m/>
    <m/>
    <m/>
  </r>
  <r>
    <x v="64"/>
    <n v="16448"/>
    <s v="45207810550050000413"/>
    <n v="45000000"/>
    <s v="01074/МР"/>
    <m/>
    <d v="2015-09-07T00:00:00"/>
    <m/>
    <m/>
    <n v="1"/>
    <n v="1"/>
    <m/>
    <m/>
    <n v="1"/>
    <n v="1"/>
    <n v="1"/>
    <n v="0"/>
    <n v="1"/>
    <m/>
    <d v="2015-09-18T00:00:00"/>
    <n v="0"/>
    <m/>
    <m/>
    <m/>
    <m/>
    <m/>
    <m/>
  </r>
  <r>
    <x v="64"/>
    <n v="17743"/>
    <s v="45206810250050000798"/>
    <n v="27142717.16"/>
    <s v="01322/МР"/>
    <m/>
    <d v="2016-04-06T00:00:00"/>
    <m/>
    <m/>
    <n v="1"/>
    <n v="1"/>
    <m/>
    <m/>
    <n v="1"/>
    <n v="1"/>
    <n v="1"/>
    <n v="0"/>
    <n v="1"/>
    <m/>
    <d v="2016-04-18T00:00:00"/>
    <n v="0"/>
    <m/>
    <m/>
    <m/>
    <m/>
    <m/>
    <m/>
  </r>
  <r>
    <x v="65"/>
    <n v="16566"/>
    <s v="45206810655550000479"/>
    <n v="173344723.40000001"/>
    <s v="3728"/>
    <m/>
    <d v="2015-07-01T00:00:00"/>
    <m/>
    <m/>
    <n v="1"/>
    <n v="1"/>
    <m/>
    <m/>
    <n v="1"/>
    <n v="1"/>
    <n v="1"/>
    <n v="0"/>
    <n v="1"/>
    <m/>
    <d v="2015-10-21T00:00:00"/>
    <n v="0"/>
    <m/>
    <m/>
    <m/>
    <m/>
    <m/>
    <m/>
  </r>
  <r>
    <x v="66"/>
    <n v="12890"/>
    <s v="45108810555550000020"/>
    <n v="118897838.39"/>
    <s v="3488"/>
    <m/>
    <d v="2014-08-07T00:00:00"/>
    <m/>
    <m/>
    <n v="1"/>
    <n v="1"/>
    <m/>
    <m/>
    <n v="1"/>
    <n v="1"/>
    <n v="1"/>
    <n v="0"/>
    <n v="1"/>
    <m/>
    <d v="2014-08-12T00:00:00"/>
    <n v="0"/>
    <m/>
    <m/>
    <m/>
    <n v="0"/>
    <m/>
    <m/>
  </r>
  <r>
    <x v="67"/>
    <n v="17027"/>
    <s v="45205810850050000416"/>
    <n v="3747066.25"/>
    <s v="01182/МР"/>
    <m/>
    <d v="2015-11-12T00:00:00"/>
    <m/>
    <m/>
    <n v="1"/>
    <n v="1"/>
    <m/>
    <m/>
    <n v="1"/>
    <n v="1"/>
    <n v="1"/>
    <n v="0"/>
    <n v="1"/>
    <m/>
    <d v="2015-11-20T00:00:00"/>
    <n v="0"/>
    <m/>
    <m/>
    <m/>
    <m/>
    <m/>
    <m/>
  </r>
  <r>
    <x v="68"/>
    <n v="100002058"/>
    <s v="47002840100210016187"/>
    <n v="1636995685.0700002"/>
    <m/>
    <m/>
    <m/>
    <m/>
    <m/>
    <n v="1"/>
    <n v="1"/>
    <m/>
    <m/>
    <n v="1"/>
    <n v="1"/>
    <n v="1"/>
    <n v="0"/>
    <m/>
    <m/>
    <m/>
    <n v="0"/>
    <m/>
    <m/>
    <m/>
    <m/>
    <m/>
    <m/>
  </r>
  <r>
    <x v="69"/>
    <n v="1666"/>
    <s v="32109840700210000168"/>
    <n v="1894743000"/>
    <s v="703103081"/>
    <m/>
    <d v="2008-03-31T00:00:00"/>
    <m/>
    <m/>
    <n v="1"/>
    <n v="1"/>
    <m/>
    <m/>
    <n v="1"/>
    <n v="1"/>
    <n v="1"/>
    <n v="0"/>
    <n v="1"/>
    <m/>
    <d v="2009-03-31T00:00:00"/>
    <n v="0"/>
    <m/>
    <m/>
    <m/>
    <m/>
    <m/>
    <m/>
  </r>
  <r>
    <x v="69"/>
    <n v="15563"/>
    <s v="32108840600210000706"/>
    <n v="1178160.04"/>
    <s v="79286837"/>
    <m/>
    <d v="2014-05-29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9"/>
    <n v="15564"/>
    <s v="32108840000210000720"/>
    <n v="1208168.98"/>
    <s v="79287932"/>
    <m/>
    <d v="2014-06-10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9"/>
    <n v="15565"/>
    <s v="32108840100210000701"/>
    <n v="1486528.83"/>
    <s v="79286019"/>
    <m/>
    <d v="2014-05-21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9"/>
    <n v="15566"/>
    <s v="32108840500210000712"/>
    <n v="708462.09"/>
    <s v="79287430"/>
    <m/>
    <d v="2014-06-04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9"/>
    <n v="15567"/>
    <s v="32108840200210000737"/>
    <n v="560195.29"/>
    <s v="79289607"/>
    <m/>
    <d v="2014-06-27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9"/>
    <n v="15568"/>
    <s v="32108840000210000746"/>
    <n v="454025.27"/>
    <s v="79290699"/>
    <m/>
    <d v="2014-07-10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9"/>
    <n v="15569"/>
    <s v="32108810500210000085"/>
    <n v="955246.76"/>
    <s v="500812145"/>
    <m/>
    <d v="2014-12-08T00:00:00"/>
    <m/>
    <m/>
    <n v="1"/>
    <n v="1"/>
    <m/>
    <m/>
    <n v="1"/>
    <n v="1"/>
    <n v="1"/>
    <n v="0"/>
    <n v="1"/>
    <m/>
    <d v="2015-11-30T00:00:00"/>
    <n v="0"/>
    <m/>
    <n v="0"/>
    <m/>
    <m/>
    <m/>
    <m/>
  </r>
  <r>
    <x v="69"/>
    <n v="15570"/>
    <s v="32108840200210000698"/>
    <n v="2982804.22"/>
    <s v="79285406"/>
    <m/>
    <d v="2014-05-15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9"/>
    <n v="15571"/>
    <s v="32108840700210000693"/>
    <n v="2144584.44"/>
    <s v="79285083"/>
    <m/>
    <d v="2014-05-12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9"/>
    <n v="15572"/>
    <s v="32108810300210000081"/>
    <n v="5035818.76"/>
    <s v="502011144"/>
    <m/>
    <d v="2014-11-20T00:00:00"/>
    <m/>
    <m/>
    <n v="1"/>
    <n v="1"/>
    <m/>
    <m/>
    <n v="1"/>
    <n v="1"/>
    <n v="1"/>
    <n v="0"/>
    <n v="1"/>
    <m/>
    <d v="2015-11-30T00:00:00"/>
    <n v="0"/>
    <m/>
    <n v="0"/>
    <m/>
    <m/>
    <m/>
    <m/>
  </r>
  <r>
    <x v="69"/>
    <n v="15573"/>
    <s v="32108810600210000082"/>
    <n v="2482102.33"/>
    <s v="502711144"/>
    <m/>
    <d v="2014-11-27T00:00:00"/>
    <m/>
    <m/>
    <n v="1"/>
    <n v="1"/>
    <m/>
    <m/>
    <n v="1"/>
    <n v="1"/>
    <n v="1"/>
    <n v="0"/>
    <n v="1"/>
    <m/>
    <d v="2015-11-30T00:00:00"/>
    <n v="0"/>
    <m/>
    <n v="0"/>
    <m/>
    <m/>
    <m/>
    <m/>
  </r>
  <r>
    <x v="69"/>
    <n v="15574"/>
    <s v="32108810200210000084"/>
    <n v="778159.96"/>
    <s v="500312143"/>
    <m/>
    <d v="2014-12-03T00:00:00"/>
    <m/>
    <m/>
    <n v="1"/>
    <n v="1"/>
    <m/>
    <m/>
    <n v="1"/>
    <n v="1"/>
    <n v="1"/>
    <n v="0"/>
    <n v="1"/>
    <m/>
    <d v="2015-11-30T00:00:00"/>
    <n v="0"/>
    <m/>
    <n v="0"/>
    <m/>
    <m/>
    <m/>
    <m/>
  </r>
  <r>
    <x v="69"/>
    <n v="15575"/>
    <s v="32108810200210000110"/>
    <n v="1183584.7"/>
    <s v="502904151"/>
    <m/>
    <d v="2015-04-29T00:00:00"/>
    <m/>
    <m/>
    <n v="1"/>
    <n v="1"/>
    <m/>
    <m/>
    <n v="1"/>
    <n v="1"/>
    <n v="1"/>
    <n v="0"/>
    <n v="1"/>
    <m/>
    <d v="2015-11-30T00:00:00"/>
    <n v="0"/>
    <m/>
    <n v="0"/>
    <m/>
    <m/>
    <m/>
    <m/>
  </r>
  <r>
    <x v="69"/>
    <n v="15581"/>
    <s v="32108810300210000078"/>
    <n v="3507723.92"/>
    <s v="500611141"/>
    <m/>
    <d v="2014-11-06T00:00:00"/>
    <m/>
    <m/>
    <n v="1"/>
    <n v="1"/>
    <m/>
    <m/>
    <n v="1"/>
    <n v="1"/>
    <n v="1"/>
    <n v="0"/>
    <n v="1"/>
    <m/>
    <d v="2015-11-30T00:00:00"/>
    <n v="0"/>
    <m/>
    <n v="0"/>
    <m/>
    <m/>
    <m/>
    <m/>
  </r>
  <r>
    <x v="69"/>
    <n v="15582"/>
    <s v="32108810600210000079"/>
    <n v="2307363.2400000002"/>
    <s v="501111142"/>
    <m/>
    <d v="2014-11-11T00:00:00"/>
    <m/>
    <m/>
    <n v="1"/>
    <n v="1"/>
    <m/>
    <m/>
    <n v="1"/>
    <n v="1"/>
    <n v="1"/>
    <n v="0"/>
    <n v="1"/>
    <m/>
    <d v="2015-11-30T00:00:00"/>
    <n v="0"/>
    <m/>
    <n v="0"/>
    <m/>
    <m/>
    <m/>
    <m/>
  </r>
  <r>
    <x v="69"/>
    <n v="100002078"/>
    <s v="32101978450020000675"/>
    <n v="7391366929.5500002"/>
    <m/>
    <m/>
    <m/>
    <m/>
    <m/>
    <n v="1"/>
    <n v="1"/>
    <m/>
    <m/>
    <n v="1"/>
    <n v="1"/>
    <n v="1"/>
    <n v="0"/>
    <m/>
    <m/>
    <m/>
    <n v="0"/>
    <m/>
    <m/>
    <m/>
    <m/>
    <m/>
    <m/>
  </r>
  <r>
    <x v="70"/>
    <n v="100002091"/>
    <s v="32103784000210000043"/>
    <n v="2838006040"/>
    <m/>
    <m/>
    <m/>
    <m/>
    <m/>
    <n v="1"/>
    <n v="1"/>
    <m/>
    <m/>
    <n v="1"/>
    <n v="1"/>
    <n v="1"/>
    <n v="0"/>
    <m/>
    <m/>
    <m/>
    <n v="0"/>
    <m/>
    <m/>
    <m/>
    <m/>
    <m/>
    <m/>
  </r>
  <r>
    <x v="71"/>
    <n v="7946"/>
    <s v="45208978955550000051"/>
    <n v="9354957224.960001"/>
    <s v="3021"/>
    <m/>
    <d v="2012-08-31T00:00:00"/>
    <m/>
    <m/>
    <n v="1"/>
    <n v="3"/>
    <n v="-2"/>
    <s v="0"/>
    <n v="2"/>
    <n v="2"/>
    <n v="2"/>
    <n v="0"/>
    <n v="1"/>
    <m/>
    <d v="2012-12-04T00:00:00"/>
    <n v="89"/>
    <m/>
    <m/>
    <n v="1"/>
    <m/>
    <m/>
    <m/>
  </r>
  <r>
    <x v="71"/>
    <n v="9140"/>
    <s v="45207810855550000553"/>
    <n v="39391817937.18"/>
    <s v="2855"/>
    <m/>
    <d v="2011-11-21T00:00:00"/>
    <m/>
    <m/>
    <n v="1"/>
    <n v="1"/>
    <n v="-2"/>
    <s v="0"/>
    <n v="1"/>
    <n v="1"/>
    <n v="1"/>
    <n v="0"/>
    <n v="1"/>
    <m/>
    <d v="2011-12-23T00:00:00"/>
    <n v="0"/>
    <m/>
    <n v="0"/>
    <m/>
    <m/>
    <m/>
    <m/>
  </r>
  <r>
    <x v="71"/>
    <n v="10622"/>
    <s v="45208978255550000052"/>
    <n v="1923106579.0799999"/>
    <s v="3356"/>
    <m/>
    <d v="2013-12-26T00:00:00"/>
    <m/>
    <m/>
    <n v="1"/>
    <n v="1"/>
    <n v="-2"/>
    <s v="0"/>
    <n v="1"/>
    <n v="1"/>
    <n v="1"/>
    <n v="0"/>
    <n v="1"/>
    <m/>
    <d v="2015-06-26T00:00:00"/>
    <n v="0"/>
    <m/>
    <m/>
    <m/>
    <m/>
    <m/>
    <m/>
  </r>
  <r>
    <x v="72"/>
    <n v="16647"/>
    <s v="45207810155550000538"/>
    <n v="1900000000"/>
    <s v="3786"/>
    <m/>
    <d v="2015-09-29T00:00:00"/>
    <m/>
    <m/>
    <n v="2.1"/>
    <n v="1"/>
    <m/>
    <m/>
    <n v="2.1"/>
    <n v="2.1"/>
    <n v="2.1"/>
    <n v="0"/>
    <n v="1"/>
    <m/>
    <d v="2015-09-30T00:00:00"/>
    <n v="0"/>
    <m/>
    <m/>
    <m/>
    <n v="0"/>
    <m/>
    <m/>
  </r>
  <r>
    <x v="72"/>
    <n v="16648"/>
    <s v="45207810455550000539"/>
    <n v="1900000000"/>
    <s v="3795"/>
    <m/>
    <d v="2015-09-29T00:00:00"/>
    <m/>
    <m/>
    <n v="2.1"/>
    <n v="1"/>
    <m/>
    <m/>
    <n v="2.1"/>
    <n v="2.1"/>
    <n v="2.1"/>
    <n v="0"/>
    <n v="1"/>
    <m/>
    <d v="2015-09-30T00:00:00"/>
    <n v="0"/>
    <m/>
    <m/>
    <m/>
    <n v="0"/>
    <m/>
    <m/>
  </r>
  <r>
    <x v="72"/>
    <n v="16649"/>
    <s v="45207810855550000540"/>
    <n v="1900000000"/>
    <s v="3796"/>
    <m/>
    <d v="2015-09-29T00:00:00"/>
    <m/>
    <m/>
    <n v="2.1"/>
    <n v="1"/>
    <m/>
    <m/>
    <n v="2.1"/>
    <n v="2.1"/>
    <n v="2.1"/>
    <n v="0"/>
    <n v="1"/>
    <m/>
    <d v="2015-09-30T00:00:00"/>
    <n v="0"/>
    <m/>
    <m/>
    <m/>
    <n v="0"/>
    <m/>
    <m/>
  </r>
  <r>
    <x v="72"/>
    <n v="16906"/>
    <s v="45207810355550000545"/>
    <n v="1900000000"/>
    <s v="3797"/>
    <m/>
    <d v="2015-09-29T00:00:00"/>
    <m/>
    <m/>
    <n v="2.1"/>
    <n v="1"/>
    <m/>
    <m/>
    <n v="2.1"/>
    <n v="2.1"/>
    <n v="2.1"/>
    <n v="0"/>
    <n v="1"/>
    <m/>
    <d v="2015-10-30T00:00:00"/>
    <n v="0"/>
    <m/>
    <m/>
    <m/>
    <n v="0"/>
    <m/>
    <m/>
  </r>
  <r>
    <x v="73"/>
    <n v="12221"/>
    <s v="44606810050050000007"/>
    <n v="182596090.61000001"/>
    <s v="00717/МР"/>
    <m/>
    <d v="2014-06-06T00:00:00"/>
    <m/>
    <m/>
    <n v="1"/>
    <n v="1"/>
    <m/>
    <m/>
    <n v="1"/>
    <n v="1"/>
    <n v="1"/>
    <n v="0"/>
    <n v="1"/>
    <m/>
    <d v="2014-06-25T00:00:00"/>
    <n v="0"/>
    <m/>
    <n v="0"/>
    <m/>
    <m/>
    <m/>
    <m/>
  </r>
  <r>
    <x v="74"/>
    <n v="100002174"/>
    <s v="47002810600210081781"/>
    <n v="175551763.34999999"/>
    <m/>
    <m/>
    <m/>
    <m/>
    <m/>
    <n v="1"/>
    <n v="1"/>
    <m/>
    <m/>
    <n v="1"/>
    <n v="1"/>
    <n v="1"/>
    <n v="0"/>
    <m/>
    <m/>
    <m/>
    <n v="0"/>
    <m/>
    <m/>
    <m/>
    <m/>
    <m/>
    <m/>
  </r>
  <r>
    <x v="75"/>
    <n v="9133"/>
    <s v="44608810255550000009"/>
    <n v="641800000"/>
    <s v="3211"/>
    <m/>
    <d v="2013-05-29T00:00:00"/>
    <m/>
    <m/>
    <n v="1"/>
    <n v="1"/>
    <n v="-1"/>
    <s v="0"/>
    <n v="1"/>
    <n v="1"/>
    <n v="1"/>
    <n v="0"/>
    <n v="1"/>
    <m/>
    <d v="2013-07-15T00:00:00"/>
    <n v="0"/>
    <m/>
    <m/>
    <m/>
    <m/>
    <m/>
    <m/>
  </r>
  <r>
    <x v="76"/>
    <n v="11439"/>
    <s v="45812810250050000506"/>
    <n v="793957854.14999998"/>
    <s v="00681/МР"/>
    <m/>
    <d v="2014-03-25T00:00:00"/>
    <m/>
    <m/>
    <n v="2.1"/>
    <n v="3"/>
    <m/>
    <m/>
    <n v="4.0999999999999996"/>
    <n v="4.0999999999999996"/>
    <n v="4.0999999999999996"/>
    <n v="0"/>
    <n v="1"/>
    <m/>
    <d v="2000-01-01T00:00:00"/>
    <n v="215"/>
    <m/>
    <m/>
    <m/>
    <m/>
    <m/>
    <m/>
  </r>
  <r>
    <x v="76"/>
    <n v="11756"/>
    <s v="45812810850050000511"/>
    <n v="494282933.38"/>
    <s v="00690/МР"/>
    <m/>
    <d v="2014-04-22T00:00:00"/>
    <m/>
    <m/>
    <n v="2.1"/>
    <n v="3"/>
    <m/>
    <m/>
    <n v="4.0999999999999996"/>
    <n v="4.0999999999999996"/>
    <n v="4.0999999999999996"/>
    <n v="0"/>
    <n v="1"/>
    <m/>
    <d v="2000-01-01T00:00:00"/>
    <n v="215"/>
    <m/>
    <m/>
    <m/>
    <m/>
    <m/>
    <m/>
  </r>
  <r>
    <x v="77"/>
    <n v="18229"/>
    <s v="47802840455550000070"/>
    <n v="233598468.66999999"/>
    <s v="2"/>
    <m/>
    <d v="2012-10-18T00:00:00"/>
    <m/>
    <m/>
    <n v="1"/>
    <n v="1"/>
    <m/>
    <m/>
    <n v="1"/>
    <n v="3"/>
    <n v="3"/>
    <n v="0"/>
    <n v="1"/>
    <m/>
    <d v="2000-01-01T00:00:00"/>
    <n v="1"/>
    <s v="2016-05-05"/>
    <m/>
    <m/>
    <n v="1"/>
    <n v="1"/>
    <m/>
  </r>
  <r>
    <x v="78"/>
    <n v="18429"/>
    <s v="45812810050060000013"/>
    <n v="354765816.36000001"/>
    <s v="78-1003/16/495/2-13-ГА"/>
    <m/>
    <d v="2015-06-04T00:00:00"/>
    <m/>
    <m/>
    <n v="2.2000000000000002"/>
    <n v="3"/>
    <m/>
    <m/>
    <n v="4.2"/>
    <n v="4.2"/>
    <n v="4.2"/>
    <n v="0"/>
    <n v="1"/>
    <m/>
    <d v="2013-08-08T00:00:00"/>
    <n v="624"/>
    <m/>
    <m/>
    <m/>
    <m/>
    <m/>
    <m/>
  </r>
  <r>
    <x v="78"/>
    <n v="18430"/>
    <s v="45812810350060000014"/>
    <n v="206558991.25999999"/>
    <s v="78-1003/16/495/1-13-ГА"/>
    <m/>
    <d v="2015-06-04T00:00:00"/>
    <m/>
    <m/>
    <n v="2.2000000000000002"/>
    <n v="3"/>
    <m/>
    <m/>
    <n v="4.2"/>
    <n v="4.2"/>
    <n v="4.2"/>
    <n v="0"/>
    <n v="1"/>
    <m/>
    <d v="2013-08-08T00:00:00"/>
    <n v="624"/>
    <m/>
    <m/>
    <m/>
    <m/>
    <m/>
    <m/>
  </r>
  <r>
    <x v="78"/>
    <n v="18611"/>
    <s v="45812810955550000990"/>
    <n v="5544076643.8199997"/>
    <s v="38-177/15/142-14-КР/159"/>
    <m/>
    <d v="2014-05-29T00:00:00"/>
    <m/>
    <m/>
    <n v="2.2000000000000002"/>
    <n v="3"/>
    <m/>
    <m/>
    <n v="4.2"/>
    <n v="4.2"/>
    <n v="4.2"/>
    <n v="0"/>
    <n v="1"/>
    <m/>
    <d v="2000-01-01T00:00:00"/>
    <n v="640"/>
    <m/>
    <m/>
    <m/>
    <m/>
    <m/>
    <m/>
  </r>
  <r>
    <x v="79"/>
    <n v="724"/>
    <s v="45208810455550000130"/>
    <n v="11383750000"/>
    <s v="1786"/>
    <m/>
    <d v="2007-05-25T00:00:00"/>
    <m/>
    <m/>
    <n v="1"/>
    <n v="1"/>
    <m/>
    <m/>
    <n v="1"/>
    <n v="1"/>
    <n v="1"/>
    <n v="0"/>
    <n v="1"/>
    <m/>
    <d v="2007-05-28T00:00:00"/>
    <n v="0"/>
    <m/>
    <n v="0"/>
    <m/>
    <m/>
    <m/>
    <m/>
  </r>
  <r>
    <x v="80"/>
    <n v="8389"/>
    <s v="45208810255550000343"/>
    <n v="16002981968.219999"/>
    <s v="3098"/>
    <m/>
    <d v="2012-12-24T00:00:00"/>
    <m/>
    <m/>
    <n v="1"/>
    <n v="1"/>
    <n v="-1"/>
    <s v="0"/>
    <n v="1"/>
    <n v="1"/>
    <n v="1"/>
    <n v="0"/>
    <n v="1"/>
    <m/>
    <d v="2012-12-24T00:00:00"/>
    <n v="0"/>
    <m/>
    <n v="0"/>
    <n v="0"/>
    <m/>
    <m/>
    <m/>
  </r>
  <r>
    <x v="80"/>
    <n v="8515"/>
    <s v="45208810455550000347"/>
    <n v="13076098468.67"/>
    <s v="3099"/>
    <m/>
    <d v="2012-12-24T00:00:00"/>
    <m/>
    <m/>
    <n v="1"/>
    <n v="1"/>
    <n v="-1"/>
    <s v="0"/>
    <n v="1"/>
    <n v="1"/>
    <n v="1"/>
    <n v="0"/>
    <n v="1"/>
    <m/>
    <d v="2013-01-24T00:00:00"/>
    <n v="0"/>
    <m/>
    <n v="0"/>
    <n v="0"/>
    <m/>
    <m/>
    <m/>
  </r>
  <r>
    <x v="80"/>
    <n v="18230"/>
    <s v="45208810155550000524"/>
    <n v="11199433275.879999"/>
    <s v="38-177-3079/15/101-12-КР"/>
    <m/>
    <d v="2012-03-30T00:00:00"/>
    <m/>
    <m/>
    <n v="1"/>
    <n v="1"/>
    <n v="-1"/>
    <s v="0"/>
    <n v="1"/>
    <n v="1"/>
    <n v="1"/>
    <n v="0"/>
    <n v="1"/>
    <m/>
    <d v="2000-01-01T00:00:00"/>
    <n v="0"/>
    <m/>
    <n v="0"/>
    <m/>
    <m/>
    <m/>
    <m/>
  </r>
  <r>
    <x v="80"/>
    <n v="18231"/>
    <s v="45208810355550000531"/>
    <n v="10341170631.33"/>
    <s v="38-177-3079/15/102-12-КР"/>
    <m/>
    <d v="2012-03-30T00:00:00"/>
    <m/>
    <m/>
    <n v="1"/>
    <n v="1"/>
    <n v="-1"/>
    <s v="0"/>
    <n v="1"/>
    <n v="1"/>
    <n v="1"/>
    <n v="0"/>
    <n v="1"/>
    <m/>
    <d v="2000-01-01T00:00:00"/>
    <n v="0"/>
    <m/>
    <n v="0"/>
    <m/>
    <m/>
    <m/>
    <m/>
  </r>
  <r>
    <x v="81"/>
    <n v="16595"/>
    <s v="45205810950050000390"/>
    <n v="47000000"/>
    <s v="01130/МР"/>
    <m/>
    <d v="2015-09-23T00:00:00"/>
    <m/>
    <m/>
    <n v="1"/>
    <n v="1"/>
    <m/>
    <m/>
    <n v="1"/>
    <n v="1"/>
    <n v="1"/>
    <n v="0"/>
    <n v="1"/>
    <m/>
    <d v="2015-09-25T00:00:00"/>
    <n v="0"/>
    <m/>
    <m/>
    <m/>
    <m/>
    <m/>
    <m/>
  </r>
  <r>
    <x v="81"/>
    <n v="17263"/>
    <s v="45207810850050000427"/>
    <n v="44999999.969999999"/>
    <s v="01235/МР"/>
    <m/>
    <d v="2015-12-14T00:00:00"/>
    <m/>
    <m/>
    <n v="1"/>
    <n v="1"/>
    <m/>
    <m/>
    <n v="1"/>
    <n v="1"/>
    <n v="1"/>
    <n v="0"/>
    <n v="1"/>
    <m/>
    <d v="2015-12-25T00:00:00"/>
    <n v="0"/>
    <m/>
    <m/>
    <m/>
    <n v="0"/>
    <m/>
    <m/>
  </r>
  <r>
    <x v="81"/>
    <n v="17320"/>
    <s v="45208810550050000166"/>
    <n v="101232697.34999999"/>
    <s v="01236/МР"/>
    <m/>
    <d v="2015-12-21T00:00:00"/>
    <m/>
    <m/>
    <n v="1"/>
    <n v="1"/>
    <m/>
    <m/>
    <n v="1"/>
    <n v="1"/>
    <n v="1"/>
    <n v="0"/>
    <n v="1"/>
    <m/>
    <d v="2015-12-25T00:00:00"/>
    <n v="0"/>
    <m/>
    <m/>
    <m/>
    <n v="0"/>
    <m/>
    <m/>
  </r>
  <r>
    <x v="81"/>
    <n v="18804"/>
    <s v="45205810750050000464"/>
    <n v="33000000"/>
    <s v="01360/МР"/>
    <m/>
    <d v="2016-05-13T00:00:00"/>
    <m/>
    <m/>
    <n v="1"/>
    <n v="1"/>
    <m/>
    <m/>
    <n v="1"/>
    <n v="1"/>
    <n v="1"/>
    <n v="0"/>
    <n v="1"/>
    <m/>
    <d v="2016-05-25T00:00:00"/>
    <n v="0"/>
    <m/>
    <m/>
    <m/>
    <m/>
    <m/>
    <m/>
  </r>
  <r>
    <x v="81"/>
    <n v="20228"/>
    <s v="45207810350050000451"/>
    <n v="50000000"/>
    <s v="01392/МР"/>
    <m/>
    <d v="2016-06-06T00:00:00"/>
    <m/>
    <m/>
    <n v="1"/>
    <n v="1"/>
    <m/>
    <m/>
    <n v="1"/>
    <n v="1"/>
    <n v="1"/>
    <n v="0"/>
    <n v="1"/>
    <m/>
    <d v="2016-06-27T00:00:00"/>
    <n v="0"/>
    <m/>
    <m/>
    <m/>
    <m/>
    <m/>
    <m/>
  </r>
  <r>
    <x v="82"/>
    <n v="1394"/>
    <s v="32109840400210000170"/>
    <n v="189474300"/>
    <s v="701012081"/>
    <m/>
    <d v="2008-12-10T00:00:00"/>
    <m/>
    <m/>
    <n v="1"/>
    <n v="1"/>
    <n v="-1"/>
    <s v="0"/>
    <n v="1"/>
    <n v="1"/>
    <n v="1"/>
    <n v="0"/>
    <n v="1"/>
    <m/>
    <d v="2009-03-10T00:00:00"/>
    <n v="0"/>
    <m/>
    <m/>
    <m/>
    <m/>
    <m/>
    <m/>
  </r>
  <r>
    <x v="82"/>
    <n v="2250"/>
    <s v="32109840600210000174"/>
    <n v="78947625"/>
    <s v="703108091"/>
    <m/>
    <d v="2009-08-31T00:00:00"/>
    <m/>
    <m/>
    <n v="1"/>
    <n v="1"/>
    <n v="-1"/>
    <s v="0"/>
    <n v="1"/>
    <n v="1"/>
    <n v="1"/>
    <n v="0"/>
    <n v="1"/>
    <m/>
    <d v="2009-12-01T00:00:00"/>
    <n v="0"/>
    <m/>
    <m/>
    <m/>
    <m/>
    <m/>
    <m/>
  </r>
  <r>
    <x v="82"/>
    <n v="10116"/>
    <s v="32108840500210000592"/>
    <n v="34072910.740000002"/>
    <s v="79257747"/>
    <m/>
    <d v="2013-10-04T00:00:00"/>
    <m/>
    <m/>
    <n v="1"/>
    <n v="1"/>
    <n v="-1"/>
    <s v="0"/>
    <n v="1"/>
    <n v="1"/>
    <n v="1"/>
    <n v="0"/>
    <n v="1"/>
    <n v="1"/>
    <d v="2014-01-06T00:00:00"/>
    <n v="0"/>
    <m/>
    <m/>
    <m/>
    <m/>
    <m/>
    <m/>
  </r>
  <r>
    <x v="82"/>
    <n v="10121"/>
    <s v="32108840000210000597"/>
    <n v="13690970.810000001"/>
    <s v="79257973"/>
    <m/>
    <d v="2013-10-07T00:00:00"/>
    <m/>
    <m/>
    <n v="1"/>
    <n v="1"/>
    <n v="-1"/>
    <s v="0"/>
    <n v="1"/>
    <n v="1"/>
    <n v="1"/>
    <n v="0"/>
    <n v="1"/>
    <n v="1"/>
    <d v="2014-01-07T00:00:00"/>
    <n v="0"/>
    <m/>
    <m/>
    <m/>
    <m/>
    <m/>
    <m/>
  </r>
  <r>
    <x v="82"/>
    <n v="10122"/>
    <s v="32108840600210000599"/>
    <n v="11093657.109999999"/>
    <s v="79259346"/>
    <m/>
    <d v="2013-10-17T00:00:00"/>
    <m/>
    <m/>
    <n v="1"/>
    <n v="1"/>
    <n v="-1"/>
    <s v="0"/>
    <n v="1"/>
    <n v="1"/>
    <n v="1"/>
    <n v="0"/>
    <n v="1"/>
    <n v="1"/>
    <d v="2014-01-17T00:00:00"/>
    <n v="0"/>
    <m/>
    <m/>
    <m/>
    <m/>
    <m/>
    <m/>
  </r>
  <r>
    <x v="82"/>
    <n v="10126"/>
    <s v="32108840800210000603"/>
    <n v="13245643.050000001"/>
    <s v="79259528"/>
    <m/>
    <d v="2013-10-18T00:00:00"/>
    <m/>
    <m/>
    <n v="1"/>
    <n v="1"/>
    <n v="-1"/>
    <s v="0"/>
    <n v="1"/>
    <n v="1"/>
    <n v="1"/>
    <n v="0"/>
    <n v="1"/>
    <n v="1"/>
    <d v="2014-01-20T00:00:00"/>
    <n v="0"/>
    <m/>
    <m/>
    <m/>
    <m/>
    <m/>
    <m/>
  </r>
  <r>
    <x v="82"/>
    <n v="10133"/>
    <s v="32108840000210000610"/>
    <n v="29012431.129999999"/>
    <s v="79262763"/>
    <m/>
    <d v="2013-11-12T00:00:00"/>
    <m/>
    <m/>
    <n v="1"/>
    <n v="1"/>
    <n v="-1"/>
    <s v="0"/>
    <n v="1"/>
    <n v="1"/>
    <n v="1"/>
    <n v="0"/>
    <n v="1"/>
    <n v="1"/>
    <d v="2014-02-12T00:00:00"/>
    <n v="0"/>
    <m/>
    <m/>
    <m/>
    <m/>
    <m/>
    <m/>
  </r>
  <r>
    <x v="82"/>
    <n v="10135"/>
    <s v="32109840500210000216"/>
    <n v="30315888"/>
    <s v="79201812"/>
    <m/>
    <d v="2012-08-06T00:00:00"/>
    <m/>
    <m/>
    <n v="1"/>
    <n v="1"/>
    <n v="-1"/>
    <s v="0"/>
    <n v="1"/>
    <n v="1"/>
    <n v="1"/>
    <n v="0"/>
    <n v="1"/>
    <m/>
    <d v="2012-11-06T00:00:00"/>
    <n v="0"/>
    <m/>
    <m/>
    <m/>
    <m/>
    <m/>
    <m/>
  </r>
  <r>
    <x v="82"/>
    <n v="10140"/>
    <s v="32109840700210000223"/>
    <n v="29368516.5"/>
    <s v="79206867"/>
    <m/>
    <d v="2012-09-17T00:00:00"/>
    <m/>
    <m/>
    <n v="1"/>
    <n v="1"/>
    <n v="-1"/>
    <s v="0"/>
    <n v="1"/>
    <n v="1"/>
    <n v="1"/>
    <n v="0"/>
    <n v="1"/>
    <m/>
    <d v="2012-12-17T00:00:00"/>
    <n v="0"/>
    <m/>
    <m/>
    <m/>
    <m/>
    <m/>
    <m/>
  </r>
  <r>
    <x v="82"/>
    <n v="10145"/>
    <s v="32109840200210000228"/>
    <n v="37010646.600000001"/>
    <s v="79209793"/>
    <m/>
    <d v="2012-10-09T00:00:00"/>
    <m/>
    <m/>
    <n v="1"/>
    <n v="1"/>
    <n v="-1"/>
    <s v="0"/>
    <n v="1"/>
    <n v="1"/>
    <n v="1"/>
    <n v="0"/>
    <n v="1"/>
    <m/>
    <d v="2013-01-09T00:00:00"/>
    <n v="0"/>
    <m/>
    <m/>
    <m/>
    <m/>
    <m/>
    <m/>
  </r>
  <r>
    <x v="82"/>
    <n v="10146"/>
    <s v="32109840500210000229"/>
    <n v="36450813.200000003"/>
    <s v="79214512"/>
    <m/>
    <d v="2012-11-14T00:00:00"/>
    <m/>
    <m/>
    <n v="1"/>
    <n v="1"/>
    <n v="-1"/>
    <s v="0"/>
    <n v="1"/>
    <n v="1"/>
    <n v="1"/>
    <n v="0"/>
    <n v="1"/>
    <m/>
    <d v="2013-02-14T00:00:00"/>
    <n v="0"/>
    <m/>
    <m/>
    <m/>
    <m/>
    <m/>
    <m/>
  </r>
  <r>
    <x v="82"/>
    <n v="10147"/>
    <s v="32109840900210000230"/>
    <n v="11480184.68"/>
    <s v="79216408"/>
    <m/>
    <d v="2012-11-29T00:00:00"/>
    <m/>
    <m/>
    <n v="1"/>
    <n v="1"/>
    <n v="-1"/>
    <s v="0"/>
    <n v="1"/>
    <n v="1"/>
    <n v="1"/>
    <n v="0"/>
    <n v="1"/>
    <m/>
    <d v="2013-02-28T00:00:00"/>
    <n v="0"/>
    <m/>
    <m/>
    <m/>
    <m/>
    <m/>
    <m/>
  </r>
  <r>
    <x v="82"/>
    <n v="10148"/>
    <s v="32109840400210000235"/>
    <n v="18781703.149999999"/>
    <s v="79217193"/>
    <m/>
    <d v="2012-12-05T00:00:00"/>
    <m/>
    <m/>
    <n v="1"/>
    <n v="1"/>
    <n v="-1"/>
    <s v="0"/>
    <n v="1"/>
    <n v="1"/>
    <n v="1"/>
    <n v="0"/>
    <n v="1"/>
    <m/>
    <d v="2013-03-05T00:00:00"/>
    <n v="0"/>
    <m/>
    <m/>
    <m/>
    <m/>
    <m/>
    <m/>
  </r>
  <r>
    <x v="82"/>
    <n v="10150"/>
    <s v="32109840900210000243"/>
    <n v="72741267.989999995"/>
    <s v="79218677"/>
    <m/>
    <d v="2012-12-17T00:00:00"/>
    <m/>
    <m/>
    <n v="1"/>
    <n v="1"/>
    <n v="-1"/>
    <s v="0"/>
    <n v="1"/>
    <n v="1"/>
    <n v="1"/>
    <n v="0"/>
    <n v="1"/>
    <m/>
    <d v="2013-03-18T00:00:00"/>
    <n v="0"/>
    <m/>
    <m/>
    <m/>
    <m/>
    <m/>
    <m/>
  </r>
  <r>
    <x v="82"/>
    <n v="10151"/>
    <s v="32109840200210000244"/>
    <n v="82105530"/>
    <s v="701912121"/>
    <m/>
    <d v="2012-12-19T00:00:00"/>
    <m/>
    <m/>
    <n v="1"/>
    <n v="1"/>
    <n v="-1"/>
    <s v="0"/>
    <n v="1"/>
    <n v="1"/>
    <n v="1"/>
    <n v="0"/>
    <n v="1"/>
    <m/>
    <d v="2013-03-19T00:00:00"/>
    <n v="0"/>
    <m/>
    <m/>
    <m/>
    <m/>
    <m/>
    <m/>
  </r>
  <r>
    <x v="82"/>
    <n v="10153"/>
    <s v="32109840800210000246"/>
    <n v="6957685.7699999996"/>
    <s v="79219431"/>
    <m/>
    <d v="2012-12-21T00:00:00"/>
    <m/>
    <m/>
    <n v="1"/>
    <n v="1"/>
    <n v="-1"/>
    <s v="0"/>
    <n v="1"/>
    <n v="1"/>
    <n v="1"/>
    <n v="0"/>
    <n v="1"/>
    <m/>
    <d v="2013-03-21T00:00:00"/>
    <n v="0"/>
    <m/>
    <m/>
    <m/>
    <m/>
    <m/>
    <m/>
  </r>
  <r>
    <x v="82"/>
    <n v="10155"/>
    <s v="32109840000210000253"/>
    <n v="52153306.340000004"/>
    <s v="79224359"/>
    <m/>
    <d v="2013-01-31T00:00:00"/>
    <m/>
    <m/>
    <n v="1"/>
    <n v="1"/>
    <n v="-1"/>
    <s v="0"/>
    <n v="1"/>
    <n v="1"/>
    <n v="1"/>
    <n v="0"/>
    <n v="1"/>
    <m/>
    <d v="2013-04-30T00:00:00"/>
    <n v="0"/>
    <m/>
    <m/>
    <m/>
    <m/>
    <m/>
    <m/>
  </r>
  <r>
    <x v="82"/>
    <n v="10157"/>
    <s v="32109840800210000259"/>
    <n v="9473715"/>
    <s v="79233747"/>
    <m/>
    <d v="2013-04-17T00:00:00"/>
    <m/>
    <m/>
    <n v="1"/>
    <n v="1"/>
    <n v="-1"/>
    <s v="0"/>
    <n v="1"/>
    <n v="1"/>
    <n v="1"/>
    <n v="0"/>
    <n v="1"/>
    <m/>
    <d v="2013-07-17T00:00:00"/>
    <n v="0"/>
    <m/>
    <m/>
    <m/>
    <m/>
    <m/>
    <m/>
  </r>
  <r>
    <x v="82"/>
    <n v="10158"/>
    <s v="32109840200210000260"/>
    <n v="44210670"/>
    <s v="79233745"/>
    <m/>
    <d v="2013-04-17T00:00:00"/>
    <m/>
    <m/>
    <n v="1"/>
    <n v="1"/>
    <n v="-1"/>
    <s v="0"/>
    <n v="1"/>
    <n v="1"/>
    <n v="1"/>
    <n v="0"/>
    <n v="1"/>
    <m/>
    <d v="2013-07-17T00:00:00"/>
    <n v="0"/>
    <m/>
    <m/>
    <m/>
    <m/>
    <m/>
    <m/>
  </r>
  <r>
    <x v="82"/>
    <n v="10159"/>
    <s v="32109840500210000261"/>
    <n v="11712985.439999999"/>
    <s v="79233864"/>
    <m/>
    <d v="2013-04-18T00:00:00"/>
    <m/>
    <m/>
    <n v="1"/>
    <n v="1"/>
    <n v="-1"/>
    <s v="0"/>
    <n v="1"/>
    <n v="1"/>
    <n v="1"/>
    <n v="0"/>
    <n v="1"/>
    <m/>
    <d v="2013-07-18T00:00:00"/>
    <n v="0"/>
    <m/>
    <m/>
    <m/>
    <m/>
    <m/>
    <m/>
  </r>
  <r>
    <x v="82"/>
    <n v="10160"/>
    <s v="32109840800210000262"/>
    <n v="14815563.939999999"/>
    <s v="79233866"/>
    <m/>
    <d v="2013-04-18T00:00:00"/>
    <m/>
    <m/>
    <n v="1"/>
    <n v="1"/>
    <n v="-1"/>
    <s v="0"/>
    <n v="1"/>
    <n v="1"/>
    <n v="1"/>
    <n v="0"/>
    <n v="1"/>
    <m/>
    <d v="2013-07-18T00:00:00"/>
    <n v="0"/>
    <m/>
    <m/>
    <m/>
    <m/>
    <m/>
    <m/>
  </r>
  <r>
    <x v="82"/>
    <n v="10161"/>
    <s v="32109840100210000263"/>
    <n v="15391439.5"/>
    <s v="79234659"/>
    <m/>
    <d v="2013-04-24T00:00:00"/>
    <m/>
    <m/>
    <n v="1"/>
    <n v="1"/>
    <n v="-1"/>
    <s v="0"/>
    <n v="1"/>
    <n v="1"/>
    <n v="1"/>
    <n v="0"/>
    <n v="1"/>
    <m/>
    <d v="2013-07-24T00:00:00"/>
    <n v="0"/>
    <m/>
    <m/>
    <m/>
    <m/>
    <m/>
    <m/>
  </r>
  <r>
    <x v="82"/>
    <n v="10162"/>
    <s v="32109840400210000264"/>
    <n v="26509349.309999999"/>
    <s v="79234661"/>
    <m/>
    <d v="2013-04-24T00:00:00"/>
    <m/>
    <m/>
    <n v="1"/>
    <n v="1"/>
    <n v="-1"/>
    <s v="0"/>
    <n v="1"/>
    <n v="1"/>
    <n v="1"/>
    <n v="0"/>
    <n v="1"/>
    <m/>
    <d v="2013-07-24T00:00:00"/>
    <n v="0"/>
    <m/>
    <m/>
    <m/>
    <m/>
    <m/>
    <m/>
  </r>
  <r>
    <x v="82"/>
    <n v="10163"/>
    <s v="32109840700210000265"/>
    <n v="14521878.77"/>
    <s v="79235452"/>
    <m/>
    <d v="2013-04-30T00:00:00"/>
    <m/>
    <m/>
    <n v="1"/>
    <n v="1"/>
    <n v="-1"/>
    <s v="0"/>
    <n v="1"/>
    <n v="1"/>
    <n v="1"/>
    <n v="0"/>
    <n v="1"/>
    <m/>
    <d v="2013-07-30T00:00:00"/>
    <n v="0"/>
    <m/>
    <m/>
    <m/>
    <m/>
    <m/>
    <m/>
  </r>
  <r>
    <x v="82"/>
    <n v="10164"/>
    <s v="32109840000210000266"/>
    <n v="21639101.91"/>
    <s v="79235453"/>
    <m/>
    <d v="2013-04-30T00:00:00"/>
    <m/>
    <m/>
    <n v="1"/>
    <n v="1"/>
    <n v="-1"/>
    <s v="0"/>
    <n v="1"/>
    <n v="1"/>
    <n v="1"/>
    <n v="0"/>
    <n v="1"/>
    <m/>
    <d v="2013-07-30T00:00:00"/>
    <n v="0"/>
    <m/>
    <m/>
    <m/>
    <m/>
    <m/>
    <m/>
  </r>
  <r>
    <x v="82"/>
    <n v="10165"/>
    <s v="32109840300210000267"/>
    <n v="5747955.5199999996"/>
    <s v="79235880"/>
    <m/>
    <d v="2013-05-07T00:00:00"/>
    <m/>
    <m/>
    <n v="1"/>
    <n v="1"/>
    <n v="-1"/>
    <s v="0"/>
    <n v="1"/>
    <n v="1"/>
    <n v="1"/>
    <n v="0"/>
    <n v="1"/>
    <m/>
    <d v="2013-08-07T00:00:00"/>
    <n v="0"/>
    <m/>
    <m/>
    <m/>
    <m/>
    <m/>
    <m/>
  </r>
  <r>
    <x v="82"/>
    <n v="10166"/>
    <s v="32109840600210000268"/>
    <n v="4003086.69"/>
    <s v="79235882"/>
    <m/>
    <d v="2013-05-07T00:00:00"/>
    <m/>
    <m/>
    <n v="1"/>
    <n v="1"/>
    <n v="-1"/>
    <s v="0"/>
    <n v="1"/>
    <n v="1"/>
    <n v="1"/>
    <n v="0"/>
    <n v="1"/>
    <m/>
    <d v="2013-08-07T00:00:00"/>
    <n v="0"/>
    <m/>
    <m/>
    <m/>
    <m/>
    <m/>
    <m/>
  </r>
  <r>
    <x v="82"/>
    <n v="10168"/>
    <s v="32109840300210000270"/>
    <n v="4003086.69"/>
    <s v="79235884"/>
    <m/>
    <d v="2013-05-07T00:00:00"/>
    <m/>
    <m/>
    <n v="1"/>
    <n v="1"/>
    <n v="-1"/>
    <s v="0"/>
    <n v="1"/>
    <n v="1"/>
    <n v="1"/>
    <n v="0"/>
    <n v="1"/>
    <m/>
    <d v="2013-08-07T00:00:00"/>
    <n v="0"/>
    <m/>
    <m/>
    <m/>
    <m/>
    <m/>
    <m/>
  </r>
  <r>
    <x v="82"/>
    <n v="10169"/>
    <s v="32109840600210000271"/>
    <n v="6097725.0800000001"/>
    <s v="79235907"/>
    <m/>
    <d v="2013-05-07T00:00:00"/>
    <m/>
    <m/>
    <n v="1"/>
    <n v="1"/>
    <n v="-1"/>
    <s v="0"/>
    <n v="1"/>
    <n v="1"/>
    <n v="1"/>
    <n v="0"/>
    <n v="1"/>
    <m/>
    <d v="2013-08-07T00:00:00"/>
    <n v="0"/>
    <m/>
    <m/>
    <m/>
    <m/>
    <m/>
    <m/>
  </r>
  <r>
    <x v="82"/>
    <n v="10170"/>
    <s v="32109840900210000272"/>
    <n v="7004801.71"/>
    <s v="79236471"/>
    <m/>
    <d v="2013-05-14T00:00:00"/>
    <m/>
    <m/>
    <n v="1"/>
    <n v="1"/>
    <n v="-1"/>
    <s v="0"/>
    <n v="1"/>
    <n v="1"/>
    <n v="1"/>
    <n v="0"/>
    <n v="1"/>
    <m/>
    <d v="2013-08-14T00:00:00"/>
    <n v="0"/>
    <m/>
    <m/>
    <m/>
    <m/>
    <m/>
    <m/>
  </r>
  <r>
    <x v="82"/>
    <n v="10171"/>
    <s v="32109840200210000273"/>
    <n v="7577456.21"/>
    <s v="79236481"/>
    <m/>
    <d v="2013-05-14T00:00:00"/>
    <m/>
    <m/>
    <n v="1"/>
    <n v="1"/>
    <n v="-1"/>
    <s v="0"/>
    <n v="1"/>
    <n v="1"/>
    <n v="1"/>
    <n v="0"/>
    <n v="1"/>
    <m/>
    <d v="2013-08-14T00:00:00"/>
    <n v="0"/>
    <m/>
    <m/>
    <m/>
    <m/>
    <m/>
    <m/>
  </r>
  <r>
    <x v="82"/>
    <n v="10172"/>
    <s v="32109840500210000274"/>
    <n v="6475915.7800000003"/>
    <s v="79236483"/>
    <m/>
    <d v="2013-05-14T00:00:00"/>
    <m/>
    <m/>
    <n v="1"/>
    <n v="1"/>
    <n v="-1"/>
    <s v="0"/>
    <n v="1"/>
    <n v="1"/>
    <n v="1"/>
    <n v="0"/>
    <n v="1"/>
    <m/>
    <d v="2013-08-14T00:00:00"/>
    <n v="0"/>
    <m/>
    <m/>
    <m/>
    <m/>
    <m/>
    <m/>
  </r>
  <r>
    <x v="82"/>
    <n v="10173"/>
    <s v="32109840800210000275"/>
    <n v="8178089.7400000002"/>
    <s v="79236472"/>
    <m/>
    <d v="2013-05-14T00:00:00"/>
    <m/>
    <m/>
    <n v="1"/>
    <n v="1"/>
    <n v="-1"/>
    <s v="0"/>
    <n v="1"/>
    <n v="1"/>
    <n v="1"/>
    <n v="0"/>
    <n v="1"/>
    <m/>
    <d v="2013-08-14T00:00:00"/>
    <n v="0"/>
    <m/>
    <m/>
    <m/>
    <m/>
    <m/>
    <m/>
  </r>
  <r>
    <x v="82"/>
    <n v="10174"/>
    <s v="32109840700210000278"/>
    <n v="18809871.66"/>
    <s v="79236687"/>
    <m/>
    <d v="2013-05-16T00:00:00"/>
    <m/>
    <m/>
    <n v="1"/>
    <n v="1"/>
    <n v="-1"/>
    <s v="0"/>
    <n v="1"/>
    <n v="1"/>
    <n v="1"/>
    <n v="0"/>
    <n v="1"/>
    <m/>
    <d v="2013-08-16T00:00:00"/>
    <n v="0"/>
    <m/>
    <m/>
    <m/>
    <m/>
    <m/>
    <m/>
  </r>
  <r>
    <x v="82"/>
    <n v="10176"/>
    <s v="32109840400210000280"/>
    <n v="12866820.76"/>
    <s v="79240111"/>
    <m/>
    <d v="2013-06-07T00:00:00"/>
    <m/>
    <m/>
    <n v="1"/>
    <n v="1"/>
    <n v="-1"/>
    <s v="0"/>
    <n v="1"/>
    <n v="1"/>
    <n v="1"/>
    <n v="0"/>
    <n v="1"/>
    <m/>
    <d v="2013-09-09T00:00:00"/>
    <n v="0"/>
    <m/>
    <m/>
    <m/>
    <m/>
    <m/>
    <m/>
  </r>
  <r>
    <x v="82"/>
    <n v="10177"/>
    <s v="32109840700210000281"/>
    <n v="24580311.460000001"/>
    <s v="79240110"/>
    <m/>
    <d v="2013-06-07T00:00:00"/>
    <m/>
    <m/>
    <n v="1"/>
    <n v="1"/>
    <n v="-1"/>
    <s v="0"/>
    <n v="1"/>
    <n v="1"/>
    <n v="1"/>
    <n v="0"/>
    <n v="1"/>
    <m/>
    <d v="2013-09-09T00:00:00"/>
    <n v="0"/>
    <m/>
    <m/>
    <m/>
    <m/>
    <m/>
    <m/>
  </r>
  <r>
    <x v="82"/>
    <n v="10180"/>
    <s v="32109840900210000285"/>
    <n v="4097823.84"/>
    <s v="79243672"/>
    <m/>
    <d v="2013-07-03T00:00:00"/>
    <m/>
    <m/>
    <n v="1"/>
    <n v="1"/>
    <n v="-1"/>
    <s v="0"/>
    <n v="1"/>
    <n v="1"/>
    <n v="1"/>
    <n v="0"/>
    <n v="1"/>
    <m/>
    <d v="2013-10-03T00:00:00"/>
    <n v="0"/>
    <m/>
    <m/>
    <m/>
    <m/>
    <m/>
    <m/>
  </r>
  <r>
    <x v="82"/>
    <n v="10181"/>
    <s v="32109840200210000286"/>
    <n v="5655049.96"/>
    <s v="79243674"/>
    <m/>
    <d v="2013-07-03T00:00:00"/>
    <m/>
    <m/>
    <n v="1"/>
    <n v="1"/>
    <n v="-1"/>
    <s v="0"/>
    <n v="1"/>
    <n v="1"/>
    <n v="1"/>
    <n v="0"/>
    <n v="1"/>
    <m/>
    <d v="2013-10-03T00:00:00"/>
    <n v="0"/>
    <m/>
    <m/>
    <m/>
    <m/>
    <m/>
    <m/>
  </r>
  <r>
    <x v="82"/>
    <n v="10182"/>
    <s v="32109840500210000287"/>
    <n v="4075339.56"/>
    <s v="79244058"/>
    <m/>
    <d v="2013-07-05T00:00:00"/>
    <m/>
    <m/>
    <n v="1"/>
    <n v="1"/>
    <n v="-1"/>
    <s v="0"/>
    <n v="1"/>
    <n v="1"/>
    <n v="1"/>
    <n v="0"/>
    <n v="1"/>
    <m/>
    <d v="2013-10-07T00:00:00"/>
    <n v="0"/>
    <m/>
    <m/>
    <m/>
    <m/>
    <m/>
    <m/>
  </r>
  <r>
    <x v="82"/>
    <n v="10183"/>
    <s v="32109840800210000288"/>
    <n v="21905224.879999999"/>
    <s v="79244056"/>
    <m/>
    <d v="2013-07-05T00:00:00"/>
    <m/>
    <m/>
    <n v="1"/>
    <n v="1"/>
    <n v="-1"/>
    <s v="0"/>
    <n v="1"/>
    <n v="1"/>
    <n v="1"/>
    <n v="0"/>
    <n v="1"/>
    <m/>
    <d v="2013-10-07T00:00:00"/>
    <n v="0"/>
    <m/>
    <m/>
    <m/>
    <m/>
    <m/>
    <m/>
  </r>
  <r>
    <x v="82"/>
    <n v="10184"/>
    <s v="32109840100210000289"/>
    <n v="23484013.16"/>
    <s v="79244057"/>
    <m/>
    <d v="2013-07-05T00:00:00"/>
    <m/>
    <m/>
    <n v="1"/>
    <n v="1"/>
    <n v="-1"/>
    <s v="0"/>
    <n v="1"/>
    <n v="1"/>
    <n v="1"/>
    <n v="0"/>
    <n v="1"/>
    <m/>
    <d v="2013-10-07T00:00:00"/>
    <n v="0"/>
    <m/>
    <m/>
    <m/>
    <m/>
    <m/>
    <m/>
  </r>
  <r>
    <x v="82"/>
    <n v="10187"/>
    <s v="32109840100210000292"/>
    <n v="13854108.18"/>
    <s v="79245436"/>
    <m/>
    <d v="2013-07-15T00:00:00"/>
    <m/>
    <m/>
    <n v="1"/>
    <n v="1"/>
    <n v="-1"/>
    <s v="0"/>
    <n v="1"/>
    <n v="1"/>
    <n v="1"/>
    <n v="0"/>
    <n v="1"/>
    <m/>
    <d v="2013-10-15T00:00:00"/>
    <n v="0"/>
    <m/>
    <m/>
    <m/>
    <m/>
    <m/>
    <m/>
  </r>
  <r>
    <x v="82"/>
    <n v="10188"/>
    <s v="32109840400210000293"/>
    <n v="7356023.9100000001"/>
    <s v="79245437"/>
    <m/>
    <d v="2013-07-15T00:00:00"/>
    <m/>
    <m/>
    <n v="1"/>
    <n v="1"/>
    <n v="-1"/>
    <s v="0"/>
    <n v="1"/>
    <n v="1"/>
    <n v="1"/>
    <n v="0"/>
    <n v="1"/>
    <m/>
    <d v="2013-10-15T00:00:00"/>
    <n v="0"/>
    <m/>
    <m/>
    <m/>
    <m/>
    <m/>
    <m/>
  </r>
  <r>
    <x v="82"/>
    <n v="10189"/>
    <s v="32109840700210000294"/>
    <n v="10824729.92"/>
    <s v="79245844"/>
    <m/>
    <d v="2013-07-17T00:00:00"/>
    <m/>
    <m/>
    <n v="1"/>
    <n v="1"/>
    <n v="-1"/>
    <s v="0"/>
    <n v="1"/>
    <n v="1"/>
    <n v="1"/>
    <n v="0"/>
    <n v="1"/>
    <m/>
    <d v="2013-10-17T00:00:00"/>
    <n v="0"/>
    <m/>
    <m/>
    <m/>
    <m/>
    <m/>
    <m/>
  </r>
  <r>
    <x v="82"/>
    <n v="10190"/>
    <s v="32109840000210000295"/>
    <n v="26214274.670000002"/>
    <s v="79245845"/>
    <m/>
    <d v="2013-07-17T00:00:00"/>
    <m/>
    <m/>
    <n v="1"/>
    <n v="1"/>
    <n v="-1"/>
    <s v="0"/>
    <n v="1"/>
    <n v="1"/>
    <n v="1"/>
    <n v="0"/>
    <n v="1"/>
    <m/>
    <d v="2013-10-17T00:00:00"/>
    <n v="0"/>
    <m/>
    <m/>
    <m/>
    <m/>
    <m/>
    <m/>
  </r>
  <r>
    <x v="82"/>
    <n v="10191"/>
    <s v="32109840300210000296"/>
    <n v="10668097.83"/>
    <s v="79246644"/>
    <m/>
    <d v="2013-07-23T00:00:00"/>
    <m/>
    <m/>
    <n v="1"/>
    <n v="1"/>
    <n v="-1"/>
    <s v="0"/>
    <n v="1"/>
    <n v="1"/>
    <n v="1"/>
    <n v="0"/>
    <n v="1"/>
    <m/>
    <d v="2013-10-23T00:00:00"/>
    <n v="0"/>
    <m/>
    <m/>
    <m/>
    <m/>
    <m/>
    <m/>
  </r>
  <r>
    <x v="82"/>
    <n v="10192"/>
    <s v="32109840600210000297"/>
    <n v="12013996.939999999"/>
    <s v="79246646"/>
    <m/>
    <d v="2013-07-23T00:00:00"/>
    <m/>
    <m/>
    <n v="1"/>
    <n v="1"/>
    <n v="-1"/>
    <s v="0"/>
    <n v="1"/>
    <n v="1"/>
    <n v="1"/>
    <n v="0"/>
    <n v="1"/>
    <m/>
    <d v="2013-10-23T00:00:00"/>
    <n v="0"/>
    <m/>
    <m/>
    <m/>
    <m/>
    <m/>
    <m/>
  </r>
  <r>
    <x v="82"/>
    <n v="10193"/>
    <s v="32109840900210000298"/>
    <n v="31486460.23"/>
    <s v="79246647"/>
    <m/>
    <d v="2013-07-23T00:00:00"/>
    <m/>
    <m/>
    <n v="1"/>
    <n v="1"/>
    <n v="-1"/>
    <s v="0"/>
    <n v="1"/>
    <n v="1"/>
    <n v="1"/>
    <n v="0"/>
    <n v="1"/>
    <m/>
    <d v="2013-10-23T00:00:00"/>
    <n v="0"/>
    <m/>
    <m/>
    <m/>
    <m/>
    <m/>
    <m/>
  </r>
  <r>
    <x v="82"/>
    <n v="10194"/>
    <s v="32109840200210000299"/>
    <n v="15217375.77"/>
    <s v="79246958"/>
    <m/>
    <d v="2013-07-24T00:00:00"/>
    <m/>
    <m/>
    <n v="1"/>
    <n v="1"/>
    <n v="-1"/>
    <s v="0"/>
    <n v="1"/>
    <n v="1"/>
    <n v="1"/>
    <n v="0"/>
    <n v="1"/>
    <m/>
    <d v="2013-10-24T00:00:00"/>
    <n v="0"/>
    <m/>
    <m/>
    <m/>
    <m/>
    <m/>
    <m/>
  </r>
  <r>
    <x v="82"/>
    <n v="10195"/>
    <s v="32109840500210000300"/>
    <n v="36136980.600000001"/>
    <s v="79246960"/>
    <m/>
    <d v="2013-07-24T00:00:00"/>
    <m/>
    <m/>
    <n v="1"/>
    <n v="1"/>
    <n v="-1"/>
    <s v="0"/>
    <n v="1"/>
    <n v="1"/>
    <n v="1"/>
    <n v="0"/>
    <n v="1"/>
    <m/>
    <d v="2013-10-24T00:00:00"/>
    <n v="0"/>
    <m/>
    <m/>
    <m/>
    <m/>
    <m/>
    <m/>
  </r>
  <r>
    <x v="82"/>
    <n v="10196"/>
    <s v="32109840400210000303"/>
    <n v="15546366.32"/>
    <s v="79247997"/>
    <m/>
    <d v="2013-07-31T00:00:00"/>
    <m/>
    <m/>
    <n v="1"/>
    <n v="1"/>
    <n v="-1"/>
    <s v="0"/>
    <n v="1"/>
    <n v="1"/>
    <n v="1"/>
    <n v="0"/>
    <n v="1"/>
    <m/>
    <d v="2013-10-31T00:00:00"/>
    <n v="0"/>
    <m/>
    <m/>
    <m/>
    <m/>
    <m/>
    <m/>
  </r>
  <r>
    <x v="82"/>
    <n v="10197"/>
    <s v="32109840700210000304"/>
    <n v="41880072.950000003"/>
    <s v="79247999"/>
    <m/>
    <d v="2013-07-31T00:00:00"/>
    <m/>
    <m/>
    <n v="1"/>
    <n v="1"/>
    <n v="-1"/>
    <s v="0"/>
    <n v="1"/>
    <n v="1"/>
    <n v="1"/>
    <n v="0"/>
    <n v="1"/>
    <m/>
    <d v="2013-10-31T00:00:00"/>
    <n v="0"/>
    <m/>
    <m/>
    <m/>
    <m/>
    <m/>
    <m/>
  </r>
  <r>
    <x v="82"/>
    <n v="10198"/>
    <s v="32109840300210000306"/>
    <n v="7824467.5300000003"/>
    <s v="79248473"/>
    <m/>
    <d v="2013-08-02T00:00:00"/>
    <m/>
    <m/>
    <n v="1"/>
    <n v="1"/>
    <n v="-1"/>
    <s v="0"/>
    <n v="1"/>
    <n v="1"/>
    <n v="1"/>
    <n v="0"/>
    <n v="1"/>
    <m/>
    <d v="2013-11-04T00:00:00"/>
    <n v="0"/>
    <m/>
    <m/>
    <m/>
    <m/>
    <m/>
    <m/>
  </r>
  <r>
    <x v="82"/>
    <n v="10199"/>
    <s v="32109840600210000307"/>
    <n v="8862091.9600000009"/>
    <s v="79248475"/>
    <m/>
    <d v="2013-08-02T00:00:00"/>
    <m/>
    <m/>
    <n v="1"/>
    <n v="1"/>
    <n v="-1"/>
    <s v="0"/>
    <n v="1"/>
    <n v="1"/>
    <n v="1"/>
    <n v="0"/>
    <n v="1"/>
    <m/>
    <d v="2013-11-04T00:00:00"/>
    <n v="0"/>
    <m/>
    <m/>
    <m/>
    <m/>
    <m/>
    <m/>
  </r>
  <r>
    <x v="82"/>
    <n v="10200"/>
    <s v="32109840900210000308"/>
    <n v="6975875.2999999998"/>
    <s v="79248477"/>
    <m/>
    <d v="2013-08-02T00:00:00"/>
    <m/>
    <m/>
    <n v="1"/>
    <n v="1"/>
    <n v="-1"/>
    <s v="0"/>
    <n v="1"/>
    <n v="1"/>
    <n v="1"/>
    <n v="0"/>
    <n v="1"/>
    <m/>
    <d v="2013-11-04T00:00:00"/>
    <n v="0"/>
    <m/>
    <m/>
    <m/>
    <m/>
    <m/>
    <m/>
  </r>
  <r>
    <x v="82"/>
    <n v="10201"/>
    <s v="32109840600210000310"/>
    <n v="7978573.2999999998"/>
    <s v="79248824"/>
    <m/>
    <d v="2013-08-06T00:00:00"/>
    <m/>
    <m/>
    <n v="1"/>
    <n v="1"/>
    <n v="-1"/>
    <s v="0"/>
    <n v="1"/>
    <n v="1"/>
    <n v="1"/>
    <n v="0"/>
    <n v="1"/>
    <m/>
    <d v="2013-11-06T00:00:00"/>
    <n v="0"/>
    <m/>
    <m/>
    <m/>
    <m/>
    <m/>
    <m/>
  </r>
  <r>
    <x v="82"/>
    <n v="10202"/>
    <s v="32109840900210000311"/>
    <n v="8469438.0500000007"/>
    <s v="79248829"/>
    <m/>
    <d v="2013-08-06T00:00:00"/>
    <m/>
    <m/>
    <n v="1"/>
    <n v="1"/>
    <n v="-1"/>
    <s v="0"/>
    <n v="1"/>
    <n v="1"/>
    <n v="1"/>
    <n v="0"/>
    <n v="1"/>
    <m/>
    <d v="2013-11-06T00:00:00"/>
    <n v="0"/>
    <m/>
    <m/>
    <m/>
    <m/>
    <m/>
    <m/>
  </r>
  <r>
    <x v="82"/>
    <n v="10203"/>
    <s v="32109840200210000312"/>
    <n v="8990492.3800000008"/>
    <s v="79248833"/>
    <m/>
    <d v="2013-08-06T00:00:00"/>
    <m/>
    <m/>
    <n v="1"/>
    <n v="1"/>
    <n v="-1"/>
    <s v="0"/>
    <n v="1"/>
    <n v="1"/>
    <n v="1"/>
    <n v="0"/>
    <n v="1"/>
    <m/>
    <d v="2013-11-06T00:00:00"/>
    <n v="0"/>
    <m/>
    <n v="0"/>
    <m/>
    <m/>
    <m/>
    <m/>
  </r>
  <r>
    <x v="82"/>
    <n v="10204"/>
    <s v="32109840500210000313"/>
    <n v="11190289"/>
    <s v="79248835"/>
    <m/>
    <d v="2013-08-06T00:00:00"/>
    <m/>
    <m/>
    <n v="1"/>
    <n v="1"/>
    <n v="-1"/>
    <s v="0"/>
    <n v="1"/>
    <n v="1"/>
    <n v="1"/>
    <n v="0"/>
    <n v="1"/>
    <m/>
    <d v="2013-11-06T00:00:00"/>
    <n v="0"/>
    <m/>
    <m/>
    <m/>
    <m/>
    <m/>
    <m/>
  </r>
  <r>
    <x v="82"/>
    <n v="10205"/>
    <s v="32109840800210000314"/>
    <n v="7180760.1799999997"/>
    <s v="79249067"/>
    <m/>
    <d v="2013-08-07T00:00:00"/>
    <m/>
    <m/>
    <n v="1"/>
    <n v="1"/>
    <n v="-1"/>
    <s v="0"/>
    <n v="1"/>
    <n v="1"/>
    <n v="1"/>
    <n v="0"/>
    <n v="1"/>
    <m/>
    <d v="2013-11-07T00:00:00"/>
    <n v="0"/>
    <m/>
    <m/>
    <m/>
    <m/>
    <m/>
    <m/>
  </r>
  <r>
    <x v="82"/>
    <n v="10206"/>
    <s v="32109840100210000315"/>
    <n v="7622487.9299999997"/>
    <s v="79249071"/>
    <m/>
    <d v="2013-08-07T00:00:00"/>
    <m/>
    <m/>
    <n v="1"/>
    <n v="1"/>
    <n v="-1"/>
    <s v="0"/>
    <n v="1"/>
    <n v="1"/>
    <n v="1"/>
    <n v="0"/>
    <n v="1"/>
    <m/>
    <d v="2013-11-07T00:00:00"/>
    <n v="0"/>
    <m/>
    <m/>
    <m/>
    <m/>
    <m/>
    <m/>
  </r>
  <r>
    <x v="82"/>
    <n v="10207"/>
    <s v="32109840400210000316"/>
    <n v="8091436.8200000003"/>
    <s v="79249073"/>
    <m/>
    <d v="2013-08-07T00:00:00"/>
    <m/>
    <m/>
    <n v="1"/>
    <n v="1"/>
    <n v="-1"/>
    <s v="0"/>
    <n v="1"/>
    <n v="1"/>
    <n v="1"/>
    <n v="0"/>
    <n v="1"/>
    <m/>
    <d v="2013-11-07T00:00:00"/>
    <n v="0"/>
    <m/>
    <m/>
    <m/>
    <m/>
    <m/>
    <m/>
  </r>
  <r>
    <x v="82"/>
    <n v="10208"/>
    <s v="32109840700210000317"/>
    <n v="10071253.779999999"/>
    <s v="79249074"/>
    <m/>
    <d v="2013-08-07T00:00:00"/>
    <m/>
    <m/>
    <n v="1"/>
    <n v="1"/>
    <n v="-1"/>
    <s v="0"/>
    <n v="1"/>
    <n v="1"/>
    <n v="1"/>
    <n v="0"/>
    <n v="1"/>
    <m/>
    <d v="2013-11-07T00:00:00"/>
    <n v="0"/>
    <m/>
    <m/>
    <m/>
    <m/>
    <m/>
    <m/>
  </r>
  <r>
    <x v="82"/>
    <n v="10209"/>
    <s v="32109840300210000319"/>
    <n v="8256405.7800000003"/>
    <s v="79249806"/>
    <m/>
    <d v="2013-08-13T00:00:00"/>
    <m/>
    <m/>
    <n v="1"/>
    <n v="1"/>
    <n v="-1"/>
    <s v="0"/>
    <n v="1"/>
    <n v="1"/>
    <n v="1"/>
    <n v="0"/>
    <n v="1"/>
    <m/>
    <d v="2013-11-13T00:00:00"/>
    <n v="0"/>
    <m/>
    <m/>
    <m/>
    <m/>
    <m/>
    <m/>
  </r>
  <r>
    <x v="82"/>
    <n v="10210"/>
    <s v="32109840700210000320"/>
    <n v="8828997.1199999992"/>
    <s v="79249807"/>
    <m/>
    <d v="2013-08-13T00:00:00"/>
    <m/>
    <m/>
    <n v="1"/>
    <n v="1"/>
    <n v="-1"/>
    <s v="0"/>
    <n v="1"/>
    <n v="1"/>
    <n v="1"/>
    <n v="0"/>
    <n v="1"/>
    <m/>
    <d v="2013-11-13T00:00:00"/>
    <n v="0"/>
    <m/>
    <m/>
    <m/>
    <m/>
    <m/>
    <m/>
  </r>
  <r>
    <x v="82"/>
    <n v="10211"/>
    <s v="32109840000210000321"/>
    <n v="9308051.3000000007"/>
    <s v="79249805"/>
    <m/>
    <d v="2013-08-13T00:00:00"/>
    <m/>
    <m/>
    <n v="1"/>
    <n v="1"/>
    <n v="-1"/>
    <s v="0"/>
    <n v="1"/>
    <n v="1"/>
    <n v="1"/>
    <n v="0"/>
    <n v="1"/>
    <m/>
    <d v="2013-11-13T00:00:00"/>
    <n v="0"/>
    <m/>
    <m/>
    <m/>
    <m/>
    <m/>
    <m/>
  </r>
  <r>
    <x v="82"/>
    <n v="10212"/>
    <s v="32109840300210000322"/>
    <n v="10598750.24"/>
    <s v="79249808"/>
    <m/>
    <d v="2013-08-13T00:00:00"/>
    <m/>
    <m/>
    <n v="1"/>
    <n v="1"/>
    <n v="-1"/>
    <s v="0"/>
    <n v="1"/>
    <n v="1"/>
    <n v="1"/>
    <n v="0"/>
    <n v="1"/>
    <m/>
    <d v="2013-11-13T00:00:00"/>
    <n v="0"/>
    <m/>
    <m/>
    <m/>
    <m/>
    <m/>
    <m/>
  </r>
  <r>
    <x v="82"/>
    <n v="10213"/>
    <s v="32109840800210000327"/>
    <n v="27574636.989999998"/>
    <s v="79251654"/>
    <m/>
    <d v="2013-08-26T00:00:00"/>
    <m/>
    <m/>
    <n v="1"/>
    <n v="1"/>
    <n v="-1"/>
    <s v="0"/>
    <n v="1"/>
    <n v="1"/>
    <n v="1"/>
    <n v="0"/>
    <n v="1"/>
    <n v="1"/>
    <d v="2013-11-26T00:00:00"/>
    <n v="0"/>
    <m/>
    <m/>
    <m/>
    <m/>
    <m/>
    <m/>
  </r>
  <r>
    <x v="82"/>
    <n v="10214"/>
    <s v="32109840100210000328"/>
    <n v="21922808.09"/>
    <s v="79251652"/>
    <m/>
    <d v="2013-08-26T00:00:00"/>
    <m/>
    <m/>
    <n v="1"/>
    <n v="1"/>
    <n v="-1"/>
    <s v="0"/>
    <n v="1"/>
    <n v="1"/>
    <n v="1"/>
    <n v="0"/>
    <n v="1"/>
    <n v="1"/>
    <d v="2013-11-26T00:00:00"/>
    <n v="0"/>
    <m/>
    <m/>
    <m/>
    <m/>
    <m/>
    <m/>
  </r>
  <r>
    <x v="82"/>
    <n v="10215"/>
    <s v="32109840800210000330"/>
    <n v="62502076.82"/>
    <s v="79252425"/>
    <m/>
    <d v="2013-08-29T00:00:00"/>
    <m/>
    <m/>
    <n v="1"/>
    <n v="1"/>
    <n v="-1"/>
    <s v="0"/>
    <n v="1"/>
    <n v="1"/>
    <n v="1"/>
    <n v="0"/>
    <n v="1"/>
    <n v="1"/>
    <d v="2013-11-29T00:00:00"/>
    <n v="0"/>
    <m/>
    <m/>
    <m/>
    <m/>
    <m/>
    <m/>
  </r>
  <r>
    <x v="82"/>
    <n v="10217"/>
    <s v="32109840400210000332"/>
    <n v="21551754.25"/>
    <s v="79252606"/>
    <m/>
    <d v="2013-08-30T00:00:00"/>
    <m/>
    <m/>
    <n v="1"/>
    <n v="1"/>
    <n v="-1"/>
    <s v="0"/>
    <n v="1"/>
    <n v="1"/>
    <n v="1"/>
    <n v="0"/>
    <n v="1"/>
    <n v="1"/>
    <d v="2013-12-02T00:00:00"/>
    <n v="0"/>
    <m/>
    <m/>
    <m/>
    <m/>
    <m/>
    <m/>
  </r>
  <r>
    <x v="82"/>
    <n v="10218"/>
    <s v="32109840700210000333"/>
    <n v="17293319.359999999"/>
    <s v="79252604"/>
    <m/>
    <d v="2013-08-30T00:00:00"/>
    <m/>
    <m/>
    <n v="1"/>
    <n v="1"/>
    <n v="-1"/>
    <s v="0"/>
    <n v="1"/>
    <n v="1"/>
    <n v="1"/>
    <n v="0"/>
    <n v="1"/>
    <n v="1"/>
    <d v="2013-12-02T00:00:00"/>
    <n v="0"/>
    <m/>
    <m/>
    <m/>
    <m/>
    <m/>
    <m/>
  </r>
  <r>
    <x v="82"/>
    <n v="10219"/>
    <s v="32109840000210000334"/>
    <n v="16292137.16"/>
    <s v="79252603"/>
    <m/>
    <d v="2013-08-30T00:00:00"/>
    <m/>
    <m/>
    <n v="1"/>
    <n v="1"/>
    <n v="-1"/>
    <s v="0"/>
    <n v="1"/>
    <n v="1"/>
    <n v="1"/>
    <n v="0"/>
    <n v="1"/>
    <n v="1"/>
    <d v="2013-12-02T00:00:00"/>
    <n v="0"/>
    <m/>
    <m/>
    <m/>
    <m/>
    <m/>
    <m/>
  </r>
  <r>
    <x v="82"/>
    <n v="10220"/>
    <s v="32109840300210000335"/>
    <n v="15347986.720000001"/>
    <s v="79252602"/>
    <m/>
    <d v="2013-08-30T00:00:00"/>
    <m/>
    <m/>
    <n v="1"/>
    <n v="1"/>
    <n v="-1"/>
    <s v="0"/>
    <n v="1"/>
    <n v="1"/>
    <n v="1"/>
    <n v="0"/>
    <n v="1"/>
    <n v="1"/>
    <d v="2013-12-02T00:00:00"/>
    <n v="0"/>
    <m/>
    <m/>
    <m/>
    <m/>
    <m/>
    <m/>
  </r>
  <r>
    <x v="82"/>
    <n v="10221"/>
    <s v="32109840200210000341"/>
    <n v="10266917.58"/>
    <s v="79253514"/>
    <m/>
    <d v="2013-09-06T00:00:00"/>
    <m/>
    <m/>
    <n v="1"/>
    <n v="1"/>
    <n v="-1"/>
    <s v="0"/>
    <n v="1"/>
    <n v="1"/>
    <n v="1"/>
    <n v="0"/>
    <n v="1"/>
    <n v="1"/>
    <d v="2013-12-06T00:00:00"/>
    <n v="0"/>
    <m/>
    <m/>
    <m/>
    <m/>
    <m/>
    <m/>
  </r>
  <r>
    <x v="82"/>
    <n v="10222"/>
    <s v="32109840500210000342"/>
    <n v="27397099.57"/>
    <s v="79253515"/>
    <m/>
    <d v="2013-09-06T00:00:00"/>
    <m/>
    <m/>
    <n v="1"/>
    <n v="1"/>
    <n v="-1"/>
    <s v="0"/>
    <n v="1"/>
    <n v="1"/>
    <n v="1"/>
    <n v="0"/>
    <n v="1"/>
    <n v="1"/>
    <d v="2013-12-06T00:00:00"/>
    <n v="0"/>
    <m/>
    <m/>
    <m/>
    <m/>
    <m/>
    <m/>
  </r>
  <r>
    <x v="82"/>
    <n v="10223"/>
    <s v="32109840800210000343"/>
    <n v="14815058.68"/>
    <s v="79253673"/>
    <m/>
    <d v="2013-09-09T00:00:00"/>
    <m/>
    <m/>
    <n v="1"/>
    <n v="1"/>
    <n v="-1"/>
    <s v="0"/>
    <n v="1"/>
    <n v="1"/>
    <n v="1"/>
    <n v="0"/>
    <n v="1"/>
    <n v="1"/>
    <d v="2013-12-09T00:00:00"/>
    <n v="0"/>
    <m/>
    <m/>
    <m/>
    <m/>
    <m/>
    <m/>
  </r>
  <r>
    <x v="82"/>
    <n v="10224"/>
    <s v="32109840100210000344"/>
    <n v="44643050.350000001"/>
    <s v="79253674"/>
    <m/>
    <d v="2013-09-09T00:00:00"/>
    <m/>
    <m/>
    <n v="1"/>
    <n v="1"/>
    <n v="-1"/>
    <s v="0"/>
    <n v="1"/>
    <n v="1"/>
    <n v="1"/>
    <n v="0"/>
    <n v="1"/>
    <n v="1"/>
    <d v="2013-12-09T00:00:00"/>
    <n v="0"/>
    <m/>
    <m/>
    <m/>
    <m/>
    <m/>
    <m/>
  </r>
  <r>
    <x v="82"/>
    <n v="10225"/>
    <s v="32109840400210000345"/>
    <n v="11288626.16"/>
    <s v="79254831"/>
    <m/>
    <d v="2013-09-17T00:00:00"/>
    <m/>
    <m/>
    <n v="1"/>
    <n v="1"/>
    <n v="-1"/>
    <s v="0"/>
    <n v="1"/>
    <n v="1"/>
    <n v="1"/>
    <n v="0"/>
    <n v="1"/>
    <n v="1"/>
    <d v="2013-12-17T00:00:00"/>
    <n v="0"/>
    <m/>
    <m/>
    <m/>
    <m/>
    <m/>
    <m/>
  </r>
  <r>
    <x v="82"/>
    <n v="10226"/>
    <s v="32109840700210000346"/>
    <n v="51781873.549999997"/>
    <s v="79254832"/>
    <m/>
    <d v="2013-09-17T00:00:00"/>
    <m/>
    <m/>
    <n v="1"/>
    <n v="1"/>
    <n v="-1"/>
    <s v="0"/>
    <n v="1"/>
    <n v="1"/>
    <n v="1"/>
    <n v="0"/>
    <n v="1"/>
    <n v="1"/>
    <d v="2013-12-17T00:00:00"/>
    <n v="0"/>
    <m/>
    <m/>
    <m/>
    <m/>
    <m/>
    <m/>
  </r>
  <r>
    <x v="82"/>
    <n v="10227"/>
    <s v="32109840000210000347"/>
    <n v="7346297.5599999996"/>
    <s v="79255375"/>
    <m/>
    <d v="2013-09-19T00:00:00"/>
    <m/>
    <m/>
    <n v="1"/>
    <n v="1"/>
    <n v="-1"/>
    <s v="0"/>
    <n v="1"/>
    <n v="1"/>
    <n v="1"/>
    <n v="0"/>
    <n v="1"/>
    <n v="1"/>
    <d v="2013-12-19T00:00:00"/>
    <n v="0"/>
    <m/>
    <m/>
    <m/>
    <m/>
    <m/>
    <m/>
  </r>
  <r>
    <x v="82"/>
    <n v="10228"/>
    <s v="32109840300210000348"/>
    <n v="28962788.870000001"/>
    <s v="79255376"/>
    <m/>
    <d v="2013-09-19T00:00:00"/>
    <m/>
    <m/>
    <n v="1"/>
    <n v="1"/>
    <n v="-1"/>
    <s v="0"/>
    <n v="1"/>
    <n v="1"/>
    <n v="1"/>
    <n v="0"/>
    <n v="1"/>
    <n v="1"/>
    <d v="2013-12-19T00:00:00"/>
    <n v="0"/>
    <m/>
    <m/>
    <m/>
    <m/>
    <m/>
    <m/>
  </r>
  <r>
    <x v="82"/>
    <n v="10229"/>
    <s v="32109840000210000350"/>
    <n v="2605713.73"/>
    <s v="79255798"/>
    <m/>
    <d v="2013-09-23T00:00:00"/>
    <m/>
    <m/>
    <n v="1"/>
    <n v="1"/>
    <n v="-1"/>
    <s v="0"/>
    <n v="1"/>
    <n v="1"/>
    <n v="1"/>
    <n v="0"/>
    <n v="1"/>
    <n v="1"/>
    <d v="2013-12-23T00:00:00"/>
    <n v="0"/>
    <m/>
    <m/>
    <m/>
    <m/>
    <m/>
    <m/>
  </r>
  <r>
    <x v="82"/>
    <n v="10230"/>
    <s v="32109840300210000351"/>
    <n v="2854367.17"/>
    <s v="79255799"/>
    <m/>
    <d v="2013-09-23T00:00:00"/>
    <m/>
    <m/>
    <n v="1"/>
    <n v="1"/>
    <n v="-1"/>
    <s v="0"/>
    <n v="1"/>
    <n v="1"/>
    <n v="1"/>
    <n v="0"/>
    <n v="1"/>
    <n v="1"/>
    <d v="2013-12-23T00:00:00"/>
    <n v="0"/>
    <m/>
    <m/>
    <m/>
    <m/>
    <m/>
    <m/>
  </r>
  <r>
    <x v="82"/>
    <n v="10231"/>
    <s v="32109840600210000352"/>
    <n v="15569229.550000001"/>
    <s v="79256447"/>
    <m/>
    <d v="2013-09-26T00:00:00"/>
    <m/>
    <m/>
    <n v="1"/>
    <n v="1"/>
    <n v="-1"/>
    <s v="0"/>
    <n v="1"/>
    <n v="1"/>
    <n v="1"/>
    <n v="0"/>
    <n v="1"/>
    <n v="1"/>
    <d v="2013-12-26T00:00:00"/>
    <n v="0"/>
    <m/>
    <m/>
    <m/>
    <m/>
    <m/>
    <m/>
  </r>
  <r>
    <x v="82"/>
    <n v="10232"/>
    <s v="32109840900210000353"/>
    <n v="38474777.670000002"/>
    <s v="79256448"/>
    <m/>
    <d v="2013-09-26T00:00:00"/>
    <m/>
    <m/>
    <n v="1"/>
    <n v="1"/>
    <n v="-1"/>
    <s v="0"/>
    <n v="1"/>
    <n v="1"/>
    <n v="1"/>
    <n v="0"/>
    <n v="1"/>
    <n v="1"/>
    <d v="2013-12-26T00:00:00"/>
    <n v="0"/>
    <m/>
    <m/>
    <m/>
    <m/>
    <m/>
    <m/>
  </r>
  <r>
    <x v="82"/>
    <n v="10233"/>
    <s v="32109840200210000354"/>
    <n v="19629726.949999999"/>
    <s v="79256971"/>
    <m/>
    <d v="2013-09-30T00:00:00"/>
    <m/>
    <m/>
    <n v="1"/>
    <n v="1"/>
    <n v="-1"/>
    <s v="0"/>
    <n v="1"/>
    <n v="1"/>
    <n v="1"/>
    <n v="0"/>
    <n v="1"/>
    <n v="1"/>
    <d v="2013-12-30T00:00:00"/>
    <n v="0"/>
    <m/>
    <m/>
    <m/>
    <m/>
    <m/>
    <m/>
  </r>
  <r>
    <x v="82"/>
    <n v="10234"/>
    <s v="32109840500210000355"/>
    <n v="24740796.199999999"/>
    <s v="79256970"/>
    <m/>
    <d v="2013-09-30T00:00:00"/>
    <m/>
    <m/>
    <n v="1"/>
    <n v="1"/>
    <n v="-1"/>
    <s v="0"/>
    <n v="1"/>
    <n v="1"/>
    <n v="1"/>
    <n v="0"/>
    <n v="1"/>
    <n v="1"/>
    <d v="2013-12-30T00:00:00"/>
    <n v="0"/>
    <m/>
    <m/>
    <m/>
    <m/>
    <m/>
    <m/>
  </r>
  <r>
    <x v="82"/>
    <n v="10235"/>
    <s v="32109840800210000356"/>
    <n v="16645759.359999999"/>
    <s v="79256972"/>
    <m/>
    <d v="2013-09-30T00:00:00"/>
    <m/>
    <m/>
    <n v="1"/>
    <n v="1"/>
    <n v="-1"/>
    <s v="0"/>
    <n v="1"/>
    <n v="1"/>
    <n v="1"/>
    <n v="0"/>
    <n v="1"/>
    <n v="1"/>
    <d v="2013-12-30T00:00:00"/>
    <n v="0"/>
    <m/>
    <m/>
    <m/>
    <m/>
    <m/>
    <m/>
  </r>
  <r>
    <x v="82"/>
    <n v="10236"/>
    <s v="32109840100210000357"/>
    <n v="16631485.630000001"/>
    <s v="79256973"/>
    <m/>
    <d v="2013-09-30T00:00:00"/>
    <m/>
    <m/>
    <n v="1"/>
    <n v="1"/>
    <n v="-1"/>
    <s v="0"/>
    <n v="1"/>
    <n v="1"/>
    <n v="1"/>
    <n v="0"/>
    <n v="1"/>
    <n v="1"/>
    <d v="2013-12-30T00:00:00"/>
    <n v="0"/>
    <m/>
    <m/>
    <m/>
    <m/>
    <m/>
    <m/>
  </r>
  <r>
    <x v="82"/>
    <n v="10237"/>
    <s v="32109840400210000358"/>
    <n v="72619120.219999999"/>
    <s v="79257749"/>
    <m/>
    <d v="2013-10-04T00:00:00"/>
    <m/>
    <m/>
    <n v="1"/>
    <n v="1"/>
    <n v="-1"/>
    <s v="0"/>
    <n v="1"/>
    <n v="1"/>
    <n v="1"/>
    <n v="0"/>
    <n v="1"/>
    <n v="1"/>
    <d v="2014-01-06T00:00:00"/>
    <n v="0"/>
    <m/>
    <m/>
    <m/>
    <m/>
    <m/>
    <m/>
  </r>
  <r>
    <x v="82"/>
    <n v="10238"/>
    <s v="32109840700210000359"/>
    <n v="21240384.82"/>
    <s v="79257748"/>
    <m/>
    <d v="2013-10-04T00:00:00"/>
    <m/>
    <m/>
    <n v="1"/>
    <n v="1"/>
    <n v="-1"/>
    <s v="0"/>
    <n v="1"/>
    <n v="1"/>
    <n v="1"/>
    <n v="0"/>
    <n v="1"/>
    <n v="1"/>
    <d v="2014-01-06T00:00:00"/>
    <n v="0"/>
    <m/>
    <m/>
    <m/>
    <m/>
    <m/>
    <m/>
  </r>
  <r>
    <x v="82"/>
    <n v="10239"/>
    <s v="32109840100210000360"/>
    <n v="18594376.219999999"/>
    <s v="79258036"/>
    <m/>
    <d v="2013-10-07T00:00:00"/>
    <m/>
    <m/>
    <n v="1"/>
    <n v="1"/>
    <n v="-1"/>
    <s v="0"/>
    <n v="1"/>
    <n v="1"/>
    <n v="1"/>
    <n v="0"/>
    <n v="1"/>
    <n v="1"/>
    <d v="2014-01-07T00:00:00"/>
    <n v="0"/>
    <m/>
    <m/>
    <m/>
    <m/>
    <m/>
    <m/>
  </r>
  <r>
    <x v="82"/>
    <n v="10240"/>
    <s v="32109840400210000361"/>
    <n v="23461276.25"/>
    <s v="79257975"/>
    <m/>
    <d v="2013-10-07T00:00:00"/>
    <m/>
    <m/>
    <n v="1"/>
    <n v="1"/>
    <n v="-1"/>
    <s v="0"/>
    <n v="1"/>
    <n v="1"/>
    <n v="1"/>
    <n v="0"/>
    <n v="1"/>
    <n v="1"/>
    <d v="2014-01-07T00:00:00"/>
    <n v="0"/>
    <m/>
    <m/>
    <m/>
    <m/>
    <m/>
    <m/>
  </r>
  <r>
    <x v="82"/>
    <n v="10241"/>
    <s v="32109840700210000362"/>
    <n v="14052235.140000001"/>
    <s v="79257976"/>
    <m/>
    <d v="2013-10-07T00:00:00"/>
    <m/>
    <m/>
    <n v="1"/>
    <n v="1"/>
    <n v="-1"/>
    <s v="0"/>
    <n v="1"/>
    <n v="1"/>
    <n v="1"/>
    <n v="0"/>
    <n v="1"/>
    <n v="1"/>
    <d v="2014-01-07T00:00:00"/>
    <n v="0"/>
    <m/>
    <m/>
    <m/>
    <m/>
    <m/>
    <m/>
  </r>
  <r>
    <x v="82"/>
    <n v="10242"/>
    <s v="32109840000210000363"/>
    <n v="14887374.699999999"/>
    <s v="79257980"/>
    <m/>
    <d v="2013-10-07T00:00:00"/>
    <m/>
    <m/>
    <n v="1"/>
    <n v="1"/>
    <n v="-1"/>
    <s v="0"/>
    <n v="1"/>
    <n v="1"/>
    <n v="1"/>
    <n v="0"/>
    <n v="1"/>
    <n v="1"/>
    <d v="2014-01-07T00:00:00"/>
    <n v="0"/>
    <m/>
    <m/>
    <m/>
    <m/>
    <m/>
    <m/>
  </r>
  <r>
    <x v="82"/>
    <n v="10243"/>
    <s v="32109840300210000364"/>
    <n v="24364563.399999999"/>
    <s v="79259348"/>
    <m/>
    <d v="2013-10-17T00:00:00"/>
    <m/>
    <m/>
    <n v="1"/>
    <n v="1"/>
    <n v="-1"/>
    <s v="0"/>
    <n v="1"/>
    <n v="1"/>
    <n v="1"/>
    <n v="0"/>
    <n v="1"/>
    <n v="1"/>
    <d v="2014-01-17T00:00:00"/>
    <n v="0"/>
    <m/>
    <m/>
    <m/>
    <m/>
    <m/>
    <m/>
  </r>
  <r>
    <x v="82"/>
    <n v="10244"/>
    <s v="32109840600210000365"/>
    <n v="18064100.809999999"/>
    <s v="79259347"/>
    <m/>
    <d v="2013-10-17T00:00:00"/>
    <m/>
    <m/>
    <n v="1"/>
    <n v="1"/>
    <n v="-1"/>
    <s v="0"/>
    <n v="1"/>
    <n v="1"/>
    <n v="1"/>
    <n v="0"/>
    <n v="1"/>
    <n v="1"/>
    <d v="2014-01-17T00:00:00"/>
    <n v="0"/>
    <m/>
    <m/>
    <m/>
    <m/>
    <m/>
    <m/>
  </r>
  <r>
    <x v="82"/>
    <n v="10245"/>
    <s v="32109840900210000366"/>
    <n v="16818433.609999999"/>
    <s v="79259533"/>
    <m/>
    <d v="2013-10-18T00:00:00"/>
    <m/>
    <m/>
    <n v="1"/>
    <n v="1"/>
    <n v="-1"/>
    <s v="0"/>
    <n v="1"/>
    <n v="1"/>
    <n v="1"/>
    <n v="0"/>
    <n v="1"/>
    <n v="1"/>
    <d v="2014-01-21T00:00:00"/>
    <n v="0"/>
    <m/>
    <m/>
    <m/>
    <m/>
    <m/>
    <m/>
  </r>
  <r>
    <x v="82"/>
    <n v="10246"/>
    <s v="32109840200210000367"/>
    <n v="15843714.65"/>
    <s v="79259531"/>
    <m/>
    <d v="2013-10-18T00:00:00"/>
    <m/>
    <m/>
    <n v="1"/>
    <n v="1"/>
    <n v="-1"/>
    <s v="0"/>
    <n v="1"/>
    <n v="1"/>
    <n v="1"/>
    <n v="0"/>
    <n v="1"/>
    <n v="1"/>
    <d v="2014-01-21T00:00:00"/>
    <n v="0"/>
    <m/>
    <m/>
    <m/>
    <m/>
    <m/>
    <m/>
  </r>
  <r>
    <x v="82"/>
    <n v="10247"/>
    <s v="32109840500210000368"/>
    <n v="14925522.189999999"/>
    <s v="79259530"/>
    <m/>
    <d v="2013-10-18T00:00:00"/>
    <m/>
    <m/>
    <n v="1"/>
    <n v="1"/>
    <n v="-1"/>
    <s v="0"/>
    <n v="1"/>
    <n v="1"/>
    <n v="1"/>
    <n v="0"/>
    <n v="1"/>
    <n v="1"/>
    <d v="2014-01-20T00:00:00"/>
    <n v="0"/>
    <m/>
    <m/>
    <m/>
    <m/>
    <m/>
    <m/>
  </r>
  <r>
    <x v="82"/>
    <n v="10248"/>
    <s v="32109840800210000369"/>
    <n v="14060508.85"/>
    <s v="79259529"/>
    <m/>
    <d v="2013-10-18T00:00:00"/>
    <m/>
    <m/>
    <n v="1"/>
    <n v="1"/>
    <n v="-1"/>
    <s v="0"/>
    <n v="1"/>
    <n v="1"/>
    <n v="1"/>
    <n v="0"/>
    <n v="1"/>
    <n v="1"/>
    <d v="2014-01-20T00:00:00"/>
    <n v="0"/>
    <m/>
    <m/>
    <m/>
    <m/>
    <m/>
    <m/>
  </r>
  <r>
    <x v="82"/>
    <n v="10249"/>
    <s v="32109840200210000370"/>
    <n v="69464436.290000007"/>
    <s v="79261489"/>
    <m/>
    <d v="2013-11-01T00:00:00"/>
    <m/>
    <m/>
    <n v="1"/>
    <n v="1"/>
    <n v="-1"/>
    <s v="0"/>
    <n v="1"/>
    <n v="1"/>
    <n v="1"/>
    <n v="0"/>
    <n v="1"/>
    <n v="1"/>
    <d v="2014-02-03T00:00:00"/>
    <n v="0"/>
    <m/>
    <m/>
    <m/>
    <m/>
    <m/>
    <m/>
  </r>
  <r>
    <x v="82"/>
    <n v="10251"/>
    <s v="32109840100210000373"/>
    <n v="49537108.359999999"/>
    <s v="79262767"/>
    <m/>
    <d v="2013-11-12T00:00:00"/>
    <m/>
    <m/>
    <n v="1"/>
    <n v="1"/>
    <n v="-1"/>
    <s v="0"/>
    <n v="1"/>
    <n v="1"/>
    <n v="1"/>
    <n v="0"/>
    <n v="1"/>
    <n v="1"/>
    <d v="2014-02-12T00:00:00"/>
    <n v="0"/>
    <m/>
    <m/>
    <m/>
    <m/>
    <m/>
    <m/>
  </r>
  <r>
    <x v="82"/>
    <n v="10253"/>
    <s v="32109840700210000375"/>
    <n v="18296143.670000002"/>
    <s v="79262766"/>
    <m/>
    <d v="2013-11-12T00:00:00"/>
    <m/>
    <m/>
    <n v="1"/>
    <n v="1"/>
    <n v="-1"/>
    <s v="0"/>
    <n v="1"/>
    <n v="1"/>
    <n v="1"/>
    <n v="0"/>
    <n v="1"/>
    <n v="1"/>
    <d v="2014-02-12T00:00:00"/>
    <n v="0"/>
    <m/>
    <m/>
    <m/>
    <m/>
    <m/>
    <m/>
  </r>
  <r>
    <x v="82"/>
    <n v="10254"/>
    <s v="32109840000210000376"/>
    <n v="24212920.800000001"/>
    <s v="79262764"/>
    <m/>
    <d v="2013-11-12T00:00:00"/>
    <m/>
    <m/>
    <n v="1"/>
    <n v="1"/>
    <n v="-1"/>
    <s v="0"/>
    <n v="1"/>
    <n v="1"/>
    <n v="1"/>
    <n v="0"/>
    <n v="1"/>
    <n v="1"/>
    <d v="2014-02-12T00:00:00"/>
    <n v="0"/>
    <m/>
    <m/>
    <m/>
    <m/>
    <m/>
    <m/>
  </r>
  <r>
    <x v="82"/>
    <n v="10308"/>
    <s v="32109840600210000381"/>
    <n v="16000788.84"/>
    <s v="79265461"/>
    <m/>
    <d v="2013-11-29T00:00:00"/>
    <m/>
    <m/>
    <n v="1"/>
    <n v="1"/>
    <n v="-1"/>
    <s v="0"/>
    <n v="1"/>
    <n v="1"/>
    <n v="1"/>
    <n v="0"/>
    <n v="1"/>
    <n v="1"/>
    <d v="2014-03-03T00:00:00"/>
    <n v="0"/>
    <m/>
    <m/>
    <m/>
    <m/>
    <m/>
    <m/>
  </r>
  <r>
    <x v="82"/>
    <n v="10310"/>
    <s v="32108840200210000614"/>
    <n v="43758647.479999997"/>
    <s v="79265455"/>
    <m/>
    <d v="2013-11-29T00:00:00"/>
    <m/>
    <m/>
    <n v="1"/>
    <n v="1"/>
    <n v="-1"/>
    <s v="0"/>
    <n v="1"/>
    <n v="1"/>
    <n v="1"/>
    <n v="0"/>
    <n v="1"/>
    <n v="1"/>
    <d v="2014-03-03T00:00:00"/>
    <n v="0"/>
    <m/>
    <m/>
    <m/>
    <m/>
    <m/>
    <m/>
  </r>
  <r>
    <x v="82"/>
    <n v="10312"/>
    <s v="32109840900210000379"/>
    <n v="14836342.949999999"/>
    <s v="79265460"/>
    <m/>
    <d v="2013-11-29T00:00:00"/>
    <m/>
    <m/>
    <n v="1"/>
    <n v="1"/>
    <n v="-1"/>
    <s v="0"/>
    <n v="1"/>
    <n v="1"/>
    <n v="1"/>
    <n v="0"/>
    <n v="1"/>
    <n v="1"/>
    <d v="2014-03-03T00:00:00"/>
    <n v="0"/>
    <m/>
    <m/>
    <m/>
    <m/>
    <m/>
    <m/>
  </r>
  <r>
    <x v="82"/>
    <n v="10448"/>
    <s v="32108840500210000615"/>
    <n v="52827645.369999997"/>
    <s v="79267318"/>
    <m/>
    <d v="2013-12-13T00:00:00"/>
    <m/>
    <m/>
    <n v="1"/>
    <n v="1"/>
    <n v="-1"/>
    <s v="0"/>
    <n v="1"/>
    <n v="1"/>
    <n v="1"/>
    <n v="0"/>
    <n v="1"/>
    <n v="1"/>
    <d v="2014-03-13T00:00:00"/>
    <n v="0"/>
    <m/>
    <m/>
    <m/>
    <m/>
    <m/>
    <m/>
  </r>
  <r>
    <x v="82"/>
    <n v="10449"/>
    <s v="32109840200210000383"/>
    <n v="19235304.620000001"/>
    <s v="79267319"/>
    <m/>
    <d v="2013-12-13T00:00:00"/>
    <m/>
    <m/>
    <n v="1"/>
    <n v="1"/>
    <n v="-1"/>
    <s v="0"/>
    <n v="1"/>
    <n v="1"/>
    <n v="1"/>
    <n v="0"/>
    <n v="1"/>
    <n v="1"/>
    <d v="2014-03-13T00:00:00"/>
    <n v="0"/>
    <m/>
    <m/>
    <m/>
    <m/>
    <m/>
    <m/>
  </r>
  <r>
    <x v="82"/>
    <n v="10450"/>
    <s v="32109840500210000384"/>
    <n v="69361109.629999995"/>
    <s v="79267320"/>
    <m/>
    <d v="2013-12-13T00:00:00"/>
    <m/>
    <m/>
    <n v="1"/>
    <n v="1"/>
    <n v="-1"/>
    <s v="0"/>
    <n v="1"/>
    <n v="1"/>
    <n v="1"/>
    <n v="0"/>
    <n v="1"/>
    <n v="1"/>
    <d v="2014-03-13T00:00:00"/>
    <n v="0"/>
    <m/>
    <m/>
    <m/>
    <m/>
    <m/>
    <m/>
  </r>
  <r>
    <x v="82"/>
    <n v="10548"/>
    <s v="32109840400210000387"/>
    <n v="60623186.5"/>
    <s v="79268634"/>
    <m/>
    <d v="2013-12-24T00:00:00"/>
    <m/>
    <m/>
    <n v="1"/>
    <n v="1"/>
    <n v="-1"/>
    <s v="0"/>
    <n v="1"/>
    <n v="1"/>
    <n v="1"/>
    <n v="0"/>
    <n v="1"/>
    <n v="1"/>
    <d v="2014-03-24T00:00:00"/>
    <n v="0"/>
    <m/>
    <m/>
    <m/>
    <m/>
    <m/>
    <m/>
  </r>
  <r>
    <x v="82"/>
    <n v="10549"/>
    <s v="32109840000210000389"/>
    <n v="35742495.109999999"/>
    <s v="79268638"/>
    <m/>
    <d v="2013-12-24T00:00:00"/>
    <m/>
    <m/>
    <n v="1"/>
    <n v="1"/>
    <n v="-1"/>
    <s v="0"/>
    <n v="1"/>
    <n v="1"/>
    <n v="1"/>
    <n v="0"/>
    <n v="1"/>
    <n v="1"/>
    <d v="2014-03-24T00:00:00"/>
    <n v="0"/>
    <m/>
    <m/>
    <m/>
    <m/>
    <m/>
    <m/>
  </r>
  <r>
    <x v="82"/>
    <n v="10550"/>
    <s v="32109840800210000385"/>
    <n v="31365891.41"/>
    <s v="79268637"/>
    <m/>
    <d v="2013-12-24T00:00:00"/>
    <m/>
    <m/>
    <n v="1"/>
    <n v="1"/>
    <n v="-1"/>
    <s v="0"/>
    <n v="1"/>
    <n v="1"/>
    <n v="1"/>
    <n v="0"/>
    <n v="1"/>
    <n v="1"/>
    <d v="2014-03-24T00:00:00"/>
    <n v="0"/>
    <m/>
    <m/>
    <m/>
    <m/>
    <m/>
    <m/>
  </r>
  <r>
    <x v="82"/>
    <n v="10552"/>
    <s v="32109840700210000388"/>
    <n v="31771492.73"/>
    <s v="79268635"/>
    <m/>
    <d v="2013-12-24T00:00:00"/>
    <m/>
    <m/>
    <n v="1"/>
    <n v="1"/>
    <n v="-1"/>
    <s v="0"/>
    <n v="1"/>
    <n v="1"/>
    <n v="1"/>
    <n v="0"/>
    <n v="1"/>
    <n v="1"/>
    <d v="2014-03-24T00:00:00"/>
    <n v="0"/>
    <m/>
    <m/>
    <m/>
    <m/>
    <m/>
    <m/>
  </r>
  <r>
    <x v="82"/>
    <n v="100002437"/>
    <s v="32108810300210000065"/>
    <n v="4965064301.989996"/>
    <m/>
    <m/>
    <m/>
    <m/>
    <m/>
    <n v="1"/>
    <n v="1"/>
    <m/>
    <m/>
    <n v="1"/>
    <n v="1"/>
    <n v="1"/>
    <n v="0"/>
    <m/>
    <m/>
    <m/>
    <n v="0"/>
    <m/>
    <m/>
    <m/>
    <m/>
    <m/>
    <m/>
  </r>
  <r>
    <x v="83"/>
    <n v="8640"/>
    <s v="32309810400210000010"/>
    <n v="13982456123.01"/>
    <s v="501710121 - участ. ТрансФин-М"/>
    <m/>
    <d v="2012-10-17T00:00:00"/>
    <m/>
    <m/>
    <n v="1"/>
    <n v="1"/>
    <m/>
    <m/>
    <n v="1"/>
    <n v="1"/>
    <n v="1"/>
    <n v="0"/>
    <n v="1"/>
    <m/>
    <d v="2012-10-17T00:00:00"/>
    <n v="0"/>
    <m/>
    <m/>
    <m/>
    <m/>
    <m/>
    <m/>
  </r>
  <r>
    <x v="83"/>
    <n v="9639"/>
    <s v="32309810800210000021"/>
    <n v="5611745550"/>
    <s v="500110134 - участ. ТрансФин-М"/>
    <m/>
    <d v="2013-10-01T00:00:00"/>
    <m/>
    <m/>
    <n v="1"/>
    <n v="1"/>
    <m/>
    <m/>
    <n v="1"/>
    <n v="1"/>
    <n v="1"/>
    <n v="0"/>
    <n v="1"/>
    <m/>
    <d v="2013-10-01T00:00:00"/>
    <n v="0"/>
    <m/>
    <m/>
    <m/>
    <n v="0"/>
    <m/>
    <m/>
  </r>
  <r>
    <x v="83"/>
    <n v="17405"/>
    <s v="45108810855550000021"/>
    <n v="1216325204"/>
    <s v="3599"/>
    <m/>
    <d v="2015-12-30T00:00:00"/>
    <m/>
    <m/>
    <n v="1"/>
    <n v="1"/>
    <m/>
    <m/>
    <n v="1"/>
    <n v="1"/>
    <n v="1"/>
    <n v="0"/>
    <n v="1"/>
    <m/>
    <d v="2015-12-30T00:00:00"/>
    <n v="0"/>
    <m/>
    <m/>
    <m/>
    <n v="0"/>
    <m/>
    <m/>
  </r>
  <r>
    <x v="84"/>
    <n v="20418"/>
    <s v="45206810750050000816"/>
    <n v="250000000"/>
    <s v="01379/МР"/>
    <m/>
    <d v="2016-06-06T00:00:00"/>
    <m/>
    <m/>
    <n v="1"/>
    <n v="1"/>
    <m/>
    <m/>
    <n v="1"/>
    <n v="1"/>
    <n v="1"/>
    <n v="0"/>
    <n v="1"/>
    <m/>
    <d v="2016-06-28T00:00:00"/>
    <n v="0"/>
    <m/>
    <m/>
    <m/>
    <m/>
    <m/>
    <m/>
  </r>
  <r>
    <x v="85"/>
    <n v="735"/>
    <s v="45208810355550000117"/>
    <n v="7320450000"/>
    <s v="1831"/>
    <m/>
    <d v="2007-08-03T00:00:00"/>
    <m/>
    <m/>
    <n v="2.1"/>
    <n v="1"/>
    <m/>
    <m/>
    <n v="2.1"/>
    <n v="2.1"/>
    <n v="2.1"/>
    <n v="0"/>
    <n v="1"/>
    <m/>
    <d v="2007-08-10T00:00:00"/>
    <n v="0"/>
    <m/>
    <n v="0"/>
    <m/>
    <n v="0"/>
    <m/>
    <m/>
  </r>
  <r>
    <x v="85"/>
    <n v="742"/>
    <s v="45208810055550000116"/>
    <n v="5588180000"/>
    <s v="1894"/>
    <m/>
    <d v="2007-11-02T00:00:00"/>
    <m/>
    <m/>
    <n v="2.1"/>
    <n v="1"/>
    <m/>
    <m/>
    <n v="2.1"/>
    <n v="2.1"/>
    <n v="2.1"/>
    <n v="0"/>
    <n v="1"/>
    <m/>
    <d v="2007-12-20T00:00:00"/>
    <n v="0"/>
    <m/>
    <n v="0"/>
    <m/>
    <n v="0"/>
    <m/>
    <m/>
  </r>
  <r>
    <x v="85"/>
    <n v="1300"/>
    <s v="45208810855550000219"/>
    <n v="4000000000"/>
    <s v="2058"/>
    <m/>
    <d v="2008-11-26T00:00:00"/>
    <m/>
    <m/>
    <n v="2.1"/>
    <n v="1"/>
    <m/>
    <m/>
    <n v="2.1"/>
    <n v="2.1"/>
    <n v="2.1"/>
    <n v="0"/>
    <n v="1"/>
    <m/>
    <d v="2008-12-15T00:00:00"/>
    <n v="0"/>
    <m/>
    <n v="0"/>
    <m/>
    <n v="0"/>
    <m/>
    <m/>
  </r>
  <r>
    <x v="85"/>
    <n v="2113"/>
    <s v="45208810155550000207"/>
    <n v="756436995.49000001"/>
    <s v="2307"/>
    <m/>
    <d v="2009-06-19T00:00:00"/>
    <m/>
    <m/>
    <n v="2.1"/>
    <n v="1"/>
    <m/>
    <m/>
    <n v="2.1"/>
    <n v="2.1"/>
    <n v="2.1"/>
    <n v="0"/>
    <n v="1"/>
    <m/>
    <d v="2009-06-19T00:00:00"/>
    <n v="0"/>
    <m/>
    <n v="0"/>
    <m/>
    <n v="0"/>
    <m/>
    <m/>
  </r>
  <r>
    <x v="85"/>
    <n v="2132"/>
    <s v="45208810355550000188"/>
    <n v="18508215490"/>
    <s v="2316"/>
    <m/>
    <d v="2009-06-30T00:00:00"/>
    <m/>
    <m/>
    <n v="2.1"/>
    <n v="1"/>
    <m/>
    <m/>
    <n v="2.1"/>
    <n v="2.1"/>
    <n v="2.1"/>
    <n v="0"/>
    <n v="1"/>
    <m/>
    <d v="2009-06-30T00:00:00"/>
    <n v="0"/>
    <m/>
    <n v="0"/>
    <m/>
    <n v="0"/>
    <m/>
    <m/>
  </r>
  <r>
    <x v="85"/>
    <n v="2507"/>
    <s v="45208810055550000323"/>
    <n v="1979358866.97"/>
    <s v="2386"/>
    <m/>
    <d v="2009-10-30T00:00:00"/>
    <m/>
    <m/>
    <n v="2.1"/>
    <n v="1"/>
    <m/>
    <m/>
    <n v="2.1"/>
    <n v="2.1"/>
    <n v="2.1"/>
    <n v="0"/>
    <n v="1"/>
    <m/>
    <d v="2009-11-03T00:00:00"/>
    <n v="0"/>
    <m/>
    <n v="0"/>
    <m/>
    <n v="0"/>
    <m/>
    <m/>
  </r>
  <r>
    <x v="85"/>
    <n v="2849"/>
    <s v="45208810755550000322"/>
    <n v="2370000000"/>
    <s v="2522"/>
    <m/>
    <d v="2010-04-08T00:00:00"/>
    <m/>
    <m/>
    <n v="2.1"/>
    <n v="1"/>
    <m/>
    <m/>
    <n v="2.1"/>
    <n v="2.1"/>
    <n v="2.1"/>
    <n v="0"/>
    <n v="1"/>
    <m/>
    <d v="2010-04-08T00:00:00"/>
    <n v="0"/>
    <m/>
    <n v="0"/>
    <m/>
    <n v="0"/>
    <m/>
    <m/>
  </r>
  <r>
    <x v="85"/>
    <n v="4907"/>
    <s v="45208810555550000328"/>
    <n v="2740080000"/>
    <s v="2684"/>
    <m/>
    <d v="2011-04-05T00:00:00"/>
    <m/>
    <m/>
    <n v="2.1"/>
    <n v="1"/>
    <m/>
    <m/>
    <n v="2.1"/>
    <n v="2.1"/>
    <n v="2.1"/>
    <n v="0"/>
    <n v="1"/>
    <m/>
    <d v="2011-05-23T00:00:00"/>
    <n v="0"/>
    <m/>
    <n v="0"/>
    <m/>
    <n v="0"/>
    <m/>
    <m/>
  </r>
  <r>
    <x v="85"/>
    <n v="6049"/>
    <s v="45208810355550000285"/>
    <n v="9600000000"/>
    <s v="2802"/>
    <m/>
    <d v="2011-09-27T00:00:00"/>
    <m/>
    <m/>
    <n v="2.1"/>
    <n v="1"/>
    <m/>
    <m/>
    <n v="2.1"/>
    <n v="2.1"/>
    <n v="2.1"/>
    <n v="0"/>
    <n v="1"/>
    <m/>
    <d v="2011-10-06T00:00:00"/>
    <n v="0"/>
    <m/>
    <n v="0"/>
    <m/>
    <n v="0"/>
    <m/>
    <m/>
  </r>
  <r>
    <x v="85"/>
    <n v="6709"/>
    <s v="45208810655550000325"/>
    <n v="980000000"/>
    <s v="2890"/>
    <m/>
    <d v="2012-02-08T00:00:00"/>
    <m/>
    <m/>
    <n v="2.1"/>
    <n v="1"/>
    <m/>
    <m/>
    <n v="2.1"/>
    <n v="2.1"/>
    <n v="2.1"/>
    <n v="0"/>
    <n v="0"/>
    <n v="1"/>
    <d v="2017-02-06T00:00:00"/>
    <n v="0"/>
    <m/>
    <m/>
    <m/>
    <m/>
    <m/>
    <m/>
  </r>
  <r>
    <x v="85"/>
    <n v="8862"/>
    <s v="45208810555550000357"/>
    <n v="3600000000"/>
    <s v="3168"/>
    <m/>
    <d v="2013-03-13T00:00:00"/>
    <m/>
    <m/>
    <n v="2.1"/>
    <n v="1"/>
    <m/>
    <m/>
    <n v="2.1"/>
    <n v="2.1"/>
    <n v="2.1"/>
    <n v="0"/>
    <n v="1"/>
    <m/>
    <d v="2013-04-15T00:00:00"/>
    <n v="0"/>
    <m/>
    <m/>
    <m/>
    <n v="0"/>
    <m/>
    <m/>
  </r>
  <r>
    <x v="86"/>
    <n v="13801"/>
    <s v="45812810055550000955"/>
    <n v="9505529709.4200001"/>
    <s v="3482"/>
    <m/>
    <d v="2014-10-15T00:00:00"/>
    <m/>
    <m/>
    <n v="2.2000000000000002"/>
    <n v="3"/>
    <n v="-1"/>
    <s v="34"/>
    <n v="3.2"/>
    <n v="3.2"/>
    <n v="3.2"/>
    <n v="0"/>
    <n v="1"/>
    <m/>
    <d v="2000-01-01T00:00:00"/>
    <n v="306"/>
    <m/>
    <m/>
    <n v="1"/>
    <m/>
    <m/>
    <m/>
  </r>
  <r>
    <x v="87"/>
    <n v="8145"/>
    <s v="45812810850050000236"/>
    <n v="319096631.49000001"/>
    <s v="2005-33"/>
    <m/>
    <d v="2005-05-23T00:00:00"/>
    <m/>
    <m/>
    <n v="2"/>
    <n v="3"/>
    <m/>
    <m/>
    <n v="4"/>
    <n v="4"/>
    <n v="4"/>
    <n v="0"/>
    <n v="1"/>
    <m/>
    <d v="2000-01-01T00:00:00"/>
    <n v="1617"/>
    <m/>
    <n v="1"/>
    <m/>
    <m/>
    <m/>
    <m/>
  </r>
  <r>
    <x v="87"/>
    <n v="8251"/>
    <s v="45812810650050000258"/>
    <n v="1013832183.38"/>
    <s v="2005-72"/>
    <m/>
    <d v="2005-07-29T00:00:00"/>
    <m/>
    <m/>
    <n v="2"/>
    <n v="3"/>
    <m/>
    <m/>
    <n v="4"/>
    <n v="4"/>
    <n v="4"/>
    <n v="0"/>
    <n v="1"/>
    <m/>
    <d v="2000-01-01T00:00:00"/>
    <n v="1617"/>
    <m/>
    <n v="1"/>
    <m/>
    <m/>
    <m/>
    <m/>
  </r>
  <r>
    <x v="87"/>
    <n v="8392"/>
    <s v="45812810750050000284"/>
    <n v="226807289.06"/>
    <s v="2005-54"/>
    <m/>
    <d v="2005-06-28T00:00:00"/>
    <m/>
    <m/>
    <n v="2"/>
    <n v="3"/>
    <m/>
    <m/>
    <n v="4"/>
    <n v="4"/>
    <n v="4"/>
    <n v="0"/>
    <n v="1"/>
    <m/>
    <d v="2000-01-01T00:00:00"/>
    <n v="1617"/>
    <m/>
    <m/>
    <m/>
    <m/>
    <m/>
    <m/>
  </r>
  <r>
    <x v="88"/>
    <n v="14902"/>
    <s v="47801810055550000029"/>
    <n v="722637132.64999998"/>
    <s v="К2600/11-0478ЛВ/Д000"/>
    <m/>
    <d v="2011-07-21T00:00:00"/>
    <m/>
    <m/>
    <n v="3"/>
    <n v="3"/>
    <m/>
    <m/>
    <n v="5"/>
    <n v="5"/>
    <n v="5"/>
    <n v="0"/>
    <n v="1"/>
    <m/>
    <d v="2000-01-01T00:00:00"/>
    <n v="640"/>
    <m/>
    <m/>
    <m/>
    <m/>
    <m/>
    <m/>
  </r>
  <r>
    <x v="88"/>
    <n v="14983"/>
    <s v="47431810050060000010"/>
    <n v="412846974.83999997"/>
    <s v="ILC14/TVBR/0003"/>
    <m/>
    <d v="2014-01-29T00:00:00"/>
    <m/>
    <m/>
    <n v="3"/>
    <n v="3"/>
    <m/>
    <m/>
    <n v="5"/>
    <n v="5"/>
    <n v="5"/>
    <n v="0"/>
    <n v="1"/>
    <m/>
    <d v="2000-01-01T00:00:00"/>
    <n v="612"/>
    <m/>
    <m/>
    <m/>
    <m/>
    <m/>
    <m/>
  </r>
  <r>
    <x v="88"/>
    <n v="15433"/>
    <s v="47431810650060000012"/>
    <n v="5783378"/>
    <s v="ILC14/TVBR/0004"/>
    <m/>
    <d v="2014-04-22T00:00:00"/>
    <m/>
    <m/>
    <n v="3"/>
    <n v="3"/>
    <m/>
    <m/>
    <n v="5"/>
    <n v="5"/>
    <n v="5"/>
    <n v="0"/>
    <n v="1"/>
    <m/>
    <d v="2000-01-01T00:00:00"/>
    <n v="612"/>
    <m/>
    <m/>
    <m/>
    <m/>
    <m/>
    <m/>
  </r>
  <r>
    <x v="88"/>
    <n v="15610"/>
    <s v="47431810750060000022"/>
    <n v="5919811.5800000001"/>
    <s v="ILC14/TVBR/0006"/>
    <m/>
    <d v="2015-06-03T00:00:00"/>
    <m/>
    <m/>
    <n v="3"/>
    <n v="3"/>
    <m/>
    <m/>
    <n v="5"/>
    <n v="5"/>
    <n v="5"/>
    <n v="0"/>
    <n v="1"/>
    <m/>
    <d v="2000-01-01T00:00:00"/>
    <n v="493"/>
    <m/>
    <m/>
    <m/>
    <m/>
    <m/>
    <m/>
  </r>
  <r>
    <x v="88"/>
    <n v="15611"/>
    <s v="47431810850060000016"/>
    <n v="16053810.98"/>
    <s v="ILC14/TVBR/0005"/>
    <m/>
    <d v="2015-06-03T00:00:00"/>
    <m/>
    <m/>
    <n v="3"/>
    <n v="3"/>
    <m/>
    <m/>
    <n v="5"/>
    <n v="5"/>
    <n v="5"/>
    <n v="0"/>
    <n v="1"/>
    <m/>
    <d v="2000-01-01T00:00:00"/>
    <n v="604"/>
    <m/>
    <m/>
    <m/>
    <m/>
    <m/>
    <m/>
  </r>
  <r>
    <x v="88"/>
    <n v="15612"/>
    <s v="47431810450060000018"/>
    <n v="24115275.68"/>
    <s v="ILC14/TVBR/0007"/>
    <m/>
    <d v="2015-06-03T00:00:00"/>
    <m/>
    <m/>
    <n v="3"/>
    <n v="3"/>
    <m/>
    <m/>
    <n v="5"/>
    <n v="5"/>
    <n v="5"/>
    <n v="0"/>
    <n v="1"/>
    <m/>
    <d v="2000-01-01T00:00:00"/>
    <n v="493"/>
    <m/>
    <m/>
    <m/>
    <m/>
    <m/>
    <m/>
  </r>
  <r>
    <x v="88"/>
    <n v="15641"/>
    <s v="47431810250060000014"/>
    <n v="8879717.3800000008"/>
    <s v="ILC14/TVBR/0008"/>
    <m/>
    <d v="2013-11-25T00:00:00"/>
    <m/>
    <m/>
    <n v="3"/>
    <n v="3"/>
    <m/>
    <m/>
    <n v="5"/>
    <n v="5"/>
    <n v="5"/>
    <n v="0"/>
    <n v="1"/>
    <m/>
    <d v="2000-01-01T00:00:00"/>
    <n v="485"/>
    <m/>
    <m/>
    <m/>
    <m/>
    <m/>
    <m/>
  </r>
  <r>
    <x v="88"/>
    <n v="15644"/>
    <s v="47431810750060000019"/>
    <n v="8915522.6899999995"/>
    <s v="ILC14/TVBR/0009"/>
    <m/>
    <d v="2013-11-25T00:00:00"/>
    <m/>
    <m/>
    <n v="3"/>
    <n v="3"/>
    <m/>
    <m/>
    <n v="5"/>
    <n v="5"/>
    <n v="5"/>
    <n v="0"/>
    <n v="1"/>
    <m/>
    <d v="2000-01-01T00:00:00"/>
    <n v="485"/>
    <m/>
    <m/>
    <m/>
    <m/>
    <m/>
    <m/>
  </r>
  <r>
    <x v="88"/>
    <n v="15883"/>
    <s v="47431810150060000017"/>
    <n v="9076646.5899999999"/>
    <s v="ILC14/TVBR/0012"/>
    <m/>
    <d v="2013-11-25T00:00:00"/>
    <m/>
    <m/>
    <n v="3"/>
    <n v="3"/>
    <m/>
    <m/>
    <n v="5"/>
    <n v="5"/>
    <n v="5"/>
    <n v="0"/>
    <n v="1"/>
    <m/>
    <d v="2000-01-01T00:00:00"/>
    <n v="544"/>
    <m/>
    <m/>
    <m/>
    <m/>
    <m/>
    <m/>
  </r>
  <r>
    <x v="88"/>
    <n v="15884"/>
    <s v="47431810350060000011"/>
    <n v="183298332.63999999"/>
    <s v="ILC14/TVBR/0010"/>
    <m/>
    <d v="2013-11-25T00:00:00"/>
    <m/>
    <m/>
    <n v="3"/>
    <n v="3"/>
    <m/>
    <m/>
    <n v="5"/>
    <n v="5"/>
    <n v="5"/>
    <n v="0"/>
    <n v="1"/>
    <m/>
    <d v="2000-01-01T00:00:00"/>
    <n v="554"/>
    <m/>
    <m/>
    <m/>
    <m/>
    <m/>
    <m/>
  </r>
  <r>
    <x v="88"/>
    <n v="15885"/>
    <s v="47431810550060000015"/>
    <n v="6393983.3200000003"/>
    <s v="ILC14/TVBR/0011"/>
    <m/>
    <d v="2013-11-25T00:00:00"/>
    <m/>
    <m/>
    <n v="3"/>
    <n v="3"/>
    <m/>
    <m/>
    <n v="5"/>
    <n v="5"/>
    <n v="5"/>
    <n v="0"/>
    <n v="1"/>
    <m/>
    <d v="2000-01-01T00:00:00"/>
    <n v="544"/>
    <m/>
    <m/>
    <m/>
    <m/>
    <m/>
    <m/>
  </r>
  <r>
    <x v="88"/>
    <n v="16292"/>
    <s v="47431810150060000020"/>
    <n v="3425747.82"/>
    <s v="ILC14/TVBR/0014"/>
    <m/>
    <d v="2015-08-20T00:00:00"/>
    <m/>
    <m/>
    <n v="3"/>
    <n v="3"/>
    <m/>
    <m/>
    <n v="5"/>
    <n v="5"/>
    <n v="5"/>
    <n v="0"/>
    <n v="1"/>
    <m/>
    <d v="2000-01-01T00:00:00"/>
    <n v="610"/>
    <m/>
    <m/>
    <m/>
    <m/>
    <m/>
    <m/>
  </r>
  <r>
    <x v="88"/>
    <n v="16293"/>
    <s v="47431810050060000023"/>
    <n v="16480511.43"/>
    <s v="ILC14/TVBR/0013"/>
    <m/>
    <d v="2015-08-20T00:00:00"/>
    <m/>
    <m/>
    <n v="3"/>
    <n v="3"/>
    <m/>
    <m/>
    <n v="5"/>
    <n v="5"/>
    <n v="5"/>
    <n v="0"/>
    <n v="1"/>
    <m/>
    <d v="2000-01-01T00:00:00"/>
    <n v="536"/>
    <m/>
    <m/>
    <m/>
    <m/>
    <m/>
    <m/>
  </r>
  <r>
    <x v="88"/>
    <n v="16294"/>
    <s v="47431810950060000013"/>
    <n v="11191541.720000001"/>
    <s v="ILC14/TVBR/0015"/>
    <m/>
    <d v="2015-08-20T00:00:00"/>
    <m/>
    <m/>
    <n v="3"/>
    <n v="3"/>
    <m/>
    <m/>
    <n v="5"/>
    <n v="5"/>
    <n v="5"/>
    <n v="0"/>
    <n v="1"/>
    <m/>
    <d v="2000-01-01T00:00:00"/>
    <n v="596"/>
    <m/>
    <m/>
    <m/>
    <m/>
    <m/>
    <m/>
  </r>
  <r>
    <x v="88"/>
    <n v="16629"/>
    <s v="47431810450060000021"/>
    <n v="6593050.9199999999"/>
    <s v="ILC14/TVBR/0016"/>
    <m/>
    <d v="2013-11-25T00:00:00"/>
    <m/>
    <m/>
    <n v="3"/>
    <n v="3"/>
    <m/>
    <m/>
    <n v="5"/>
    <n v="5"/>
    <n v="5"/>
    <n v="0"/>
    <n v="1"/>
    <m/>
    <d v="2000-01-01T00:00:00"/>
    <n v="556"/>
    <m/>
    <m/>
    <m/>
    <m/>
    <m/>
    <m/>
  </r>
  <r>
    <x v="89"/>
    <n v="14903"/>
    <s v="47801810455550000030"/>
    <n v="400000000"/>
    <s v="К2600/11-0479ЛВ/Д000"/>
    <m/>
    <d v="2011-07-21T00:00:00"/>
    <m/>
    <m/>
    <n v="3"/>
    <n v="3"/>
    <m/>
    <m/>
    <n v="5"/>
    <n v="5"/>
    <n v="5"/>
    <n v="0"/>
    <n v="1"/>
    <m/>
    <d v="2000-01-01T00:00:00"/>
    <n v="603"/>
    <m/>
    <m/>
    <m/>
    <m/>
    <m/>
    <m/>
  </r>
  <r>
    <x v="89"/>
    <n v="17396"/>
    <s v="47431810350060000024"/>
    <n v="31089745.620000001"/>
    <s v="ILC14/TVBR/0017"/>
    <m/>
    <d v="2014-11-21T00:00:00"/>
    <m/>
    <m/>
    <n v="3"/>
    <n v="3"/>
    <m/>
    <m/>
    <n v="5"/>
    <n v="5"/>
    <n v="5"/>
    <n v="0"/>
    <n v="1"/>
    <m/>
    <d v="2000-01-01T00:00:00"/>
    <n v="589"/>
    <m/>
    <m/>
    <m/>
    <m/>
    <m/>
    <m/>
  </r>
  <r>
    <x v="90"/>
    <n v="12935"/>
    <s v="45811810850050000017"/>
    <n v="602145161.29999995"/>
    <s v="00783/МР"/>
    <m/>
    <d v="2014-08-14T00:00:00"/>
    <m/>
    <m/>
    <n v="3"/>
    <n v="3"/>
    <m/>
    <m/>
    <n v="5"/>
    <n v="5"/>
    <n v="5"/>
    <n v="0"/>
    <n v="1"/>
    <m/>
    <d v="2000-01-01T00:00:00"/>
    <n v="508"/>
    <m/>
    <m/>
    <m/>
    <m/>
    <m/>
    <m/>
  </r>
  <r>
    <x v="91"/>
    <n v="16575"/>
    <s v="45208810055550000488"/>
    <n v="7999730407.0900002"/>
    <s v="3732"/>
    <m/>
    <d v="2015-09-09T00:00:00"/>
    <m/>
    <m/>
    <n v="2.2000000000000002"/>
    <n v="3"/>
    <n v="-2"/>
    <s v="45"/>
    <n v="3"/>
    <n v="3"/>
    <n v="3"/>
    <n v="0"/>
    <n v="1"/>
    <m/>
    <d v="2015-11-06T00:00:00"/>
    <n v="206"/>
    <m/>
    <m/>
    <m/>
    <n v="1"/>
    <n v="1"/>
    <m/>
  </r>
  <r>
    <x v="92"/>
    <n v="17783"/>
    <s v="47802810955550000254"/>
    <n v="11981443423.4"/>
    <s v="б/н_2012-10-31"/>
    <m/>
    <d v="2012-10-31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93"/>
    <n v="14122"/>
    <s v="45208810955550000452"/>
    <n v="2159870300"/>
    <s v="3620"/>
    <m/>
    <d v="2014-11-26T00:00:00"/>
    <m/>
    <m/>
    <n v="1"/>
    <n v="1"/>
    <m/>
    <m/>
    <n v="1"/>
    <n v="1"/>
    <n v="1"/>
    <n v="0"/>
    <n v="1"/>
    <m/>
    <d v="2015-04-15T00:00:00"/>
    <n v="0"/>
    <m/>
    <m/>
    <m/>
    <m/>
    <m/>
    <m/>
  </r>
  <r>
    <x v="94"/>
    <n v="18232"/>
    <s v="45812810755550000983"/>
    <n v="131243230.31"/>
    <s v="38-177/15/265-13-КР"/>
    <m/>
    <d v="2013-07-16T00:00:00"/>
    <m/>
    <m/>
    <n v="2.2999999999999998"/>
    <n v="3"/>
    <m/>
    <m/>
    <n v="4.3"/>
    <n v="4.3"/>
    <n v="4.3"/>
    <n v="0"/>
    <n v="1"/>
    <m/>
    <d v="2000-01-01T00:00:00"/>
    <n v="93"/>
    <m/>
    <n v="0"/>
    <m/>
    <n v="0"/>
    <m/>
    <m/>
  </r>
  <r>
    <x v="94"/>
    <n v="18233"/>
    <s v="45812810855550000980"/>
    <n v="13342333081.82"/>
    <s v="38-177/15/66-14-КР"/>
    <m/>
    <d v="2014-05-22T00:00:00"/>
    <m/>
    <m/>
    <n v="2.2999999999999998"/>
    <n v="3"/>
    <m/>
    <m/>
    <n v="4.3"/>
    <n v="4.3"/>
    <n v="4.3"/>
    <n v="0"/>
    <n v="1"/>
    <m/>
    <d v="2000-01-01T00:00:00"/>
    <n v="93"/>
    <m/>
    <n v="2"/>
    <n v="0"/>
    <m/>
    <m/>
    <m/>
  </r>
  <r>
    <x v="94"/>
    <n v="18234"/>
    <s v="47802810755550000234"/>
    <n v="10740000000"/>
    <s v="б/н (LA-121-261011-MMS)"/>
    <m/>
    <d v="2013-07-30T00:00:00"/>
    <m/>
    <m/>
    <n v="2.2999999999999998"/>
    <n v="3"/>
    <m/>
    <m/>
    <n v="4.3"/>
    <n v="4.3"/>
    <n v="4.3"/>
    <n v="0"/>
    <n v="1"/>
    <m/>
    <d v="2000-01-01T00:00:00"/>
    <n v="93"/>
    <m/>
    <n v="2"/>
    <m/>
    <n v="0"/>
    <m/>
    <m/>
  </r>
  <r>
    <x v="94"/>
    <n v="18431"/>
    <s v="45812840350060000013"/>
    <n v="144737270.38999999"/>
    <s v="78-1003/16/746-13GA"/>
    <m/>
    <d v="2015-04-02T00:00:00"/>
    <m/>
    <m/>
    <n v="2.2999999999999998"/>
    <n v="3"/>
    <m/>
    <m/>
    <n v="4.3"/>
    <n v="4.3"/>
    <n v="4.3"/>
    <n v="0"/>
    <n v="1"/>
    <m/>
    <d v="2014-02-19T00:00:00"/>
    <n v="549"/>
    <m/>
    <n v="1"/>
    <m/>
    <m/>
    <m/>
    <m/>
  </r>
  <r>
    <x v="94"/>
    <n v="18432"/>
    <s v="45812840750060000011"/>
    <n v="144737270.38999999"/>
    <s v="78-1003/16/744-13GA"/>
    <m/>
    <d v="2015-04-02T00:00:00"/>
    <m/>
    <m/>
    <n v="2.2999999999999998"/>
    <n v="3"/>
    <m/>
    <m/>
    <n v="4.3"/>
    <n v="4.3"/>
    <n v="4.3"/>
    <n v="0"/>
    <n v="1"/>
    <m/>
    <d v="2014-02-19T00:00:00"/>
    <n v="549"/>
    <m/>
    <n v="1"/>
    <m/>
    <m/>
    <m/>
    <m/>
  </r>
  <r>
    <x v="94"/>
    <n v="18433"/>
    <s v="45812840050060000012"/>
    <n v="217255021.87"/>
    <s v="27-117-16/376-11-ГА"/>
    <m/>
    <d v="2015-05-20T00:00:00"/>
    <m/>
    <m/>
    <n v="2.2999999999999998"/>
    <n v="3"/>
    <m/>
    <m/>
    <n v="4.3"/>
    <n v="4.3"/>
    <n v="4.3"/>
    <n v="0"/>
    <n v="1"/>
    <m/>
    <d v="2011-12-29T00:00:00"/>
    <n v="549"/>
    <m/>
    <n v="1"/>
    <m/>
    <m/>
    <m/>
    <m/>
  </r>
  <r>
    <x v="94"/>
    <n v="18434"/>
    <s v="45812978550060000002"/>
    <n v="46355960.969999999"/>
    <s v="27-117-16/377-11-ГА"/>
    <m/>
    <d v="2015-05-20T00:00:00"/>
    <m/>
    <m/>
    <n v="2.2999999999999998"/>
    <n v="3"/>
    <m/>
    <m/>
    <n v="4.3"/>
    <n v="4.3"/>
    <n v="4.3"/>
    <n v="0"/>
    <n v="1"/>
    <m/>
    <d v="2011-12-29T00:00:00"/>
    <n v="549"/>
    <m/>
    <n v="1"/>
    <m/>
    <m/>
    <m/>
    <m/>
  </r>
  <r>
    <x v="95"/>
    <n v="17784"/>
    <s v="47802810255550000255"/>
    <n v="4861888742.0600004"/>
    <s v="б/н_2012-10-31"/>
    <m/>
    <d v="2012-10-31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96"/>
    <n v="100002730"/>
    <s v="45201810200190000001"/>
    <n v="92590.75"/>
    <m/>
    <m/>
    <m/>
    <m/>
    <m/>
    <n v="0"/>
    <n v="1"/>
    <m/>
    <m/>
    <n v="1"/>
    <n v="1"/>
    <n v="1"/>
    <n v="0"/>
    <m/>
    <m/>
    <m/>
    <n v="0"/>
    <m/>
    <m/>
    <m/>
    <m/>
    <m/>
    <m/>
  </r>
  <r>
    <x v="97"/>
    <n v="12378"/>
    <s v="45107810855550000022"/>
    <n v="7000000000"/>
    <s v="3499"/>
    <m/>
    <d v="2014-06-26T00:00:00"/>
    <m/>
    <m/>
    <n v="1"/>
    <n v="1"/>
    <m/>
    <m/>
    <n v="1"/>
    <n v="1"/>
    <n v="1"/>
    <n v="0"/>
    <n v="1"/>
    <m/>
    <d v="2014-06-26T00:00:00"/>
    <n v="0"/>
    <m/>
    <n v="0"/>
    <m/>
    <m/>
    <m/>
    <m/>
  </r>
  <r>
    <x v="98"/>
    <n v="13790"/>
    <s v="47802810755550000221"/>
    <n v="4186666666.6799998"/>
    <s v="б/н_2013-08-05"/>
    <m/>
    <d v="2013-08-05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98"/>
    <n v="15824"/>
    <s v="47802810155550000229"/>
    <n v="13333333333.32"/>
    <s v="б/н"/>
    <m/>
    <d v="2013-08-05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98"/>
    <n v="17394"/>
    <s v="32308810200210000172"/>
    <n v="4380000000"/>
    <s v="503012151 - участ. Уралкалий"/>
    <m/>
    <d v="2015-12-29T00:00:00"/>
    <m/>
    <m/>
    <n v="1"/>
    <n v="1"/>
    <m/>
    <m/>
    <n v="1"/>
    <n v="1"/>
    <n v="1"/>
    <n v="0"/>
    <n v="1"/>
    <m/>
    <d v="2013-08-14T00:00:00"/>
    <n v="0"/>
    <m/>
    <m/>
    <m/>
    <n v="0"/>
    <m/>
    <m/>
  </r>
  <r>
    <x v="99"/>
    <n v="17756"/>
    <s v="45206810855550000499"/>
    <n v="1550000000"/>
    <s v="3963"/>
    <m/>
    <d v="2016-04-11T00:00:00"/>
    <m/>
    <m/>
    <n v="1"/>
    <n v="1"/>
    <m/>
    <m/>
    <n v="1"/>
    <n v="1"/>
    <n v="1"/>
    <n v="0"/>
    <n v="1"/>
    <m/>
    <d v="2016-04-15T00:00:00"/>
    <n v="0"/>
    <m/>
    <m/>
    <n v="0"/>
    <m/>
    <m/>
    <m/>
  </r>
  <r>
    <x v="100"/>
    <n v="18607"/>
    <s v="45812810155550000978"/>
    <n v="2208869178.1500001"/>
    <s v="38-177/15/570-13-КР"/>
    <m/>
    <d v="2013-12-25T00:00:00"/>
    <m/>
    <m/>
    <n v="2.1"/>
    <n v="3"/>
    <m/>
    <m/>
    <n v="4.0999999999999996"/>
    <n v="4.0999999999999996"/>
    <n v="4.0999999999999996"/>
    <n v="0"/>
    <n v="1"/>
    <m/>
    <d v="2000-01-01T00:00:00"/>
    <n v="556"/>
    <m/>
    <m/>
    <m/>
    <m/>
    <m/>
    <m/>
  </r>
  <r>
    <x v="100"/>
    <n v="18608"/>
    <s v="45812810255550000975"/>
    <n v="472030014.00999999"/>
    <s v="38-177/15/585-13-КР"/>
    <m/>
    <d v="2013-12-30T00:00:00"/>
    <m/>
    <m/>
    <n v="2.1"/>
    <n v="3"/>
    <m/>
    <m/>
    <n v="4.0999999999999996"/>
    <n v="4.0999999999999996"/>
    <n v="4.0999999999999996"/>
    <n v="0"/>
    <n v="1"/>
    <m/>
    <d v="2000-01-01T00:00:00"/>
    <n v="556"/>
    <m/>
    <m/>
    <m/>
    <m/>
    <m/>
    <m/>
  </r>
  <r>
    <x v="100"/>
    <n v="18609"/>
    <s v="45812810255550000988"/>
    <n v="14085725823.76"/>
    <s v="29-2065/15/2235-11-КР"/>
    <m/>
    <d v="2011-11-07T00:00:00"/>
    <m/>
    <m/>
    <n v="2.1"/>
    <n v="3"/>
    <m/>
    <m/>
    <n v="4.0999999999999996"/>
    <n v="4.0999999999999996"/>
    <n v="4.0999999999999996"/>
    <n v="0"/>
    <n v="1"/>
    <m/>
    <d v="2000-01-01T00:00:00"/>
    <n v="556"/>
    <m/>
    <n v="0"/>
    <m/>
    <m/>
    <m/>
    <m/>
  </r>
  <r>
    <x v="100"/>
    <n v="18610"/>
    <s v="45812810555550000989"/>
    <n v="259985990.33000001"/>
    <s v="38-177-3079/15/114-12-КР"/>
    <m/>
    <d v="2012-04-20T00:00:00"/>
    <m/>
    <m/>
    <n v="2.1"/>
    <n v="3"/>
    <m/>
    <m/>
    <n v="4.0999999999999996"/>
    <n v="4.0999999999999996"/>
    <n v="4.0999999999999996"/>
    <n v="0"/>
    <n v="1"/>
    <m/>
    <d v="2000-01-01T00:00:00"/>
    <n v="556"/>
    <m/>
    <m/>
    <m/>
    <m/>
    <m/>
    <m/>
  </r>
  <r>
    <x v="100"/>
    <n v="18612"/>
    <s v="47802810055550000235"/>
    <n v="1987775.8"/>
    <s v="К2600/12-0612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0"/>
    <n v="18613"/>
    <s v="47802810055550000248"/>
    <n v="215331094.87"/>
    <s v="К2600/11-0469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56"/>
    <m/>
    <m/>
    <m/>
    <m/>
    <m/>
    <m/>
  </r>
  <r>
    <x v="100"/>
    <n v="18615"/>
    <s v="47802810155550000258"/>
    <n v="33328509.77"/>
    <s v="К2600/13-0047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0"/>
    <n v="18616"/>
    <s v="47802810255550000239"/>
    <n v="25048913.41"/>
    <s v="К2600/12-0633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0"/>
    <n v="18617"/>
    <s v="47802810255550000242"/>
    <n v="22665381.710000001"/>
    <s v="К2600/11-0626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56"/>
    <m/>
    <m/>
    <m/>
    <m/>
    <m/>
    <m/>
  </r>
  <r>
    <x v="100"/>
    <n v="18618"/>
    <s v="47802810355550000236"/>
    <n v="85646701.260000005"/>
    <s v="К2600/12-0634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0"/>
    <n v="18619"/>
    <s v="47802810355550000249"/>
    <n v="215097961.24000001"/>
    <s v="К2600/11-0426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0"/>
    <n v="18620"/>
    <s v="47802810355550000252"/>
    <n v="41632450.479999997"/>
    <s v="К2600/11-0787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0"/>
    <n v="18621"/>
    <s v="47802810455550000246"/>
    <n v="35969982.780000001"/>
    <s v="К2600/11-0374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0"/>
    <n v="18622"/>
    <s v="47802810455550000259"/>
    <n v="5610311.4900000002"/>
    <s v="К2600/11-0829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0"/>
    <n v="18623"/>
    <s v="47802810555550000243"/>
    <n v="58654706.219999999"/>
    <s v="К2600/11-0557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0"/>
    <n v="18624"/>
    <s v="47802810655550000237"/>
    <n v="233951102.83000001"/>
    <s v="К2600/13-0048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0"/>
    <n v="18625"/>
    <s v="47802810655550000253"/>
    <n v="225429810.56999999"/>
    <s v="К2600/12-0613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0"/>
    <n v="18627"/>
    <s v="47802810855550000244"/>
    <n v="459003141.42000002"/>
    <s v="К2600/11-0463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0"/>
    <n v="18628"/>
    <s v="47802810855550000257"/>
    <n v="64755249.579999998"/>
    <s v="К2600/11-0511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0"/>
    <n v="18629"/>
    <s v="47802810955550000238"/>
    <n v="37635543.420000002"/>
    <s v="К2600/11-0706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0"/>
    <n v="18630"/>
    <s v="47802810955550000241"/>
    <n v="394115670.35000002"/>
    <s v="К2600/12-0614ЛВ/Ц000"/>
    <m/>
    <d v="2013-06-28T00:00:00"/>
    <m/>
    <m/>
    <n v="2.1"/>
    <n v="3"/>
    <m/>
    <m/>
    <n v="4.0999999999999996"/>
    <n v="4.0999999999999996"/>
    <n v="4.0999999999999996"/>
    <n v="0"/>
    <n v="1"/>
    <m/>
    <d v="2000-01-01T00:00:00"/>
    <n v="582"/>
    <m/>
    <m/>
    <m/>
    <m/>
    <m/>
    <m/>
  </r>
  <r>
    <x v="101"/>
    <n v="18235"/>
    <s v="45108810055550000025"/>
    <n v="39432000"/>
    <s v="38-177/15/396-14-КР"/>
    <m/>
    <d v="2014-12-30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102"/>
    <n v="8057"/>
    <s v="45812810950050000301"/>
    <n v="114000000"/>
    <s v="КС-717107/2009/00076"/>
    <m/>
    <d v="2009-12-16T00:00:00"/>
    <m/>
    <m/>
    <n v="3"/>
    <n v="3"/>
    <m/>
    <m/>
    <n v="5"/>
    <n v="5"/>
    <n v="5"/>
    <n v="0"/>
    <n v="1"/>
    <m/>
    <d v="2000-01-01T00:00:00"/>
    <n v="1577"/>
    <m/>
    <n v="0"/>
    <m/>
    <m/>
    <m/>
    <m/>
  </r>
  <r>
    <x v="102"/>
    <n v="8060"/>
    <s v="45812810550050000303"/>
    <n v="215000000"/>
    <s v="КС-717107/2010/00017"/>
    <m/>
    <d v="2010-04-05T00:00:00"/>
    <m/>
    <m/>
    <n v="3"/>
    <n v="3"/>
    <m/>
    <m/>
    <n v="5"/>
    <n v="5"/>
    <n v="5"/>
    <n v="0"/>
    <n v="1"/>
    <m/>
    <d v="2000-01-01T00:00:00"/>
    <n v="1577"/>
    <m/>
    <n v="0"/>
    <m/>
    <m/>
    <m/>
    <m/>
  </r>
  <r>
    <x v="102"/>
    <n v="8061"/>
    <s v="45812810850050000223"/>
    <n v="444109742.89999998"/>
    <s v="КС-717107/2011/00024"/>
    <m/>
    <d v="2011-04-19T00:00:00"/>
    <m/>
    <m/>
    <n v="3"/>
    <n v="3"/>
    <m/>
    <m/>
    <n v="5"/>
    <n v="5"/>
    <n v="5"/>
    <n v="0"/>
    <n v="1"/>
    <m/>
    <d v="2000-01-01T00:00:00"/>
    <n v="1590"/>
    <m/>
    <n v="0"/>
    <m/>
    <m/>
    <m/>
    <m/>
  </r>
  <r>
    <x v="102"/>
    <n v="8092"/>
    <s v="45812810250050000302"/>
    <n v="111000000"/>
    <s v="КС-717107/2009/00079"/>
    <m/>
    <d v="2009-12-28T00:00:00"/>
    <m/>
    <m/>
    <n v="3"/>
    <n v="3"/>
    <m/>
    <m/>
    <n v="5"/>
    <n v="5"/>
    <n v="5"/>
    <n v="0"/>
    <n v="1"/>
    <m/>
    <d v="2000-01-01T00:00:00"/>
    <n v="1577"/>
    <m/>
    <n v="0"/>
    <m/>
    <m/>
    <m/>
    <m/>
  </r>
  <r>
    <x v="102"/>
    <n v="8093"/>
    <s v="45812810750050000297"/>
    <n v="65000000"/>
    <s v="КС-717107/2008/00212"/>
    <m/>
    <d v="2008-11-25T00:00:00"/>
    <m/>
    <m/>
    <n v="3"/>
    <n v="3"/>
    <m/>
    <m/>
    <n v="5"/>
    <n v="5"/>
    <n v="5"/>
    <n v="0"/>
    <n v="1"/>
    <m/>
    <d v="2000-01-01T00:00:00"/>
    <n v="1577"/>
    <m/>
    <n v="0"/>
    <m/>
    <m/>
    <m/>
    <m/>
  </r>
  <r>
    <x v="102"/>
    <n v="8095"/>
    <s v="45812810350050000299"/>
    <n v="79793428.180000007"/>
    <s v="КС-717107/2009/00032"/>
    <m/>
    <d v="2009-05-04T00:00:00"/>
    <m/>
    <m/>
    <n v="3"/>
    <n v="3"/>
    <m/>
    <m/>
    <n v="5"/>
    <n v="5"/>
    <n v="5"/>
    <n v="0"/>
    <n v="1"/>
    <m/>
    <d v="2000-01-01T00:00:00"/>
    <n v="1577"/>
    <m/>
    <n v="0"/>
    <m/>
    <m/>
    <m/>
    <m/>
  </r>
  <r>
    <x v="103"/>
    <n v="13718"/>
    <s v="47802840655550000032"/>
    <n v="97086631320"/>
    <s v="цесс_2013-12-13 (б/ н)"/>
    <m/>
    <d v="2013-12-13T00:00:00"/>
    <m/>
    <m/>
    <n v="2.2000000000000002"/>
    <n v="1"/>
    <n v="-1"/>
    <s v="0"/>
    <n v="1.2000000000000002"/>
    <n v="1.2000000000000002"/>
    <n v="1.2000000000000002"/>
    <n v="0"/>
    <n v="1"/>
    <m/>
    <d v="2000-01-01T00:00:00"/>
    <n v="0"/>
    <m/>
    <m/>
    <m/>
    <n v="0"/>
    <m/>
    <m/>
  </r>
  <r>
    <x v="104"/>
    <n v="12477"/>
    <s v="45812810650050000449"/>
    <n v="113885775.88"/>
    <s v="КС-702000/2011/00086"/>
    <m/>
    <d v="2011-07-21T00:00:00"/>
    <m/>
    <m/>
    <n v="3"/>
    <n v="3"/>
    <m/>
    <m/>
    <n v="5"/>
    <n v="5"/>
    <n v="5"/>
    <n v="0"/>
    <n v="1"/>
    <m/>
    <d v="2000-01-01T00:00:00"/>
    <n v="1419"/>
    <m/>
    <n v="1"/>
    <m/>
    <m/>
    <m/>
    <m/>
  </r>
  <r>
    <x v="104"/>
    <n v="12478"/>
    <s v="45812810350050000448"/>
    <n v="106775827.45999999"/>
    <s v="КС-702000/2011/00104"/>
    <m/>
    <d v="2011-08-11T00:00:00"/>
    <m/>
    <m/>
    <n v="3"/>
    <n v="3"/>
    <m/>
    <m/>
    <n v="5"/>
    <n v="5"/>
    <n v="5"/>
    <n v="0"/>
    <n v="1"/>
    <m/>
    <d v="2000-01-01T00:00:00"/>
    <n v="1419"/>
    <m/>
    <n v="1"/>
    <m/>
    <m/>
    <m/>
    <m/>
  </r>
  <r>
    <x v="104"/>
    <n v="13012"/>
    <s v="45812810350050000406"/>
    <n v="521921558.77999997"/>
    <s v="КС-702000/2009/00012"/>
    <m/>
    <d v="2009-06-29T00:00:00"/>
    <m/>
    <m/>
    <n v="3"/>
    <n v="3"/>
    <m/>
    <m/>
    <n v="5"/>
    <n v="5"/>
    <n v="5"/>
    <n v="0"/>
    <n v="1"/>
    <m/>
    <d v="2000-01-01T00:00:00"/>
    <n v="1311"/>
    <m/>
    <n v="1"/>
    <m/>
    <m/>
    <m/>
    <m/>
  </r>
  <r>
    <x v="105"/>
    <n v="16557"/>
    <s v="45812810750050000475"/>
    <n v="9166771.5"/>
    <s v="ОВ-730710/2014/00022"/>
    <m/>
    <d v="2014-03-21T00:00:00"/>
    <m/>
    <m/>
    <n v="3"/>
    <n v="3"/>
    <m/>
    <m/>
    <n v="5"/>
    <n v="5"/>
    <n v="5"/>
    <n v="0"/>
    <n v="1"/>
    <m/>
    <d v="2000-01-01T00:00:00"/>
    <n v="558"/>
    <m/>
    <m/>
    <m/>
    <m/>
    <m/>
    <m/>
  </r>
  <r>
    <x v="106"/>
    <n v="771"/>
    <s v="45816810255550000007"/>
    <n v="38770488000"/>
    <s v="1985"/>
    <m/>
    <d v="2008-02-15T00:00:00"/>
    <m/>
    <m/>
    <n v="2.2000000000000002"/>
    <n v="3"/>
    <m/>
    <m/>
    <n v="4.2"/>
    <n v="4.2"/>
    <n v="4.2"/>
    <n v="0"/>
    <n v="1"/>
    <m/>
    <d v="2000-01-01T00:00:00"/>
    <n v="855"/>
    <m/>
    <n v="0"/>
    <m/>
    <n v="0"/>
    <m/>
    <m/>
  </r>
  <r>
    <x v="106"/>
    <n v="9601"/>
    <s v="47802810155550000216"/>
    <n v="9358712585.7700005"/>
    <s v="LA-35-190609-OUCP"/>
    <m/>
    <d v="2009-09-17T00:00:00"/>
    <m/>
    <m/>
    <n v="2.2000000000000002"/>
    <n v="3"/>
    <m/>
    <m/>
    <n v="4.2"/>
    <n v="4.2"/>
    <n v="4.2"/>
    <n v="0"/>
    <n v="1"/>
    <m/>
    <d v="2000-01-01T00:00:00"/>
    <n v="926"/>
    <m/>
    <n v="0"/>
    <m/>
    <n v="0"/>
    <m/>
    <m/>
  </r>
  <r>
    <x v="107"/>
    <n v="16067"/>
    <s v="45205810350050000495"/>
    <n v="97757686.879999995"/>
    <s v="01056/МР"/>
    <m/>
    <d v="2015-07-22T00:00:00"/>
    <m/>
    <m/>
    <n v="1"/>
    <n v="1"/>
    <m/>
    <m/>
    <n v="1"/>
    <n v="1"/>
    <n v="1"/>
    <n v="0"/>
    <n v="1"/>
    <m/>
    <d v="2015-07-31T00:00:00"/>
    <n v="0"/>
    <m/>
    <m/>
    <m/>
    <m/>
    <m/>
    <m/>
  </r>
  <r>
    <x v="107"/>
    <n v="24151"/>
    <s v="45207810450050000461"/>
    <n v="49830080.43"/>
    <s v="01406/МР"/>
    <m/>
    <d v="2016-07-19T00:00:00"/>
    <m/>
    <m/>
    <n v="1"/>
    <n v="1"/>
    <m/>
    <m/>
    <n v="1"/>
    <n v="1"/>
    <n v="1"/>
    <n v="0"/>
    <n v="1"/>
    <n v="1"/>
    <d v="2016-07-28T00:00:00"/>
    <n v="0"/>
    <m/>
    <m/>
    <m/>
    <m/>
    <m/>
    <m/>
  </r>
  <r>
    <x v="108"/>
    <n v="17204"/>
    <s v="45204810050050000288"/>
    <n v="42112887"/>
    <s v="01210/МР"/>
    <m/>
    <d v="2015-12-03T00:00:00"/>
    <m/>
    <m/>
    <n v="1"/>
    <n v="1"/>
    <m/>
    <m/>
    <n v="1"/>
    <n v="1"/>
    <n v="1"/>
    <n v="0"/>
    <n v="1"/>
    <m/>
    <d v="2015-12-15T00:00:00"/>
    <n v="0"/>
    <m/>
    <m/>
    <m/>
    <m/>
    <m/>
    <m/>
  </r>
  <r>
    <x v="108"/>
    <n v="17294"/>
    <s v="45201810150050000592"/>
    <n v="79998490.700000003"/>
    <s v="ОВ-01211/МР"/>
    <m/>
    <d v="2015-12-07T00:00:00"/>
    <m/>
    <m/>
    <n v="1"/>
    <n v="1"/>
    <m/>
    <m/>
    <n v="1"/>
    <n v="1"/>
    <n v="1"/>
    <n v="0"/>
    <n v="1"/>
    <m/>
    <d v="2015-12-18T00:00:00"/>
    <n v="0"/>
    <m/>
    <m/>
    <m/>
    <m/>
    <m/>
    <m/>
  </r>
  <r>
    <x v="109"/>
    <n v="2271"/>
    <s v="45812810955550000806"/>
    <n v="1426033171"/>
    <s v="2331"/>
    <m/>
    <d v="2009-09-04T00:00:00"/>
    <m/>
    <m/>
    <n v="2.2000000000000002"/>
    <n v="3"/>
    <m/>
    <m/>
    <n v="4.2"/>
    <n v="4.2"/>
    <n v="4.2"/>
    <n v="0"/>
    <n v="1"/>
    <m/>
    <d v="2000-01-01T00:00:00"/>
    <n v="367"/>
    <m/>
    <n v="0"/>
    <m/>
    <m/>
    <m/>
    <m/>
  </r>
  <r>
    <x v="109"/>
    <n v="11490"/>
    <s v="45812810655550001011"/>
    <n v="670676208.72000003"/>
    <s v="3382"/>
    <m/>
    <d v="2014-03-31T00:00:00"/>
    <m/>
    <m/>
    <n v="2.2000000000000002"/>
    <n v="3"/>
    <m/>
    <m/>
    <n v="4.2"/>
    <n v="4.2"/>
    <n v="4.2"/>
    <n v="0"/>
    <n v="1"/>
    <m/>
    <d v="2000-01-01T00:00:00"/>
    <n v="174"/>
    <m/>
    <m/>
    <m/>
    <m/>
    <m/>
    <m/>
  </r>
  <r>
    <x v="110"/>
    <n v="18240"/>
    <s v="45207810955550000589"/>
    <n v="95654732.120000005"/>
    <s v="38-177/15/117-13-КР"/>
    <m/>
    <d v="2013-06-19T00:00:00"/>
    <m/>
    <m/>
    <n v="2.2000000000000002"/>
    <n v="3"/>
    <m/>
    <m/>
    <n v="4.2"/>
    <n v="4.2"/>
    <n v="4.2"/>
    <n v="0"/>
    <n v="1"/>
    <m/>
    <d v="2000-01-01T00:00:00"/>
    <n v="93"/>
    <m/>
    <m/>
    <m/>
    <m/>
    <m/>
    <m/>
  </r>
  <r>
    <x v="110"/>
    <n v="18243"/>
    <s v="45812978055550000075"/>
    <n v="92058779.099999994"/>
    <s v="38-177-3079/15/319-12-КР"/>
    <m/>
    <d v="2012-07-18T00:00:00"/>
    <m/>
    <m/>
    <n v="2.2000000000000002"/>
    <n v="3"/>
    <m/>
    <m/>
    <n v="4.2"/>
    <n v="4.2"/>
    <n v="4.2"/>
    <n v="0"/>
    <n v="1"/>
    <m/>
    <d v="2000-01-01T00:00:00"/>
    <n v="93"/>
    <m/>
    <m/>
    <m/>
    <m/>
    <m/>
    <m/>
  </r>
  <r>
    <x v="110"/>
    <n v="18439"/>
    <s v="45208978055550000061"/>
    <n v="13032989.58"/>
    <s v="38-177-3079/15/182-12-КР"/>
    <m/>
    <d v="2012-07-17T00:00:00"/>
    <m/>
    <m/>
    <n v="2.2000000000000002"/>
    <n v="3"/>
    <m/>
    <m/>
    <n v="4.2"/>
    <n v="4.2"/>
    <n v="4.2"/>
    <n v="0"/>
    <n v="1"/>
    <m/>
    <d v="2000-01-01T00:00:00"/>
    <n v="93"/>
    <m/>
    <m/>
    <m/>
    <m/>
    <m/>
    <m/>
  </r>
  <r>
    <x v="110"/>
    <n v="18440"/>
    <s v="45208978255550000065"/>
    <n v="518877578.48000002"/>
    <s v="38-177-3079/15/325-12-КР"/>
    <m/>
    <d v="2012-09-20T00:00:00"/>
    <m/>
    <m/>
    <n v="2.2000000000000002"/>
    <n v="3"/>
    <m/>
    <m/>
    <n v="4.2"/>
    <n v="4.2"/>
    <n v="4.2"/>
    <n v="0"/>
    <n v="1"/>
    <m/>
    <d v="2000-01-01T00:00:00"/>
    <n v="93"/>
    <m/>
    <m/>
    <m/>
    <m/>
    <m/>
    <m/>
  </r>
  <r>
    <x v="110"/>
    <n v="18441"/>
    <s v="45208978655550000063"/>
    <n v="73684909.590000004"/>
    <s v="38-177-3079/15/859-12-КР"/>
    <m/>
    <d v="2013-01-21T00:00:00"/>
    <m/>
    <m/>
    <n v="2.2000000000000002"/>
    <n v="3"/>
    <m/>
    <m/>
    <n v="4.2"/>
    <n v="4.2"/>
    <n v="4.2"/>
    <n v="0"/>
    <n v="1"/>
    <m/>
    <d v="2000-01-01T00:00:00"/>
    <n v="93"/>
    <m/>
    <m/>
    <m/>
    <m/>
    <m/>
    <m/>
  </r>
  <r>
    <x v="110"/>
    <n v="18442"/>
    <s v="45208978755550000060"/>
    <n v="133667940.28"/>
    <s v="38-177/15/70-13-КР"/>
    <m/>
    <d v="2013-06-03T00:00:00"/>
    <m/>
    <m/>
    <n v="2.2000000000000002"/>
    <n v="3"/>
    <m/>
    <m/>
    <n v="4.2"/>
    <n v="4.2"/>
    <n v="4.2"/>
    <n v="0"/>
    <n v="1"/>
    <m/>
    <d v="2000-01-01T00:00:00"/>
    <n v="93"/>
    <m/>
    <m/>
    <m/>
    <m/>
    <m/>
    <m/>
  </r>
  <r>
    <x v="110"/>
    <n v="22399"/>
    <s v="47431978250060000024"/>
    <n v="133364195.44"/>
    <s v="LCIMP12015-F"/>
    <m/>
    <d v="2012-11-02T00:00:00"/>
    <m/>
    <m/>
    <n v="2.2000000000000002"/>
    <n v="3"/>
    <m/>
    <m/>
    <n v="4.2"/>
    <n v="4.2"/>
    <n v="4.2"/>
    <n v="0"/>
    <n v="1"/>
    <m/>
    <d v="2012-12-29T00:00:00"/>
    <n v="549"/>
    <m/>
    <n v="1"/>
    <m/>
    <m/>
    <m/>
    <m/>
  </r>
  <r>
    <x v="110"/>
    <n v="22400"/>
    <s v="47431978650060000022"/>
    <n v="44357790.350000001"/>
    <s v="LCIMP12008-F"/>
    <m/>
    <d v="2012-05-29T00:00:00"/>
    <m/>
    <m/>
    <n v="2.2000000000000002"/>
    <n v="3"/>
    <m/>
    <m/>
    <n v="4.2"/>
    <n v="4.2"/>
    <n v="4.2"/>
    <n v="0"/>
    <n v="1"/>
    <m/>
    <d v="2012-07-26T00:00:00"/>
    <n v="549"/>
    <m/>
    <n v="1"/>
    <m/>
    <m/>
    <m/>
    <m/>
  </r>
  <r>
    <x v="110"/>
    <n v="22401"/>
    <s v="47431978950060000023"/>
    <n v="256142853.72999999"/>
    <s v="LCIMP13011-F/LA"/>
    <m/>
    <d v="2013-05-21T00:00:00"/>
    <m/>
    <m/>
    <n v="2.2000000000000002"/>
    <n v="3"/>
    <m/>
    <m/>
    <n v="4.2"/>
    <n v="4.2"/>
    <n v="4.2"/>
    <n v="0"/>
    <n v="1"/>
    <m/>
    <d v="2013-06-28T00:00:00"/>
    <n v="549"/>
    <m/>
    <n v="1"/>
    <m/>
    <m/>
    <m/>
    <m/>
  </r>
  <r>
    <x v="111"/>
    <n v="16832"/>
    <s v="45812810355550000956"/>
    <n v="9000000000"/>
    <s v="КС-ЦВ-725000/2014/00284"/>
    <m/>
    <d v="2014-12-23T00:00:00"/>
    <m/>
    <m/>
    <n v="3"/>
    <n v="3"/>
    <m/>
    <m/>
    <n v="5"/>
    <n v="5"/>
    <n v="5"/>
    <n v="0"/>
    <n v="1"/>
    <m/>
    <d v="2000-01-01T00:00:00"/>
    <n v="367"/>
    <m/>
    <n v="0"/>
    <m/>
    <m/>
    <m/>
    <m/>
  </r>
  <r>
    <x v="111"/>
    <n v="16833"/>
    <s v="45812810655550000957"/>
    <n v="1500000000"/>
    <s v="КС-ЦВ-725000/2015/00005"/>
    <m/>
    <d v="2015-03-03T00:00:00"/>
    <m/>
    <m/>
    <n v="3"/>
    <n v="3"/>
    <m/>
    <m/>
    <n v="5"/>
    <n v="5"/>
    <n v="5"/>
    <n v="0"/>
    <n v="1"/>
    <m/>
    <d v="2000-01-01T00:00:00"/>
    <n v="367"/>
    <m/>
    <m/>
    <m/>
    <m/>
    <m/>
    <m/>
  </r>
  <r>
    <x v="111"/>
    <n v="16834"/>
    <s v="45812810755550000954"/>
    <n v="705627032.98000002"/>
    <s v="КС-ЦВ-725000/2015/00034"/>
    <m/>
    <d v="2015-03-04T00:00:00"/>
    <m/>
    <m/>
    <n v="3"/>
    <n v="3"/>
    <m/>
    <m/>
    <n v="5"/>
    <n v="5"/>
    <n v="5"/>
    <n v="0"/>
    <n v="1"/>
    <m/>
    <d v="2000-01-01T00:00:00"/>
    <n v="514"/>
    <m/>
    <m/>
    <m/>
    <m/>
    <m/>
    <m/>
  </r>
  <r>
    <x v="111"/>
    <n v="16839"/>
    <s v="45812810455550000953"/>
    <n v="1498419538.5999999"/>
    <s v="КС-ЦВ-725000/2014/00229"/>
    <m/>
    <d v="2014-09-15T00:00:00"/>
    <m/>
    <m/>
    <n v="3"/>
    <n v="3"/>
    <m/>
    <m/>
    <n v="5"/>
    <n v="5"/>
    <n v="5"/>
    <n v="0"/>
    <n v="1"/>
    <m/>
    <d v="2000-01-01T00:00:00"/>
    <n v="514"/>
    <m/>
    <m/>
    <m/>
    <m/>
    <m/>
    <m/>
  </r>
  <r>
    <x v="112"/>
    <n v="18246"/>
    <s v="45812810455550000979"/>
    <n v="99936868.920000002"/>
    <s v="38-177/15/36-14-КР"/>
    <m/>
    <d v="2014-06-27T00:00:00"/>
    <m/>
    <m/>
    <n v="2.1"/>
    <n v="3"/>
    <m/>
    <m/>
    <n v="4.0999999999999996"/>
    <n v="4.0999999999999996"/>
    <n v="4.0999999999999996"/>
    <n v="0"/>
    <n v="1"/>
    <m/>
    <d v="2000-01-01T00:00:00"/>
    <n v="93"/>
    <m/>
    <m/>
    <m/>
    <m/>
    <m/>
    <m/>
  </r>
  <r>
    <x v="113"/>
    <n v="8638"/>
    <s v="32309840800210000143"/>
    <n v="13273376360.440001"/>
    <s v="703105121 - участ. Техут"/>
    <m/>
    <d v="2012-05-30T00:00:00"/>
    <m/>
    <m/>
    <n v="2.1"/>
    <n v="2"/>
    <n v="-2"/>
    <s v="345"/>
    <n v="1.9999999999999996"/>
    <n v="1.9999999999999996"/>
    <n v="1.9999999999999996"/>
    <n v="0"/>
    <n v="1"/>
    <m/>
    <d v="2015-09-28T00:00:00"/>
    <n v="5"/>
    <m/>
    <n v="2"/>
    <m/>
    <m/>
    <m/>
    <m/>
  </r>
  <r>
    <x v="113"/>
    <n v="8639"/>
    <s v="32309840500210000142"/>
    <n v="4334377203.1000004"/>
    <s v="703105122 - участ. Техут"/>
    <m/>
    <d v="2012-05-30T00:00:00"/>
    <m/>
    <m/>
    <n v="2.1"/>
    <n v="2"/>
    <n v="-2"/>
    <s v="345"/>
    <n v="1.9999999999999996"/>
    <n v="1.9999999999999996"/>
    <n v="1.9999999999999996"/>
    <n v="0"/>
    <n v="1"/>
    <m/>
    <d v="2015-09-28T00:00:00"/>
    <n v="5"/>
    <m/>
    <n v="2"/>
    <m/>
    <m/>
    <m/>
    <m/>
  </r>
  <r>
    <x v="114"/>
    <n v="15819"/>
    <s v="45208810155550000469"/>
    <n v="19498366925.060001"/>
    <s v="3748"/>
    <m/>
    <d v="2015-06-25T00:00:00"/>
    <m/>
    <m/>
    <n v="2.1"/>
    <n v="1"/>
    <m/>
    <m/>
    <n v="2.1"/>
    <n v="2.1"/>
    <n v="2.1"/>
    <n v="0"/>
    <n v="1"/>
    <m/>
    <d v="2015-06-25T00:00:00"/>
    <n v="0"/>
    <m/>
    <m/>
    <m/>
    <n v="0"/>
    <m/>
    <m/>
  </r>
  <r>
    <x v="115"/>
    <n v="17567"/>
    <s v="45207810350050000435"/>
    <n v="100000000"/>
    <s v="01267/МР"/>
    <m/>
    <d v="2016-02-12T00:00:00"/>
    <m/>
    <m/>
    <n v="1"/>
    <n v="1"/>
    <m/>
    <m/>
    <n v="1"/>
    <n v="1"/>
    <n v="1"/>
    <n v="0"/>
    <n v="1"/>
    <m/>
    <d v="2016-02-29T00:00:00"/>
    <n v="0"/>
    <m/>
    <m/>
    <m/>
    <m/>
    <m/>
    <m/>
  </r>
  <r>
    <x v="116"/>
    <n v="14123"/>
    <s v="45207810055550000560"/>
    <n v="1370938684.28"/>
    <s v="3612"/>
    <m/>
    <d v="2014-11-26T00:00:00"/>
    <m/>
    <m/>
    <n v="1"/>
    <n v="1"/>
    <m/>
    <m/>
    <n v="1"/>
    <n v="1"/>
    <n v="1"/>
    <n v="0"/>
    <n v="1"/>
    <m/>
    <d v="2014-04-15T00:00:00"/>
    <n v="0"/>
    <m/>
    <m/>
    <m/>
    <m/>
    <m/>
    <m/>
  </r>
  <r>
    <x v="116"/>
    <n v="14124"/>
    <s v="45208810355550000450"/>
    <n v="2800000000"/>
    <s v="3621"/>
    <m/>
    <d v="2014-11-26T00:00:00"/>
    <m/>
    <m/>
    <n v="1"/>
    <n v="1"/>
    <m/>
    <m/>
    <n v="1"/>
    <n v="1"/>
    <n v="1"/>
    <n v="0"/>
    <n v="1"/>
    <m/>
    <d v="2014-04-15T00:00:00"/>
    <n v="0"/>
    <m/>
    <m/>
    <m/>
    <m/>
    <m/>
    <m/>
  </r>
  <r>
    <x v="117"/>
    <n v="1227"/>
    <s v="45208810455550000127"/>
    <n v="5041375000"/>
    <s v="2185"/>
    <m/>
    <d v="2008-10-31T00:00:00"/>
    <m/>
    <m/>
    <n v="1"/>
    <n v="1"/>
    <m/>
    <m/>
    <n v="1"/>
    <n v="1"/>
    <n v="1"/>
    <n v="0"/>
    <n v="1"/>
    <m/>
    <d v="2008-10-31T00:00:00"/>
    <n v="0"/>
    <m/>
    <n v="0"/>
    <m/>
    <n v="0"/>
    <m/>
    <m/>
  </r>
  <r>
    <x v="118"/>
    <n v="2547"/>
    <s v="45208810955550000313"/>
    <n v="263639404.80000001"/>
    <s v="2419"/>
    <m/>
    <d v="2009-11-23T00:00:00"/>
    <m/>
    <m/>
    <n v="1"/>
    <n v="1"/>
    <m/>
    <m/>
    <n v="1"/>
    <n v="1"/>
    <n v="1"/>
    <n v="0"/>
    <n v="1"/>
    <m/>
    <d v="2009-11-25T00:00:00"/>
    <n v="0"/>
    <m/>
    <n v="0"/>
    <m/>
    <m/>
    <m/>
    <m/>
  </r>
  <r>
    <x v="118"/>
    <n v="4910"/>
    <s v="45208810055550000378"/>
    <n v="84920668.900000006"/>
    <s v="2744"/>
    <m/>
    <d v="2011-04-19T00:00:00"/>
    <m/>
    <m/>
    <n v="1"/>
    <n v="1"/>
    <m/>
    <m/>
    <n v="1"/>
    <n v="1"/>
    <n v="1"/>
    <n v="0"/>
    <n v="1"/>
    <m/>
    <d v="2011-04-28T00:00:00"/>
    <n v="0"/>
    <m/>
    <n v="0"/>
    <m/>
    <m/>
    <m/>
    <m/>
  </r>
  <r>
    <x v="118"/>
    <n v="6538"/>
    <s v="45207810555550000387"/>
    <n v="1057907600"/>
    <s v="2911"/>
    <m/>
    <d v="2011-12-23T00:00:00"/>
    <m/>
    <m/>
    <n v="1"/>
    <n v="1"/>
    <m/>
    <m/>
    <n v="1"/>
    <n v="1"/>
    <n v="1"/>
    <n v="0"/>
    <n v="1"/>
    <m/>
    <d v="2012-01-16T00:00:00"/>
    <n v="0"/>
    <m/>
    <n v="0"/>
    <m/>
    <m/>
    <m/>
    <m/>
  </r>
  <r>
    <x v="119"/>
    <n v="14355"/>
    <s v="45206810550050000676"/>
    <n v="187549695.46000001"/>
    <s v="00961/МР"/>
    <m/>
    <d v="2014-12-22T00:00:00"/>
    <m/>
    <m/>
    <n v="1"/>
    <n v="1"/>
    <m/>
    <m/>
    <n v="1"/>
    <n v="1"/>
    <n v="1"/>
    <n v="0"/>
    <n v="1"/>
    <m/>
    <d v="2014-12-30T00:00:00"/>
    <n v="0"/>
    <m/>
    <m/>
    <m/>
    <m/>
    <m/>
    <m/>
  </r>
  <r>
    <x v="120"/>
    <n v="10426"/>
    <s v="32308840600210000108"/>
    <n v="13508195085.91"/>
    <s v="701712137 - участ. Русал Братск, Красноярск"/>
    <m/>
    <d v="2013-12-17T00:00:00"/>
    <m/>
    <m/>
    <n v="1"/>
    <n v="1"/>
    <n v="-1"/>
    <s v="34"/>
    <n v="1"/>
    <n v="1"/>
    <n v="1"/>
    <n v="0"/>
    <n v="1"/>
    <m/>
    <d v="2014-03-17T00:00:00"/>
    <n v="0"/>
    <m/>
    <m/>
    <m/>
    <m/>
    <m/>
    <m/>
  </r>
  <r>
    <x v="121"/>
    <n v="4950"/>
    <s v="45812810555550000905"/>
    <n v="143976404"/>
    <s v="2718"/>
    <m/>
    <d v="2011-04-29T00:00:00"/>
    <m/>
    <m/>
    <n v="2.1"/>
    <n v="3"/>
    <m/>
    <m/>
    <n v="4.0999999999999996"/>
    <n v="4.0999999999999996"/>
    <n v="4.0999999999999996"/>
    <n v="0"/>
    <n v="1"/>
    <m/>
    <d v="2000-01-01T00:00:00"/>
    <n v="522"/>
    <m/>
    <n v="2"/>
    <m/>
    <m/>
    <m/>
    <m/>
  </r>
  <r>
    <x v="122"/>
    <n v="100003282"/>
    <s v="32203840000210004427"/>
    <n v="22078531860.660004"/>
    <m/>
    <m/>
    <m/>
    <m/>
    <m/>
    <n v="1"/>
    <n v="1"/>
    <m/>
    <m/>
    <n v="1"/>
    <n v="1"/>
    <n v="1"/>
    <n v="0"/>
    <m/>
    <m/>
    <m/>
    <n v="0"/>
    <m/>
    <m/>
    <m/>
    <m/>
    <m/>
    <m/>
  </r>
  <r>
    <x v="123"/>
    <n v="2727"/>
    <s v="45208810055550000255"/>
    <n v="393500000"/>
    <s v="КС-600000/2009/00162"/>
    <m/>
    <d v="2009-10-14T00:00:00"/>
    <m/>
    <m/>
    <n v="2.2000000000000002"/>
    <n v="1"/>
    <m/>
    <m/>
    <n v="2.2000000000000002"/>
    <n v="2.2000000000000002"/>
    <n v="2.2000000000000002"/>
    <n v="0"/>
    <n v="1"/>
    <m/>
    <d v="2000-01-01T00:00:00"/>
    <n v="0"/>
    <m/>
    <n v="0"/>
    <n v="0"/>
    <m/>
    <m/>
    <m/>
  </r>
  <r>
    <x v="123"/>
    <n v="18247"/>
    <s v="47802810055550000251"/>
    <n v="679654689.62"/>
    <s v="б/н_2013-08-02"/>
    <m/>
    <d v="2013-08-02T00:00:00"/>
    <m/>
    <m/>
    <n v="2.2000000000000002"/>
    <n v="1"/>
    <m/>
    <m/>
    <n v="2.2000000000000002"/>
    <n v="3"/>
    <n v="2.2000000000000002"/>
    <n v="1"/>
    <n v="1"/>
    <m/>
    <d v="2000-01-01T00:00:00"/>
    <n v="0"/>
    <m/>
    <m/>
    <m/>
    <n v="1"/>
    <m/>
    <m/>
  </r>
  <r>
    <x v="124"/>
    <n v="9555"/>
    <s v="45606810955550000009"/>
    <n v="27138191706.41"/>
    <s v="3003"/>
    <m/>
    <d v="2012-06-22T00:00:00"/>
    <m/>
    <m/>
    <n v="2.1"/>
    <n v="2"/>
    <n v="-2"/>
    <s v="0"/>
    <n v="1.9999999999999996"/>
    <n v="1.9999999999999996"/>
    <n v="1.9999999999999996"/>
    <n v="0"/>
    <n v="1"/>
    <m/>
    <d v="2000-01-01T00:00:00"/>
    <n v="27"/>
    <s v="2016-07-27"/>
    <n v="2"/>
    <n v="0"/>
    <n v="0"/>
    <m/>
    <m/>
  </r>
  <r>
    <x v="125"/>
    <n v="6089"/>
    <s v="45606810655550000008"/>
    <n v="3421586311.8800001"/>
    <s v="2719"/>
    <m/>
    <d v="2011-04-29T00:00:00"/>
    <m/>
    <m/>
    <n v="2.2999999999999998"/>
    <n v="1"/>
    <n v="-2"/>
    <s v="0"/>
    <n v="1"/>
    <n v="1"/>
    <n v="1"/>
    <n v="0"/>
    <n v="1"/>
    <m/>
    <d v="2011-06-20T00:00:00"/>
    <n v="0"/>
    <m/>
    <n v="0"/>
    <m/>
    <m/>
    <m/>
    <m/>
  </r>
  <r>
    <x v="125"/>
    <n v="9115"/>
    <s v="45606810855550000015"/>
    <n v="8023382868.6999998"/>
    <s v="3176"/>
    <m/>
    <d v="2013-05-20T00:00:00"/>
    <m/>
    <m/>
    <n v="2.2999999999999998"/>
    <n v="1"/>
    <n v="-2"/>
    <s v="0"/>
    <n v="1"/>
    <n v="1"/>
    <n v="1"/>
    <n v="0"/>
    <n v="1"/>
    <m/>
    <d v="2013-07-11T00:00:00"/>
    <n v="0"/>
    <m/>
    <n v="0"/>
    <m/>
    <m/>
    <m/>
    <m/>
  </r>
  <r>
    <x v="126"/>
    <n v="100003351"/>
    <s v="32009810900210000014"/>
    <n v="421400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127"/>
    <n v="26720"/>
    <s v="32203810600210018241"/>
    <n v="132015150"/>
    <s v="414162-300916-93/1-1"/>
    <m/>
    <d v="2016-09-30T00:00:00"/>
    <m/>
    <m/>
    <n v="3"/>
    <n v="3"/>
    <m/>
    <m/>
    <n v="5"/>
    <n v="5"/>
    <n v="5"/>
    <n v="0"/>
    <n v="0"/>
    <m/>
    <d v="2500-01-01T00:00:00"/>
    <n v="0"/>
    <m/>
    <m/>
    <m/>
    <m/>
    <m/>
    <m/>
  </r>
  <r>
    <x v="127"/>
    <n v="26721"/>
    <s v="32203810300210018240"/>
    <n v="61162380.399999999"/>
    <s v="414162-300916-92/1-1"/>
    <m/>
    <d v="2016-09-30T00:00:00"/>
    <m/>
    <m/>
    <n v="3"/>
    <n v="3"/>
    <m/>
    <m/>
    <n v="5"/>
    <n v="5"/>
    <n v="5"/>
    <n v="0"/>
    <n v="0"/>
    <m/>
    <d v="2500-01-01T00:00:00"/>
    <n v="0"/>
    <m/>
    <m/>
    <m/>
    <m/>
    <m/>
    <m/>
  </r>
  <r>
    <x v="127"/>
    <n v="26722"/>
    <s v="32203810200210018243"/>
    <n v="99527067.900000006"/>
    <s v="414162-300916-227/1-1"/>
    <m/>
    <d v="2016-09-30T00:00:00"/>
    <m/>
    <m/>
    <n v="3"/>
    <n v="3"/>
    <m/>
    <m/>
    <n v="5"/>
    <n v="5"/>
    <n v="5"/>
    <n v="0"/>
    <n v="0"/>
    <m/>
    <d v="2500-01-01T00:00:00"/>
    <n v="0"/>
    <m/>
    <m/>
    <m/>
    <m/>
    <m/>
    <m/>
  </r>
  <r>
    <x v="128"/>
    <n v="100003376"/>
    <s v="32104398600210000003"/>
    <n v="2684506104.3900003"/>
    <m/>
    <m/>
    <m/>
    <m/>
    <m/>
    <n v="1"/>
    <n v="1"/>
    <m/>
    <m/>
    <n v="1"/>
    <n v="1"/>
    <n v="1"/>
    <n v="0"/>
    <m/>
    <m/>
    <m/>
    <n v="0"/>
    <m/>
    <m/>
    <m/>
    <m/>
    <m/>
    <m/>
  </r>
  <r>
    <x v="129"/>
    <n v="15687"/>
    <s v="45812810055550000942"/>
    <n v="56903672.329999998"/>
    <s v="КС-730710/2014/00015"/>
    <m/>
    <d v="2015-03-05T00:00:00"/>
    <m/>
    <m/>
    <n v="3"/>
    <n v="3"/>
    <m/>
    <m/>
    <n v="5"/>
    <n v="5"/>
    <n v="5"/>
    <n v="0"/>
    <n v="1"/>
    <m/>
    <d v="2000-01-01T00:00:00"/>
    <n v="502"/>
    <m/>
    <n v="0"/>
    <m/>
    <m/>
    <m/>
    <m/>
  </r>
  <r>
    <x v="129"/>
    <n v="15688"/>
    <s v="45812810355550000943"/>
    <n v="20000000"/>
    <s v="КС-730710/2014/00020"/>
    <m/>
    <d v="2014-03-05T00:00:00"/>
    <m/>
    <m/>
    <n v="3"/>
    <n v="3"/>
    <m/>
    <m/>
    <n v="5"/>
    <n v="5"/>
    <n v="5"/>
    <n v="0"/>
    <n v="1"/>
    <m/>
    <d v="2000-01-01T00:00:00"/>
    <n v="502"/>
    <m/>
    <n v="0"/>
    <m/>
    <m/>
    <m/>
    <m/>
  </r>
  <r>
    <x v="129"/>
    <n v="15689"/>
    <s v="45812810755550000941"/>
    <n v="45000000"/>
    <s v="КС-730710/2014/00008"/>
    <m/>
    <d v="2014-03-05T00:00:00"/>
    <m/>
    <m/>
    <n v="3"/>
    <n v="3"/>
    <m/>
    <m/>
    <n v="5"/>
    <n v="5"/>
    <n v="5"/>
    <n v="0"/>
    <n v="1"/>
    <m/>
    <d v="2000-01-01T00:00:00"/>
    <n v="502"/>
    <m/>
    <n v="0"/>
    <m/>
    <m/>
    <m/>
    <m/>
  </r>
  <r>
    <x v="129"/>
    <n v="15690"/>
    <s v="45812810955550000945"/>
    <n v="50000000"/>
    <s v="КС-730710/2013/00029"/>
    <m/>
    <d v="2013-04-28T00:00:00"/>
    <m/>
    <m/>
    <n v="3"/>
    <n v="3"/>
    <m/>
    <m/>
    <n v="5"/>
    <n v="5"/>
    <n v="5"/>
    <n v="0"/>
    <n v="1"/>
    <m/>
    <d v="2000-01-01T00:00:00"/>
    <n v="502"/>
    <m/>
    <m/>
    <m/>
    <m/>
    <m/>
    <m/>
  </r>
  <r>
    <x v="129"/>
    <n v="15691"/>
    <s v="45812810455550000940"/>
    <n v="37285907.609999999"/>
    <s v="КС-730710/2013/00025"/>
    <m/>
    <d v="2013-03-20T00:00:00"/>
    <m/>
    <m/>
    <n v="3"/>
    <n v="3"/>
    <m/>
    <m/>
    <n v="5"/>
    <n v="5"/>
    <n v="5"/>
    <n v="0"/>
    <n v="1"/>
    <m/>
    <d v="2000-01-01T00:00:00"/>
    <n v="561"/>
    <m/>
    <n v="0"/>
    <m/>
    <m/>
    <m/>
    <m/>
  </r>
  <r>
    <x v="129"/>
    <n v="15692"/>
    <s v="45812810255550000946"/>
    <n v="334000000"/>
    <s v="КС-730710/2012/00075"/>
    <m/>
    <d v="2012-12-14T00:00:00"/>
    <m/>
    <m/>
    <n v="3"/>
    <n v="3"/>
    <m/>
    <m/>
    <n v="5"/>
    <n v="5"/>
    <n v="5"/>
    <n v="0"/>
    <n v="1"/>
    <m/>
    <d v="2000-01-01T00:00:00"/>
    <n v="502"/>
    <m/>
    <n v="0"/>
    <m/>
    <m/>
    <m/>
    <m/>
  </r>
  <r>
    <x v="129"/>
    <n v="15693"/>
    <s v="45812810655550000944"/>
    <n v="6500000"/>
    <s v="КС-730710/2012/00049"/>
    <m/>
    <d v="2012-10-17T00:00:00"/>
    <m/>
    <m/>
    <n v="3"/>
    <n v="3"/>
    <m/>
    <m/>
    <n v="5"/>
    <n v="5"/>
    <n v="5"/>
    <n v="0"/>
    <n v="1"/>
    <m/>
    <d v="2000-01-01T00:00:00"/>
    <n v="502"/>
    <m/>
    <n v="0"/>
    <m/>
    <m/>
    <m/>
    <m/>
  </r>
  <r>
    <x v="130"/>
    <n v="17816"/>
    <s v="45208810255550000550"/>
    <n v="13888888888"/>
    <s v="3974"/>
    <m/>
    <d v="2016-04-29T00:00:00"/>
    <m/>
    <m/>
    <n v="1"/>
    <n v="1"/>
    <m/>
    <m/>
    <n v="1"/>
    <n v="1"/>
    <n v="1"/>
    <n v="0"/>
    <n v="1"/>
    <m/>
    <d v="2016-04-29T00:00:00"/>
    <n v="0"/>
    <m/>
    <m/>
    <n v="0"/>
    <m/>
    <m/>
    <m/>
  </r>
  <r>
    <x v="131"/>
    <n v="17183"/>
    <s v="45204810650050000280"/>
    <n v="100000000"/>
    <s v="01214/МР"/>
    <m/>
    <d v="2015-12-03T00:00:00"/>
    <m/>
    <m/>
    <n v="1"/>
    <n v="1"/>
    <m/>
    <m/>
    <n v="1"/>
    <n v="1"/>
    <n v="1"/>
    <n v="0"/>
    <n v="1"/>
    <m/>
    <d v="2015-12-15T00:00:00"/>
    <n v="0"/>
    <m/>
    <m/>
    <m/>
    <m/>
    <m/>
    <m/>
  </r>
  <r>
    <x v="131"/>
    <n v="17303"/>
    <s v="45201810450050000593"/>
    <n v="19913104.32"/>
    <s v="ОВ-01215/МР"/>
    <m/>
    <d v="2015-12-07T00:00:00"/>
    <m/>
    <m/>
    <n v="1"/>
    <n v="1"/>
    <m/>
    <m/>
    <n v="1"/>
    <n v="1"/>
    <n v="1"/>
    <n v="0"/>
    <n v="1"/>
    <m/>
    <d v="2015-12-18T00:00:00"/>
    <n v="0"/>
    <m/>
    <m/>
    <m/>
    <m/>
    <m/>
    <m/>
  </r>
  <r>
    <x v="131"/>
    <n v="22160"/>
    <s v="45205810950050000510"/>
    <n v="80000000"/>
    <s v="01390/МР"/>
    <m/>
    <d v="2016-06-10T00:00:00"/>
    <m/>
    <m/>
    <n v="1"/>
    <n v="1"/>
    <m/>
    <m/>
    <n v="1"/>
    <n v="1"/>
    <n v="1"/>
    <n v="0"/>
    <n v="1"/>
    <m/>
    <d v="2016-06-15T00:00:00"/>
    <n v="0"/>
    <m/>
    <m/>
    <m/>
    <m/>
    <m/>
    <m/>
  </r>
  <r>
    <x v="132"/>
    <n v="9524"/>
    <s v="45207810055550000450"/>
    <n v="2600000000"/>
    <s v="3241"/>
    <m/>
    <d v="2013-05-15T00:00:00"/>
    <m/>
    <m/>
    <n v="1"/>
    <n v="1"/>
    <m/>
    <m/>
    <n v="1"/>
    <n v="1"/>
    <n v="1"/>
    <n v="0"/>
    <n v="1"/>
    <m/>
    <d v="2013-08-27T00:00:00"/>
    <n v="0"/>
    <m/>
    <n v="0"/>
    <m/>
    <m/>
    <m/>
    <m/>
  </r>
  <r>
    <x v="133"/>
    <n v="17351"/>
    <s v="45208810855550000497"/>
    <n v="12224721728.67"/>
    <s v="б/н_2015-12-14"/>
    <m/>
    <d v="2015-12-14T00:00:00"/>
    <m/>
    <m/>
    <n v="1"/>
    <n v="1"/>
    <m/>
    <m/>
    <n v="1"/>
    <n v="1"/>
    <n v="1"/>
    <n v="0"/>
    <n v="1"/>
    <m/>
    <d v="2015-12-23T00:00:00"/>
    <n v="0"/>
    <m/>
    <m/>
    <m/>
    <n v="0"/>
    <m/>
    <m/>
  </r>
  <r>
    <x v="134"/>
    <n v="7068"/>
    <s v="45105810455550000026"/>
    <n v="95625000000"/>
    <s v="2702/СДБО"/>
    <m/>
    <d v="2011-03-11T00:00:00"/>
    <m/>
    <m/>
    <n v="1"/>
    <n v="1"/>
    <n v="-1"/>
    <s v="0"/>
    <n v="1"/>
    <n v="1"/>
    <n v="1"/>
    <n v="0"/>
    <n v="1"/>
    <n v="1"/>
    <d v="2012-04-28T00:00:00"/>
    <n v="0"/>
    <m/>
    <m/>
    <n v="0"/>
    <n v="0"/>
    <m/>
    <m/>
  </r>
  <r>
    <x v="134"/>
    <n v="22408"/>
    <s v="45108810755550000037"/>
    <n v="1846697807.9400001"/>
    <s v="4030"/>
    <m/>
    <d v="2016-06-30T00:00:00"/>
    <m/>
    <m/>
    <n v="1"/>
    <n v="1"/>
    <n v="-1"/>
    <s v="0"/>
    <n v="1"/>
    <n v="1"/>
    <n v="1"/>
    <n v="0"/>
    <n v="1"/>
    <m/>
    <d v="2016-07-29T00:00:00"/>
    <n v="0"/>
    <m/>
    <m/>
    <m/>
    <n v="0"/>
    <n v="0"/>
    <m/>
  </r>
  <r>
    <x v="135"/>
    <n v="18633"/>
    <s v="51507810500210000007"/>
    <n v="11504644543.809999"/>
    <s v="вексель_2013-01-31"/>
    <m/>
    <d v="2013-01-31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136"/>
    <n v="16835"/>
    <s v="45207810750050000420"/>
    <n v="148150705.30000001"/>
    <s v="01140/МР"/>
    <m/>
    <d v="2015-10-20T00:00:00"/>
    <m/>
    <m/>
    <n v="1"/>
    <n v="1"/>
    <m/>
    <m/>
    <n v="1"/>
    <n v="1"/>
    <n v="1"/>
    <n v="0"/>
    <n v="1"/>
    <m/>
    <d v="2015-11-10T00:00:00"/>
    <n v="0"/>
    <m/>
    <m/>
    <m/>
    <m/>
    <m/>
    <m/>
  </r>
  <r>
    <x v="137"/>
    <n v="3639"/>
    <s v="45208810555550000218"/>
    <n v="664716754.29999995"/>
    <s v="2583"/>
    <m/>
    <d v="2010-07-21T00:00:00"/>
    <m/>
    <m/>
    <n v="2.1"/>
    <n v="1"/>
    <m/>
    <m/>
    <n v="2.1"/>
    <n v="2.1"/>
    <n v="2.1"/>
    <n v="0"/>
    <n v="1"/>
    <m/>
    <d v="2010-07-29T00:00:00"/>
    <n v="0"/>
    <m/>
    <n v="0"/>
    <m/>
    <n v="0"/>
    <m/>
    <m/>
  </r>
  <r>
    <x v="137"/>
    <n v="9269"/>
    <s v="45208810155550000362"/>
    <n v="6000000000"/>
    <s v="3276"/>
    <m/>
    <d v="2013-06-26T00:00:00"/>
    <m/>
    <m/>
    <n v="2.1"/>
    <n v="1"/>
    <m/>
    <m/>
    <n v="2.1"/>
    <n v="2.1"/>
    <n v="2.1"/>
    <n v="0"/>
    <n v="1"/>
    <m/>
    <d v="2013-06-26T00:00:00"/>
    <n v="0"/>
    <m/>
    <m/>
    <m/>
    <n v="0"/>
    <m/>
    <m/>
  </r>
  <r>
    <x v="137"/>
    <n v="11088"/>
    <s v="45208810055550000404"/>
    <n v="10492008100"/>
    <s v="3460"/>
    <m/>
    <d v="2014-02-21T00:00:00"/>
    <m/>
    <m/>
    <n v="2.1"/>
    <n v="1"/>
    <m/>
    <m/>
    <n v="2.1"/>
    <n v="2.1"/>
    <n v="2.1"/>
    <n v="0"/>
    <n v="1"/>
    <m/>
    <d v="2014-03-20T00:00:00"/>
    <n v="0"/>
    <m/>
    <m/>
    <m/>
    <n v="0"/>
    <m/>
    <m/>
  </r>
  <r>
    <x v="137"/>
    <n v="11634"/>
    <s v="47802810755550000218"/>
    <n v="17874516145.830002"/>
    <s v="LA-42-050111-DBI"/>
    <m/>
    <d v="2011-02-14T00:00:00"/>
    <m/>
    <m/>
    <n v="2.1"/>
    <n v="1"/>
    <m/>
    <m/>
    <n v="2.1"/>
    <n v="2.1"/>
    <n v="2.1"/>
    <n v="0"/>
    <n v="1"/>
    <m/>
    <d v="2011-02-14T00:00:00"/>
    <n v="0"/>
    <m/>
    <m/>
    <m/>
    <n v="0"/>
    <m/>
    <m/>
  </r>
  <r>
    <x v="137"/>
    <n v="18435"/>
    <s v="51507810800210000008"/>
    <n v="1304597260.27"/>
    <s v="вексель_2013-10-21"/>
    <m/>
    <d v="2013-10-21T00:00:00"/>
    <m/>
    <m/>
    <n v="2.1"/>
    <n v="2"/>
    <m/>
    <m/>
    <n v="3.0999999999999996"/>
    <n v="3"/>
    <n v="3.0999999999999996"/>
    <n v="1"/>
    <n v="0"/>
    <m/>
    <d v="2500-01-01T00:00:00"/>
    <n v="0"/>
    <m/>
    <m/>
    <m/>
    <m/>
    <m/>
    <m/>
  </r>
  <r>
    <x v="138"/>
    <n v="18060"/>
    <s v="45204840155550000145"/>
    <n v="4105276500"/>
    <s v="3986"/>
    <m/>
    <d v="2016-05-04T00:00:00"/>
    <m/>
    <m/>
    <n v="2.2999999999999998"/>
    <n v="1"/>
    <m/>
    <m/>
    <n v="2.2999999999999998"/>
    <n v="2.2999999999999998"/>
    <n v="2.2999999999999998"/>
    <n v="0"/>
    <n v="1"/>
    <m/>
    <d v="2016-05-31T00:00:00"/>
    <n v="0"/>
    <m/>
    <m/>
    <n v="0"/>
    <m/>
    <m/>
    <m/>
  </r>
  <r>
    <x v="139"/>
    <n v="16972"/>
    <s v="45208840055550000199"/>
    <n v="21789544500"/>
    <s v="3598"/>
    <m/>
    <d v="2015-10-29T00:00:00"/>
    <m/>
    <m/>
    <n v="1"/>
    <n v="1"/>
    <m/>
    <m/>
    <n v="1"/>
    <n v="1"/>
    <n v="1"/>
    <n v="0"/>
    <n v="1"/>
    <m/>
    <d v="2015-11-09T00:00:00"/>
    <n v="0"/>
    <m/>
    <m/>
    <m/>
    <n v="0"/>
    <m/>
    <m/>
  </r>
  <r>
    <x v="140"/>
    <n v="17805"/>
    <s v="45208840855550000218"/>
    <n v="15726366900"/>
    <s v="3845"/>
    <m/>
    <d v="2016-04-18T00:00:00"/>
    <m/>
    <m/>
    <n v="1"/>
    <n v="1"/>
    <m/>
    <m/>
    <n v="1"/>
    <n v="1"/>
    <n v="1"/>
    <n v="0"/>
    <n v="1"/>
    <m/>
    <d v="2016-04-27T00:00:00"/>
    <n v="0"/>
    <m/>
    <m/>
    <m/>
    <n v="0"/>
    <m/>
    <m/>
  </r>
  <r>
    <x v="141"/>
    <n v="10420"/>
    <s v="32308840700210000066"/>
    <n v="834234264.51999998"/>
    <s v="701612138 - участ. Южный Кузбасс"/>
    <m/>
    <d v="2013-12-17T00:00:00"/>
    <m/>
    <m/>
    <n v="2.2999999999999998"/>
    <n v="3"/>
    <n v="-2"/>
    <s v="345"/>
    <n v="3"/>
    <n v="3"/>
    <n v="3"/>
    <n v="0"/>
    <n v="1"/>
    <m/>
    <d v="2014-03-11T00:00:00"/>
    <n v="752"/>
    <m/>
    <m/>
    <m/>
    <n v="0"/>
    <m/>
    <m/>
  </r>
  <r>
    <x v="141"/>
    <n v="13908"/>
    <s v="45208810455550000431"/>
    <n v="10007537959.18"/>
    <s v="КС-743000/2008/00104"/>
    <m/>
    <d v="2008-11-26T00:00:00"/>
    <m/>
    <m/>
    <n v="2.2999999999999998"/>
    <n v="3"/>
    <n v="-2"/>
    <s v="345"/>
    <n v="3"/>
    <n v="3"/>
    <n v="3"/>
    <n v="0"/>
    <n v="1"/>
    <m/>
    <d v="2000-01-01T00:00:00"/>
    <n v="712"/>
    <m/>
    <n v="2"/>
    <m/>
    <m/>
    <m/>
    <m/>
  </r>
  <r>
    <x v="141"/>
    <n v="14002"/>
    <s v="45208810755550000432"/>
    <n v="1644551689.76"/>
    <s v="К2600/10-0709ЛВ/Д000"/>
    <m/>
    <d v="2011-02-07T00:00:00"/>
    <m/>
    <m/>
    <n v="2.2999999999999998"/>
    <n v="3"/>
    <n v="-2"/>
    <s v="345"/>
    <n v="3"/>
    <n v="3"/>
    <n v="3"/>
    <n v="0"/>
    <n v="1"/>
    <m/>
    <d v="2000-01-01T00:00:00"/>
    <n v="740"/>
    <m/>
    <n v="1"/>
    <m/>
    <m/>
    <m/>
    <m/>
  </r>
  <r>
    <x v="141"/>
    <n v="14436"/>
    <s v="45812840755550000254"/>
    <n v="2447473313.8400002"/>
    <s v="цесс_2010-09-06 (б/н,)"/>
    <m/>
    <d v="2010-09-06T00:00:00"/>
    <m/>
    <m/>
    <n v="2.2999999999999998"/>
    <n v="3"/>
    <n v="-2"/>
    <s v="345"/>
    <n v="3"/>
    <n v="3"/>
    <n v="3"/>
    <n v="0"/>
    <n v="1"/>
    <m/>
    <d v="2000-01-01T00:00:00"/>
    <n v="752"/>
    <m/>
    <m/>
    <m/>
    <n v="0"/>
    <m/>
    <m/>
  </r>
  <r>
    <x v="141"/>
    <n v="18224"/>
    <s v="32309840000210000189"/>
    <n v="1643459737.23"/>
    <s v="701005162 - участ. Южный Кузбасс"/>
    <m/>
    <d v="2013-04-26T00:00:00"/>
    <m/>
    <m/>
    <n v="2.2999999999999998"/>
    <n v="3"/>
    <n v="-2"/>
    <s v="345"/>
    <n v="3"/>
    <n v="3"/>
    <n v="3"/>
    <n v="0"/>
    <n v="1"/>
    <m/>
    <d v="2013-06-10T00:00:00"/>
    <n v="752"/>
    <m/>
    <n v="0"/>
    <m/>
    <n v="0"/>
    <m/>
    <m/>
  </r>
  <r>
    <x v="142"/>
    <n v="3533"/>
    <s v="45208810855550000277"/>
    <n v="919000000"/>
    <s v="2576"/>
    <m/>
    <d v="2010-06-30T00:00:00"/>
    <m/>
    <m/>
    <n v="2.2000000000000002"/>
    <n v="1"/>
    <m/>
    <m/>
    <n v="2.2000000000000002"/>
    <n v="2.2000000000000002"/>
    <n v="2.2000000000000002"/>
    <n v="0"/>
    <n v="1"/>
    <m/>
    <d v="2010-06-30T00:00:00"/>
    <n v="0"/>
    <m/>
    <n v="0"/>
    <n v="0"/>
    <n v="0"/>
    <m/>
    <m/>
  </r>
  <r>
    <x v="142"/>
    <n v="5100"/>
    <s v="45208810855550000280"/>
    <n v="1776541280.4100001"/>
    <s v="2766"/>
    <m/>
    <d v="2011-05-18T00:00:00"/>
    <m/>
    <m/>
    <n v="2.2000000000000002"/>
    <n v="1"/>
    <m/>
    <m/>
    <n v="2.2000000000000002"/>
    <n v="2.2000000000000002"/>
    <n v="2.2000000000000002"/>
    <n v="0"/>
    <n v="1"/>
    <m/>
    <d v="2011-06-06T00:00:00"/>
    <n v="0"/>
    <m/>
    <m/>
    <m/>
    <m/>
    <m/>
    <m/>
  </r>
  <r>
    <x v="142"/>
    <n v="15017"/>
    <s v="45207810555550000565"/>
    <n v="966371123.28999996"/>
    <s v="3624"/>
    <m/>
    <d v="2015-03-05T00:00:00"/>
    <m/>
    <m/>
    <n v="2.2000000000000002"/>
    <n v="1"/>
    <m/>
    <m/>
    <n v="2.2000000000000002"/>
    <n v="2.2000000000000002"/>
    <n v="2.2000000000000002"/>
    <n v="0"/>
    <n v="1"/>
    <m/>
    <d v="2015-03-18T00:00:00"/>
    <n v="0"/>
    <m/>
    <n v="0"/>
    <m/>
    <n v="0"/>
    <m/>
    <m/>
  </r>
  <r>
    <x v="143"/>
    <n v="100003663"/>
    <s v="32203840600210004474"/>
    <n v="1565142553.8499999"/>
    <m/>
    <m/>
    <m/>
    <m/>
    <m/>
    <n v="1"/>
    <n v="1"/>
    <m/>
    <m/>
    <n v="1"/>
    <n v="1"/>
    <n v="1"/>
    <n v="0"/>
    <m/>
    <m/>
    <m/>
    <n v="0"/>
    <m/>
    <m/>
    <m/>
    <m/>
    <m/>
    <m/>
  </r>
  <r>
    <x v="144"/>
    <n v="18248"/>
    <s v="45205810655550000315"/>
    <n v="11500000000"/>
    <s v="79-1006/15/1209-14-КР"/>
    <m/>
    <d v="2014-09-22T00:00:00"/>
    <m/>
    <m/>
    <n v="2.2000000000000002"/>
    <n v="2"/>
    <n v="-2"/>
    <s v="0"/>
    <n v="2"/>
    <n v="2"/>
    <n v="2"/>
    <n v="0"/>
    <n v="1"/>
    <m/>
    <d v="2000-01-01T00:00:00"/>
    <n v="8"/>
    <s v="2016-08-24"/>
    <m/>
    <n v="0"/>
    <n v="0"/>
    <m/>
    <m/>
  </r>
  <r>
    <x v="145"/>
    <n v="2273"/>
    <s v="45208810555550000166"/>
    <n v="15040912510.200001"/>
    <s v="2362"/>
    <m/>
    <d v="2009-02-01T00:00:00"/>
    <m/>
    <m/>
    <n v="1"/>
    <n v="1"/>
    <m/>
    <m/>
    <n v="1"/>
    <n v="1"/>
    <n v="1"/>
    <n v="0"/>
    <n v="1"/>
    <m/>
    <d v="2009-09-23T00:00:00"/>
    <n v="0"/>
    <m/>
    <n v="0"/>
    <m/>
    <n v="0"/>
    <m/>
    <m/>
  </r>
  <r>
    <x v="146"/>
    <n v="5571"/>
    <s v="51507810900210000005"/>
    <n v="109410509.92"/>
    <s v="векс. Самараоргсинтез"/>
    <m/>
    <d v="2011-07-20T00:00:00"/>
    <m/>
    <m/>
    <n v="2"/>
    <n v="2"/>
    <m/>
    <m/>
    <n v="3"/>
    <n v="3"/>
    <n v="3"/>
    <n v="0"/>
    <n v="0"/>
    <m/>
    <d v="2500-01-01T00:00:00"/>
    <n v="0"/>
    <m/>
    <m/>
    <m/>
    <m/>
    <m/>
    <m/>
  </r>
  <r>
    <x v="147"/>
    <n v="8111"/>
    <s v="45208810155550000346"/>
    <n v="20000000000"/>
    <s v="3062"/>
    <m/>
    <d v="2012-10-31T00:00:00"/>
    <m/>
    <m/>
    <n v="1"/>
    <n v="1"/>
    <m/>
    <m/>
    <n v="1"/>
    <n v="1"/>
    <n v="1"/>
    <n v="0"/>
    <n v="1"/>
    <m/>
    <d v="2013-02-20T00:00:00"/>
    <n v="0"/>
    <m/>
    <m/>
    <m/>
    <n v="0"/>
    <m/>
    <m/>
  </r>
  <r>
    <x v="147"/>
    <n v="17581"/>
    <s v="45208810155550000511"/>
    <n v="30000000000"/>
    <s v="3855"/>
    <m/>
    <d v="2016-02-11T00:00:00"/>
    <m/>
    <m/>
    <n v="1"/>
    <n v="1"/>
    <m/>
    <m/>
    <n v="1"/>
    <n v="1"/>
    <n v="1"/>
    <n v="0"/>
    <n v="1"/>
    <m/>
    <d v="2016-02-20T00:00:00"/>
    <n v="0"/>
    <m/>
    <m/>
    <m/>
    <n v="0"/>
    <m/>
    <m/>
  </r>
  <r>
    <x v="148"/>
    <n v="4648"/>
    <s v="45208810055550000394"/>
    <n v="8915740747.4699993"/>
    <s v="2698"/>
    <m/>
    <d v="2011-03-09T00:00:00"/>
    <m/>
    <m/>
    <n v="1"/>
    <n v="1"/>
    <m/>
    <m/>
    <n v="1"/>
    <n v="1"/>
    <n v="1"/>
    <n v="0"/>
    <n v="1"/>
    <m/>
    <d v="2011-03-09T00:00:00"/>
    <n v="0"/>
    <m/>
    <n v="0"/>
    <m/>
    <n v="0"/>
    <m/>
    <m/>
  </r>
  <r>
    <x v="148"/>
    <n v="6518"/>
    <s v="45208810455550000392"/>
    <n v="660635000"/>
    <s v="2904"/>
    <m/>
    <d v="2011-12-20T00:00:00"/>
    <m/>
    <m/>
    <n v="1"/>
    <n v="1"/>
    <m/>
    <m/>
    <n v="1"/>
    <n v="1"/>
    <n v="1"/>
    <n v="0"/>
    <n v="1"/>
    <m/>
    <d v="2011-12-21T00:00:00"/>
    <n v="0"/>
    <m/>
    <n v="0"/>
    <m/>
    <n v="0"/>
    <m/>
    <m/>
  </r>
  <r>
    <x v="148"/>
    <n v="6691"/>
    <s v="45208840055550000186"/>
    <n v="489159484.5"/>
    <s v="2903"/>
    <m/>
    <d v="2012-02-10T00:00:00"/>
    <m/>
    <m/>
    <n v="1"/>
    <n v="1"/>
    <m/>
    <m/>
    <n v="1"/>
    <n v="1"/>
    <n v="1"/>
    <n v="0"/>
    <n v="1"/>
    <m/>
    <d v="2012-02-15T00:00:00"/>
    <n v="0"/>
    <m/>
    <n v="0"/>
    <m/>
    <n v="0"/>
    <m/>
    <m/>
  </r>
  <r>
    <x v="148"/>
    <n v="7036"/>
    <s v="45208840655550000191"/>
    <n v="234422025.03"/>
    <s v="2944"/>
    <m/>
    <d v="2012-04-05T00:00:00"/>
    <m/>
    <m/>
    <n v="1"/>
    <n v="1"/>
    <m/>
    <m/>
    <n v="1"/>
    <n v="1"/>
    <n v="1"/>
    <n v="0"/>
    <n v="1"/>
    <m/>
    <d v="2012-04-05T00:00:00"/>
    <n v="0"/>
    <m/>
    <n v="0"/>
    <m/>
    <n v="0"/>
    <m/>
    <m/>
  </r>
  <r>
    <x v="148"/>
    <n v="7148"/>
    <s v="45208810055550000459"/>
    <n v="5482460615"/>
    <s v="2958"/>
    <m/>
    <d v="2012-04-23T00:00:00"/>
    <m/>
    <m/>
    <n v="1"/>
    <n v="1"/>
    <m/>
    <m/>
    <n v="1"/>
    <n v="1"/>
    <n v="1"/>
    <n v="0"/>
    <n v="1"/>
    <m/>
    <d v="2012-04-23T00:00:00"/>
    <n v="0"/>
    <m/>
    <n v="0"/>
    <m/>
    <n v="0"/>
    <m/>
    <m/>
  </r>
  <r>
    <x v="148"/>
    <n v="7318"/>
    <s v="45208344855550000002"/>
    <n v="1554531374.3099999"/>
    <s v="2963"/>
    <m/>
    <d v="2012-05-14T00:00:00"/>
    <m/>
    <m/>
    <n v="1"/>
    <n v="1"/>
    <m/>
    <m/>
    <n v="1"/>
    <n v="1"/>
    <n v="1"/>
    <n v="0"/>
    <n v="1"/>
    <m/>
    <d v="2012-05-14T00:00:00"/>
    <n v="0"/>
    <m/>
    <n v="0"/>
    <m/>
    <n v="0"/>
    <m/>
    <m/>
  </r>
  <r>
    <x v="148"/>
    <n v="7364"/>
    <s v="45208810355550000463"/>
    <n v="3291889161.8499999"/>
    <s v="2979"/>
    <m/>
    <d v="2012-05-31T00:00:00"/>
    <m/>
    <m/>
    <n v="1"/>
    <n v="1"/>
    <m/>
    <m/>
    <n v="1"/>
    <n v="1"/>
    <n v="1"/>
    <n v="0"/>
    <n v="1"/>
    <m/>
    <d v="2012-05-31T00:00:00"/>
    <n v="0"/>
    <m/>
    <n v="0"/>
    <m/>
    <n v="0"/>
    <m/>
    <m/>
  </r>
  <r>
    <x v="148"/>
    <n v="7564"/>
    <s v="45208978055550000058"/>
    <n v="1844357446"/>
    <s v="3019"/>
    <m/>
    <d v="2012-07-18T00:00:00"/>
    <m/>
    <m/>
    <n v="1"/>
    <n v="1"/>
    <m/>
    <m/>
    <n v="1"/>
    <n v="1"/>
    <n v="1"/>
    <n v="0"/>
    <n v="1"/>
    <m/>
    <d v="2012-07-18T00:00:00"/>
    <n v="0"/>
    <m/>
    <n v="0"/>
    <m/>
    <n v="0"/>
    <m/>
    <m/>
  </r>
  <r>
    <x v="148"/>
    <n v="8174"/>
    <s v="45208810055550000491"/>
    <n v="958659772.38"/>
    <s v="3109"/>
    <m/>
    <d v="2012-11-22T00:00:00"/>
    <m/>
    <m/>
    <n v="1"/>
    <n v="1"/>
    <m/>
    <m/>
    <n v="1"/>
    <n v="1"/>
    <n v="1"/>
    <n v="0"/>
    <n v="1"/>
    <m/>
    <d v="2012-11-22T00:00:00"/>
    <n v="0"/>
    <m/>
    <n v="0"/>
    <m/>
    <n v="0"/>
    <m/>
    <m/>
  </r>
  <r>
    <x v="148"/>
    <n v="10525"/>
    <s v="45207840355550000298"/>
    <n v="1642110600"/>
    <s v="3431"/>
    <m/>
    <d v="2013-12-23T00:00:00"/>
    <m/>
    <m/>
    <n v="1"/>
    <n v="1"/>
    <m/>
    <m/>
    <n v="1"/>
    <n v="1"/>
    <n v="1"/>
    <n v="0"/>
    <n v="1"/>
    <m/>
    <d v="2013-12-23T00:00:00"/>
    <n v="0"/>
    <m/>
    <m/>
    <m/>
    <n v="0"/>
    <m/>
    <m/>
  </r>
  <r>
    <x v="148"/>
    <n v="10527"/>
    <s v="45207810755550000530"/>
    <n v="5198577129.9899998"/>
    <s v="3416"/>
    <m/>
    <d v="2013-12-23T00:00:00"/>
    <m/>
    <m/>
    <n v="1"/>
    <n v="1"/>
    <m/>
    <m/>
    <n v="1"/>
    <n v="1"/>
    <n v="1"/>
    <n v="0"/>
    <n v="1"/>
    <m/>
    <d v="2013-12-23T00:00:00"/>
    <n v="0"/>
    <m/>
    <n v="0"/>
    <m/>
    <n v="0"/>
    <m/>
    <m/>
  </r>
  <r>
    <x v="148"/>
    <n v="10528"/>
    <s v="45207840055550000297"/>
    <n v="1989488360.55"/>
    <s v="3425"/>
    <m/>
    <d v="2013-12-23T00:00:00"/>
    <m/>
    <m/>
    <n v="1"/>
    <n v="1"/>
    <m/>
    <m/>
    <n v="1"/>
    <n v="1"/>
    <n v="1"/>
    <n v="0"/>
    <n v="1"/>
    <m/>
    <d v="2013-12-23T00:00:00"/>
    <n v="0"/>
    <m/>
    <m/>
    <m/>
    <n v="0"/>
    <m/>
    <m/>
  </r>
  <r>
    <x v="148"/>
    <n v="10888"/>
    <s v="45207810055550000531"/>
    <n v="1373415005.71"/>
    <s v="3453"/>
    <m/>
    <d v="2014-02-04T00:00:00"/>
    <m/>
    <m/>
    <n v="1"/>
    <n v="1"/>
    <m/>
    <m/>
    <n v="1"/>
    <n v="1"/>
    <n v="1"/>
    <n v="0"/>
    <n v="1"/>
    <m/>
    <d v="2014-02-04T00:00:00"/>
    <n v="0"/>
    <m/>
    <n v="0"/>
    <m/>
    <n v="0"/>
    <m/>
    <m/>
  </r>
  <r>
    <x v="148"/>
    <n v="17343"/>
    <s v="45207344255550000001"/>
    <n v="9587939625"/>
    <s v="3893"/>
    <m/>
    <d v="2015-12-22T00:00:00"/>
    <m/>
    <m/>
    <n v="1"/>
    <n v="1"/>
    <m/>
    <m/>
    <n v="1"/>
    <n v="1"/>
    <n v="1"/>
    <n v="0"/>
    <n v="1"/>
    <m/>
    <d v="2015-12-22T00:00:00"/>
    <n v="0"/>
    <m/>
    <m/>
    <m/>
    <n v="0"/>
    <m/>
    <m/>
  </r>
  <r>
    <x v="148"/>
    <n v="22409"/>
    <s v="45208810455550000567"/>
    <n v="760206645.19000006"/>
    <s v="4036"/>
    <m/>
    <d v="2016-06-29T00:00:00"/>
    <m/>
    <m/>
    <n v="1"/>
    <n v="1"/>
    <m/>
    <m/>
    <n v="1"/>
    <n v="1"/>
    <n v="1"/>
    <n v="0"/>
    <n v="0"/>
    <m/>
    <d v="2026-06-29T00:00:00"/>
    <n v="0"/>
    <m/>
    <m/>
    <m/>
    <n v="0"/>
    <n v="0"/>
    <m/>
  </r>
  <r>
    <x v="148"/>
    <n v="24270"/>
    <s v="45207810555550000620"/>
    <n v="5000000000"/>
    <s v="4056"/>
    <m/>
    <d v="2016-07-21T00:00:00"/>
    <m/>
    <m/>
    <n v="1"/>
    <n v="1"/>
    <m/>
    <m/>
    <n v="1"/>
    <n v="1"/>
    <n v="1"/>
    <n v="0"/>
    <n v="1"/>
    <m/>
    <d v="2016-07-22T00:00:00"/>
    <n v="0"/>
    <m/>
    <m/>
    <m/>
    <n v="0"/>
    <m/>
    <m/>
  </r>
  <r>
    <x v="148"/>
    <n v="25961"/>
    <s v="45207810755550000624"/>
    <n v="236806475.09"/>
    <s v="4039"/>
    <m/>
    <d v="2016-08-11T00:00:00"/>
    <m/>
    <m/>
    <n v="1"/>
    <n v="1"/>
    <m/>
    <m/>
    <n v="1"/>
    <n v="1"/>
    <n v="1"/>
    <n v="0"/>
    <n v="1"/>
    <m/>
    <d v="2016-08-12T00:00:00"/>
    <n v="0"/>
    <m/>
    <m/>
    <m/>
    <n v="0"/>
    <m/>
    <m/>
  </r>
  <r>
    <x v="149"/>
    <n v="9242"/>
    <s v="45107810355550000014"/>
    <n v="128404543.37"/>
    <s v="б / н"/>
    <m/>
    <d v="2013-06-10T00:00:00"/>
    <m/>
    <m/>
    <n v="1"/>
    <n v="1"/>
    <m/>
    <m/>
    <n v="1"/>
    <n v="1"/>
    <n v="1"/>
    <n v="0"/>
    <n v="1"/>
    <m/>
    <d v="2013-07-11T00:00:00"/>
    <n v="0"/>
    <m/>
    <m/>
    <m/>
    <m/>
    <m/>
    <m/>
  </r>
  <r>
    <x v="149"/>
    <n v="9434"/>
    <s v="32308810100210000023"/>
    <n v="3292422.54"/>
    <s v="502506132 - участ. РЕСО-Лизинг"/>
    <m/>
    <d v="2013-07-11T00:00:00"/>
    <m/>
    <m/>
    <n v="1"/>
    <n v="1"/>
    <m/>
    <m/>
    <n v="1"/>
    <n v="1"/>
    <n v="1"/>
    <n v="0"/>
    <n v="1"/>
    <m/>
    <d v="2013-06-24T00:00:00"/>
    <n v="0"/>
    <m/>
    <m/>
    <m/>
    <m/>
    <m/>
    <m/>
  </r>
  <r>
    <x v="150"/>
    <n v="20109"/>
    <s v="45206810850050000813"/>
    <n v="248678256.74000001"/>
    <s v="01380/МР"/>
    <m/>
    <d v="2016-05-31T00:00:00"/>
    <m/>
    <m/>
    <n v="1"/>
    <n v="1"/>
    <m/>
    <m/>
    <n v="1"/>
    <n v="1"/>
    <n v="1"/>
    <n v="0"/>
    <n v="1"/>
    <m/>
    <d v="2016-06-30T00:00:00"/>
    <n v="0"/>
    <m/>
    <m/>
    <m/>
    <m/>
    <m/>
    <m/>
  </r>
  <r>
    <x v="151"/>
    <n v="10268"/>
    <s v="45208810850050000183"/>
    <n v="184360735.78999999"/>
    <s v="00569/МР"/>
    <m/>
    <d v="2013-11-25T00:00:00"/>
    <m/>
    <m/>
    <n v="3"/>
    <n v="3"/>
    <m/>
    <m/>
    <n v="5"/>
    <n v="5"/>
    <n v="5"/>
    <n v="0"/>
    <n v="1"/>
    <m/>
    <d v="2013-11-29T00:00:00"/>
    <n v="430"/>
    <s v="2016-08-01"/>
    <n v="1"/>
    <m/>
    <m/>
    <m/>
    <m/>
  </r>
  <r>
    <x v="151"/>
    <n v="12576"/>
    <s v="45208810550050000182"/>
    <n v="461524640.83999997"/>
    <s v="00767/МР"/>
    <m/>
    <d v="2014-07-15T00:00:00"/>
    <m/>
    <m/>
    <n v="3"/>
    <n v="3"/>
    <m/>
    <m/>
    <n v="5"/>
    <n v="5"/>
    <n v="5"/>
    <n v="0"/>
    <n v="1"/>
    <m/>
    <d v="2014-07-25T00:00:00"/>
    <n v="427"/>
    <s v="2016-08-01"/>
    <n v="1"/>
    <m/>
    <m/>
    <m/>
    <m/>
  </r>
  <r>
    <x v="151"/>
    <n v="17523"/>
    <s v="45812810750060000009"/>
    <n v="11205574.83"/>
    <s v="IGR13/MSHD/9792"/>
    <m/>
    <d v="2013-08-13T00:00:00"/>
    <m/>
    <m/>
    <n v="3"/>
    <n v="3"/>
    <m/>
    <m/>
    <n v="5"/>
    <n v="5"/>
    <n v="5"/>
    <n v="0"/>
    <n v="1"/>
    <m/>
    <d v="2013-08-13T00:00:00"/>
    <n v="240"/>
    <m/>
    <m/>
    <m/>
    <m/>
    <m/>
    <m/>
  </r>
  <r>
    <x v="152"/>
    <n v="3627"/>
    <s v="45208810655550000215"/>
    <n v="1000000"/>
    <s v="2568"/>
    <m/>
    <d v="2010-07-19T00:00:00"/>
    <m/>
    <m/>
    <n v="2.1"/>
    <n v="2"/>
    <n v="-2"/>
    <s v="0"/>
    <n v="1.9999999999999996"/>
    <n v="1.9999999999999996"/>
    <n v="1.9999999999999996"/>
    <n v="0"/>
    <n v="1"/>
    <m/>
    <d v="2010-07-22T00:00:00"/>
    <n v="28"/>
    <s v="2016-04-28"/>
    <n v="1"/>
    <m/>
    <m/>
    <m/>
    <m/>
  </r>
  <r>
    <x v="153"/>
    <n v="9389"/>
    <s v="45812810855550000951"/>
    <n v="1070000000"/>
    <s v="3213/1"/>
    <m/>
    <d v="2013-07-19T00:00:00"/>
    <m/>
    <m/>
    <n v="2.2000000000000002"/>
    <n v="3"/>
    <m/>
    <m/>
    <n v="4.2"/>
    <n v="4.2"/>
    <n v="4.2"/>
    <n v="0"/>
    <n v="1"/>
    <m/>
    <d v="2000-01-01T00:00:00"/>
    <n v="439"/>
    <m/>
    <m/>
    <m/>
    <n v="0"/>
    <m/>
    <m/>
  </r>
  <r>
    <x v="153"/>
    <n v="9760"/>
    <s v="45812810155550000949"/>
    <n v="930000000"/>
    <s v="3391"/>
    <m/>
    <d v="2013-10-31T00:00:00"/>
    <m/>
    <m/>
    <n v="2.2000000000000002"/>
    <n v="3"/>
    <m/>
    <m/>
    <n v="4.2"/>
    <n v="4.2"/>
    <n v="4.2"/>
    <n v="0"/>
    <n v="1"/>
    <m/>
    <d v="2000-01-01T00:00:00"/>
    <n v="439"/>
    <m/>
    <m/>
    <m/>
    <n v="0"/>
    <m/>
    <m/>
  </r>
  <r>
    <x v="154"/>
    <n v="25957"/>
    <s v="45206810350050000834"/>
    <n v="159787226.69"/>
    <s v="01428/МР"/>
    <m/>
    <d v="2016-08-10T00:00:00"/>
    <m/>
    <m/>
    <n v="1"/>
    <n v="1"/>
    <m/>
    <m/>
    <n v="1"/>
    <n v="1"/>
    <n v="1"/>
    <n v="0"/>
    <n v="1"/>
    <m/>
    <d v="2016-08-22T00:00:00"/>
    <n v="0"/>
    <m/>
    <m/>
    <m/>
    <m/>
    <m/>
    <m/>
  </r>
  <r>
    <x v="154"/>
    <n v="26266"/>
    <s v="45201810350050000596"/>
    <n v="19331830.149999999"/>
    <s v="ОВ-01427/МР"/>
    <m/>
    <d v="2016-08-10T00:00:00"/>
    <m/>
    <m/>
    <n v="1"/>
    <n v="1"/>
    <m/>
    <m/>
    <n v="1"/>
    <n v="1"/>
    <n v="1"/>
    <n v="0"/>
    <n v="1"/>
    <m/>
    <d v="2016-09-20T00:00:00"/>
    <n v="0"/>
    <m/>
    <m/>
    <m/>
    <m/>
    <m/>
    <m/>
  </r>
  <r>
    <x v="154"/>
    <n v="26569"/>
    <s v="45206810150050000843"/>
    <n v="150000000"/>
    <s v="01430/МР"/>
    <m/>
    <d v="2016-08-10T00:00:00"/>
    <m/>
    <m/>
    <n v="1"/>
    <n v="1"/>
    <m/>
    <m/>
    <n v="1"/>
    <n v="1"/>
    <n v="1"/>
    <n v="0"/>
    <n v="1"/>
    <m/>
    <d v="2016-08-22T00:00:00"/>
    <n v="0"/>
    <m/>
    <m/>
    <m/>
    <m/>
    <m/>
    <m/>
  </r>
  <r>
    <x v="155"/>
    <n v="3442"/>
    <s v="45208810955550000203"/>
    <n v="7435266740.5500002"/>
    <s v="2447"/>
    <m/>
    <d v="2010-05-27T00:00:00"/>
    <m/>
    <m/>
    <n v="2.1"/>
    <n v="1"/>
    <m/>
    <m/>
    <n v="2.1"/>
    <n v="2.1"/>
    <n v="2.1"/>
    <n v="0"/>
    <n v="1"/>
    <m/>
    <d v="2010-06-11T00:00:00"/>
    <n v="0"/>
    <m/>
    <n v="0"/>
    <m/>
    <m/>
    <m/>
    <m/>
  </r>
  <r>
    <x v="156"/>
    <n v="16051"/>
    <s v="45208810055550000475"/>
    <n v="2097576812.0599999"/>
    <s v="3698"/>
    <m/>
    <d v="2015-07-22T00:00:00"/>
    <m/>
    <m/>
    <n v="1"/>
    <n v="1"/>
    <m/>
    <m/>
    <n v="1"/>
    <n v="1"/>
    <n v="1"/>
    <n v="0"/>
    <n v="1"/>
    <m/>
    <d v="2015-07-23T00:00:00"/>
    <n v="0"/>
    <m/>
    <m/>
    <m/>
    <m/>
    <m/>
    <m/>
  </r>
  <r>
    <x v="156"/>
    <n v="17382"/>
    <s v="45208810455550000499"/>
    <n v="2093641082.4000001"/>
    <s v="3862"/>
    <m/>
    <d v="2015-12-25T00:00:00"/>
    <m/>
    <m/>
    <n v="1"/>
    <n v="1"/>
    <m/>
    <m/>
    <n v="1"/>
    <n v="1"/>
    <n v="1"/>
    <n v="0"/>
    <n v="1"/>
    <m/>
    <d v="2015-12-25T00:00:00"/>
    <n v="0"/>
    <m/>
    <m/>
    <m/>
    <m/>
    <m/>
    <m/>
  </r>
  <r>
    <x v="157"/>
    <n v="13078"/>
    <s v="45208810250050000136"/>
    <n v="799489361.72000003"/>
    <s v="00839/МР"/>
    <m/>
    <d v="2014-08-29T00:00:00"/>
    <m/>
    <m/>
    <n v="1"/>
    <n v="1"/>
    <m/>
    <m/>
    <n v="1"/>
    <n v="1"/>
    <n v="1"/>
    <n v="0"/>
    <n v="1"/>
    <m/>
    <d v="2014-09-15T00:00:00"/>
    <n v="0"/>
    <m/>
    <m/>
    <m/>
    <n v="0"/>
    <m/>
    <m/>
  </r>
  <r>
    <x v="157"/>
    <n v="16024"/>
    <s v="45205810950050000374"/>
    <n v="390000000"/>
    <s v="01072/МР"/>
    <m/>
    <d v="2015-07-20T00:00:00"/>
    <m/>
    <m/>
    <n v="1"/>
    <n v="1"/>
    <m/>
    <m/>
    <n v="1"/>
    <n v="1"/>
    <n v="1"/>
    <n v="0"/>
    <n v="1"/>
    <m/>
    <d v="2015-08-17T00:00:00"/>
    <n v="0"/>
    <m/>
    <m/>
    <m/>
    <m/>
    <m/>
    <m/>
  </r>
  <r>
    <x v="157"/>
    <n v="16562"/>
    <s v="45205810250050000388"/>
    <n v="199933406.19"/>
    <s v="01128/МР"/>
    <m/>
    <d v="2015-09-17T00:00:00"/>
    <m/>
    <m/>
    <n v="1"/>
    <n v="1"/>
    <m/>
    <m/>
    <n v="1"/>
    <n v="1"/>
    <n v="1"/>
    <n v="0"/>
    <n v="1"/>
    <m/>
    <d v="2015-10-15T00:00:00"/>
    <n v="0"/>
    <m/>
    <m/>
    <m/>
    <m/>
    <m/>
    <m/>
  </r>
  <r>
    <x v="157"/>
    <n v="19720"/>
    <s v="45207810150050000444"/>
    <n v="400000000"/>
    <s v="01384/МР"/>
    <m/>
    <d v="2016-05-24T00:00:00"/>
    <m/>
    <m/>
    <n v="1"/>
    <n v="1"/>
    <m/>
    <m/>
    <n v="1"/>
    <n v="1"/>
    <n v="1"/>
    <n v="0"/>
    <n v="1"/>
    <m/>
    <d v="2016-06-15T00:00:00"/>
    <n v="0"/>
    <m/>
    <m/>
    <m/>
    <m/>
    <m/>
    <m/>
  </r>
  <r>
    <x v="157"/>
    <n v="24656"/>
    <s v="45207810750050000462"/>
    <n v="199988035.33000001"/>
    <s v="01455/МР"/>
    <m/>
    <d v="2016-07-28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157"/>
    <n v="24907"/>
    <s v="45208810850050000196"/>
    <n v="79103015"/>
    <s v="01454/МР"/>
    <m/>
    <d v="2016-07-29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158"/>
    <n v="18249"/>
    <s v="45812810255550001000"/>
    <n v="2059435597.0799999"/>
    <s v="79-1006/15/1027-13-КР"/>
    <m/>
    <d v="2013-12-30T00:00:00"/>
    <m/>
    <m/>
    <n v="1"/>
    <n v="3"/>
    <m/>
    <m/>
    <n v="3"/>
    <n v="3"/>
    <n v="3"/>
    <n v="0"/>
    <n v="1"/>
    <m/>
    <d v="2000-01-01T00:00:00"/>
    <n v="243"/>
    <m/>
    <n v="1"/>
    <m/>
    <n v="0"/>
    <m/>
    <m/>
  </r>
  <r>
    <x v="159"/>
    <n v="24781"/>
    <s v="45206810255550000523"/>
    <n v="4500000000"/>
    <s v="4005"/>
    <m/>
    <d v="2016-07-29T00:00:00"/>
    <m/>
    <m/>
    <n v="1"/>
    <n v="1"/>
    <m/>
    <m/>
    <n v="1"/>
    <n v="1"/>
    <n v="1"/>
    <n v="0"/>
    <n v="1"/>
    <m/>
    <d v="2016-08-31T00:00:00"/>
    <n v="0"/>
    <m/>
    <m/>
    <m/>
    <n v="0"/>
    <m/>
    <m/>
  </r>
  <r>
    <x v="159"/>
    <n v="26687"/>
    <s v="45206810155550000526"/>
    <n v="10500000000"/>
    <s v="4072"/>
    <m/>
    <d v="2016-08-31T00:00:00"/>
    <m/>
    <m/>
    <n v="1"/>
    <n v="1"/>
    <m/>
    <m/>
    <n v="1"/>
    <n v="1"/>
    <n v="1"/>
    <n v="0"/>
    <n v="1"/>
    <m/>
    <d v="2016-09-30T00:00:00"/>
    <n v="0"/>
    <m/>
    <m/>
    <m/>
    <m/>
    <m/>
    <m/>
  </r>
  <r>
    <x v="160"/>
    <n v="26629"/>
    <s v="45206810550050000841"/>
    <n v="600000000"/>
    <s v="01472/МР"/>
    <m/>
    <d v="2016-09-08T00:00:00"/>
    <m/>
    <m/>
    <n v="1"/>
    <n v="1"/>
    <m/>
    <m/>
    <n v="1"/>
    <n v="1"/>
    <n v="1"/>
    <n v="0"/>
    <n v="1"/>
    <m/>
    <d v="2016-09-18T00:00:00"/>
    <n v="0"/>
    <m/>
    <m/>
    <m/>
    <m/>
    <m/>
    <m/>
  </r>
  <r>
    <x v="161"/>
    <n v="12621"/>
    <s v="45812810055550000926"/>
    <n v="480277380.22000003"/>
    <s v="КС-720000/2012/00030"/>
    <m/>
    <d v="2012-04-13T00:00:00"/>
    <m/>
    <m/>
    <n v="3"/>
    <n v="3"/>
    <m/>
    <m/>
    <n v="5"/>
    <n v="5"/>
    <n v="5"/>
    <n v="0"/>
    <n v="1"/>
    <m/>
    <d v="2000-01-01T00:00:00"/>
    <n v="786"/>
    <m/>
    <n v="0"/>
    <n v="0"/>
    <m/>
    <m/>
    <m/>
  </r>
  <r>
    <x v="161"/>
    <n v="12622"/>
    <s v="45812810355550000927"/>
    <n v="255687922.28999999"/>
    <s v="КС-720000/2012/00033"/>
    <m/>
    <d v="2012-04-13T00:00:00"/>
    <m/>
    <m/>
    <n v="3"/>
    <n v="3"/>
    <m/>
    <m/>
    <n v="5"/>
    <n v="5"/>
    <n v="5"/>
    <n v="0"/>
    <n v="1"/>
    <m/>
    <d v="2000-01-01T00:00:00"/>
    <n v="786"/>
    <m/>
    <n v="0"/>
    <m/>
    <m/>
    <m/>
    <m/>
  </r>
  <r>
    <x v="162"/>
    <n v="14045"/>
    <s v="45204810150050000285"/>
    <n v="199400000"/>
    <s v="00924/МР"/>
    <m/>
    <d v="2014-11-20T00:00:00"/>
    <m/>
    <m/>
    <n v="1"/>
    <n v="1"/>
    <m/>
    <m/>
    <n v="1"/>
    <n v="1"/>
    <n v="1"/>
    <n v="0"/>
    <n v="1"/>
    <m/>
    <d v="2014-12-15T00:00:00"/>
    <n v="0"/>
    <m/>
    <m/>
    <m/>
    <m/>
    <m/>
    <m/>
  </r>
  <r>
    <x v="162"/>
    <n v="14176"/>
    <s v="45204810750050000287"/>
    <n v="68000000"/>
    <s v="00927/МР"/>
    <m/>
    <d v="2014-12-04T00:00:00"/>
    <m/>
    <m/>
    <n v="1"/>
    <n v="1"/>
    <m/>
    <m/>
    <n v="1"/>
    <n v="1"/>
    <n v="1"/>
    <n v="0"/>
    <n v="1"/>
    <m/>
    <d v="2014-12-15T00:00:00"/>
    <n v="0"/>
    <m/>
    <m/>
    <m/>
    <m/>
    <m/>
    <m/>
  </r>
  <r>
    <x v="162"/>
    <n v="16001"/>
    <s v="45205810650050000373"/>
    <n v="93000000"/>
    <s v="01053/МР"/>
    <m/>
    <d v="2015-07-10T00:00:00"/>
    <m/>
    <m/>
    <n v="1"/>
    <n v="1"/>
    <m/>
    <m/>
    <n v="1"/>
    <n v="1"/>
    <n v="1"/>
    <n v="0"/>
    <n v="1"/>
    <m/>
    <d v="2015-07-15T00:00:00"/>
    <n v="0"/>
    <m/>
    <m/>
    <m/>
    <m/>
    <m/>
    <m/>
  </r>
  <r>
    <x v="162"/>
    <n v="16089"/>
    <s v="45205810850050000377"/>
    <n v="78000000"/>
    <s v="01055/МР"/>
    <m/>
    <d v="2015-07-24T00:00:00"/>
    <m/>
    <m/>
    <n v="1"/>
    <n v="1"/>
    <m/>
    <m/>
    <n v="1"/>
    <n v="1"/>
    <n v="1"/>
    <n v="0"/>
    <n v="1"/>
    <m/>
    <d v="2015-08-17T00:00:00"/>
    <n v="0"/>
    <m/>
    <m/>
    <m/>
    <m/>
    <m/>
    <m/>
  </r>
  <r>
    <x v="162"/>
    <n v="16567"/>
    <s v="45205810550050000389"/>
    <n v="98000000"/>
    <s v="01119/МР"/>
    <m/>
    <d v="2015-09-22T00:00:00"/>
    <m/>
    <m/>
    <n v="1"/>
    <n v="1"/>
    <m/>
    <m/>
    <n v="1"/>
    <n v="1"/>
    <n v="1"/>
    <n v="0"/>
    <n v="1"/>
    <m/>
    <d v="2015-10-15T00:00:00"/>
    <n v="0"/>
    <m/>
    <m/>
    <m/>
    <m/>
    <m/>
    <m/>
  </r>
  <r>
    <x v="162"/>
    <n v="16674"/>
    <s v="45205810850050000393"/>
    <n v="100000000"/>
    <s v="01120/МР"/>
    <m/>
    <d v="2015-09-28T00:00:00"/>
    <m/>
    <m/>
    <n v="1"/>
    <n v="1"/>
    <m/>
    <m/>
    <n v="1"/>
    <n v="1"/>
    <n v="1"/>
    <n v="0"/>
    <n v="1"/>
    <m/>
    <d v="2015-10-15T00:00:00"/>
    <n v="0"/>
    <m/>
    <m/>
    <m/>
    <m/>
    <m/>
    <m/>
  </r>
  <r>
    <x v="163"/>
    <n v="13857"/>
    <s v="45812978950050000007"/>
    <n v="388183582.36000001"/>
    <s v="КС-670100/2010/00013"/>
    <m/>
    <d v="2010-02-17T00:00:00"/>
    <m/>
    <m/>
    <n v="3"/>
    <n v="3"/>
    <m/>
    <m/>
    <n v="5"/>
    <n v="5"/>
    <n v="5"/>
    <n v="0"/>
    <n v="1"/>
    <m/>
    <d v="2000-01-01T00:00:00"/>
    <n v="929"/>
    <m/>
    <m/>
    <m/>
    <m/>
    <m/>
    <m/>
  </r>
  <r>
    <x v="164"/>
    <n v="16002"/>
    <s v="45206810250050000714"/>
    <n v="100000000"/>
    <s v="01078/МР"/>
    <m/>
    <d v="2015-07-21T00:00:00"/>
    <m/>
    <m/>
    <n v="1"/>
    <n v="1"/>
    <m/>
    <m/>
    <n v="1"/>
    <n v="1"/>
    <n v="1"/>
    <n v="0"/>
    <n v="1"/>
    <m/>
    <d v="2015-07-30T00:00:00"/>
    <n v="0"/>
    <m/>
    <m/>
    <m/>
    <m/>
    <m/>
    <m/>
  </r>
  <r>
    <x v="164"/>
    <n v="16615"/>
    <s v="45206810350050000737"/>
    <n v="300000000"/>
    <s v="01134/МР"/>
    <m/>
    <d v="2015-09-25T00:00:00"/>
    <m/>
    <m/>
    <n v="1"/>
    <n v="1"/>
    <m/>
    <m/>
    <n v="1"/>
    <n v="1"/>
    <n v="1"/>
    <n v="0"/>
    <n v="1"/>
    <m/>
    <d v="2015-09-30T00:00:00"/>
    <n v="0"/>
    <m/>
    <m/>
    <m/>
    <m/>
    <m/>
    <m/>
  </r>
  <r>
    <x v="164"/>
    <n v="17744"/>
    <s v="45206810550050000799"/>
    <n v="200000000"/>
    <s v="01317/МР"/>
    <m/>
    <d v="2016-04-07T00:00:00"/>
    <m/>
    <m/>
    <n v="1"/>
    <n v="1"/>
    <m/>
    <m/>
    <n v="1"/>
    <n v="1"/>
    <n v="1"/>
    <n v="0"/>
    <n v="1"/>
    <m/>
    <d v="2016-04-30T00:00:00"/>
    <n v="0"/>
    <m/>
    <m/>
    <m/>
    <m/>
    <m/>
    <m/>
  </r>
  <r>
    <x v="164"/>
    <n v="19146"/>
    <s v="45206810550050000809"/>
    <n v="197300000"/>
    <s v="01359/МР"/>
    <m/>
    <d v="2016-05-13T00:00:00"/>
    <m/>
    <m/>
    <n v="1"/>
    <n v="1"/>
    <m/>
    <m/>
    <n v="1"/>
    <n v="1"/>
    <n v="1"/>
    <n v="0"/>
    <n v="1"/>
    <m/>
    <d v="2016-05-30T00:00:00"/>
    <n v="0"/>
    <m/>
    <m/>
    <m/>
    <m/>
    <m/>
    <m/>
  </r>
  <r>
    <x v="164"/>
    <n v="25726"/>
    <s v="45206810050050000833"/>
    <n v="150000000"/>
    <s v="01450/МР"/>
    <m/>
    <d v="2016-08-05T00:00:00"/>
    <m/>
    <m/>
    <n v="1"/>
    <n v="1"/>
    <m/>
    <m/>
    <n v="1"/>
    <n v="1"/>
    <n v="1"/>
    <n v="0"/>
    <n v="1"/>
    <m/>
    <d v="2016-08-30T00:00:00"/>
    <n v="0"/>
    <m/>
    <m/>
    <m/>
    <m/>
    <m/>
    <m/>
  </r>
  <r>
    <x v="165"/>
    <n v="26704"/>
    <s v="45205810150050000514"/>
    <n v="250000000"/>
    <s v="01508/МР"/>
    <m/>
    <d v="2016-09-28T00:00:00"/>
    <m/>
    <m/>
    <n v="1"/>
    <n v="1"/>
    <m/>
    <m/>
    <n v="1"/>
    <n v="1"/>
    <n v="1"/>
    <n v="0"/>
    <n v="0"/>
    <m/>
    <d v="2016-10-28T00:00:00"/>
    <n v="0"/>
    <m/>
    <m/>
    <m/>
    <m/>
    <m/>
    <m/>
  </r>
  <r>
    <x v="166"/>
    <n v="17416"/>
    <s v="45205810750050000435"/>
    <n v="606000000"/>
    <s v="01234/МР"/>
    <m/>
    <d v="2015-12-24T00:00:00"/>
    <m/>
    <m/>
    <n v="2.2000000000000002"/>
    <n v="1"/>
    <n v="-2"/>
    <s v="345"/>
    <n v="2"/>
    <n v="2"/>
    <n v="2"/>
    <n v="0"/>
    <n v="1"/>
    <m/>
    <d v="2016-01-11T00:00:00"/>
    <n v="0"/>
    <m/>
    <m/>
    <m/>
    <m/>
    <m/>
    <m/>
  </r>
  <r>
    <x v="167"/>
    <n v="11464"/>
    <s v="45208810250050000110"/>
    <n v="348837209.25999999"/>
    <s v="00663/МР"/>
    <m/>
    <d v="2014-03-27T00:00:00"/>
    <m/>
    <m/>
    <n v="2.1"/>
    <n v="1"/>
    <m/>
    <m/>
    <n v="2.1"/>
    <n v="2.1"/>
    <n v="2.1"/>
    <n v="0"/>
    <n v="1"/>
    <m/>
    <d v="2014-04-15T00:00:00"/>
    <n v="0"/>
    <m/>
    <m/>
    <m/>
    <m/>
    <m/>
    <m/>
  </r>
  <r>
    <x v="167"/>
    <n v="13796"/>
    <s v="45208810350050000146"/>
    <n v="346305573.5"/>
    <s v="00750/МР"/>
    <m/>
    <d v="2014-10-08T00:00:00"/>
    <m/>
    <m/>
    <n v="2.1"/>
    <n v="1"/>
    <m/>
    <m/>
    <n v="2.1"/>
    <n v="2.1"/>
    <n v="2.1"/>
    <n v="0"/>
    <n v="1"/>
    <m/>
    <d v="2014-12-15T00:00:00"/>
    <n v="0"/>
    <m/>
    <m/>
    <m/>
    <m/>
    <m/>
    <m/>
  </r>
  <r>
    <x v="168"/>
    <n v="4949"/>
    <s v="45208810455550000279"/>
    <n v="1080168781.98"/>
    <s v="2751"/>
    <m/>
    <d v="2011-04-26T00:00:00"/>
    <m/>
    <m/>
    <n v="1"/>
    <n v="1"/>
    <m/>
    <m/>
    <n v="1"/>
    <n v="1"/>
    <n v="1"/>
    <n v="0"/>
    <n v="1"/>
    <m/>
    <d v="2011-06-06T00:00:00"/>
    <n v="0"/>
    <m/>
    <n v="0"/>
    <m/>
    <m/>
    <m/>
    <m/>
  </r>
  <r>
    <x v="168"/>
    <n v="6971"/>
    <s v="45208810955550000326"/>
    <n v="212445690.99000001"/>
    <s v="2917"/>
    <m/>
    <d v="2012-03-30T00:00:00"/>
    <m/>
    <m/>
    <n v="1"/>
    <n v="1"/>
    <m/>
    <m/>
    <n v="1"/>
    <n v="1"/>
    <n v="1"/>
    <n v="0"/>
    <n v="1"/>
    <m/>
    <d v="2012-05-02T00:00:00"/>
    <n v="0"/>
    <m/>
    <n v="0"/>
    <m/>
    <m/>
    <m/>
    <m/>
  </r>
  <r>
    <x v="169"/>
    <n v="12337"/>
    <s v="45207810355550000558"/>
    <n v="2900831054.8800001"/>
    <s v="3508"/>
    <m/>
    <d v="2014-05-20T00:00:00"/>
    <m/>
    <m/>
    <n v="2.2000000000000002"/>
    <n v="1"/>
    <n v="-1"/>
    <s v="0"/>
    <n v="1.2000000000000002"/>
    <n v="1.2000000000000002"/>
    <n v="1.2000000000000002"/>
    <n v="0"/>
    <n v="1"/>
    <m/>
    <d v="2014-10-15T00:00:00"/>
    <n v="0"/>
    <m/>
    <m/>
    <m/>
    <m/>
    <m/>
    <m/>
  </r>
  <r>
    <x v="169"/>
    <n v="13409"/>
    <s v="45207810255550000564"/>
    <n v="2911825173.4200001"/>
    <s v="3568"/>
    <m/>
    <d v="2014-09-12T00:00:00"/>
    <m/>
    <m/>
    <n v="2.2000000000000002"/>
    <n v="1"/>
    <n v="-1"/>
    <s v="0"/>
    <n v="1.2000000000000002"/>
    <n v="1.2000000000000002"/>
    <n v="1.2000000000000002"/>
    <n v="0"/>
    <n v="1"/>
    <m/>
    <d v="2014-10-15T00:00:00"/>
    <n v="0"/>
    <m/>
    <m/>
    <m/>
    <m/>
    <m/>
    <m/>
  </r>
  <r>
    <x v="169"/>
    <n v="14095"/>
    <s v="45207810655550000559"/>
    <n v="999842665.62000012"/>
    <s v="3615"/>
    <m/>
    <d v="2014-11-21T00:00:00"/>
    <m/>
    <m/>
    <n v="2.2000000000000002"/>
    <n v="1"/>
    <n v="-1"/>
    <s v="0"/>
    <n v="1.2000000000000002"/>
    <n v="1.2000000000000002"/>
    <n v="1.2000000000000002"/>
    <n v="0"/>
    <n v="1"/>
    <m/>
    <d v="2015-03-15T00:00:00"/>
    <n v="0"/>
    <m/>
    <m/>
    <m/>
    <m/>
    <m/>
    <m/>
  </r>
  <r>
    <x v="170"/>
    <n v="15807"/>
    <s v="45208810955550000465"/>
    <n v="26250000000"/>
    <s v="3724"/>
    <m/>
    <d v="2015-06-25T00:00:00"/>
    <m/>
    <m/>
    <n v="1"/>
    <n v="1"/>
    <m/>
    <m/>
    <n v="1"/>
    <n v="1"/>
    <n v="1"/>
    <n v="0"/>
    <n v="1"/>
    <m/>
    <d v="2015-06-30T00:00:00"/>
    <n v="0"/>
    <m/>
    <n v="0"/>
    <m/>
    <n v="0"/>
    <m/>
    <m/>
  </r>
  <r>
    <x v="171"/>
    <n v="11717"/>
    <s v="32308756700210000008"/>
    <n v="2081420800"/>
    <s v="702204141 - участ. GFI Inv."/>
    <m/>
    <d v="2014-04-22T00:00:00"/>
    <m/>
    <m/>
    <n v="2.2000000000000002"/>
    <n v="1"/>
    <m/>
    <m/>
    <n v="2.2000000000000002"/>
    <n v="2.2000000000000002"/>
    <n v="2.2000000000000002"/>
    <n v="0"/>
    <n v="1"/>
    <m/>
    <d v="2014-07-22T00:00:00"/>
    <n v="0"/>
    <m/>
    <m/>
    <m/>
    <n v="0"/>
    <m/>
    <m/>
  </r>
  <r>
    <x v="172"/>
    <n v="26621"/>
    <s v="45207810655550000627"/>
    <n v="332711291.56999999"/>
    <s v="4017"/>
    <m/>
    <d v="2016-08-19T00:00:00"/>
    <m/>
    <m/>
    <n v="1"/>
    <n v="1"/>
    <m/>
    <m/>
    <n v="1"/>
    <n v="1"/>
    <n v="1"/>
    <n v="0"/>
    <n v="1"/>
    <m/>
    <d v="2016-09-20T00:00:00"/>
    <n v="0"/>
    <m/>
    <m/>
    <m/>
    <m/>
    <m/>
    <m/>
  </r>
  <r>
    <x v="173"/>
    <n v="8641"/>
    <s v="32309810700210000011"/>
    <n v="8831675823.4599991"/>
    <s v="502112121 - участ. МСС"/>
    <m/>
    <d v="2012-12-21T00:00:00"/>
    <m/>
    <m/>
    <n v="1"/>
    <n v="1"/>
    <m/>
    <m/>
    <n v="1"/>
    <n v="1"/>
    <n v="1"/>
    <n v="0"/>
    <n v="1"/>
    <m/>
    <d v="2013-06-20T00:00:00"/>
    <n v="0"/>
    <m/>
    <m/>
    <m/>
    <m/>
    <m/>
    <m/>
  </r>
  <r>
    <x v="173"/>
    <n v="9035"/>
    <s v="32309810300210000013"/>
    <n v="8500000000"/>
    <s v="502512122 - участ. МСС"/>
    <m/>
    <d v="2013-04-18T00:00:00"/>
    <m/>
    <m/>
    <n v="1"/>
    <n v="1"/>
    <m/>
    <m/>
    <n v="1"/>
    <n v="1"/>
    <n v="1"/>
    <n v="0"/>
    <n v="1"/>
    <m/>
    <d v="2012-12-21T00:00:00"/>
    <n v="0"/>
    <m/>
    <m/>
    <m/>
    <m/>
    <m/>
    <m/>
  </r>
  <r>
    <x v="174"/>
    <n v="9306"/>
    <s v="45208810850050000086"/>
    <n v="151578947.43000001"/>
    <s v="00374/МР"/>
    <m/>
    <d v="2013-06-28T00:00:00"/>
    <m/>
    <m/>
    <n v="1"/>
    <n v="1"/>
    <m/>
    <m/>
    <n v="1"/>
    <n v="1"/>
    <n v="1"/>
    <n v="0"/>
    <n v="1"/>
    <m/>
    <d v="2013-07-15T00:00:00"/>
    <n v="0"/>
    <m/>
    <m/>
    <m/>
    <m/>
    <m/>
    <m/>
  </r>
  <r>
    <x v="174"/>
    <n v="17787"/>
    <s v="45207810550050000439"/>
    <n v="1000000000"/>
    <s v="01348/МР"/>
    <m/>
    <d v="2016-04-22T00:00:00"/>
    <m/>
    <m/>
    <n v="1"/>
    <n v="1"/>
    <m/>
    <m/>
    <n v="1"/>
    <n v="1"/>
    <n v="1"/>
    <n v="0"/>
    <n v="1"/>
    <m/>
    <d v="2016-05-14T00:00:00"/>
    <n v="0"/>
    <m/>
    <m/>
    <m/>
    <m/>
    <m/>
    <m/>
  </r>
  <r>
    <x v="174"/>
    <n v="25730"/>
    <s v="45205810850050000500"/>
    <n v="300000000"/>
    <s v="01467/МР"/>
    <m/>
    <d v="2016-08-10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175"/>
    <n v="5719"/>
    <s v="47408810900210035439"/>
    <n v="145001000"/>
    <s v="351400-050811-1-1"/>
    <m/>
    <d v="2011-08-05T00:00:00"/>
    <m/>
    <m/>
    <n v="2"/>
    <n v="3"/>
    <m/>
    <m/>
    <n v="4"/>
    <n v="4"/>
    <n v="4"/>
    <n v="0"/>
    <n v="1"/>
    <m/>
    <d v="2000-01-01T00:00:00"/>
    <n v="571"/>
    <m/>
    <m/>
    <m/>
    <m/>
    <m/>
    <m/>
  </r>
  <r>
    <x v="176"/>
    <n v="6212"/>
    <s v="45208810155550000294"/>
    <n v="2138636622.9000001"/>
    <s v="2793"/>
    <m/>
    <d v="2011-10-04T00:00:00"/>
    <m/>
    <m/>
    <n v="2.1"/>
    <n v="1"/>
    <m/>
    <m/>
    <n v="2.1"/>
    <n v="2.1"/>
    <n v="2.1"/>
    <n v="0"/>
    <n v="1"/>
    <m/>
    <d v="2011-11-09T00:00:00"/>
    <n v="0"/>
    <m/>
    <n v="0"/>
    <m/>
    <m/>
    <m/>
    <m/>
  </r>
  <r>
    <x v="177"/>
    <n v="17106"/>
    <s v="45206810150050000762"/>
    <n v="34805939.07"/>
    <s v="01205/МР"/>
    <m/>
    <d v="2015-11-25T00:00:00"/>
    <m/>
    <m/>
    <n v="1"/>
    <n v="1"/>
    <m/>
    <m/>
    <n v="1"/>
    <n v="1"/>
    <n v="1"/>
    <n v="0"/>
    <n v="1"/>
    <m/>
    <d v="2015-12-15T00:00:00"/>
    <n v="0"/>
    <m/>
    <m/>
    <m/>
    <m/>
    <m/>
    <m/>
  </r>
  <r>
    <x v="177"/>
    <n v="26614"/>
    <s v="45812810050060000026"/>
    <n v="46850017.93"/>
    <s v="IGR15/MSHD/5453"/>
    <m/>
    <d v="2015-10-30T00:00:00"/>
    <m/>
    <m/>
    <n v="1"/>
    <n v="2"/>
    <m/>
    <m/>
    <n v="2"/>
    <n v="2"/>
    <n v="2"/>
    <n v="0"/>
    <n v="1"/>
    <m/>
    <d v="2015-10-30T00:00:00"/>
    <n v="24"/>
    <m/>
    <m/>
    <m/>
    <m/>
    <m/>
    <m/>
  </r>
  <r>
    <x v="178"/>
    <n v="20967"/>
    <s v="45208810355550000560"/>
    <n v="8618000000"/>
    <s v="3997"/>
    <m/>
    <d v="2016-06-14T00:00:00"/>
    <m/>
    <m/>
    <n v="1"/>
    <n v="1"/>
    <m/>
    <m/>
    <n v="1"/>
    <n v="1"/>
    <n v="1"/>
    <n v="0"/>
    <n v="0"/>
    <m/>
    <d v="2017-01-15T00:00:00"/>
    <n v="0"/>
    <m/>
    <m/>
    <m/>
    <m/>
    <m/>
    <m/>
  </r>
  <r>
    <x v="178"/>
    <n v="20968"/>
    <s v="45208810655550000561"/>
    <n v="6730000000"/>
    <s v="3996"/>
    <m/>
    <d v="2016-06-14T00:00:00"/>
    <m/>
    <m/>
    <n v="1"/>
    <n v="1"/>
    <m/>
    <m/>
    <n v="1"/>
    <n v="1"/>
    <n v="1"/>
    <n v="0"/>
    <n v="0"/>
    <m/>
    <d v="2017-01-15T00:00:00"/>
    <n v="0"/>
    <m/>
    <m/>
    <m/>
    <m/>
    <m/>
    <m/>
  </r>
  <r>
    <x v="178"/>
    <n v="23684"/>
    <s v="45206810655550000521"/>
    <n v="645504486.77999997"/>
    <s v="4051"/>
    <m/>
    <d v="2016-07-14T00:00:00"/>
    <m/>
    <m/>
    <n v="1"/>
    <n v="1"/>
    <m/>
    <m/>
    <n v="1"/>
    <n v="1"/>
    <n v="1"/>
    <n v="0"/>
    <n v="0"/>
    <m/>
    <d v="2016-10-17T00:00:00"/>
    <n v="0"/>
    <m/>
    <m/>
    <m/>
    <n v="0"/>
    <m/>
    <m/>
  </r>
  <r>
    <x v="179"/>
    <n v="16958"/>
    <s v="45204810350050000289"/>
    <n v="62500000"/>
    <s v="01193/МР"/>
    <m/>
    <d v="2015-11-03T00:00:00"/>
    <m/>
    <m/>
    <n v="1"/>
    <n v="1"/>
    <m/>
    <m/>
    <n v="1"/>
    <n v="1"/>
    <n v="1"/>
    <n v="0"/>
    <n v="1"/>
    <m/>
    <d v="2015-11-20T00:00:00"/>
    <n v="0"/>
    <m/>
    <m/>
    <m/>
    <m/>
    <m/>
    <m/>
  </r>
  <r>
    <x v="179"/>
    <n v="23919"/>
    <s v="45205810450050000489"/>
    <n v="155000000"/>
    <s v="01397/МР"/>
    <m/>
    <d v="2016-07-04T00:00:00"/>
    <m/>
    <m/>
    <n v="1"/>
    <n v="1"/>
    <m/>
    <m/>
    <n v="1"/>
    <n v="1"/>
    <n v="1"/>
    <n v="0"/>
    <n v="1"/>
    <m/>
    <d v="2016-07-20T00:00:00"/>
    <n v="0"/>
    <m/>
    <m/>
    <m/>
    <m/>
    <m/>
    <m/>
  </r>
  <r>
    <x v="179"/>
    <n v="26571"/>
    <s v="45205810650050000506"/>
    <n v="187000000"/>
    <s v="01444/МР"/>
    <m/>
    <d v="2016-08-16T00:00:00"/>
    <m/>
    <m/>
    <n v="1"/>
    <n v="1"/>
    <m/>
    <m/>
    <n v="1"/>
    <n v="1"/>
    <n v="1"/>
    <n v="0"/>
    <n v="1"/>
    <m/>
    <d v="2016-08-22T00:00:00"/>
    <n v="0"/>
    <m/>
    <m/>
    <m/>
    <m/>
    <m/>
    <m/>
  </r>
  <r>
    <x v="180"/>
    <n v="17107"/>
    <s v="45207810950050000424"/>
    <n v="120000000"/>
    <s v="01180/МР"/>
    <m/>
    <d v="2015-11-20T00:00:00"/>
    <m/>
    <m/>
    <n v="1"/>
    <n v="1"/>
    <m/>
    <m/>
    <n v="1"/>
    <n v="1"/>
    <n v="1"/>
    <n v="0"/>
    <n v="1"/>
    <m/>
    <d v="2015-11-30T00:00:00"/>
    <n v="0"/>
    <m/>
    <m/>
    <m/>
    <m/>
    <m/>
    <m/>
  </r>
  <r>
    <x v="180"/>
    <n v="17142"/>
    <s v="45207810250050000425"/>
    <n v="119247532.26000001"/>
    <s v="01179/МР"/>
    <m/>
    <d v="2015-11-20T00:00:00"/>
    <m/>
    <m/>
    <n v="1"/>
    <n v="1"/>
    <m/>
    <m/>
    <n v="1"/>
    <n v="1"/>
    <n v="1"/>
    <n v="0"/>
    <n v="1"/>
    <m/>
    <d v="2015-11-30T00:00:00"/>
    <n v="0"/>
    <m/>
    <m/>
    <m/>
    <m/>
    <m/>
    <m/>
  </r>
  <r>
    <x v="181"/>
    <n v="9378"/>
    <s v="45208810355550000366"/>
    <n v="14384600000"/>
    <s v="3217"/>
    <m/>
    <d v="2013-07-16T00:00:00"/>
    <m/>
    <m/>
    <n v="1"/>
    <n v="1"/>
    <m/>
    <m/>
    <n v="1"/>
    <n v="1"/>
    <n v="1"/>
    <n v="0"/>
    <n v="1"/>
    <m/>
    <d v="2013-10-15T00:00:00"/>
    <n v="0"/>
    <m/>
    <m/>
    <m/>
    <m/>
    <m/>
    <m/>
  </r>
  <r>
    <x v="181"/>
    <n v="9426"/>
    <s v="45208810255550000369"/>
    <n v="31560674600"/>
    <s v="3216"/>
    <m/>
    <d v="2013-07-16T00:00:00"/>
    <m/>
    <m/>
    <n v="1"/>
    <n v="1"/>
    <m/>
    <m/>
    <n v="1"/>
    <n v="1"/>
    <n v="1"/>
    <n v="0"/>
    <n v="1"/>
    <m/>
    <d v="2013-10-15T00:00:00"/>
    <n v="0"/>
    <m/>
    <n v="0"/>
    <m/>
    <m/>
    <m/>
    <m/>
  </r>
  <r>
    <x v="181"/>
    <n v="9544"/>
    <s v="45208810755550000380"/>
    <n v="4141800000"/>
    <s v="3331"/>
    <m/>
    <d v="2013-08-22T00:00:00"/>
    <m/>
    <m/>
    <n v="1"/>
    <n v="1"/>
    <m/>
    <m/>
    <n v="1"/>
    <n v="1"/>
    <n v="1"/>
    <n v="0"/>
    <n v="1"/>
    <m/>
    <d v="2014-01-15T00:00:00"/>
    <n v="0"/>
    <m/>
    <n v="0"/>
    <m/>
    <m/>
    <m/>
    <m/>
  </r>
  <r>
    <x v="181"/>
    <n v="11483"/>
    <s v="45208810555550000425"/>
    <n v="22712136400"/>
    <s v="3471"/>
    <m/>
    <d v="2014-03-25T00:00:00"/>
    <m/>
    <m/>
    <n v="1"/>
    <n v="1"/>
    <m/>
    <m/>
    <n v="1"/>
    <n v="1"/>
    <n v="1"/>
    <n v="0"/>
    <n v="1"/>
    <m/>
    <d v="2014-10-15T00:00:00"/>
    <n v="0"/>
    <m/>
    <m/>
    <m/>
    <m/>
    <m/>
    <m/>
  </r>
  <r>
    <x v="181"/>
    <n v="11484"/>
    <s v="45208810855550000413"/>
    <n v="15293100000"/>
    <s v="3472"/>
    <m/>
    <d v="2014-03-25T00:00:00"/>
    <m/>
    <m/>
    <n v="1"/>
    <n v="1"/>
    <m/>
    <m/>
    <n v="1"/>
    <n v="1"/>
    <n v="1"/>
    <n v="0"/>
    <n v="1"/>
    <m/>
    <d v="2014-07-15T00:00:00"/>
    <n v="0"/>
    <m/>
    <m/>
    <m/>
    <m/>
    <m/>
    <m/>
  </r>
  <r>
    <x v="181"/>
    <n v="11489"/>
    <s v="45208810555550000409"/>
    <n v="6300000000"/>
    <s v="3496"/>
    <m/>
    <d v="2014-03-31T00:00:00"/>
    <m/>
    <m/>
    <n v="1"/>
    <n v="1"/>
    <m/>
    <m/>
    <n v="1"/>
    <n v="1"/>
    <n v="1"/>
    <n v="0"/>
    <n v="1"/>
    <m/>
    <d v="2014-07-15T00:00:00"/>
    <n v="0"/>
    <m/>
    <m/>
    <m/>
    <m/>
    <m/>
    <m/>
  </r>
  <r>
    <x v="182"/>
    <n v="6242"/>
    <s v="45208810955550000290"/>
    <n v="6171000000"/>
    <s v="2836"/>
    <m/>
    <d v="2011-10-26T00:00:00"/>
    <m/>
    <m/>
    <n v="1"/>
    <n v="1"/>
    <m/>
    <m/>
    <n v="1"/>
    <n v="1"/>
    <n v="1"/>
    <n v="0"/>
    <n v="1"/>
    <m/>
    <d v="2011-10-27T00:00:00"/>
    <n v="0"/>
    <m/>
    <n v="0"/>
    <m/>
    <m/>
    <m/>
    <m/>
  </r>
  <r>
    <x v="182"/>
    <n v="13294"/>
    <s v="45208810955550000423"/>
    <n v="5800000000"/>
    <s v="3566"/>
    <m/>
    <d v="2014-09-11T00:00:00"/>
    <m/>
    <m/>
    <n v="1"/>
    <n v="1"/>
    <m/>
    <m/>
    <n v="1"/>
    <n v="1"/>
    <n v="1"/>
    <n v="0"/>
    <n v="1"/>
    <m/>
    <d v="2016-03-20T00:00:00"/>
    <n v="0"/>
    <m/>
    <n v="0"/>
    <m/>
    <m/>
    <m/>
    <m/>
  </r>
  <r>
    <x v="182"/>
    <n v="26723"/>
    <s v="45208810255550000589"/>
    <n v="310876059.54000002"/>
    <s v="4092"/>
    <m/>
    <d v="2016-09-30T00:00:00"/>
    <m/>
    <m/>
    <n v="1"/>
    <n v="1"/>
    <m/>
    <m/>
    <n v="1"/>
    <n v="1"/>
    <n v="1"/>
    <n v="0"/>
    <n v="0"/>
    <m/>
    <d v="2016-12-20T00:00:00"/>
    <n v="0"/>
    <m/>
    <m/>
    <m/>
    <m/>
    <m/>
    <m/>
  </r>
  <r>
    <x v="183"/>
    <n v="16919"/>
    <s v="45207810255550000548"/>
    <n v="2500000000"/>
    <s v="3807"/>
    <m/>
    <d v="2015-10-30T00:00:00"/>
    <m/>
    <m/>
    <n v="1"/>
    <n v="1"/>
    <m/>
    <m/>
    <n v="1"/>
    <n v="1"/>
    <n v="1"/>
    <n v="0"/>
    <n v="1"/>
    <m/>
    <d v="2015-10-30T00:00:00"/>
    <n v="0"/>
    <m/>
    <m/>
    <m/>
    <n v="0"/>
    <m/>
    <m/>
  </r>
  <r>
    <x v="184"/>
    <n v="24782"/>
    <s v="45208810055550000572"/>
    <n v="5000000000"/>
    <s v="3905"/>
    <m/>
    <d v="2016-07-22T00:00:00"/>
    <m/>
    <m/>
    <n v="1"/>
    <n v="1"/>
    <m/>
    <m/>
    <n v="1"/>
    <n v="1"/>
    <n v="1"/>
    <n v="0"/>
    <n v="1"/>
    <m/>
    <d v="2016-07-29T00:00:00"/>
    <n v="0"/>
    <m/>
    <m/>
    <m/>
    <n v="0"/>
    <n v="0"/>
    <m/>
  </r>
  <r>
    <x v="184"/>
    <n v="100004521"/>
    <s v="47408810400210324200"/>
    <n v="209300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185"/>
    <n v="17419"/>
    <s v="45204810250050000282"/>
    <n v="179495875.47"/>
    <s v="01157/МР"/>
    <m/>
    <d v="2015-12-28T00:00:00"/>
    <m/>
    <m/>
    <n v="1"/>
    <n v="1"/>
    <m/>
    <m/>
    <n v="1"/>
    <n v="1"/>
    <n v="1"/>
    <n v="0"/>
    <n v="1"/>
    <m/>
    <d v="2015-12-31T00:00:00"/>
    <n v="0"/>
    <m/>
    <m/>
    <m/>
    <m/>
    <m/>
    <m/>
  </r>
  <r>
    <x v="186"/>
    <n v="15459"/>
    <s v="45816826355550000001"/>
    <n v="4360014839.1900005"/>
    <s v="б/н"/>
    <m/>
    <d v="2005-08-01T00:00:00"/>
    <m/>
    <m/>
    <n v="2.2000000000000002"/>
    <n v="3"/>
    <n v="-2"/>
    <s v="345"/>
    <n v="3"/>
    <n v="3"/>
    <n v="3"/>
    <n v="0"/>
    <n v="1"/>
    <m/>
    <d v="2000-01-01T00:00:00"/>
    <n v="519"/>
    <m/>
    <n v="1"/>
    <m/>
    <m/>
    <m/>
    <m/>
  </r>
  <r>
    <x v="187"/>
    <n v="9617"/>
    <s v="45208810255550000372"/>
    <n v="1071428571.4"/>
    <s v="3336"/>
    <m/>
    <d v="2013-09-27T00:00:00"/>
    <m/>
    <m/>
    <n v="1"/>
    <n v="1"/>
    <m/>
    <m/>
    <n v="1"/>
    <n v="1"/>
    <n v="1"/>
    <n v="0"/>
    <n v="1"/>
    <m/>
    <d v="2013-12-16T00:00:00"/>
    <n v="0"/>
    <m/>
    <m/>
    <m/>
    <m/>
    <m/>
    <m/>
  </r>
  <r>
    <x v="187"/>
    <n v="16928"/>
    <s v="45208810755550000500"/>
    <n v="2474025822.3099999"/>
    <s v="3761"/>
    <m/>
    <d v="2015-10-29T00:00:00"/>
    <m/>
    <m/>
    <n v="1"/>
    <n v="1"/>
    <m/>
    <m/>
    <n v="1"/>
    <n v="1"/>
    <n v="1"/>
    <n v="0"/>
    <n v="1"/>
    <m/>
    <d v="2016-01-28T00:00:00"/>
    <n v="0"/>
    <m/>
    <m/>
    <m/>
    <m/>
    <m/>
    <m/>
  </r>
  <r>
    <x v="188"/>
    <n v="7594"/>
    <s v="45208810150050000016"/>
    <n v="21109090.699999999"/>
    <s v="00180/МР"/>
    <m/>
    <d v="2012-07-03T00:00:00"/>
    <m/>
    <m/>
    <n v="1"/>
    <n v="1"/>
    <m/>
    <m/>
    <n v="1"/>
    <n v="1"/>
    <n v="1"/>
    <n v="0"/>
    <n v="1"/>
    <m/>
    <d v="2012-07-25T00:00:00"/>
    <n v="0"/>
    <m/>
    <m/>
    <m/>
    <m/>
    <m/>
    <m/>
  </r>
  <r>
    <x v="188"/>
    <n v="8865"/>
    <s v="45208810350050000081"/>
    <n v="41236363.670000002"/>
    <s v="00339/МР"/>
    <m/>
    <d v="2013-03-18T00:00:00"/>
    <m/>
    <m/>
    <n v="1"/>
    <n v="1"/>
    <m/>
    <m/>
    <n v="1"/>
    <n v="1"/>
    <n v="1"/>
    <n v="0"/>
    <n v="1"/>
    <m/>
    <d v="2013-04-25T00:00:00"/>
    <n v="0"/>
    <m/>
    <m/>
    <m/>
    <m/>
    <m/>
    <m/>
  </r>
  <r>
    <x v="188"/>
    <n v="9032"/>
    <s v="45208810650050000082"/>
    <n v="150272727.24000001"/>
    <s v="00348/МР"/>
    <m/>
    <d v="2013-04-30T00:00:00"/>
    <m/>
    <m/>
    <n v="1"/>
    <n v="1"/>
    <m/>
    <m/>
    <n v="1"/>
    <n v="1"/>
    <n v="1"/>
    <n v="0"/>
    <n v="1"/>
    <m/>
    <d v="2013-06-25T00:00:00"/>
    <n v="0"/>
    <m/>
    <m/>
    <m/>
    <m/>
    <m/>
    <m/>
  </r>
  <r>
    <x v="188"/>
    <n v="16857"/>
    <s v="45208810950050000164"/>
    <n v="356363636.38"/>
    <s v="01147/МР"/>
    <m/>
    <d v="2015-10-20T00:00:00"/>
    <m/>
    <m/>
    <n v="1"/>
    <n v="1"/>
    <m/>
    <m/>
    <n v="1"/>
    <n v="1"/>
    <n v="1"/>
    <n v="0"/>
    <n v="1"/>
    <m/>
    <d v="2015-10-22T00:00:00"/>
    <n v="0"/>
    <m/>
    <m/>
    <m/>
    <m/>
    <m/>
    <m/>
  </r>
  <r>
    <x v="189"/>
    <n v="100004581"/>
    <s v="45815810900190000001"/>
    <n v="472.8"/>
    <m/>
    <m/>
    <m/>
    <m/>
    <m/>
    <n v="3"/>
    <n v="3"/>
    <m/>
    <m/>
    <n v="5"/>
    <n v="5"/>
    <n v="5"/>
    <n v="0"/>
    <m/>
    <m/>
    <m/>
    <n v="0"/>
    <m/>
    <m/>
    <m/>
    <m/>
    <m/>
    <m/>
  </r>
  <r>
    <x v="190"/>
    <n v="16112"/>
    <s v="45208810355550000476"/>
    <n v="10000000000"/>
    <s v="3765"/>
    <m/>
    <d v="2015-07-29T00:00:00"/>
    <m/>
    <m/>
    <n v="2.2000000000000002"/>
    <n v="1"/>
    <n v="-1"/>
    <s v="0"/>
    <n v="1.2000000000000002"/>
    <n v="1.2000000000000002"/>
    <n v="1.2000000000000002"/>
    <n v="0"/>
    <n v="1"/>
    <n v="1"/>
    <d v="2015-09-30T00:00:00"/>
    <n v="0"/>
    <m/>
    <m/>
    <n v="0"/>
    <n v="0"/>
    <m/>
    <m/>
  </r>
  <r>
    <x v="191"/>
    <n v="15011"/>
    <s v="45207810150050000402"/>
    <n v="450000000"/>
    <s v="00937/МР"/>
    <m/>
    <d v="2015-03-17T00:00:00"/>
    <m/>
    <m/>
    <n v="1"/>
    <n v="1"/>
    <m/>
    <m/>
    <n v="1"/>
    <n v="1"/>
    <n v="1"/>
    <n v="0"/>
    <n v="1"/>
    <m/>
    <d v="2015-03-31T00:00:00"/>
    <n v="0"/>
    <m/>
    <m/>
    <m/>
    <m/>
    <m/>
    <m/>
  </r>
  <r>
    <x v="191"/>
    <n v="15012"/>
    <s v="45207810850050000401"/>
    <n v="257142857.13999999"/>
    <s v="00943/МР"/>
    <m/>
    <d v="2015-03-17T00:00:00"/>
    <m/>
    <m/>
    <n v="1"/>
    <n v="1"/>
    <m/>
    <m/>
    <n v="1"/>
    <n v="1"/>
    <n v="1"/>
    <n v="0"/>
    <n v="1"/>
    <m/>
    <d v="2015-03-31T00:00:00"/>
    <n v="0"/>
    <m/>
    <m/>
    <m/>
    <n v="0"/>
    <m/>
    <m/>
  </r>
  <r>
    <x v="192"/>
    <n v="17609"/>
    <s v="51501810400210000006"/>
    <n v="1900000000"/>
    <s v="векселя_2016-02-29"/>
    <m/>
    <d v="2016-02-29T00:00:00"/>
    <m/>
    <m/>
    <n v="2.1"/>
    <n v="2"/>
    <m/>
    <m/>
    <n v="3.0999999999999996"/>
    <n v="3"/>
    <n v="3.0999999999999996"/>
    <n v="1"/>
    <n v="0"/>
    <m/>
    <d v="2500-01-01T00:00:00"/>
    <n v="0"/>
    <m/>
    <m/>
    <m/>
    <m/>
    <m/>
    <m/>
  </r>
  <r>
    <x v="192"/>
    <n v="23217"/>
    <s v="51504810800210000001"/>
    <n v="422000000"/>
    <s v="векселя_2016-07-12"/>
    <m/>
    <d v="2016-07-12T00:00:00"/>
    <m/>
    <m/>
    <n v="2.1"/>
    <n v="1"/>
    <m/>
    <m/>
    <n v="2.1"/>
    <n v="3"/>
    <n v="3"/>
    <n v="0"/>
    <n v="0"/>
    <n v="1"/>
    <d v="2500-01-01T00:00:00"/>
    <n v="0"/>
    <m/>
    <m/>
    <m/>
    <m/>
    <m/>
    <m/>
  </r>
  <r>
    <x v="193"/>
    <n v="18636"/>
    <s v="45816840450060000003"/>
    <n v="1912740782.9100001"/>
    <s v="IGR13/MSHD/0968"/>
    <m/>
    <d v="2013-12-26T00:00:00"/>
    <m/>
    <m/>
    <n v="1"/>
    <n v="3"/>
    <m/>
    <m/>
    <n v="3"/>
    <n v="3"/>
    <n v="3"/>
    <n v="0"/>
    <n v="1"/>
    <m/>
    <d v="2000-01-01T00:00:00"/>
    <n v="143"/>
    <m/>
    <m/>
    <m/>
    <m/>
    <m/>
    <m/>
  </r>
  <r>
    <x v="194"/>
    <n v="26679"/>
    <s v="45205810850050000513"/>
    <n v="84000000"/>
    <s v="01502/МР"/>
    <m/>
    <d v="2016-09-21T00:00:00"/>
    <m/>
    <m/>
    <n v="1"/>
    <n v="1"/>
    <m/>
    <m/>
    <n v="1"/>
    <n v="1"/>
    <n v="1"/>
    <n v="0"/>
    <n v="1"/>
    <m/>
    <d v="2016-09-26T00:00:00"/>
    <n v="0"/>
    <m/>
    <m/>
    <m/>
    <m/>
    <m/>
    <m/>
  </r>
  <r>
    <x v="195"/>
    <n v="16422"/>
    <s v="32309810000210000038"/>
    <n v="8455159433.7799997"/>
    <s v="500209151/A - участ. Inter RAO Credit B.V."/>
    <m/>
    <d v="2015-09-02T00:00:00"/>
    <m/>
    <m/>
    <n v="1"/>
    <n v="1"/>
    <m/>
    <m/>
    <n v="1"/>
    <n v="1"/>
    <n v="1"/>
    <n v="0"/>
    <n v="1"/>
    <m/>
    <d v="2015-09-14T00:00:00"/>
    <n v="0"/>
    <m/>
    <n v="0"/>
    <m/>
    <n v="0"/>
    <m/>
    <m/>
  </r>
  <r>
    <x v="196"/>
    <n v="9373"/>
    <s v="32309810900210000015"/>
    <n v="278082423.86000001"/>
    <s v="501507131 - участ. Alrara"/>
    <m/>
    <d v="2013-06-26T00:00:00"/>
    <m/>
    <m/>
    <n v="2.1"/>
    <n v="2"/>
    <m/>
    <m/>
    <n v="3.0999999999999996"/>
    <n v="3.0999999999999996"/>
    <n v="3.0999999999999996"/>
    <n v="0"/>
    <n v="0"/>
    <m/>
    <d v="2500-01-01T00:00:00"/>
    <n v="0"/>
    <m/>
    <m/>
    <m/>
    <n v="0"/>
    <m/>
    <m/>
  </r>
  <r>
    <x v="197"/>
    <n v="16618"/>
    <s v="45207810450050000416"/>
    <n v="566669640.25"/>
    <s v="01098/МР"/>
    <m/>
    <d v="2015-09-25T00:00:00"/>
    <m/>
    <m/>
    <n v="1"/>
    <n v="1"/>
    <m/>
    <m/>
    <n v="1"/>
    <n v="1"/>
    <n v="1"/>
    <n v="0"/>
    <n v="1"/>
    <m/>
    <d v="2015-10-12T00:00:00"/>
    <n v="1"/>
    <s v="2016-05-11"/>
    <m/>
    <m/>
    <m/>
    <m/>
    <m/>
  </r>
  <r>
    <x v="198"/>
    <n v="26572"/>
    <s v="45204810950050000281"/>
    <n v="400000000"/>
    <s v="01435/МР"/>
    <m/>
    <d v="2016-08-17T00:00:00"/>
    <m/>
    <m/>
    <n v="1"/>
    <n v="1"/>
    <m/>
    <m/>
    <n v="1"/>
    <n v="1"/>
    <n v="1"/>
    <n v="0"/>
    <n v="1"/>
    <m/>
    <d v="2016-08-26T00:00:00"/>
    <n v="1"/>
    <s v="2016-09-27"/>
    <m/>
    <m/>
    <m/>
    <m/>
    <m/>
  </r>
  <r>
    <x v="199"/>
    <n v="10729"/>
    <s v="45207810450050000351"/>
    <n v="175095987.53999999"/>
    <s v="00612/МР"/>
    <m/>
    <d v="2014-01-15T00:00:00"/>
    <m/>
    <m/>
    <n v="1"/>
    <n v="1"/>
    <m/>
    <m/>
    <n v="1"/>
    <n v="1"/>
    <n v="1"/>
    <n v="0"/>
    <n v="1"/>
    <m/>
    <d v="2014-02-15T00:00:00"/>
    <n v="0"/>
    <m/>
    <n v="0"/>
    <m/>
    <m/>
    <m/>
    <m/>
  </r>
  <r>
    <x v="199"/>
    <n v="18250"/>
    <s v="45207810255550000580"/>
    <n v="374400000"/>
    <s v="31-011/15/217-14-КР"/>
    <m/>
    <d v="2014-04-16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199"/>
    <n v="18251"/>
    <s v="45207810055550000586"/>
    <n v="1071800000"/>
    <s v="31-199/15/781-14-КР"/>
    <m/>
    <d v="2014-12-03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200"/>
    <n v="16968"/>
    <s v="45208810755550000490"/>
    <n v="2800000000"/>
    <s v="3793"/>
    <m/>
    <d v="2015-11-02T00:00:00"/>
    <m/>
    <m/>
    <n v="2.2000000000000002"/>
    <n v="1"/>
    <m/>
    <m/>
    <n v="2.2000000000000002"/>
    <n v="2.2000000000000002"/>
    <n v="2.2000000000000002"/>
    <n v="0"/>
    <n v="1"/>
    <m/>
    <d v="2015-11-06T00:00:00"/>
    <n v="0"/>
    <m/>
    <m/>
    <n v="0"/>
    <n v="0"/>
    <m/>
    <m/>
  </r>
  <r>
    <x v="201"/>
    <n v="17184"/>
    <s v="45208810955550000494"/>
    <n v="1183846153.8499999"/>
    <s v="3821"/>
    <m/>
    <d v="2015-12-03T00:00:00"/>
    <m/>
    <m/>
    <n v="1"/>
    <n v="1"/>
    <m/>
    <m/>
    <n v="1"/>
    <n v="1"/>
    <n v="1"/>
    <n v="0"/>
    <n v="1"/>
    <m/>
    <d v="2015-12-03T00:00:00"/>
    <n v="0"/>
    <m/>
    <m/>
    <m/>
    <m/>
    <m/>
    <m/>
  </r>
  <r>
    <x v="202"/>
    <n v="8044"/>
    <s v="45812810250050000221"/>
    <n v="634656000"/>
    <s v="КС-714000/2010/00051"/>
    <m/>
    <d v="2010-07-16T00:00:00"/>
    <m/>
    <m/>
    <n v="2"/>
    <n v="3"/>
    <m/>
    <m/>
    <n v="4"/>
    <n v="4"/>
    <n v="4"/>
    <n v="0"/>
    <n v="1"/>
    <m/>
    <d v="2000-01-01T00:00:00"/>
    <n v="1473"/>
    <m/>
    <n v="1"/>
    <m/>
    <m/>
    <m/>
    <m/>
  </r>
  <r>
    <x v="202"/>
    <n v="8045"/>
    <s v="45812810550050000222"/>
    <n v="627798839"/>
    <s v="КС-714000/2010/00062"/>
    <m/>
    <d v="2010-08-03T00:00:00"/>
    <m/>
    <m/>
    <n v="2"/>
    <n v="3"/>
    <m/>
    <m/>
    <n v="4"/>
    <n v="4"/>
    <n v="4"/>
    <n v="0"/>
    <n v="1"/>
    <m/>
    <d v="2000-01-01T00:00:00"/>
    <n v="1473"/>
    <m/>
    <n v="1"/>
    <m/>
    <m/>
    <m/>
    <m/>
  </r>
  <r>
    <x v="202"/>
    <n v="8046"/>
    <s v="45812810950050000220"/>
    <n v="318579700"/>
    <s v="КС-714000/2010/00041"/>
    <m/>
    <d v="2010-06-30T00:00:00"/>
    <m/>
    <m/>
    <n v="2"/>
    <n v="3"/>
    <m/>
    <m/>
    <n v="4"/>
    <n v="4"/>
    <n v="4"/>
    <n v="0"/>
    <n v="1"/>
    <m/>
    <d v="2000-01-01T00:00:00"/>
    <n v="1473"/>
    <m/>
    <n v="1"/>
    <m/>
    <m/>
    <m/>
    <m/>
  </r>
  <r>
    <x v="203"/>
    <n v="13992"/>
    <s v="45206810450050000666"/>
    <n v="100000000"/>
    <s v="00892/МР"/>
    <m/>
    <d v="2014-11-12T00:00:00"/>
    <m/>
    <m/>
    <n v="2.1"/>
    <n v="3"/>
    <m/>
    <m/>
    <n v="4.0999999999999996"/>
    <n v="4.0999999999999996"/>
    <n v="4.0999999999999996"/>
    <n v="0"/>
    <n v="1"/>
    <m/>
    <d v="2014-12-10T00:00:00"/>
    <n v="82"/>
    <m/>
    <m/>
    <m/>
    <m/>
    <m/>
    <m/>
  </r>
  <r>
    <x v="203"/>
    <n v="14185"/>
    <s v="45205810450050000418"/>
    <n v="345334019.13"/>
    <s v="00925/МР"/>
    <m/>
    <d v="2014-12-08T00:00:00"/>
    <m/>
    <m/>
    <n v="2.1"/>
    <n v="3"/>
    <m/>
    <m/>
    <n v="4.0999999999999996"/>
    <n v="4.0999999999999996"/>
    <n v="4.0999999999999996"/>
    <n v="0"/>
    <n v="1"/>
    <m/>
    <d v="2014-12-10T00:00:00"/>
    <n v="134"/>
    <m/>
    <m/>
    <m/>
    <m/>
    <m/>
    <m/>
  </r>
  <r>
    <x v="204"/>
    <n v="8088"/>
    <s v="45208810055550000433"/>
    <n v="122620856.31"/>
    <s v="2993"/>
    <m/>
    <d v="2012-10-18T00:00:00"/>
    <m/>
    <m/>
    <n v="1"/>
    <n v="2"/>
    <n v="-1"/>
    <s v="0"/>
    <n v="1"/>
    <n v="1"/>
    <n v="1"/>
    <n v="0"/>
    <n v="1"/>
    <m/>
    <d v="2012-12-20T00:00:00"/>
    <n v="0"/>
    <m/>
    <n v="1"/>
    <m/>
    <m/>
    <m/>
    <m/>
  </r>
  <r>
    <x v="205"/>
    <n v="8006"/>
    <s v="32309810000210000009"/>
    <n v="10220587600"/>
    <s v="501210122 - участ. Wardbase"/>
    <m/>
    <d v="2012-10-12T00:00:00"/>
    <m/>
    <m/>
    <n v="2.1"/>
    <n v="1"/>
    <n v="-1"/>
    <s v="0"/>
    <n v="1.1000000000000001"/>
    <n v="1.1000000000000001"/>
    <n v="1.1000000000000001"/>
    <n v="0"/>
    <n v="1"/>
    <m/>
    <d v="2012-10-11T00:00:00"/>
    <n v="0"/>
    <m/>
    <m/>
    <m/>
    <n v="0"/>
    <m/>
    <m/>
  </r>
  <r>
    <x v="205"/>
    <n v="17316"/>
    <s v="45606810255550000013"/>
    <n v="28000000000"/>
    <s v="б/н_2015-12-18"/>
    <m/>
    <d v="2015-12-18T00:00:00"/>
    <m/>
    <m/>
    <n v="2.1"/>
    <n v="1"/>
    <n v="-1"/>
    <s v="0"/>
    <n v="1.1000000000000001"/>
    <n v="1.1000000000000001"/>
    <n v="1.1000000000000001"/>
    <n v="0"/>
    <n v="1"/>
    <m/>
    <d v="2015-12-18T00:00:00"/>
    <n v="0"/>
    <m/>
    <n v="0"/>
    <m/>
    <n v="0"/>
    <m/>
    <m/>
  </r>
  <r>
    <x v="206"/>
    <n v="16931"/>
    <s v="32308840000210000106"/>
    <n v="11477089932"/>
    <s v="703010153 - участ. Promodana"/>
    <m/>
    <d v="2015-10-30T00:00:00"/>
    <m/>
    <m/>
    <n v="2.2000000000000002"/>
    <n v="1"/>
    <m/>
    <m/>
    <n v="2.2000000000000002"/>
    <n v="2.2000000000000002"/>
    <n v="2.2000000000000002"/>
    <n v="0"/>
    <n v="1"/>
    <m/>
    <d v="2000-01-01T00:00:00"/>
    <n v="0"/>
    <m/>
    <m/>
    <m/>
    <m/>
    <m/>
    <m/>
  </r>
  <r>
    <x v="207"/>
    <n v="17426"/>
    <s v="45206810050050000778"/>
    <n v="250000000"/>
    <s v="01240/МР"/>
    <m/>
    <d v="2015-12-30T00:00:00"/>
    <m/>
    <m/>
    <n v="1"/>
    <n v="1"/>
    <m/>
    <m/>
    <n v="1"/>
    <n v="1"/>
    <n v="1"/>
    <n v="0"/>
    <n v="1"/>
    <m/>
    <d v="2016-01-18T00:00:00"/>
    <n v="0"/>
    <m/>
    <m/>
    <m/>
    <m/>
    <m/>
    <m/>
  </r>
  <r>
    <x v="208"/>
    <n v="20974"/>
    <s v="44605810955550000056"/>
    <n v="31391412.52"/>
    <s v="4006"/>
    <m/>
    <d v="2016-06-10T00:00:00"/>
    <m/>
    <m/>
    <n v="1"/>
    <n v="1"/>
    <m/>
    <m/>
    <n v="1"/>
    <n v="1"/>
    <n v="1"/>
    <n v="0"/>
    <n v="1"/>
    <m/>
    <d v="2016-06-30T00:00:00"/>
    <n v="0"/>
    <m/>
    <m/>
    <m/>
    <m/>
    <m/>
    <m/>
  </r>
  <r>
    <x v="209"/>
    <n v="14066"/>
    <s v="45812810550050000471"/>
    <n v="50000000"/>
    <s v="00936/МР"/>
    <m/>
    <d v="2014-11-25T00:00:00"/>
    <m/>
    <m/>
    <n v="2.2000000000000002"/>
    <n v="3"/>
    <m/>
    <m/>
    <n v="4.2"/>
    <n v="4.2"/>
    <n v="4.2"/>
    <n v="0"/>
    <n v="1"/>
    <m/>
    <d v="2000-01-01T00:00:00"/>
    <n v="474"/>
    <m/>
    <m/>
    <m/>
    <m/>
    <m/>
    <m/>
  </r>
  <r>
    <x v="209"/>
    <n v="14933"/>
    <s v="45812810150050000473"/>
    <n v="700000000"/>
    <s v="00983/МР"/>
    <m/>
    <d v="2015-03-04T00:00:00"/>
    <m/>
    <m/>
    <n v="2.2000000000000002"/>
    <n v="3"/>
    <m/>
    <m/>
    <n v="4.2"/>
    <n v="4.2"/>
    <n v="4.2"/>
    <n v="0"/>
    <n v="1"/>
    <m/>
    <d v="2000-01-01T00:00:00"/>
    <n v="474"/>
    <m/>
    <m/>
    <m/>
    <m/>
    <m/>
    <m/>
  </r>
  <r>
    <x v="210"/>
    <n v="8219"/>
    <s v="45108810055550000009"/>
    <n v="2846979357.1399999"/>
    <s v="3083"/>
    <m/>
    <d v="2012-11-29T00:00:00"/>
    <m/>
    <m/>
    <n v="1"/>
    <n v="1"/>
    <m/>
    <m/>
    <n v="1"/>
    <n v="1"/>
    <n v="1"/>
    <n v="0"/>
    <n v="1"/>
    <m/>
    <d v="2012-11-30T00:00:00"/>
    <n v="0"/>
    <m/>
    <n v="0"/>
    <m/>
    <n v="0"/>
    <m/>
    <m/>
  </r>
  <r>
    <x v="210"/>
    <n v="8221"/>
    <s v="45108810755550000011"/>
    <n v="4074234561.52"/>
    <s v="3081"/>
    <m/>
    <d v="2012-11-29T00:00:00"/>
    <m/>
    <m/>
    <n v="1"/>
    <n v="1"/>
    <m/>
    <m/>
    <n v="1"/>
    <n v="1"/>
    <n v="1"/>
    <n v="0"/>
    <n v="1"/>
    <m/>
    <d v="2012-11-30T00:00:00"/>
    <n v="0"/>
    <m/>
    <n v="0"/>
    <m/>
    <n v="0"/>
    <m/>
    <m/>
  </r>
  <r>
    <x v="210"/>
    <n v="11463"/>
    <s v="45108810255550000016"/>
    <n v="4310544045.9899998"/>
    <s v="3082"/>
    <m/>
    <d v="2012-11-29T00:00:00"/>
    <m/>
    <m/>
    <n v="1"/>
    <n v="1"/>
    <m/>
    <m/>
    <n v="1"/>
    <n v="1"/>
    <n v="1"/>
    <n v="0"/>
    <n v="1"/>
    <m/>
    <d v="2012-11-30T00:00:00"/>
    <n v="0"/>
    <m/>
    <n v="0"/>
    <m/>
    <n v="0"/>
    <m/>
    <m/>
  </r>
  <r>
    <x v="210"/>
    <n v="14205"/>
    <s v="45103810355550000021"/>
    <n v="70608361360.75"/>
    <s v="3627/СДБО"/>
    <m/>
    <d v="2014-12-10T00:00:00"/>
    <m/>
    <m/>
    <n v="1"/>
    <n v="1"/>
    <m/>
    <m/>
    <n v="1"/>
    <n v="1"/>
    <n v="1"/>
    <n v="0"/>
    <n v="1"/>
    <m/>
    <d v="2014-12-30T00:00:00"/>
    <n v="0"/>
    <m/>
    <m/>
    <n v="0"/>
    <n v="0"/>
    <n v="0"/>
    <m/>
  </r>
  <r>
    <x v="210"/>
    <n v="14725"/>
    <s v="45104810355550000033"/>
    <n v="15400045742.309999"/>
    <s v="3627/СДБО (2014-12-30)"/>
    <m/>
    <d v="2014-12-30T00:00:00"/>
    <m/>
    <m/>
    <n v="1"/>
    <n v="1"/>
    <m/>
    <m/>
    <n v="1"/>
    <n v="1"/>
    <n v="1"/>
    <n v="0"/>
    <n v="1"/>
    <m/>
    <d v="2014-12-30T00:00:00"/>
    <n v="0"/>
    <m/>
    <m/>
    <m/>
    <n v="0"/>
    <m/>
    <m/>
  </r>
  <r>
    <x v="211"/>
    <n v="9251"/>
    <s v="45208810455550000389"/>
    <n v="1295630886.79"/>
    <s v="3126"/>
    <m/>
    <d v="2013-06-24T00:00:00"/>
    <m/>
    <m/>
    <n v="1"/>
    <n v="1"/>
    <m/>
    <m/>
    <n v="1"/>
    <n v="1"/>
    <n v="1"/>
    <n v="0"/>
    <n v="1"/>
    <m/>
    <d v="2013-06-28T00:00:00"/>
    <n v="0"/>
    <m/>
    <n v="0"/>
    <m/>
    <m/>
    <m/>
    <m/>
  </r>
  <r>
    <x v="212"/>
    <n v="16927"/>
    <s v="45205810150050000417"/>
    <n v="27283253.039999999"/>
    <s v="01142/МР"/>
    <m/>
    <d v="2015-10-27T00:00:00"/>
    <m/>
    <m/>
    <n v="1"/>
    <n v="1"/>
    <m/>
    <m/>
    <n v="1"/>
    <n v="1"/>
    <n v="1"/>
    <n v="0"/>
    <n v="1"/>
    <m/>
    <d v="2015-10-29T00:00:00"/>
    <n v="0"/>
    <m/>
    <m/>
    <m/>
    <m/>
    <m/>
    <m/>
  </r>
  <r>
    <x v="213"/>
    <n v="8863"/>
    <s v="45812840455550000266"/>
    <n v="978570818.24000001"/>
    <s v="3147"/>
    <m/>
    <d v="2013-03-12T00:00:00"/>
    <m/>
    <m/>
    <n v="1"/>
    <n v="3"/>
    <n v="-2"/>
    <s v="0"/>
    <n v="2"/>
    <n v="2"/>
    <n v="2"/>
    <n v="0"/>
    <n v="1"/>
    <m/>
    <d v="2013-04-20T00:00:00"/>
    <n v="53"/>
    <s v="2016-09-02"/>
    <n v="1"/>
    <m/>
    <m/>
    <m/>
    <m/>
  </r>
  <r>
    <x v="213"/>
    <n v="8864"/>
    <s v="45812840755550000267"/>
    <n v="1193537351.8299999"/>
    <s v="3148"/>
    <m/>
    <d v="2013-03-12T00:00:00"/>
    <m/>
    <m/>
    <n v="1"/>
    <n v="3"/>
    <n v="-2"/>
    <s v="0"/>
    <n v="2"/>
    <n v="2"/>
    <n v="2"/>
    <n v="0"/>
    <n v="1"/>
    <m/>
    <d v="2013-04-20T00:00:00"/>
    <n v="53"/>
    <s v="2016-09-02"/>
    <n v="1"/>
    <m/>
    <m/>
    <m/>
    <m/>
  </r>
  <r>
    <x v="214"/>
    <n v="16619"/>
    <s v="45206810150050000733"/>
    <n v="184550000"/>
    <s v="01135/МР"/>
    <m/>
    <d v="2015-09-25T00:00:00"/>
    <m/>
    <m/>
    <n v="1"/>
    <n v="1"/>
    <m/>
    <m/>
    <n v="1"/>
    <n v="1"/>
    <n v="1"/>
    <n v="0"/>
    <n v="1"/>
    <m/>
    <d v="2015-09-30T00:00:00"/>
    <n v="0"/>
    <m/>
    <m/>
    <m/>
    <m/>
    <m/>
    <m/>
  </r>
  <r>
    <x v="214"/>
    <n v="19145"/>
    <s v="45206810950050000810"/>
    <n v="112000000"/>
    <s v="01363/МР"/>
    <m/>
    <d v="2016-05-13T00:00:00"/>
    <m/>
    <m/>
    <n v="1"/>
    <n v="1"/>
    <m/>
    <m/>
    <n v="1"/>
    <n v="1"/>
    <n v="1"/>
    <n v="0"/>
    <n v="1"/>
    <m/>
    <d v="2016-05-30T00:00:00"/>
    <n v="0"/>
    <m/>
    <m/>
    <m/>
    <m/>
    <m/>
    <m/>
  </r>
  <r>
    <x v="215"/>
    <n v="10556"/>
    <s v="45207810255550000454"/>
    <n v="1400000000"/>
    <s v="3396"/>
    <m/>
    <d v="2013-12-24T00:00:00"/>
    <m/>
    <m/>
    <n v="1"/>
    <n v="1"/>
    <m/>
    <m/>
    <n v="1"/>
    <n v="1"/>
    <n v="1"/>
    <n v="0"/>
    <n v="1"/>
    <m/>
    <d v="2014-01-10T00:00:00"/>
    <n v="0"/>
    <m/>
    <m/>
    <m/>
    <m/>
    <m/>
    <m/>
  </r>
  <r>
    <x v="215"/>
    <n v="15275"/>
    <s v="45207810755550000514"/>
    <n v="2666666666.6700001"/>
    <s v="3702"/>
    <m/>
    <d v="2015-04-27T00:00:00"/>
    <m/>
    <m/>
    <n v="1"/>
    <n v="1"/>
    <m/>
    <m/>
    <n v="1"/>
    <n v="1"/>
    <n v="1"/>
    <n v="0"/>
    <n v="1"/>
    <m/>
    <d v="2015-05-14T00:00:00"/>
    <n v="0"/>
    <m/>
    <m/>
    <n v="0"/>
    <m/>
    <m/>
    <m/>
  </r>
  <r>
    <x v="216"/>
    <n v="16902"/>
    <s v="45204810850050000239"/>
    <n v="194000000"/>
    <s v="01171/МР"/>
    <m/>
    <d v="2015-10-26T00:00:00"/>
    <m/>
    <m/>
    <n v="1"/>
    <n v="1"/>
    <m/>
    <m/>
    <n v="1"/>
    <n v="1"/>
    <n v="1"/>
    <n v="0"/>
    <n v="1"/>
    <m/>
    <d v="2015-11-03T00:00:00"/>
    <n v="0"/>
    <m/>
    <m/>
    <m/>
    <m/>
    <m/>
    <m/>
  </r>
  <r>
    <x v="217"/>
    <n v="17233"/>
    <s v="45206810055550000516"/>
    <n v="1306374000"/>
    <s v="3610"/>
    <m/>
    <d v="2015-07-06T00:00:00"/>
    <m/>
    <m/>
    <n v="1"/>
    <n v="1"/>
    <m/>
    <m/>
    <n v="1"/>
    <n v="1"/>
    <n v="1"/>
    <n v="0"/>
    <n v="1"/>
    <m/>
    <d v="2015-12-25T00:00:00"/>
    <n v="0"/>
    <m/>
    <m/>
    <m/>
    <m/>
    <m/>
    <m/>
  </r>
  <r>
    <x v="217"/>
    <n v="17726"/>
    <s v="45206810255550000497"/>
    <n v="500000000"/>
    <s v="3916"/>
    <m/>
    <d v="2016-03-31T00:00:00"/>
    <m/>
    <m/>
    <n v="1"/>
    <n v="1"/>
    <m/>
    <m/>
    <n v="1"/>
    <n v="1"/>
    <n v="1"/>
    <n v="0"/>
    <n v="1"/>
    <m/>
    <d v="2016-04-25T00:00:00"/>
    <n v="0"/>
    <m/>
    <m/>
    <m/>
    <m/>
    <m/>
    <m/>
  </r>
  <r>
    <x v="218"/>
    <n v="8342"/>
    <s v="45207810155550000499"/>
    <n v="342668557.20999998"/>
    <s v="3115"/>
    <m/>
    <d v="2012-12-12T00:00:00"/>
    <m/>
    <m/>
    <n v="1"/>
    <n v="1"/>
    <m/>
    <m/>
    <n v="1"/>
    <n v="1"/>
    <n v="1"/>
    <n v="0"/>
    <n v="1"/>
    <m/>
    <d v="2012-12-17T00:00:00"/>
    <n v="0"/>
    <m/>
    <m/>
    <m/>
    <m/>
    <m/>
    <m/>
  </r>
  <r>
    <x v="219"/>
    <n v="9024"/>
    <s v="32402810800210000009"/>
    <n v="17301000000"/>
    <s v="502404133 - участ. Arisaema"/>
    <m/>
    <d v="2013-04-24T00:00:00"/>
    <m/>
    <m/>
    <n v="1"/>
    <n v="3"/>
    <n v="-2"/>
    <s v="0"/>
    <n v="2"/>
    <n v="2"/>
    <n v="2"/>
    <n v="0"/>
    <n v="1"/>
    <m/>
    <d v="2013-07-25T00:00:00"/>
    <n v="521"/>
    <m/>
    <n v="0"/>
    <m/>
    <n v="0"/>
    <m/>
    <m/>
  </r>
  <r>
    <x v="219"/>
    <n v="13791"/>
    <s v="47802840755550000055"/>
    <n v="75770772570"/>
    <s v="б/н_2013-04-21"/>
    <m/>
    <d v="2013-04-21T00:00:00"/>
    <m/>
    <m/>
    <n v="1"/>
    <n v="3"/>
    <n v="-2"/>
    <s v="0"/>
    <n v="2"/>
    <n v="2"/>
    <n v="2"/>
    <n v="0"/>
    <n v="1"/>
    <m/>
    <d v="2000-01-01T00:00:00"/>
    <n v="402"/>
    <m/>
    <m/>
    <m/>
    <n v="0"/>
    <m/>
    <m/>
  </r>
  <r>
    <x v="219"/>
    <n v="14860"/>
    <s v="32402840300210000100"/>
    <n v="4736857500"/>
    <s v="701002151(C) - участ. Arisaema"/>
    <m/>
    <d v="2015-02-10T00:00:00"/>
    <m/>
    <m/>
    <n v="1"/>
    <n v="3"/>
    <n v="-2"/>
    <s v="0"/>
    <n v="2"/>
    <n v="2"/>
    <n v="2"/>
    <n v="0"/>
    <n v="1"/>
    <n v="1"/>
    <d v="2015-05-14T00:00:00"/>
    <n v="163"/>
    <m/>
    <m/>
    <n v="0"/>
    <m/>
    <m/>
    <m/>
  </r>
  <r>
    <x v="219"/>
    <n v="22031"/>
    <s v="47408840100210153550"/>
    <n v="5681776598.1300001"/>
    <s v="IRS702404132"/>
    <m/>
    <d v="2015-09-11T00:00:00"/>
    <m/>
    <m/>
    <n v="1"/>
    <n v="3"/>
    <n v="-2"/>
    <s v="0"/>
    <n v="2"/>
    <n v="2"/>
    <n v="2"/>
    <n v="0"/>
    <n v="0"/>
    <m/>
    <d v="2500-01-01T00:00:00"/>
    <n v="606"/>
    <m/>
    <m/>
    <m/>
    <m/>
    <m/>
    <m/>
  </r>
  <r>
    <x v="220"/>
    <n v="26538"/>
    <s v="45207810355550000626"/>
    <n v="3000000000"/>
    <s v="3984"/>
    <m/>
    <d v="2016-08-22T00:00:00"/>
    <m/>
    <m/>
    <n v="1"/>
    <n v="1"/>
    <m/>
    <m/>
    <n v="1"/>
    <n v="1"/>
    <n v="1"/>
    <n v="0"/>
    <n v="1"/>
    <m/>
    <d v="2016-08-22T00:00:00"/>
    <n v="0"/>
    <m/>
    <m/>
    <n v="0"/>
    <m/>
    <m/>
    <m/>
  </r>
  <r>
    <x v="221"/>
    <n v="8543"/>
    <s v="45208840355550000190"/>
    <n v="12068628696.6"/>
    <s v="3128"/>
    <m/>
    <d v="2013-01-25T00:00:00"/>
    <m/>
    <m/>
    <n v="1"/>
    <n v="2"/>
    <n v="-2"/>
    <s v="345"/>
    <n v="2"/>
    <n v="2"/>
    <n v="2"/>
    <n v="0"/>
    <n v="1"/>
    <m/>
    <d v="2013-02-08T00:00:00"/>
    <n v="27"/>
    <s v="2016-07-27"/>
    <n v="2"/>
    <m/>
    <n v="0"/>
    <m/>
    <m/>
  </r>
  <r>
    <x v="222"/>
    <n v="17561"/>
    <s v="45205810550050000509"/>
    <n v="81430000"/>
    <s v="01258/МР"/>
    <m/>
    <d v="2016-02-05T00:00:00"/>
    <m/>
    <m/>
    <n v="1"/>
    <n v="1"/>
    <m/>
    <m/>
    <n v="1"/>
    <n v="1"/>
    <n v="1"/>
    <n v="0"/>
    <n v="1"/>
    <m/>
    <d v="2016-02-25T00:00:00"/>
    <n v="0"/>
    <m/>
    <m/>
    <m/>
    <m/>
    <m/>
    <m/>
  </r>
  <r>
    <x v="223"/>
    <n v="26580"/>
    <s v="45605840555550000027"/>
    <n v="6315810000"/>
    <s v="4048"/>
    <m/>
    <d v="2016-08-29T00:00:00"/>
    <m/>
    <m/>
    <n v="2.2000000000000002"/>
    <n v="1"/>
    <n v="-2"/>
    <s v="0"/>
    <n v="1"/>
    <n v="1"/>
    <n v="1"/>
    <n v="0"/>
    <n v="1"/>
    <m/>
    <d v="2016-08-30T00:00:00"/>
    <n v="0"/>
    <m/>
    <m/>
    <m/>
    <n v="0"/>
    <m/>
    <m/>
  </r>
  <r>
    <x v="224"/>
    <n v="11401"/>
    <s v="47801810755550000028"/>
    <n v="468750463.94999999"/>
    <s v="К2600/11-0102ЛО/Д000"/>
    <m/>
    <d v="2011-03-15T00:00:00"/>
    <m/>
    <m/>
    <n v="2.2999999999999998"/>
    <n v="3"/>
    <m/>
    <m/>
    <n v="4.3"/>
    <n v="4.3"/>
    <n v="4.3"/>
    <n v="0"/>
    <n v="1"/>
    <m/>
    <d v="2000-01-01T00:00:00"/>
    <n v="520"/>
    <m/>
    <m/>
    <m/>
    <m/>
    <m/>
    <m/>
  </r>
  <r>
    <x v="225"/>
    <n v="17634"/>
    <s v="45206810550050000786"/>
    <n v="375000000"/>
    <s v="01288/МР"/>
    <m/>
    <d v="2016-03-04T00:00:00"/>
    <m/>
    <m/>
    <n v="1"/>
    <n v="1"/>
    <m/>
    <m/>
    <n v="1"/>
    <n v="1"/>
    <n v="1"/>
    <n v="0"/>
    <n v="1"/>
    <m/>
    <d v="2016-04-01T00:00:00"/>
    <n v="0"/>
    <m/>
    <m/>
    <m/>
    <m/>
    <m/>
    <m/>
  </r>
  <r>
    <x v="226"/>
    <n v="8909"/>
    <s v="45208810355550000515"/>
    <n v="233500000"/>
    <s v="00347/МР"/>
    <m/>
    <d v="2013-04-01T00:00:00"/>
    <m/>
    <m/>
    <n v="1"/>
    <n v="1"/>
    <n v="-1"/>
    <s v="0"/>
    <n v="1"/>
    <n v="1"/>
    <n v="1"/>
    <n v="0"/>
    <n v="1"/>
    <m/>
    <d v="2013-04-21T00:00:00"/>
    <n v="0"/>
    <m/>
    <n v="0"/>
    <m/>
    <n v="0"/>
    <m/>
    <m/>
  </r>
  <r>
    <x v="227"/>
    <n v="8890"/>
    <s v="45815810400030000001"/>
    <n v="120785.01"/>
    <s v="ссуда_БражниковЮВ"/>
    <m/>
    <d v="2012-10-15T00:00:00"/>
    <m/>
    <m/>
    <n v="2"/>
    <n v="3"/>
    <m/>
    <m/>
    <n v="4"/>
    <n v="4"/>
    <n v="4"/>
    <n v="0"/>
    <n v="0"/>
    <m/>
    <d v="2500-01-01T00:00:00"/>
    <n v="985"/>
    <m/>
    <m/>
    <m/>
    <m/>
    <m/>
    <m/>
  </r>
  <r>
    <x v="228"/>
    <n v="9052"/>
    <s v="47802810255550000161"/>
    <n v="297500000"/>
    <s v="К2600/12-0181ЛВ/Д000"/>
    <m/>
    <d v="2012-04-27T00:00:00"/>
    <m/>
    <m/>
    <n v="1"/>
    <n v="1"/>
    <m/>
    <m/>
    <n v="1"/>
    <n v="1"/>
    <n v="1"/>
    <n v="0"/>
    <n v="1"/>
    <m/>
    <d v="2012-04-27T00:00:00"/>
    <n v="0"/>
    <m/>
    <m/>
    <m/>
    <m/>
    <m/>
    <m/>
  </r>
  <r>
    <x v="228"/>
    <n v="9053"/>
    <s v="47802810955550000160"/>
    <n v="402500000"/>
    <s v="К2600/11-0429ЛЗ/Д000"/>
    <m/>
    <d v="2011-08-25T00:00:00"/>
    <m/>
    <m/>
    <n v="1"/>
    <n v="1"/>
    <m/>
    <m/>
    <n v="1"/>
    <n v="1"/>
    <n v="1"/>
    <n v="0"/>
    <n v="1"/>
    <m/>
    <d v="2011-08-25T00:00:00"/>
    <n v="0"/>
    <m/>
    <m/>
    <m/>
    <n v="0"/>
    <m/>
    <m/>
  </r>
  <r>
    <x v="229"/>
    <n v="11132"/>
    <s v="45208810355550000421"/>
    <n v="238470784.28"/>
    <s v="3467"/>
    <m/>
    <d v="2014-02-26T00:00:00"/>
    <m/>
    <m/>
    <n v="1"/>
    <n v="1"/>
    <m/>
    <m/>
    <n v="1"/>
    <n v="1"/>
    <n v="1"/>
    <n v="0"/>
    <n v="1"/>
    <m/>
    <d v="2014-10-15T00:00:00"/>
    <n v="0"/>
    <m/>
    <m/>
    <m/>
    <m/>
    <m/>
    <m/>
  </r>
  <r>
    <x v="230"/>
    <n v="8854"/>
    <s v="47802810255550000080"/>
    <n v="147630000"/>
    <s v="К2600/12-0465ЛВ/Д000"/>
    <m/>
    <d v="2012-10-18T00:00:00"/>
    <m/>
    <m/>
    <n v="1"/>
    <n v="1"/>
    <m/>
    <m/>
    <n v="1"/>
    <n v="1"/>
    <n v="1"/>
    <n v="0"/>
    <n v="1"/>
    <m/>
    <d v="2012-10-18T00:00:00"/>
    <n v="0"/>
    <m/>
    <m/>
    <m/>
    <m/>
    <m/>
    <m/>
  </r>
  <r>
    <x v="230"/>
    <n v="8855"/>
    <s v="47802810855550000079"/>
    <n v="79842078.819999993"/>
    <s v="К2600/12-0476КС/Д000"/>
    <m/>
    <d v="2012-10-18T00:00:00"/>
    <m/>
    <m/>
    <n v="1"/>
    <n v="1"/>
    <m/>
    <m/>
    <n v="1"/>
    <n v="1"/>
    <n v="1"/>
    <n v="0"/>
    <n v="1"/>
    <m/>
    <d v="2012-10-31T00:00:00"/>
    <n v="0"/>
    <m/>
    <m/>
    <m/>
    <n v="0"/>
    <m/>
    <m/>
  </r>
  <r>
    <x v="231"/>
    <n v="8955"/>
    <s v="47802810550050000081"/>
    <n v="1924040.21"/>
    <s v="К2600/12-0275ЛВ/Д000"/>
    <m/>
    <d v="2012-06-05T00:00:00"/>
    <m/>
    <m/>
    <n v="3"/>
    <n v="3"/>
    <m/>
    <m/>
    <n v="5"/>
    <n v="5"/>
    <n v="5"/>
    <n v="0"/>
    <n v="1"/>
    <m/>
    <d v="2000-01-01T00:00:00"/>
    <n v="492"/>
    <m/>
    <m/>
    <m/>
    <m/>
    <m/>
    <m/>
  </r>
  <r>
    <x v="232"/>
    <n v="8856"/>
    <s v="45208810755550000351"/>
    <n v="425197409.38999999"/>
    <s v="К2600/12-0545ЛВ/Д000"/>
    <m/>
    <d v="2012-11-20T00:00:00"/>
    <m/>
    <m/>
    <n v="1"/>
    <n v="1"/>
    <m/>
    <m/>
    <n v="1"/>
    <n v="1"/>
    <n v="1"/>
    <n v="0"/>
    <n v="1"/>
    <m/>
    <d v="2012-11-11T00:00:00"/>
    <n v="0"/>
    <m/>
    <m/>
    <m/>
    <m/>
    <m/>
    <m/>
  </r>
  <r>
    <x v="232"/>
    <n v="24657"/>
    <s v="45204810055550000275"/>
    <n v="562618223.90999997"/>
    <s v="4013"/>
    <m/>
    <d v="2016-07-22T00:00:00"/>
    <m/>
    <m/>
    <n v="1"/>
    <n v="1"/>
    <m/>
    <m/>
    <n v="1"/>
    <n v="1"/>
    <n v="1"/>
    <n v="0"/>
    <n v="1"/>
    <m/>
    <d v="2016-07-25T00:00:00"/>
    <n v="0"/>
    <m/>
    <m/>
    <m/>
    <m/>
    <m/>
    <m/>
  </r>
  <r>
    <x v="233"/>
    <n v="11636"/>
    <s v="45107810050050000026"/>
    <n v="62175227.93"/>
    <s v="00696/МР"/>
    <m/>
    <d v="2014-04-04T00:00:00"/>
    <m/>
    <m/>
    <n v="1"/>
    <n v="1"/>
    <m/>
    <m/>
    <n v="1"/>
    <n v="1"/>
    <n v="1"/>
    <n v="0"/>
    <n v="1"/>
    <m/>
    <d v="2014-04-10T00:00:00"/>
    <n v="0"/>
    <m/>
    <m/>
    <m/>
    <m/>
    <m/>
    <m/>
  </r>
  <r>
    <x v="233"/>
    <n v="13716"/>
    <s v="45107810350050000030"/>
    <n v="123907249.02"/>
    <s v="00860/МР"/>
    <m/>
    <d v="2014-10-15T00:00:00"/>
    <m/>
    <m/>
    <n v="1"/>
    <n v="1"/>
    <m/>
    <m/>
    <n v="1"/>
    <n v="1"/>
    <n v="1"/>
    <n v="0"/>
    <n v="1"/>
    <m/>
    <d v="2014-10-27T00:00:00"/>
    <n v="0"/>
    <m/>
    <m/>
    <m/>
    <m/>
    <m/>
    <m/>
  </r>
  <r>
    <x v="233"/>
    <n v="15508"/>
    <s v="45107810650050000031"/>
    <n v="426003359.16000003"/>
    <s v="01028/МР"/>
    <m/>
    <d v="2015-05-12T00:00:00"/>
    <m/>
    <m/>
    <n v="1"/>
    <n v="1"/>
    <m/>
    <m/>
    <n v="1"/>
    <n v="1"/>
    <n v="1"/>
    <n v="0"/>
    <n v="1"/>
    <m/>
    <d v="2015-05-25T00:00:00"/>
    <n v="0"/>
    <m/>
    <m/>
    <m/>
    <m/>
    <m/>
    <m/>
  </r>
  <r>
    <x v="233"/>
    <n v="17245"/>
    <s v="45107810950050000032"/>
    <n v="779697519.76999998"/>
    <s v="01204/МР"/>
    <m/>
    <d v="2015-12-10T00:00:00"/>
    <m/>
    <m/>
    <n v="1"/>
    <n v="1"/>
    <m/>
    <m/>
    <n v="1"/>
    <n v="1"/>
    <n v="1"/>
    <n v="0"/>
    <n v="1"/>
    <m/>
    <d v="2015-12-25T00:00:00"/>
    <n v="0"/>
    <m/>
    <m/>
    <m/>
    <m/>
    <m/>
    <m/>
  </r>
  <r>
    <x v="233"/>
    <n v="19406"/>
    <s v="45107810250050000033"/>
    <n v="945295110.75"/>
    <s v="01362/МР"/>
    <m/>
    <d v="2016-05-18T00:00:00"/>
    <m/>
    <m/>
    <n v="1"/>
    <n v="1"/>
    <m/>
    <m/>
    <n v="1"/>
    <n v="1"/>
    <n v="1"/>
    <n v="0"/>
    <n v="1"/>
    <m/>
    <d v="2016-05-18T00:00:00"/>
    <n v="0"/>
    <m/>
    <m/>
    <m/>
    <m/>
    <m/>
    <m/>
  </r>
  <r>
    <x v="234"/>
    <n v="9256"/>
    <s v="45107810755550000012"/>
    <n v="278272727.27999997"/>
    <s v="б/н"/>
    <m/>
    <d v="2013-06-26T00:00:00"/>
    <m/>
    <m/>
    <n v="1"/>
    <n v="1"/>
    <m/>
    <m/>
    <n v="1"/>
    <n v="1"/>
    <n v="1"/>
    <n v="0"/>
    <n v="1"/>
    <m/>
    <d v="2013-06-25T00:00:00"/>
    <n v="0"/>
    <m/>
    <n v="0"/>
    <m/>
    <n v="0"/>
    <m/>
    <m/>
  </r>
  <r>
    <x v="234"/>
    <n v="14716"/>
    <s v="32308810300210000027"/>
    <n v="185515151.5"/>
    <s v="502506131(G) - участ. Европлан"/>
    <m/>
    <d v="2013-10-07T00:00:00"/>
    <m/>
    <m/>
    <n v="1"/>
    <n v="1"/>
    <m/>
    <m/>
    <n v="1"/>
    <n v="1"/>
    <n v="1"/>
    <n v="0"/>
    <n v="1"/>
    <m/>
    <d v="2013-06-26T00:00:00"/>
    <n v="0"/>
    <m/>
    <n v="0"/>
    <m/>
    <m/>
    <m/>
    <m/>
  </r>
  <r>
    <x v="234"/>
    <n v="18252"/>
    <s v="45107810455550000024"/>
    <n v="1090909091.04"/>
    <s v="79-1006/15/1017-13-КР"/>
    <m/>
    <d v="2013-12-27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235"/>
    <n v="14941"/>
    <s v="45812810050050000421"/>
    <n v="45000000"/>
    <s v="КС-724960/2013/00040"/>
    <m/>
    <d v="2013-09-18T00:00:00"/>
    <m/>
    <m/>
    <n v="3"/>
    <n v="3"/>
    <m/>
    <m/>
    <n v="5"/>
    <n v="5"/>
    <n v="5"/>
    <n v="0"/>
    <n v="1"/>
    <m/>
    <d v="2000-01-01T00:00:00"/>
    <n v="628"/>
    <m/>
    <m/>
    <m/>
    <m/>
    <m/>
    <m/>
  </r>
  <r>
    <x v="235"/>
    <n v="14942"/>
    <s v="45812810650050000423"/>
    <n v="30000000"/>
    <s v="КС-724960/2013/00046"/>
    <m/>
    <d v="2013-10-17T00:00:00"/>
    <m/>
    <m/>
    <n v="3"/>
    <n v="3"/>
    <m/>
    <m/>
    <n v="5"/>
    <n v="5"/>
    <n v="5"/>
    <n v="0"/>
    <n v="1"/>
    <m/>
    <d v="2000-01-01T00:00:00"/>
    <n v="628"/>
    <m/>
    <m/>
    <m/>
    <m/>
    <m/>
    <m/>
  </r>
  <r>
    <x v="235"/>
    <n v="14943"/>
    <s v="45812810150050000428"/>
    <n v="41000000"/>
    <s v="КС-724960/2013/00050"/>
    <m/>
    <d v="2013-12-06T00:00:00"/>
    <m/>
    <m/>
    <n v="3"/>
    <n v="3"/>
    <m/>
    <m/>
    <n v="5"/>
    <n v="5"/>
    <n v="5"/>
    <n v="0"/>
    <n v="1"/>
    <m/>
    <d v="2000-01-01T00:00:00"/>
    <n v="628"/>
    <m/>
    <m/>
    <m/>
    <m/>
    <m/>
    <m/>
  </r>
  <r>
    <x v="235"/>
    <n v="14944"/>
    <s v="45812810250050000425"/>
    <n v="40000000"/>
    <s v="КС-724960/2014/00015"/>
    <m/>
    <d v="2014-03-17T00:00:00"/>
    <m/>
    <m/>
    <n v="3"/>
    <n v="3"/>
    <m/>
    <m/>
    <n v="5"/>
    <n v="5"/>
    <n v="5"/>
    <n v="0"/>
    <n v="1"/>
    <m/>
    <d v="2000-01-01T00:00:00"/>
    <n v="628"/>
    <m/>
    <m/>
    <m/>
    <m/>
    <m/>
    <m/>
  </r>
  <r>
    <x v="235"/>
    <n v="14945"/>
    <s v="45812810350050000422"/>
    <n v="19000000"/>
    <s v="КС-724960/2014/00020"/>
    <m/>
    <d v="2014-04-10T00:00:00"/>
    <m/>
    <m/>
    <n v="3"/>
    <n v="3"/>
    <m/>
    <m/>
    <n v="5"/>
    <n v="5"/>
    <n v="5"/>
    <n v="0"/>
    <n v="1"/>
    <m/>
    <d v="2000-01-01T00:00:00"/>
    <n v="628"/>
    <m/>
    <m/>
    <m/>
    <m/>
    <m/>
    <m/>
  </r>
  <r>
    <x v="235"/>
    <n v="14946"/>
    <s v="45812810950050000424"/>
    <n v="18000000"/>
    <s v="КС-ЦН-724960/2014/00048"/>
    <m/>
    <d v="2014-07-30T00:00:00"/>
    <m/>
    <m/>
    <n v="3"/>
    <n v="3"/>
    <m/>
    <m/>
    <n v="5"/>
    <n v="5"/>
    <n v="5"/>
    <n v="0"/>
    <n v="1"/>
    <m/>
    <d v="2000-01-01T00:00:00"/>
    <n v="628"/>
    <m/>
    <m/>
    <m/>
    <m/>
    <m/>
    <m/>
  </r>
  <r>
    <x v="236"/>
    <n v="10624"/>
    <s v="45208810650050000150"/>
    <n v="98784582.180000007"/>
    <s v="00620/МР"/>
    <m/>
    <d v="2013-12-31T00:00:00"/>
    <m/>
    <m/>
    <n v="1"/>
    <n v="1"/>
    <m/>
    <m/>
    <n v="1"/>
    <n v="1"/>
    <n v="1"/>
    <n v="0"/>
    <n v="1"/>
    <m/>
    <d v="2014-01-27T00:00:00"/>
    <n v="0"/>
    <m/>
    <n v="0"/>
    <m/>
    <m/>
    <m/>
    <m/>
  </r>
  <r>
    <x v="236"/>
    <n v="12519"/>
    <s v="45208810950050000151"/>
    <n v="449998230"/>
    <s v="00739/МР"/>
    <m/>
    <d v="2014-07-09T00:00:00"/>
    <m/>
    <m/>
    <n v="1"/>
    <n v="1"/>
    <m/>
    <m/>
    <n v="1"/>
    <n v="1"/>
    <n v="1"/>
    <n v="0"/>
    <n v="1"/>
    <m/>
    <d v="2014-07-25T00:00:00"/>
    <n v="0"/>
    <m/>
    <n v="0"/>
    <m/>
    <m/>
    <m/>
    <m/>
  </r>
  <r>
    <x v="237"/>
    <n v="13882"/>
    <s v="45812810750050000491"/>
    <n v="968770341.05999994"/>
    <s v="00890/МР"/>
    <m/>
    <d v="2014-10-31T00:00:00"/>
    <m/>
    <m/>
    <n v="2.2999999999999998"/>
    <n v="3"/>
    <m/>
    <m/>
    <n v="4.3"/>
    <n v="4.3"/>
    <n v="4.3"/>
    <n v="0"/>
    <n v="1"/>
    <m/>
    <d v="2000-01-01T00:00:00"/>
    <n v="334"/>
    <m/>
    <m/>
    <m/>
    <m/>
    <m/>
    <m/>
  </r>
  <r>
    <x v="238"/>
    <n v="10557"/>
    <s v="45205810655550000328"/>
    <n v="151000000"/>
    <s v="3426"/>
    <m/>
    <d v="2013-12-24T00:00:00"/>
    <m/>
    <m/>
    <n v="2.2000000000000002"/>
    <n v="1"/>
    <m/>
    <m/>
    <n v="2.2000000000000002"/>
    <n v="2.2000000000000002"/>
    <n v="2.2000000000000002"/>
    <n v="0"/>
    <n v="1"/>
    <m/>
    <d v="2013-12-31T00:00:00"/>
    <n v="0"/>
    <m/>
    <n v="0"/>
    <m/>
    <m/>
    <m/>
    <m/>
  </r>
  <r>
    <x v="238"/>
    <n v="13539"/>
    <s v="45208810155550000427"/>
    <n v="1050000000"/>
    <s v="3565"/>
    <m/>
    <d v="2014-10-01T00:00:00"/>
    <m/>
    <m/>
    <n v="2.2000000000000002"/>
    <n v="1"/>
    <m/>
    <m/>
    <n v="2.2000000000000002"/>
    <n v="2.2000000000000002"/>
    <n v="2.2000000000000002"/>
    <n v="0"/>
    <n v="1"/>
    <m/>
    <d v="2014-10-01T00:00:00"/>
    <n v="0"/>
    <m/>
    <n v="0"/>
    <m/>
    <m/>
    <m/>
    <m/>
  </r>
  <r>
    <x v="238"/>
    <n v="16568"/>
    <s v="45207810555550000536"/>
    <n v="1250000000"/>
    <s v="3695"/>
    <m/>
    <d v="2015-05-26T00:00:00"/>
    <m/>
    <m/>
    <n v="2.2000000000000002"/>
    <n v="1"/>
    <m/>
    <m/>
    <n v="2.2000000000000002"/>
    <n v="2.2000000000000002"/>
    <n v="2.2000000000000002"/>
    <n v="0"/>
    <n v="1"/>
    <m/>
    <d v="2015-09-22T00:00:00"/>
    <n v="0"/>
    <m/>
    <m/>
    <m/>
    <m/>
    <m/>
    <m/>
  </r>
  <r>
    <x v="238"/>
    <n v="17690"/>
    <s v="45207810155550000570"/>
    <n v="1050000000"/>
    <s v="3935"/>
    <m/>
    <d v="2016-03-22T00:00:00"/>
    <m/>
    <m/>
    <n v="2.2000000000000002"/>
    <n v="1"/>
    <m/>
    <m/>
    <n v="2.2000000000000002"/>
    <n v="2.2000000000000002"/>
    <n v="2.2000000000000002"/>
    <n v="0"/>
    <n v="1"/>
    <m/>
    <d v="2016-03-25T00:00:00"/>
    <n v="0"/>
    <m/>
    <m/>
    <m/>
    <m/>
    <m/>
    <m/>
  </r>
  <r>
    <x v="239"/>
    <n v="17185"/>
    <s v="45207810550050000426"/>
    <n v="700000000"/>
    <s v="01181/МР"/>
    <m/>
    <d v="2015-12-02T00:00:00"/>
    <m/>
    <m/>
    <n v="1"/>
    <n v="1"/>
    <m/>
    <m/>
    <n v="1"/>
    <n v="1"/>
    <n v="1"/>
    <n v="0"/>
    <n v="1"/>
    <m/>
    <d v="2015-12-30T00:00:00"/>
    <n v="0"/>
    <m/>
    <m/>
    <m/>
    <m/>
    <m/>
    <m/>
  </r>
  <r>
    <x v="239"/>
    <n v="18061"/>
    <s v="45207810550050000442"/>
    <n v="648000000"/>
    <s v="01328/МР"/>
    <m/>
    <d v="2016-05-04T00:00:00"/>
    <m/>
    <m/>
    <n v="1"/>
    <n v="1"/>
    <m/>
    <m/>
    <n v="1"/>
    <n v="1"/>
    <n v="1"/>
    <n v="0"/>
    <n v="1"/>
    <m/>
    <d v="2016-05-30T00:00:00"/>
    <n v="0"/>
    <m/>
    <m/>
    <m/>
    <m/>
    <m/>
    <m/>
  </r>
  <r>
    <x v="240"/>
    <n v="14947"/>
    <s v="32009810400210000022"/>
    <n v="18000000000"/>
    <s v="500603151"/>
    <m/>
    <d v="2015-03-06T00:00:00"/>
    <m/>
    <m/>
    <n v="3"/>
    <n v="1"/>
    <m/>
    <m/>
    <n v="3"/>
    <n v="3"/>
    <n v="3"/>
    <n v="0"/>
    <n v="1"/>
    <m/>
    <d v="2015-04-02T00:00:00"/>
    <n v="0"/>
    <m/>
    <m/>
    <m/>
    <m/>
    <m/>
    <m/>
  </r>
  <r>
    <x v="240"/>
    <n v="14980"/>
    <s v="32009810700210000023"/>
    <n v="7000000000"/>
    <s v="501003152"/>
    <m/>
    <d v="2015-03-10T00:00:00"/>
    <m/>
    <m/>
    <n v="3"/>
    <n v="1"/>
    <m/>
    <m/>
    <n v="3"/>
    <n v="3"/>
    <n v="3"/>
    <n v="0"/>
    <n v="1"/>
    <m/>
    <d v="2015-04-02T00:00:00"/>
    <n v="0"/>
    <m/>
    <m/>
    <m/>
    <m/>
    <m/>
    <m/>
  </r>
  <r>
    <x v="241"/>
    <n v="24658"/>
    <s v="45207810855550000621"/>
    <n v="450000000"/>
    <s v="3978"/>
    <m/>
    <d v="2016-07-25T00:00:00"/>
    <m/>
    <m/>
    <n v="1"/>
    <n v="1"/>
    <m/>
    <m/>
    <n v="1"/>
    <n v="1"/>
    <n v="1"/>
    <n v="0"/>
    <n v="1"/>
    <m/>
    <d v="2016-08-28T00:00:00"/>
    <n v="0"/>
    <m/>
    <m/>
    <m/>
    <n v="0"/>
    <m/>
    <m/>
  </r>
  <r>
    <x v="242"/>
    <n v="14048"/>
    <s v="45812810955550000929"/>
    <n v="1999722321.9200001"/>
    <s v="КС-724710/2013/00048"/>
    <m/>
    <d v="2013-10-02T00:00:00"/>
    <m/>
    <m/>
    <n v="3"/>
    <n v="3"/>
    <m/>
    <m/>
    <n v="5"/>
    <n v="5"/>
    <n v="5"/>
    <n v="0"/>
    <n v="1"/>
    <m/>
    <d v="2000-01-01T00:00:00"/>
    <n v="530"/>
    <m/>
    <m/>
    <m/>
    <m/>
    <m/>
    <m/>
  </r>
  <r>
    <x v="242"/>
    <n v="14098"/>
    <s v="45812810255550000920"/>
    <n v="464178693.42000002"/>
    <s v="КС-724710/2013/00039"/>
    <m/>
    <d v="2013-08-22T00:00:00"/>
    <m/>
    <m/>
    <n v="3"/>
    <n v="3"/>
    <m/>
    <m/>
    <n v="5"/>
    <n v="5"/>
    <n v="5"/>
    <n v="0"/>
    <n v="1"/>
    <m/>
    <d v="2000-01-01T00:00:00"/>
    <n v="771"/>
    <m/>
    <m/>
    <m/>
    <m/>
    <m/>
    <m/>
  </r>
  <r>
    <x v="242"/>
    <n v="14099"/>
    <s v="45812810455550000924"/>
    <n v="2999493062.77"/>
    <s v="КС-724710/2013/00074"/>
    <m/>
    <d v="2013-12-27T00:00:00"/>
    <m/>
    <m/>
    <n v="3"/>
    <n v="3"/>
    <m/>
    <m/>
    <n v="5"/>
    <n v="5"/>
    <n v="5"/>
    <n v="0"/>
    <n v="1"/>
    <m/>
    <d v="2000-01-01T00:00:00"/>
    <n v="642"/>
    <m/>
    <m/>
    <m/>
    <m/>
    <m/>
    <m/>
  </r>
  <r>
    <x v="242"/>
    <n v="15432"/>
    <s v="45812810650060000002"/>
    <n v="30801221"/>
    <s v="IGR14/SRBR/0085"/>
    <m/>
    <d v="2014-01-15T00:00:00"/>
    <m/>
    <m/>
    <n v="3"/>
    <n v="3"/>
    <m/>
    <m/>
    <n v="5"/>
    <n v="5"/>
    <n v="5"/>
    <n v="0"/>
    <n v="1"/>
    <m/>
    <d v="2000-01-01T00:00:00"/>
    <n v="584"/>
    <m/>
    <m/>
    <m/>
    <m/>
    <m/>
    <m/>
  </r>
  <r>
    <x v="243"/>
    <n v="8906"/>
    <s v="45208810355550000382"/>
    <n v="38381913909.199997"/>
    <s v="3186"/>
    <m/>
    <d v="2013-03-26T00:00:00"/>
    <m/>
    <m/>
    <n v="1"/>
    <n v="1"/>
    <m/>
    <m/>
    <n v="1"/>
    <n v="1"/>
    <n v="1"/>
    <n v="0"/>
    <n v="1"/>
    <m/>
    <d v="2013-04-04T00:00:00"/>
    <n v="0"/>
    <m/>
    <n v="0"/>
    <m/>
    <n v="0"/>
    <m/>
    <m/>
  </r>
  <r>
    <x v="243"/>
    <n v="16612"/>
    <s v="45207840755550000306"/>
    <n v="2414665263.4299998"/>
    <s v="3756"/>
    <m/>
    <d v="2015-09-22T00:00:00"/>
    <m/>
    <m/>
    <n v="1"/>
    <n v="1"/>
    <m/>
    <m/>
    <n v="1"/>
    <n v="1"/>
    <n v="1"/>
    <n v="0"/>
    <n v="1"/>
    <m/>
    <d v="2015-09-24T00:00:00"/>
    <n v="0"/>
    <m/>
    <m/>
    <m/>
    <n v="0"/>
    <m/>
    <m/>
  </r>
  <r>
    <x v="244"/>
    <n v="9135"/>
    <s v="45208840255550000180"/>
    <n v="6841810257.2799997"/>
    <s v="К2600/08-0187ЛО/Д000"/>
    <m/>
    <d v="2008-06-18T00:00:00"/>
    <m/>
    <m/>
    <n v="2.1"/>
    <n v="2"/>
    <n v="-2"/>
    <s v="0"/>
    <n v="1.9999999999999996"/>
    <n v="1.9999999999999996"/>
    <n v="1.9999999999999996"/>
    <n v="0"/>
    <n v="1"/>
    <m/>
    <d v="2008-06-16T00:00:00"/>
    <n v="0"/>
    <m/>
    <n v="2"/>
    <m/>
    <m/>
    <m/>
    <m/>
  </r>
  <r>
    <x v="244"/>
    <n v="17423"/>
    <s v="45207810955550000628"/>
    <n v="402814630.06"/>
    <s v="3834"/>
    <m/>
    <d v="2015-12-30T00:00:00"/>
    <m/>
    <m/>
    <n v="2.1"/>
    <n v="1"/>
    <n v="-2"/>
    <s v="0"/>
    <n v="1"/>
    <n v="1"/>
    <n v="1"/>
    <n v="0"/>
    <n v="1"/>
    <m/>
    <d v="2016-04-04T00:00:00"/>
    <n v="0"/>
    <m/>
    <m/>
    <m/>
    <m/>
    <m/>
    <m/>
  </r>
  <r>
    <x v="245"/>
    <n v="12756"/>
    <s v="45206810750050000638"/>
    <n v="250000000"/>
    <s v="00787/МР"/>
    <m/>
    <d v="2014-07-31T00:00:00"/>
    <m/>
    <m/>
    <n v="1"/>
    <n v="1"/>
    <m/>
    <m/>
    <n v="1"/>
    <n v="1"/>
    <n v="1"/>
    <n v="0"/>
    <n v="1"/>
    <n v="1"/>
    <d v="2014-07-31T00:00:00"/>
    <n v="0"/>
    <m/>
    <m/>
    <m/>
    <m/>
    <m/>
    <m/>
  </r>
  <r>
    <x v="246"/>
    <n v="16917"/>
    <s v="45206810655550000482"/>
    <n v="587456759.65999997"/>
    <s v="3806"/>
    <m/>
    <d v="2015-10-29T00:00:00"/>
    <m/>
    <m/>
    <n v="1"/>
    <n v="1"/>
    <m/>
    <m/>
    <n v="1"/>
    <n v="1"/>
    <n v="1"/>
    <n v="0"/>
    <n v="1"/>
    <m/>
    <d v="2015-11-09T00:00:00"/>
    <n v="0"/>
    <m/>
    <m/>
    <n v="0"/>
    <m/>
    <m/>
    <m/>
  </r>
  <r>
    <x v="247"/>
    <n v="15820"/>
    <s v="45206810955550000467"/>
    <n v="11687891693.540001"/>
    <s v="3711"/>
    <m/>
    <d v="2015-06-25T00:00:00"/>
    <m/>
    <m/>
    <n v="1"/>
    <n v="1"/>
    <m/>
    <m/>
    <n v="1"/>
    <n v="1"/>
    <n v="1"/>
    <n v="0"/>
    <n v="1"/>
    <m/>
    <d v="2015-06-29T00:00:00"/>
    <n v="0"/>
    <m/>
    <m/>
    <n v="0"/>
    <n v="0"/>
    <m/>
    <m/>
  </r>
  <r>
    <x v="248"/>
    <n v="18604"/>
    <s v="45207840655550000309"/>
    <n v="2182112355"/>
    <s v="б/н (КА300/11-0062ЛЗ/Д000)"/>
    <m/>
    <d v="2013-06-11T00:00:00"/>
    <m/>
    <m/>
    <n v="1"/>
    <n v="2"/>
    <m/>
    <m/>
    <n v="2"/>
    <n v="2"/>
    <n v="2"/>
    <n v="0"/>
    <n v="1"/>
    <m/>
    <d v="2000-01-01T00:00:00"/>
    <n v="0"/>
    <m/>
    <n v="1"/>
    <m/>
    <n v="0"/>
    <m/>
    <m/>
  </r>
  <r>
    <x v="248"/>
    <n v="18614"/>
    <s v="47802810155550000245"/>
    <n v="209324198"/>
    <s v="б/н (КА300/11-0063ЛЗ/Д000)"/>
    <m/>
    <d v="2013-06-11T00:00:00"/>
    <m/>
    <m/>
    <n v="1"/>
    <n v="2"/>
    <m/>
    <m/>
    <n v="2"/>
    <n v="2"/>
    <n v="2"/>
    <n v="0"/>
    <n v="1"/>
    <m/>
    <d v="2000-01-01T00:00:00"/>
    <n v="0"/>
    <m/>
    <n v="1"/>
    <m/>
    <n v="0"/>
    <m/>
    <m/>
  </r>
  <r>
    <x v="248"/>
    <n v="18631"/>
    <s v="47802840055550000072"/>
    <n v="1496000095.6700001"/>
    <s v="б/н (КА300/11-0064ЛВ/Д000)"/>
    <m/>
    <d v="2013-06-11T00:00:00"/>
    <m/>
    <m/>
    <n v="1"/>
    <n v="2"/>
    <m/>
    <m/>
    <n v="2"/>
    <n v="2"/>
    <n v="2"/>
    <n v="0"/>
    <n v="1"/>
    <m/>
    <d v="2000-01-01T00:00:00"/>
    <n v="0"/>
    <m/>
    <n v="2"/>
    <m/>
    <n v="0"/>
    <m/>
    <m/>
  </r>
  <r>
    <x v="249"/>
    <n v="18603"/>
    <s v="45207810655550000591"/>
    <n v="1424648400"/>
    <s v="б/н (КА300/11-0014ЛЗ/Д000)"/>
    <m/>
    <d v="2013-06-11T00:00:00"/>
    <m/>
    <m/>
    <n v="1"/>
    <n v="2"/>
    <m/>
    <m/>
    <n v="2"/>
    <n v="2"/>
    <n v="2"/>
    <n v="0"/>
    <n v="1"/>
    <m/>
    <d v="2000-01-01T00:00:00"/>
    <n v="0"/>
    <m/>
    <n v="2"/>
    <m/>
    <m/>
    <m/>
    <m/>
  </r>
  <r>
    <x v="249"/>
    <n v="18626"/>
    <s v="47802810755550000250"/>
    <n v="517624993"/>
    <s v="б/н (КА300/11-0078ЛВ/Д000)"/>
    <m/>
    <d v="2013-06-11T00:00:00"/>
    <m/>
    <m/>
    <n v="1"/>
    <n v="2"/>
    <m/>
    <m/>
    <n v="2"/>
    <n v="2"/>
    <n v="2"/>
    <n v="0"/>
    <n v="1"/>
    <m/>
    <d v="2000-01-01T00:00:00"/>
    <n v="7"/>
    <s v="2016-04-27"/>
    <n v="1"/>
    <m/>
    <m/>
    <m/>
    <m/>
  </r>
  <r>
    <x v="250"/>
    <n v="18602"/>
    <s v="45207810655550000588"/>
    <n v="135908712.31999999"/>
    <s v="б/н (КА300/12-0001ЛЗ/Д000)"/>
    <m/>
    <d v="2013-06-11T00:00:00"/>
    <m/>
    <m/>
    <n v="2.1"/>
    <n v="1"/>
    <m/>
    <m/>
    <n v="2.1"/>
    <n v="2.1"/>
    <n v="2.1"/>
    <n v="0"/>
    <n v="1"/>
    <m/>
    <d v="2000-01-01T00:00:00"/>
    <n v="2"/>
    <s v="2016-04-27"/>
    <m/>
    <m/>
    <m/>
    <m/>
    <m/>
  </r>
  <r>
    <x v="251"/>
    <n v="9188"/>
    <s v="47801840855550000008"/>
    <n v="1798111107"/>
    <s v="К2600/12-0611ЛВ/Д000"/>
    <m/>
    <d v="2012-12-26T00:00:00"/>
    <m/>
    <m/>
    <n v="1"/>
    <n v="1"/>
    <m/>
    <m/>
    <n v="1"/>
    <n v="1"/>
    <n v="1"/>
    <n v="0"/>
    <n v="1"/>
    <m/>
    <d v="2012-12-26T00:00:00"/>
    <n v="0"/>
    <m/>
    <m/>
    <m/>
    <n v="0"/>
    <m/>
    <m/>
  </r>
  <r>
    <x v="252"/>
    <n v="9189"/>
    <s v="45208810655550000587"/>
    <n v="1826811924.6500001"/>
    <s v="К2600/12-0532ЛВ/Д000"/>
    <m/>
    <d v="2012-12-04T00:00:00"/>
    <m/>
    <m/>
    <n v="1"/>
    <n v="1"/>
    <m/>
    <m/>
    <n v="1"/>
    <n v="1"/>
    <n v="1"/>
    <n v="0"/>
    <n v="1"/>
    <m/>
    <d v="2012-12-04T00:00:00"/>
    <n v="0"/>
    <m/>
    <n v="0"/>
    <n v="0"/>
    <n v="0"/>
    <m/>
    <m/>
  </r>
  <r>
    <x v="253"/>
    <n v="15931"/>
    <s v="45812810755550000970"/>
    <n v="1942347161.25"/>
    <s v="К2600/11-0737ЛВ/Д000"/>
    <m/>
    <d v="2011-10-28T00:00:00"/>
    <m/>
    <m/>
    <n v="1"/>
    <n v="3"/>
    <m/>
    <m/>
    <n v="3"/>
    <n v="3"/>
    <n v="3"/>
    <n v="0"/>
    <n v="1"/>
    <m/>
    <d v="2000-01-01T00:00:00"/>
    <n v="467"/>
    <m/>
    <n v="0"/>
    <m/>
    <m/>
    <m/>
    <m/>
  </r>
  <r>
    <x v="254"/>
    <n v="9192"/>
    <s v="47801810655550000034"/>
    <n v="6473398785.0900002"/>
    <s v="К2600/12-0133ЛВ/Д000"/>
    <m/>
    <d v="2012-04-05T00:00:00"/>
    <m/>
    <m/>
    <n v="2.1"/>
    <n v="3"/>
    <n v="-2"/>
    <s v="0"/>
    <n v="2.9999999999999996"/>
    <n v="2.9999999999999996"/>
    <n v="2.9999999999999996"/>
    <n v="0"/>
    <n v="1"/>
    <m/>
    <d v="2012-04-05T00:00:00"/>
    <n v="81"/>
    <s v="2016-04-19"/>
    <n v="0"/>
    <m/>
    <n v="0"/>
    <n v="0"/>
    <m/>
  </r>
  <r>
    <x v="255"/>
    <n v="9193"/>
    <s v="47801810355550000017"/>
    <n v="1500000000"/>
    <s v="К2600/11-0363ЛВ/Д000"/>
    <m/>
    <d v="2011-05-31T00:00:00"/>
    <m/>
    <m/>
    <n v="1"/>
    <n v="1"/>
    <n v="-2"/>
    <s v="0"/>
    <n v="1"/>
    <n v="1"/>
    <n v="1"/>
    <n v="0"/>
    <n v="1"/>
    <m/>
    <d v="2011-05-31T00:00:00"/>
    <n v="0"/>
    <m/>
    <n v="0"/>
    <m/>
    <m/>
    <m/>
    <m/>
  </r>
  <r>
    <x v="256"/>
    <n v="9196"/>
    <s v="47801840255550000006"/>
    <n v="886423933.5"/>
    <s v="К2600/12-0533ЛВ/Д000"/>
    <m/>
    <d v="2012-11-29T00:00:00"/>
    <m/>
    <m/>
    <n v="1"/>
    <n v="1"/>
    <m/>
    <m/>
    <n v="1"/>
    <n v="1"/>
    <n v="1"/>
    <n v="0"/>
    <n v="1"/>
    <m/>
    <d v="2012-11-29T00:00:00"/>
    <n v="0"/>
    <m/>
    <m/>
    <m/>
    <n v="0"/>
    <m/>
    <m/>
  </r>
  <r>
    <x v="257"/>
    <n v="9595"/>
    <s v="47801810150050000013"/>
    <n v="438101726.48000002"/>
    <s v="К2600/11-0235ЛВ/Д000"/>
    <m/>
    <d v="2011-04-22T00:00:00"/>
    <m/>
    <m/>
    <n v="3"/>
    <n v="3"/>
    <m/>
    <m/>
    <n v="5"/>
    <n v="5"/>
    <n v="5"/>
    <n v="0"/>
    <n v="1"/>
    <m/>
    <d v="2000-01-01T00:00:00"/>
    <n v="1212"/>
    <m/>
    <n v="1"/>
    <m/>
    <m/>
    <m/>
    <m/>
  </r>
  <r>
    <x v="258"/>
    <n v="9022"/>
    <s v="45208810050050000080"/>
    <n v="332755349.35000002"/>
    <s v="00390/МР"/>
    <m/>
    <d v="2013-04-30T00:00:00"/>
    <m/>
    <m/>
    <n v="1"/>
    <n v="1"/>
    <m/>
    <m/>
    <n v="1"/>
    <n v="1"/>
    <n v="1"/>
    <n v="0"/>
    <n v="1"/>
    <m/>
    <d v="2013-04-30T00:00:00"/>
    <n v="0"/>
    <m/>
    <m/>
    <m/>
    <n v="0"/>
    <m/>
    <m/>
  </r>
  <r>
    <x v="258"/>
    <n v="9231"/>
    <s v="45208810950050000083"/>
    <n v="59936532.399999999"/>
    <s v="00435/МР"/>
    <m/>
    <d v="2013-06-21T00:00:00"/>
    <m/>
    <m/>
    <n v="1"/>
    <n v="1"/>
    <m/>
    <m/>
    <n v="1"/>
    <n v="1"/>
    <n v="1"/>
    <n v="0"/>
    <n v="1"/>
    <m/>
    <d v="2013-06-21T00:00:00"/>
    <n v="0"/>
    <m/>
    <m/>
    <m/>
    <n v="0"/>
    <m/>
    <m/>
  </r>
  <r>
    <x v="258"/>
    <n v="9248"/>
    <s v="45208810250050000084"/>
    <n v="19978844.100000001"/>
    <s v="00436/МР"/>
    <m/>
    <d v="2013-06-21T00:00:00"/>
    <m/>
    <m/>
    <n v="1"/>
    <n v="1"/>
    <m/>
    <m/>
    <n v="1"/>
    <n v="1"/>
    <n v="1"/>
    <n v="0"/>
    <n v="1"/>
    <m/>
    <d v="2013-06-27T00:00:00"/>
    <n v="0"/>
    <m/>
    <m/>
    <m/>
    <n v="0"/>
    <m/>
    <m/>
  </r>
  <r>
    <x v="258"/>
    <n v="9249"/>
    <s v="45208810150050000087"/>
    <n v="78235294.099999994"/>
    <s v="00437/МР"/>
    <m/>
    <d v="2013-06-21T00:00:00"/>
    <m/>
    <m/>
    <n v="1"/>
    <n v="1"/>
    <m/>
    <m/>
    <n v="1"/>
    <n v="1"/>
    <n v="1"/>
    <n v="0"/>
    <n v="1"/>
    <m/>
    <d v="2013-07-04T00:00:00"/>
    <n v="0"/>
    <m/>
    <m/>
    <m/>
    <m/>
    <m/>
    <m/>
  </r>
  <r>
    <x v="258"/>
    <n v="11961"/>
    <s v="45208810850050000112"/>
    <n v="95022599.579999998"/>
    <s v="00721/МР"/>
    <m/>
    <d v="2014-05-13T00:00:00"/>
    <m/>
    <m/>
    <n v="1"/>
    <n v="1"/>
    <m/>
    <m/>
    <n v="1"/>
    <n v="1"/>
    <n v="1"/>
    <n v="0"/>
    <n v="1"/>
    <m/>
    <d v="2014-05-26T00:00:00"/>
    <n v="0"/>
    <m/>
    <m/>
    <m/>
    <n v="0"/>
    <m/>
    <m/>
  </r>
  <r>
    <x v="258"/>
    <n v="15265"/>
    <s v="45208810250050000152"/>
    <n v="105452408.38"/>
    <s v="01006/МР"/>
    <m/>
    <d v="2015-04-10T00:00:00"/>
    <m/>
    <m/>
    <n v="1"/>
    <n v="1"/>
    <m/>
    <m/>
    <n v="1"/>
    <n v="1"/>
    <n v="1"/>
    <n v="0"/>
    <n v="1"/>
    <m/>
    <d v="2015-04-27T00:00:00"/>
    <n v="0"/>
    <m/>
    <m/>
    <m/>
    <n v="0"/>
    <m/>
    <m/>
  </r>
  <r>
    <x v="259"/>
    <n v="16695"/>
    <s v="45208810655550000480"/>
    <n v="819000000"/>
    <s v="КС-728000/2013/00070"/>
    <m/>
    <d v="2013-10-31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260"/>
    <n v="17562"/>
    <s v="45206810350050000782"/>
    <n v="540000000"/>
    <s v="01271/МР"/>
    <m/>
    <d v="2016-02-10T00:00:00"/>
    <m/>
    <m/>
    <n v="1"/>
    <n v="1"/>
    <m/>
    <m/>
    <n v="1"/>
    <n v="1"/>
    <n v="1"/>
    <n v="0"/>
    <n v="1"/>
    <m/>
    <d v="2016-03-10T00:00:00"/>
    <n v="0"/>
    <m/>
    <m/>
    <m/>
    <m/>
    <m/>
    <m/>
  </r>
  <r>
    <x v="260"/>
    <n v="17676"/>
    <s v="45206810450050000792"/>
    <n v="560000000"/>
    <s v="01293/МР"/>
    <m/>
    <d v="2016-03-16T00:00:00"/>
    <m/>
    <m/>
    <n v="1"/>
    <n v="1"/>
    <m/>
    <m/>
    <n v="1"/>
    <n v="1"/>
    <n v="1"/>
    <n v="0"/>
    <n v="1"/>
    <m/>
    <d v="2016-04-10T00:00:00"/>
    <n v="0"/>
    <m/>
    <m/>
    <m/>
    <m/>
    <m/>
    <m/>
  </r>
  <r>
    <x v="260"/>
    <n v="17710"/>
    <s v="45206810050050000794"/>
    <n v="1900000000"/>
    <s v="01294/МР"/>
    <m/>
    <d v="2016-03-31T00:00:00"/>
    <m/>
    <m/>
    <n v="1"/>
    <n v="1"/>
    <m/>
    <m/>
    <n v="1"/>
    <n v="1"/>
    <n v="1"/>
    <n v="0"/>
    <n v="1"/>
    <m/>
    <d v="2016-04-11T00:00:00"/>
    <n v="0"/>
    <m/>
    <m/>
    <m/>
    <m/>
    <m/>
    <m/>
  </r>
  <r>
    <x v="261"/>
    <n v="10255"/>
    <s v="32109978900210000034"/>
    <n v="141764600"/>
    <s v="702210132"/>
    <m/>
    <d v="2013-10-22T00:00:00"/>
    <m/>
    <m/>
    <n v="2"/>
    <n v="1"/>
    <n v="-1"/>
    <s v="0"/>
    <n v="1"/>
    <n v="1"/>
    <n v="1"/>
    <n v="0"/>
    <n v="1"/>
    <m/>
    <d v="2013-12-31T00:00:00"/>
    <n v="0"/>
    <m/>
    <m/>
    <m/>
    <m/>
    <m/>
    <m/>
  </r>
  <r>
    <x v="261"/>
    <n v="18254"/>
    <s v="32109978200210000035"/>
    <n v="141764600"/>
    <s v="701005164"/>
    <m/>
    <d v="2012-11-28T00:00:00"/>
    <m/>
    <m/>
    <n v="2"/>
    <n v="1"/>
    <n v="-1"/>
    <s v="0"/>
    <n v="1"/>
    <n v="1"/>
    <n v="1"/>
    <n v="0"/>
    <n v="1"/>
    <n v="1"/>
    <d v="2012-12-31T00:00:00"/>
    <n v="0"/>
    <m/>
    <m/>
    <m/>
    <m/>
    <m/>
    <m/>
  </r>
  <r>
    <x v="262"/>
    <n v="12072"/>
    <s v="45208810650050000118"/>
    <n v="30402313.32"/>
    <s v="00707/МР"/>
    <m/>
    <d v="2014-05-28T00:00:00"/>
    <m/>
    <m/>
    <n v="1"/>
    <n v="1"/>
    <m/>
    <m/>
    <n v="1"/>
    <n v="1"/>
    <n v="1"/>
    <n v="0"/>
    <n v="1"/>
    <m/>
    <d v="2014-06-16T00:00:00"/>
    <n v="0"/>
    <m/>
    <m/>
    <m/>
    <m/>
    <m/>
    <m/>
  </r>
  <r>
    <x v="262"/>
    <n v="12073"/>
    <s v="45208810950050000119"/>
    <n v="10607958.289999999"/>
    <s v="00706/МР"/>
    <m/>
    <d v="2014-05-28T00:00:00"/>
    <m/>
    <m/>
    <n v="1"/>
    <n v="1"/>
    <m/>
    <m/>
    <n v="1"/>
    <n v="1"/>
    <n v="1"/>
    <n v="0"/>
    <n v="1"/>
    <m/>
    <d v="2014-06-16T00:00:00"/>
    <n v="0"/>
    <m/>
    <m/>
    <m/>
    <m/>
    <m/>
    <m/>
  </r>
  <r>
    <x v="262"/>
    <n v="17011"/>
    <s v="45205810650050000412"/>
    <n v="199797029.84"/>
    <s v="01167/МР"/>
    <m/>
    <d v="2015-11-11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263"/>
    <n v="9300"/>
    <s v="47801810355550000020"/>
    <n v="1886055682.72"/>
    <s v="К2600/11-0827ЛВ/Д000"/>
    <m/>
    <d v="2011-12-15T00:00:00"/>
    <m/>
    <m/>
    <n v="3"/>
    <n v="3"/>
    <n v="-1"/>
    <s v="0"/>
    <n v="4"/>
    <n v="4"/>
    <n v="4"/>
    <n v="0"/>
    <n v="1"/>
    <m/>
    <d v="2000-01-01T00:00:00"/>
    <n v="1097"/>
    <m/>
    <n v="2"/>
    <m/>
    <m/>
    <m/>
    <m/>
  </r>
  <r>
    <x v="264"/>
    <n v="9753"/>
    <s v="47801810855550000025"/>
    <n v="65337638.890000001"/>
    <s v="К2600/08-0404ЛО/Д000"/>
    <m/>
    <d v="2008-12-31T00:00:00"/>
    <m/>
    <m/>
    <n v="3"/>
    <n v="3"/>
    <m/>
    <m/>
    <n v="5"/>
    <n v="5"/>
    <n v="5"/>
    <n v="0"/>
    <n v="1"/>
    <m/>
    <d v="2008-12-31T00:00:00"/>
    <n v="946"/>
    <m/>
    <n v="1"/>
    <m/>
    <m/>
    <m/>
    <m/>
  </r>
  <r>
    <x v="264"/>
    <n v="9754"/>
    <s v="47801810155550000026"/>
    <n v="99850297.469999999"/>
    <s v="К2600/11-0345ЛВ/Д000"/>
    <m/>
    <d v="2011-06-21T00:00:00"/>
    <m/>
    <m/>
    <n v="3"/>
    <n v="3"/>
    <m/>
    <m/>
    <n v="5"/>
    <n v="5"/>
    <n v="5"/>
    <n v="0"/>
    <n v="1"/>
    <m/>
    <d v="2011-09-27T00:00:00"/>
    <n v="915"/>
    <m/>
    <n v="1"/>
    <m/>
    <m/>
    <m/>
    <m/>
  </r>
  <r>
    <x v="265"/>
    <n v="25383"/>
    <s v="45204810350050000276"/>
    <n v="100000000"/>
    <s v="01408/МР"/>
    <m/>
    <d v="2016-08-04T00:00:00"/>
    <m/>
    <m/>
    <n v="1"/>
    <n v="1"/>
    <m/>
    <m/>
    <n v="1"/>
    <n v="1"/>
    <n v="1"/>
    <n v="0"/>
    <n v="1"/>
    <m/>
    <d v="2016-08-08T00:00:00"/>
    <n v="0"/>
    <m/>
    <m/>
    <m/>
    <m/>
    <m/>
    <m/>
  </r>
  <r>
    <x v="266"/>
    <n v="9247"/>
    <s v="45208810550050000085"/>
    <n v="148235294.09999999"/>
    <s v="00438/МР"/>
    <m/>
    <d v="2013-06-21T00:00:00"/>
    <m/>
    <m/>
    <n v="1"/>
    <n v="1"/>
    <m/>
    <m/>
    <n v="1"/>
    <n v="1"/>
    <n v="1"/>
    <n v="0"/>
    <n v="1"/>
    <m/>
    <d v="2013-07-22T00:00:00"/>
    <n v="0"/>
    <m/>
    <m/>
    <m/>
    <m/>
    <m/>
    <m/>
  </r>
  <r>
    <x v="266"/>
    <n v="12456"/>
    <s v="45208810750050000128"/>
    <n v="197911986.80000001"/>
    <s v="00740/МР"/>
    <m/>
    <d v="2014-07-03T00:00:00"/>
    <m/>
    <m/>
    <n v="1"/>
    <n v="1"/>
    <m/>
    <m/>
    <n v="1"/>
    <n v="1"/>
    <n v="1"/>
    <n v="0"/>
    <n v="1"/>
    <m/>
    <d v="2014-07-25T00:00:00"/>
    <n v="0"/>
    <m/>
    <m/>
    <m/>
    <m/>
    <m/>
    <m/>
  </r>
  <r>
    <x v="266"/>
    <n v="14904"/>
    <s v="45208810250050000149"/>
    <n v="82352941.180000007"/>
    <s v="00970/МР"/>
    <m/>
    <d v="2015-02-25T00:00:00"/>
    <m/>
    <m/>
    <n v="1"/>
    <n v="1"/>
    <m/>
    <m/>
    <n v="1"/>
    <n v="1"/>
    <n v="1"/>
    <n v="0"/>
    <n v="1"/>
    <m/>
    <d v="2015-03-25T00:00:00"/>
    <n v="0"/>
    <m/>
    <m/>
    <m/>
    <m/>
    <m/>
    <m/>
  </r>
  <r>
    <x v="266"/>
    <n v="16353"/>
    <s v="45208810350050000162"/>
    <n v="377777777.77999997"/>
    <s v="01085/МР"/>
    <m/>
    <d v="2015-08-28T00:00:00"/>
    <m/>
    <m/>
    <n v="1"/>
    <n v="1"/>
    <m/>
    <m/>
    <n v="1"/>
    <n v="1"/>
    <n v="1"/>
    <n v="0"/>
    <n v="1"/>
    <m/>
    <d v="2015-09-25T00:00:00"/>
    <n v="0"/>
    <m/>
    <m/>
    <m/>
    <m/>
    <m/>
    <m/>
  </r>
  <r>
    <x v="266"/>
    <n v="25253"/>
    <s v="45208810350050000191"/>
    <n v="182995387.34999999"/>
    <s v="01424/МР"/>
    <m/>
    <d v="2016-08-03T00:00:00"/>
    <m/>
    <m/>
    <n v="1"/>
    <n v="1"/>
    <m/>
    <m/>
    <n v="1"/>
    <n v="1"/>
    <n v="1"/>
    <n v="0"/>
    <n v="1"/>
    <m/>
    <d v="2016-08-25T00:00:00"/>
    <n v="0"/>
    <m/>
    <m/>
    <m/>
    <m/>
    <m/>
    <m/>
  </r>
  <r>
    <x v="267"/>
    <n v="17427"/>
    <s v="45205810850050000487"/>
    <n v="1128625897.71"/>
    <s v="01239/МР"/>
    <m/>
    <d v="2015-12-30T00:00:00"/>
    <m/>
    <m/>
    <n v="1"/>
    <n v="1"/>
    <m/>
    <m/>
    <n v="1"/>
    <n v="1"/>
    <n v="1"/>
    <n v="0"/>
    <n v="1"/>
    <m/>
    <d v="2016-02-01T00:00:00"/>
    <n v="0"/>
    <m/>
    <m/>
    <m/>
    <m/>
    <m/>
    <m/>
  </r>
  <r>
    <x v="267"/>
    <n v="18805"/>
    <s v="45205810950050000497"/>
    <n v="261212220.31"/>
    <s v="01367/МР"/>
    <m/>
    <d v="2016-05-13T00:00:00"/>
    <m/>
    <m/>
    <n v="1"/>
    <n v="1"/>
    <m/>
    <m/>
    <n v="1"/>
    <n v="1"/>
    <n v="1"/>
    <n v="0"/>
    <n v="1"/>
    <m/>
    <d v="2016-05-30T00:00:00"/>
    <n v="0"/>
    <m/>
    <m/>
    <m/>
    <m/>
    <m/>
    <m/>
  </r>
  <r>
    <x v="268"/>
    <n v="9287"/>
    <s v="47802810555550000191"/>
    <n v="1998000"/>
    <s v="К2600/11-0836КС/Д000"/>
    <m/>
    <d v="2011-12-14T00:00:00"/>
    <m/>
    <m/>
    <n v="1"/>
    <n v="1"/>
    <m/>
    <m/>
    <n v="1"/>
    <n v="1"/>
    <n v="1"/>
    <n v="0"/>
    <n v="1"/>
    <m/>
    <d v="2011-12-14T00:00:00"/>
    <n v="0"/>
    <m/>
    <m/>
    <m/>
    <m/>
    <m/>
    <m/>
  </r>
  <r>
    <x v="268"/>
    <n v="9296"/>
    <s v="47802810855550000192"/>
    <n v="51666683.5"/>
    <s v="К2600/12-0356ЛВ/Д000"/>
    <m/>
    <d v="2012-07-27T00:00:00"/>
    <m/>
    <m/>
    <n v="1"/>
    <n v="1"/>
    <m/>
    <m/>
    <n v="1"/>
    <n v="1"/>
    <n v="1"/>
    <n v="0"/>
    <n v="1"/>
    <m/>
    <d v="2012-07-27T00:00:00"/>
    <n v="0"/>
    <m/>
    <m/>
    <m/>
    <m/>
    <m/>
    <m/>
  </r>
  <r>
    <x v="269"/>
    <n v="16218"/>
    <s v="45812810250050000470"/>
    <n v="112652373.19"/>
    <s v="К7900/12-0056ЛЗ/Д000"/>
    <m/>
    <d v="2012-09-11T00:00:00"/>
    <m/>
    <m/>
    <n v="3"/>
    <n v="3"/>
    <m/>
    <m/>
    <n v="5"/>
    <n v="5"/>
    <n v="5"/>
    <n v="0"/>
    <n v="1"/>
    <m/>
    <d v="2000-01-01T00:00:00"/>
    <n v="488"/>
    <m/>
    <n v="0"/>
    <m/>
    <m/>
    <m/>
    <m/>
  </r>
  <r>
    <x v="269"/>
    <n v="16219"/>
    <s v="47801810450050000027"/>
    <n v="56600000"/>
    <s v="К7900/13-0008ЛЗ/Д000"/>
    <m/>
    <d v="2013-03-01T00:00:00"/>
    <m/>
    <m/>
    <n v="3"/>
    <n v="3"/>
    <m/>
    <m/>
    <n v="5"/>
    <n v="5"/>
    <n v="5"/>
    <n v="0"/>
    <n v="1"/>
    <m/>
    <d v="2000-01-01T00:00:00"/>
    <n v="480"/>
    <m/>
    <n v="0"/>
    <m/>
    <m/>
    <m/>
    <m/>
  </r>
  <r>
    <x v="270"/>
    <n v="9736"/>
    <s v="47801810950050000022"/>
    <n v="4533572.45"/>
    <s v="К8700/11-0034ЛЗ/Д000"/>
    <m/>
    <d v="2011-12-07T00:00:00"/>
    <m/>
    <m/>
    <n v="3"/>
    <n v="3"/>
    <m/>
    <m/>
    <n v="5"/>
    <n v="5"/>
    <n v="5"/>
    <n v="0"/>
    <n v="1"/>
    <m/>
    <d v="2000-01-01T00:00:00"/>
    <n v="1250"/>
    <m/>
    <n v="1"/>
    <m/>
    <m/>
    <m/>
    <m/>
  </r>
  <r>
    <x v="270"/>
    <n v="9737"/>
    <s v="47801810250050000023"/>
    <n v="6850072.6500000004"/>
    <s v="К8700/12-0026ЛЗ/Д000"/>
    <m/>
    <d v="2012-08-07T00:00:00"/>
    <m/>
    <m/>
    <n v="3"/>
    <n v="3"/>
    <m/>
    <m/>
    <n v="5"/>
    <n v="5"/>
    <n v="5"/>
    <n v="0"/>
    <n v="1"/>
    <m/>
    <d v="2000-01-01T00:00:00"/>
    <n v="1250"/>
    <m/>
    <m/>
    <m/>
    <m/>
    <m/>
    <m/>
  </r>
  <r>
    <x v="270"/>
    <n v="9738"/>
    <s v="47801810550050000024"/>
    <n v="25002496.390000001"/>
    <s v="К8700/12-0041ЛЗ/Д000"/>
    <m/>
    <d v="2012-12-25T00:00:00"/>
    <m/>
    <m/>
    <n v="3"/>
    <n v="3"/>
    <m/>
    <m/>
    <n v="5"/>
    <n v="5"/>
    <n v="5"/>
    <n v="0"/>
    <n v="1"/>
    <m/>
    <d v="2000-01-01T00:00:00"/>
    <n v="1250"/>
    <m/>
    <m/>
    <m/>
    <m/>
    <m/>
    <m/>
  </r>
  <r>
    <x v="270"/>
    <n v="9739"/>
    <s v="47801810850050000025"/>
    <n v="24650345.969999999"/>
    <s v="К8700/13-0001ЛЗ/Д000"/>
    <m/>
    <d v="2013-01-18T00:00:00"/>
    <m/>
    <m/>
    <n v="3"/>
    <n v="3"/>
    <m/>
    <m/>
    <n v="5"/>
    <n v="5"/>
    <n v="5"/>
    <n v="0"/>
    <n v="1"/>
    <m/>
    <d v="2000-01-01T00:00:00"/>
    <n v="1250"/>
    <m/>
    <m/>
    <m/>
    <m/>
    <m/>
    <m/>
  </r>
  <r>
    <x v="271"/>
    <n v="12956"/>
    <s v="45206810450050000747"/>
    <n v="260000000"/>
    <s v="00763/МР"/>
    <m/>
    <d v="2014-08-01T00:00:00"/>
    <m/>
    <m/>
    <n v="1"/>
    <n v="1"/>
    <m/>
    <m/>
    <n v="1"/>
    <n v="1"/>
    <n v="1"/>
    <n v="0"/>
    <n v="1"/>
    <m/>
    <d v="2014-08-25T00:00:00"/>
    <n v="0"/>
    <m/>
    <m/>
    <m/>
    <m/>
    <m/>
    <m/>
  </r>
  <r>
    <x v="271"/>
    <n v="13752"/>
    <s v="45206810650050000657"/>
    <n v="7352664.8799999999"/>
    <s v="00859/МР"/>
    <m/>
    <d v="2014-10-08T00:00:00"/>
    <m/>
    <m/>
    <n v="1"/>
    <n v="1"/>
    <m/>
    <m/>
    <n v="1"/>
    <n v="1"/>
    <n v="1"/>
    <n v="0"/>
    <n v="1"/>
    <m/>
    <d v="2014-10-27T00:00:00"/>
    <n v="0"/>
    <m/>
    <m/>
    <m/>
    <m/>
    <m/>
    <m/>
  </r>
  <r>
    <x v="271"/>
    <n v="24525"/>
    <s v="45206810850050000842"/>
    <n v="100000000"/>
    <s v="01381/МР"/>
    <m/>
    <d v="2016-07-11T00:00:00"/>
    <m/>
    <m/>
    <n v="1"/>
    <n v="1"/>
    <m/>
    <m/>
    <n v="1"/>
    <n v="1"/>
    <n v="1"/>
    <n v="0"/>
    <n v="1"/>
    <m/>
    <d v="2016-07-25T00:00:00"/>
    <n v="0"/>
    <m/>
    <m/>
    <m/>
    <m/>
    <m/>
    <m/>
  </r>
  <r>
    <x v="272"/>
    <n v="9437"/>
    <s v="47801810655550000021"/>
    <n v="34463243.829999998"/>
    <s v="К2600/10-0512ЛВ/Д000"/>
    <m/>
    <d v="2010-10-08T00:00:00"/>
    <m/>
    <m/>
    <n v="3"/>
    <n v="3"/>
    <m/>
    <m/>
    <n v="5"/>
    <n v="5"/>
    <n v="5"/>
    <n v="0"/>
    <n v="1"/>
    <m/>
    <d v="2000-01-01T00:00:00"/>
    <n v="1355"/>
    <m/>
    <m/>
    <m/>
    <m/>
    <m/>
    <m/>
  </r>
  <r>
    <x v="273"/>
    <n v="9727"/>
    <s v="47802810950050000128"/>
    <n v="4813166.66"/>
    <s v="К2600/07-0170ЛЗ/Д000"/>
    <m/>
    <d v="2007-05-29T00:00:00"/>
    <m/>
    <m/>
    <n v="3"/>
    <n v="3"/>
    <m/>
    <m/>
    <n v="5"/>
    <n v="5"/>
    <n v="5"/>
    <n v="0"/>
    <n v="1"/>
    <m/>
    <d v="2000-01-01T00:00:00"/>
    <n v="1705"/>
    <m/>
    <m/>
    <m/>
    <m/>
    <m/>
    <m/>
  </r>
  <r>
    <x v="274"/>
    <n v="9398"/>
    <s v="44607810555550000056"/>
    <n v="4025000000"/>
    <s v="3294"/>
    <m/>
    <d v="2013-07-12T00:00:00"/>
    <m/>
    <m/>
    <n v="1"/>
    <n v="1"/>
    <m/>
    <m/>
    <n v="1"/>
    <n v="1"/>
    <n v="1"/>
    <n v="0"/>
    <n v="1"/>
    <m/>
    <d v="2013-10-15T00:00:00"/>
    <n v="0"/>
    <m/>
    <n v="0"/>
    <m/>
    <m/>
    <m/>
    <m/>
  </r>
  <r>
    <x v="274"/>
    <n v="12023"/>
    <s v="44608810955550000011"/>
    <n v="500000000"/>
    <s v="3481"/>
    <m/>
    <d v="2014-05-07T00:00:00"/>
    <m/>
    <m/>
    <n v="1"/>
    <n v="1"/>
    <m/>
    <m/>
    <n v="1"/>
    <n v="1"/>
    <n v="1"/>
    <n v="0"/>
    <n v="1"/>
    <m/>
    <d v="2014-10-15T00:00:00"/>
    <n v="0"/>
    <m/>
    <m/>
    <m/>
    <m/>
    <m/>
    <m/>
  </r>
  <r>
    <x v="275"/>
    <n v="16792"/>
    <s v="45206810355550000481"/>
    <n v="805173107.54999995"/>
    <s v="3747"/>
    <m/>
    <d v="2015-10-12T00:00:00"/>
    <m/>
    <m/>
    <n v="1"/>
    <n v="1"/>
    <m/>
    <m/>
    <n v="1"/>
    <n v="1"/>
    <n v="1"/>
    <n v="0"/>
    <n v="1"/>
    <m/>
    <d v="2015-10-20T00:00:00"/>
    <n v="0"/>
    <m/>
    <m/>
    <m/>
    <m/>
    <m/>
    <m/>
  </r>
  <r>
    <x v="275"/>
    <n v="26695"/>
    <s v="45206810455550000527"/>
    <n v="9885935.3699999992"/>
    <s v="4097"/>
    <m/>
    <d v="2016-09-09T00:00:00"/>
    <m/>
    <m/>
    <n v="1"/>
    <n v="1"/>
    <m/>
    <m/>
    <n v="1"/>
    <n v="1"/>
    <n v="1"/>
    <n v="0"/>
    <n v="0"/>
    <m/>
    <d v="2016-10-20T00:00:00"/>
    <n v="0"/>
    <m/>
    <m/>
    <m/>
    <m/>
    <m/>
    <m/>
  </r>
  <r>
    <x v="276"/>
    <n v="14087"/>
    <s v="32109810400210000016"/>
    <n v="243805816.80000001"/>
    <s v="501911144"/>
    <m/>
    <d v="2014-11-26T00:00:00"/>
    <m/>
    <m/>
    <n v="2"/>
    <n v="1"/>
    <m/>
    <m/>
    <n v="2"/>
    <n v="2"/>
    <n v="2"/>
    <n v="0"/>
    <n v="1"/>
    <m/>
    <d v="2014-12-10T00:00:00"/>
    <n v="0"/>
    <m/>
    <m/>
    <m/>
    <m/>
    <m/>
    <m/>
  </r>
  <r>
    <x v="277"/>
    <n v="13054"/>
    <s v="45207810155550000486"/>
    <n v="297916666.70999998"/>
    <s v="3543"/>
    <m/>
    <d v="2014-08-19T00:00:00"/>
    <m/>
    <m/>
    <n v="1"/>
    <n v="1"/>
    <m/>
    <m/>
    <n v="1"/>
    <n v="1"/>
    <n v="1"/>
    <n v="0"/>
    <n v="1"/>
    <m/>
    <d v="2014-08-26T00:00:00"/>
    <n v="0"/>
    <m/>
    <n v="0"/>
    <m/>
    <n v="0"/>
    <m/>
    <m/>
  </r>
  <r>
    <x v="277"/>
    <n v="17722"/>
    <s v="45205810455550000308"/>
    <n v="400000000"/>
    <s v="3904"/>
    <m/>
    <d v="2016-03-30T00:00:00"/>
    <m/>
    <m/>
    <n v="1"/>
    <n v="1"/>
    <m/>
    <m/>
    <n v="1"/>
    <n v="1"/>
    <n v="1"/>
    <n v="0"/>
    <n v="1"/>
    <m/>
    <d v="2016-04-15T00:00:00"/>
    <n v="0"/>
    <m/>
    <m/>
    <m/>
    <m/>
    <m/>
    <m/>
  </r>
  <r>
    <x v="278"/>
    <n v="9579"/>
    <s v="32309810500210000020"/>
    <n v="4000000000"/>
    <s v="500909131 - участ. DTEK INVESTMENTS LIMITED"/>
    <m/>
    <d v="2013-09-09T00:00:00"/>
    <m/>
    <m/>
    <n v="1"/>
    <n v="3"/>
    <m/>
    <m/>
    <n v="3"/>
    <n v="3"/>
    <n v="3"/>
    <n v="0"/>
    <n v="1"/>
    <m/>
    <d v="2013-09-09T00:00:00"/>
    <n v="324"/>
    <m/>
    <m/>
    <m/>
    <n v="0"/>
    <m/>
    <m/>
  </r>
  <r>
    <x v="279"/>
    <n v="10427"/>
    <s v="45812810450050000490"/>
    <n v="1530560500"/>
    <s v="00599/МР"/>
    <m/>
    <d v="2013-12-17T00:00:00"/>
    <m/>
    <m/>
    <n v="2.2000000000000002"/>
    <n v="3"/>
    <m/>
    <m/>
    <n v="4.2"/>
    <n v="4.2"/>
    <n v="4.2"/>
    <n v="0"/>
    <n v="1"/>
    <m/>
    <d v="2000-01-01T00:00:00"/>
    <n v="334"/>
    <m/>
    <m/>
    <m/>
    <n v="0"/>
    <m/>
    <m/>
  </r>
  <r>
    <x v="280"/>
    <n v="17443"/>
    <s v="45204810655550000277"/>
    <n v="500000000"/>
    <s v="3897"/>
    <m/>
    <d v="2016-01-15T00:00:00"/>
    <m/>
    <m/>
    <n v="1"/>
    <n v="1"/>
    <m/>
    <m/>
    <n v="1"/>
    <n v="1"/>
    <n v="1"/>
    <n v="0"/>
    <n v="1"/>
    <m/>
    <d v="2016-02-15T00:00:00"/>
    <n v="0"/>
    <m/>
    <m/>
    <m/>
    <m/>
    <m/>
    <m/>
  </r>
  <r>
    <x v="280"/>
    <n v="23453"/>
    <s v="45205810355550000327"/>
    <n v="500000000"/>
    <s v="3975"/>
    <m/>
    <d v="2016-06-28T00:00:00"/>
    <m/>
    <m/>
    <n v="1"/>
    <n v="1"/>
    <m/>
    <m/>
    <n v="1"/>
    <n v="1"/>
    <n v="1"/>
    <n v="0"/>
    <n v="1"/>
    <m/>
    <d v="2016-07-15T00:00:00"/>
    <n v="0"/>
    <m/>
    <m/>
    <m/>
    <m/>
    <m/>
    <m/>
  </r>
  <r>
    <x v="281"/>
    <n v="9594"/>
    <s v="45812810855550000948"/>
    <n v="14175950483.58"/>
    <s v="3341"/>
    <m/>
    <d v="2013-09-17T00:00:00"/>
    <m/>
    <m/>
    <n v="1"/>
    <n v="3"/>
    <n v="-2"/>
    <s v="0"/>
    <n v="2"/>
    <n v="2"/>
    <n v="2"/>
    <n v="0"/>
    <n v="1"/>
    <m/>
    <d v="2013-10-25T00:00:00"/>
    <n v="74"/>
    <m/>
    <n v="2"/>
    <m/>
    <m/>
    <m/>
    <m/>
  </r>
  <r>
    <x v="281"/>
    <n v="15509"/>
    <s v="45207810955550000615"/>
    <n v="3040481533.8600001"/>
    <s v="3721"/>
    <m/>
    <d v="2015-05-21T00:00:00"/>
    <m/>
    <m/>
    <n v="1"/>
    <n v="3"/>
    <n v="-2"/>
    <s v="0"/>
    <n v="2"/>
    <n v="2"/>
    <n v="2"/>
    <n v="0"/>
    <n v="1"/>
    <m/>
    <d v="2015-06-25T00:00:00"/>
    <n v="64"/>
    <m/>
    <n v="1"/>
    <m/>
    <m/>
    <m/>
    <m/>
  </r>
  <r>
    <x v="282"/>
    <n v="22152"/>
    <s v="45208810350050000175"/>
    <n v="1012000000"/>
    <s v="01394/МР"/>
    <m/>
    <d v="2016-06-28T00:00:00"/>
    <m/>
    <m/>
    <n v="2.2000000000000002"/>
    <n v="1"/>
    <m/>
    <m/>
    <n v="2.2000000000000002"/>
    <n v="2.2000000000000002"/>
    <n v="2.2000000000000002"/>
    <n v="0"/>
    <n v="1"/>
    <m/>
    <d v="2016-06-28T00:00:00"/>
    <n v="0"/>
    <m/>
    <m/>
    <n v="0"/>
    <m/>
    <m/>
    <m/>
  </r>
  <r>
    <x v="282"/>
    <n v="22533"/>
    <s v="45205810050050000481"/>
    <n v="94892596.390000001"/>
    <s v="01395/МР"/>
    <m/>
    <d v="2016-07-01T00:00:00"/>
    <m/>
    <m/>
    <n v="2.2000000000000002"/>
    <n v="1"/>
    <m/>
    <m/>
    <n v="2.2000000000000002"/>
    <n v="2.2000000000000002"/>
    <n v="2.2000000000000002"/>
    <n v="0"/>
    <n v="1"/>
    <m/>
    <d v="2016-07-01T00:00:00"/>
    <n v="0"/>
    <m/>
    <m/>
    <m/>
    <m/>
    <m/>
    <m/>
  </r>
  <r>
    <x v="283"/>
    <n v="18806"/>
    <s v="45204810250050000266"/>
    <n v="265921900"/>
    <s v="01365/МР"/>
    <m/>
    <d v="2016-05-13T00:00:00"/>
    <m/>
    <m/>
    <n v="1"/>
    <n v="1"/>
    <m/>
    <m/>
    <n v="1"/>
    <n v="1"/>
    <n v="1"/>
    <n v="0"/>
    <n v="1"/>
    <m/>
    <d v="2016-06-10T00:00:00"/>
    <n v="0"/>
    <m/>
    <m/>
    <m/>
    <m/>
    <m/>
    <m/>
  </r>
  <r>
    <x v="284"/>
    <n v="12398"/>
    <s v="45208810455550000415"/>
    <n v="486090783.38999999"/>
    <s v="3518"/>
    <m/>
    <d v="2014-06-27T00:00:00"/>
    <m/>
    <m/>
    <n v="2.2000000000000002"/>
    <n v="1"/>
    <m/>
    <m/>
    <n v="2.2000000000000002"/>
    <n v="2.2000000000000002"/>
    <n v="2.2000000000000002"/>
    <n v="0"/>
    <n v="1"/>
    <m/>
    <d v="2014-07-10T00:00:00"/>
    <n v="0"/>
    <m/>
    <m/>
    <m/>
    <m/>
    <m/>
    <m/>
  </r>
  <r>
    <x v="285"/>
    <n v="9506"/>
    <s v="45816810255550000010"/>
    <n v="9344040774.7600002"/>
    <s v="Б / Н"/>
    <m/>
    <d v="2011-09-28T00:00:00"/>
    <m/>
    <m/>
    <n v="2.2000000000000002"/>
    <n v="3"/>
    <m/>
    <m/>
    <n v="4.2"/>
    <n v="4.2"/>
    <n v="4.2"/>
    <n v="0"/>
    <n v="1"/>
    <m/>
    <d v="2000-01-01T00:00:00"/>
    <n v="369"/>
    <m/>
    <n v="0"/>
    <m/>
    <n v="0"/>
    <m/>
    <m/>
  </r>
  <r>
    <x v="286"/>
    <n v="15395"/>
    <s v="45208840555550000194"/>
    <n v="79787536786.759995"/>
    <s v="б/н_2015-05-06"/>
    <m/>
    <d v="2015-05-06T00:00:00"/>
    <m/>
    <m/>
    <n v="2.2000000000000002"/>
    <n v="1"/>
    <n v="-2"/>
    <s v="0"/>
    <n v="1"/>
    <n v="1"/>
    <n v="1"/>
    <n v="0"/>
    <n v="1"/>
    <m/>
    <d v="2015-05-07T00:00:00"/>
    <n v="0"/>
    <m/>
    <n v="0"/>
    <n v="0"/>
    <n v="0"/>
    <n v="0"/>
    <m/>
  </r>
  <r>
    <x v="287"/>
    <n v="21515"/>
    <s v="45208840155550000219"/>
    <n v="94737150000"/>
    <s v="б/н_2016-06-20"/>
    <m/>
    <d v="2016-06-20T00:00:00"/>
    <m/>
    <m/>
    <n v="1"/>
    <n v="1"/>
    <n v="-2"/>
    <s v="0"/>
    <n v="1"/>
    <n v="1"/>
    <n v="1"/>
    <n v="0"/>
    <n v="1"/>
    <m/>
    <d v="2016-06-20T00:00:00"/>
    <n v="0"/>
    <m/>
    <m/>
    <m/>
    <n v="0"/>
    <m/>
    <m/>
  </r>
  <r>
    <x v="288"/>
    <n v="15694"/>
    <s v="45207810155550000525"/>
    <n v="1499999999.99"/>
    <s v="3730"/>
    <m/>
    <d v="2015-06-11T00:00:00"/>
    <m/>
    <m/>
    <n v="1"/>
    <n v="1"/>
    <m/>
    <m/>
    <n v="1"/>
    <n v="1"/>
    <n v="1"/>
    <n v="0"/>
    <n v="1"/>
    <m/>
    <d v="2015-06-11T00:00:00"/>
    <n v="0"/>
    <m/>
    <m/>
    <n v="0"/>
    <m/>
    <m/>
    <m/>
  </r>
  <r>
    <x v="288"/>
    <n v="16493"/>
    <s v="45207810955550000534"/>
    <n v="1000000000"/>
    <s v="3768"/>
    <m/>
    <d v="2015-09-08T00:00:00"/>
    <m/>
    <m/>
    <n v="1"/>
    <n v="1"/>
    <m/>
    <m/>
    <n v="1"/>
    <n v="1"/>
    <n v="1"/>
    <n v="0"/>
    <n v="1"/>
    <m/>
    <d v="2015-09-10T00:00:00"/>
    <n v="0"/>
    <m/>
    <m/>
    <m/>
    <m/>
    <m/>
    <m/>
  </r>
  <r>
    <x v="289"/>
    <n v="9551"/>
    <s v="45208810150050000090"/>
    <n v="660694444.64999998"/>
    <s v="00512/МР"/>
    <m/>
    <d v="2013-08-27T00:00:00"/>
    <m/>
    <m/>
    <n v="2.1"/>
    <n v="1"/>
    <m/>
    <m/>
    <n v="2.1"/>
    <n v="2.1"/>
    <n v="2.1"/>
    <n v="0"/>
    <n v="1"/>
    <m/>
    <d v="2013-08-27T00:00:00"/>
    <n v="0"/>
    <m/>
    <m/>
    <m/>
    <n v="0"/>
    <m/>
    <m/>
  </r>
  <r>
    <x v="289"/>
    <n v="17383"/>
    <s v="45208810150050000168"/>
    <n v="180722891.59999999"/>
    <s v="01228/МР"/>
    <m/>
    <d v="2015-12-24T00:00:00"/>
    <m/>
    <m/>
    <n v="2.1"/>
    <n v="1"/>
    <m/>
    <m/>
    <n v="2.1"/>
    <n v="2.1"/>
    <n v="2.1"/>
    <n v="0"/>
    <n v="1"/>
    <m/>
    <d v="2015-12-25T00:00:00"/>
    <n v="0"/>
    <m/>
    <m/>
    <m/>
    <n v="0"/>
    <m/>
    <m/>
  </r>
  <r>
    <x v="290"/>
    <n v="14096"/>
    <s v="45208810255550000440"/>
    <n v="10200000000"/>
    <s v="3608"/>
    <m/>
    <d v="2014-11-21T00:00:00"/>
    <m/>
    <m/>
    <n v="1"/>
    <n v="1"/>
    <n v="-1"/>
    <s v="0"/>
    <n v="1"/>
    <n v="1"/>
    <n v="1"/>
    <n v="0"/>
    <n v="1"/>
    <m/>
    <d v="2015-03-31T00:00:00"/>
    <n v="0"/>
    <m/>
    <n v="0"/>
    <m/>
    <n v="0"/>
    <m/>
    <m/>
  </r>
  <r>
    <x v="290"/>
    <n v="17391"/>
    <s v="45208810355550000502"/>
    <n v="939059045.67999995"/>
    <s v="б/н (А) _ 2015-12-24"/>
    <m/>
    <d v="2015-12-24T00:00:00"/>
    <m/>
    <m/>
    <n v="1"/>
    <n v="1"/>
    <n v="-1"/>
    <s v="0"/>
    <n v="1"/>
    <n v="1"/>
    <n v="1"/>
    <n v="0"/>
    <n v="1"/>
    <n v="1"/>
    <d v="2016-04-05T00:00:00"/>
    <n v="0"/>
    <m/>
    <m/>
    <m/>
    <m/>
    <m/>
    <m/>
  </r>
  <r>
    <x v="291"/>
    <n v="17246"/>
    <s v="45206810155550000490"/>
    <n v="681133747.21000004"/>
    <s v="3816"/>
    <m/>
    <d v="2015-10-29T00:00:00"/>
    <m/>
    <m/>
    <n v="1"/>
    <n v="1"/>
    <m/>
    <m/>
    <n v="1"/>
    <n v="1"/>
    <n v="1"/>
    <n v="0"/>
    <n v="1"/>
    <m/>
    <d v="2015-12-20T00:00:00"/>
    <n v="0"/>
    <m/>
    <m/>
    <m/>
    <m/>
    <m/>
    <m/>
  </r>
  <r>
    <x v="292"/>
    <n v="9669"/>
    <s v="45606840455550000016"/>
    <n v="1431670827.8599999"/>
    <s v="б /н."/>
    <m/>
    <d v="2012-12-21T00:00:00"/>
    <m/>
    <m/>
    <n v="2.1"/>
    <n v="1"/>
    <m/>
    <m/>
    <n v="2.1"/>
    <n v="2.1"/>
    <n v="2.1"/>
    <n v="0"/>
    <n v="1"/>
    <m/>
    <d v="2013-11-07T00:00:00"/>
    <n v="0"/>
    <m/>
    <m/>
    <m/>
    <m/>
    <m/>
    <m/>
  </r>
  <r>
    <x v="293"/>
    <n v="12898"/>
    <s v="45208810350050000133"/>
    <n v="1582336121.9000001"/>
    <s v="00805/МР"/>
    <m/>
    <d v="2014-08-12T00:00:00"/>
    <m/>
    <m/>
    <n v="1"/>
    <n v="1"/>
    <m/>
    <m/>
    <n v="1"/>
    <n v="1"/>
    <n v="1"/>
    <n v="0"/>
    <n v="1"/>
    <m/>
    <d v="2014-08-26T00:00:00"/>
    <n v="0"/>
    <m/>
    <m/>
    <m/>
    <n v="0"/>
    <m/>
    <m/>
  </r>
  <r>
    <x v="294"/>
    <n v="11027"/>
    <s v="47307840700210000007"/>
    <n v="37894860000"/>
    <s v="701402141 - участ. МинФин Ангола"/>
    <m/>
    <d v="2014-02-19T00:00:00"/>
    <m/>
    <m/>
    <n v="2"/>
    <n v="2"/>
    <n v="-2"/>
    <s v="0"/>
    <n v="2"/>
    <n v="2"/>
    <n v="2"/>
    <n v="0"/>
    <n v="1"/>
    <m/>
    <d v="2014-02-19T00:00:00"/>
    <n v="12"/>
    <s v="2016-08-31"/>
    <m/>
    <n v="0"/>
    <n v="0"/>
    <m/>
    <m/>
  </r>
  <r>
    <x v="294"/>
    <n v="13909"/>
    <s v="47802840155550000037"/>
    <n v="41052765000"/>
    <s v="Б/Н"/>
    <m/>
    <d v="2014-10-03T00:00:00"/>
    <m/>
    <m/>
    <n v="2"/>
    <n v="1"/>
    <n v="-2"/>
    <s v="0"/>
    <n v="1"/>
    <n v="1"/>
    <n v="1"/>
    <n v="0"/>
    <n v="1"/>
    <m/>
    <d v="2000-01-01T00:00:00"/>
    <n v="3"/>
    <s v="2016-08-22"/>
    <m/>
    <m/>
    <n v="0"/>
    <m/>
    <m/>
  </r>
  <r>
    <x v="295"/>
    <n v="9634"/>
    <s v="45812810450050000348"/>
    <n v="150000000"/>
    <s v="42/09"/>
    <m/>
    <d v="2009-09-23T00:00:00"/>
    <m/>
    <m/>
    <n v="3"/>
    <n v="3"/>
    <m/>
    <m/>
    <n v="5"/>
    <n v="5"/>
    <n v="5"/>
    <n v="0"/>
    <n v="1"/>
    <m/>
    <d v="2000-01-01T00:00:00"/>
    <n v="1219"/>
    <m/>
    <n v="1"/>
    <m/>
    <m/>
    <m/>
    <m/>
  </r>
  <r>
    <x v="296"/>
    <n v="10430"/>
    <s v="45208840755550000185"/>
    <n v="5600577775.9200001"/>
    <s v="3350"/>
    <m/>
    <d v="2013-12-06T00:00:00"/>
    <m/>
    <m/>
    <n v="1"/>
    <n v="1"/>
    <m/>
    <m/>
    <n v="1"/>
    <n v="1"/>
    <n v="1"/>
    <n v="0"/>
    <n v="1"/>
    <m/>
    <d v="2013-12-30T00:00:00"/>
    <n v="0"/>
    <m/>
    <m/>
    <m/>
    <n v="0"/>
    <n v="0"/>
    <m/>
  </r>
  <r>
    <x v="297"/>
    <n v="9614"/>
    <s v="45812810650050000342"/>
    <n v="170000000"/>
    <s v="09/11"/>
    <m/>
    <d v="2011-04-08T00:00:00"/>
    <m/>
    <m/>
    <n v="3"/>
    <n v="3"/>
    <m/>
    <m/>
    <n v="5"/>
    <n v="5"/>
    <n v="5"/>
    <n v="0"/>
    <n v="1"/>
    <m/>
    <d v="2000-01-01T00:00:00"/>
    <n v="1219"/>
    <m/>
    <n v="1"/>
    <m/>
    <m/>
    <m/>
    <m/>
  </r>
  <r>
    <x v="298"/>
    <n v="9652"/>
    <s v="45812810350050000341"/>
    <n v="150000000"/>
    <s v="41/09"/>
    <m/>
    <d v="2009-09-23T00:00:00"/>
    <m/>
    <m/>
    <n v="3"/>
    <n v="3"/>
    <m/>
    <m/>
    <n v="5"/>
    <n v="5"/>
    <n v="5"/>
    <n v="0"/>
    <n v="1"/>
    <m/>
    <d v="2000-01-01T00:00:00"/>
    <n v="1219"/>
    <m/>
    <n v="1"/>
    <m/>
    <m/>
    <m/>
    <m/>
  </r>
  <r>
    <x v="299"/>
    <n v="9730"/>
    <s v="45208810650050000095"/>
    <n v="581395348.89999998"/>
    <s v="00527/МР"/>
    <m/>
    <d v="2013-10-22T00:00:00"/>
    <m/>
    <m/>
    <n v="1"/>
    <n v="1"/>
    <m/>
    <m/>
    <n v="1"/>
    <n v="1"/>
    <n v="1"/>
    <n v="0"/>
    <n v="1"/>
    <m/>
    <d v="2013-11-27T00:00:00"/>
    <n v="0"/>
    <m/>
    <m/>
    <m/>
    <m/>
    <m/>
    <m/>
  </r>
  <r>
    <x v="300"/>
    <n v="18062"/>
    <s v="45205810155550000323"/>
    <n v="200000000"/>
    <s v="3750"/>
    <m/>
    <d v="2016-03-22T00:00:00"/>
    <m/>
    <m/>
    <n v="1"/>
    <n v="1"/>
    <m/>
    <m/>
    <n v="1"/>
    <n v="1"/>
    <n v="1"/>
    <n v="0"/>
    <n v="1"/>
    <m/>
    <d v="2016-05-04T00:00:00"/>
    <n v="0"/>
    <m/>
    <m/>
    <m/>
    <m/>
    <m/>
    <m/>
  </r>
  <r>
    <x v="301"/>
    <n v="9653"/>
    <s v="45306810455550000003"/>
    <n v="1918325964.4699998"/>
    <s v="3361"/>
    <m/>
    <d v="2013-10-03T00:00:00"/>
    <m/>
    <m/>
    <n v="2.2000000000000002"/>
    <n v="2"/>
    <m/>
    <m/>
    <n v="3.2"/>
    <n v="3.2"/>
    <n v="3.2"/>
    <n v="0"/>
    <n v="1"/>
    <m/>
    <d v="2013-10-04T00:00:00"/>
    <n v="0"/>
    <m/>
    <n v="1"/>
    <m/>
    <m/>
    <m/>
    <m/>
  </r>
  <r>
    <x v="301"/>
    <n v="13301"/>
    <s v="45307810455550000002"/>
    <n v="787339524.60000002"/>
    <s v="3572"/>
    <m/>
    <d v="2014-09-12T00:00:00"/>
    <m/>
    <m/>
    <n v="2.2000000000000002"/>
    <n v="2"/>
    <m/>
    <m/>
    <n v="3.2"/>
    <n v="3.2"/>
    <n v="3.2"/>
    <n v="0"/>
    <n v="1"/>
    <m/>
    <d v="2014-09-18T00:00:00"/>
    <n v="0"/>
    <m/>
    <n v="1"/>
    <m/>
    <m/>
    <m/>
    <m/>
  </r>
  <r>
    <x v="302"/>
    <n v="17352"/>
    <s v="47802840855550000065"/>
    <n v="25579030500"/>
    <s v="б/н_2015-04-23"/>
    <m/>
    <d v="2012-04-23T00:00:00"/>
    <m/>
    <m/>
    <n v="2.1"/>
    <n v="1"/>
    <n v="-2"/>
    <s v="0"/>
    <n v="1"/>
    <n v="1"/>
    <n v="1"/>
    <n v="0"/>
    <n v="1"/>
    <m/>
    <d v="2012-06-27T00:00:00"/>
    <n v="0"/>
    <m/>
    <n v="0"/>
    <m/>
    <n v="0"/>
    <m/>
    <m/>
  </r>
  <r>
    <x v="303"/>
    <n v="18255"/>
    <s v="45208810950050000177"/>
    <n v="26123848961.369999"/>
    <s v="109-4044/15/31-15-КР"/>
    <m/>
    <d v="2015-07-01T00:00:00"/>
    <m/>
    <m/>
    <n v="1"/>
    <n v="1"/>
    <n v="-2"/>
    <s v="345"/>
    <n v="1"/>
    <n v="1"/>
    <n v="1"/>
    <n v="0"/>
    <n v="1"/>
    <m/>
    <d v="2000-01-01T00:00:00"/>
    <n v="0"/>
    <m/>
    <n v="0"/>
    <n v="0"/>
    <n v="0"/>
    <m/>
    <m/>
  </r>
  <r>
    <x v="304"/>
    <n v="14088"/>
    <s v="45812810755550000925"/>
    <n v="400000000"/>
    <s v="КС-724770/2013/00242"/>
    <m/>
    <d v="2013-10-05T00:00:00"/>
    <m/>
    <m/>
    <n v="2.2999999999999998"/>
    <n v="3"/>
    <m/>
    <m/>
    <n v="4.3"/>
    <n v="4.3"/>
    <n v="4.3"/>
    <n v="0"/>
    <n v="1"/>
    <m/>
    <d v="2000-01-01T00:00:00"/>
    <n v="690"/>
    <m/>
    <m/>
    <m/>
    <m/>
    <m/>
    <m/>
  </r>
  <r>
    <x v="305"/>
    <n v="16921"/>
    <s v="45204810250050000240"/>
    <n v="198000000"/>
    <s v="01161/МР"/>
    <m/>
    <d v="2015-10-29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305"/>
    <n v="17079"/>
    <s v="45208810250050000165"/>
    <n v="800000000"/>
    <s v="01191/МР"/>
    <m/>
    <d v="2015-11-20T00:00:00"/>
    <m/>
    <m/>
    <n v="1"/>
    <n v="1"/>
    <m/>
    <m/>
    <n v="1"/>
    <n v="1"/>
    <n v="1"/>
    <n v="0"/>
    <n v="1"/>
    <m/>
    <d v="2015-12-15T00:00:00"/>
    <n v="0"/>
    <m/>
    <m/>
    <m/>
    <n v="0"/>
    <m/>
    <m/>
  </r>
  <r>
    <x v="306"/>
    <n v="17757"/>
    <s v="45206810155550000500"/>
    <n v="500000000"/>
    <s v="3930"/>
    <m/>
    <d v="2016-04-08T00:00:00"/>
    <m/>
    <m/>
    <n v="1"/>
    <n v="1"/>
    <m/>
    <m/>
    <n v="1"/>
    <n v="1"/>
    <n v="1"/>
    <n v="0"/>
    <n v="1"/>
    <m/>
    <d v="2016-04-20T00:00:00"/>
    <n v="0"/>
    <m/>
    <m/>
    <m/>
    <m/>
    <m/>
    <m/>
  </r>
  <r>
    <x v="306"/>
    <n v="17782"/>
    <s v="45208810955550000546"/>
    <n v="658474576.25"/>
    <s v="3938"/>
    <m/>
    <d v="2016-04-20T00:00:00"/>
    <m/>
    <m/>
    <n v="1"/>
    <n v="1"/>
    <m/>
    <m/>
    <n v="1"/>
    <n v="1"/>
    <n v="1"/>
    <n v="0"/>
    <n v="1"/>
    <m/>
    <d v="2016-04-21T00:00:00"/>
    <n v="0"/>
    <m/>
    <m/>
    <m/>
    <m/>
    <m/>
    <m/>
  </r>
  <r>
    <x v="307"/>
    <n v="17080"/>
    <s v="45206810850050000761"/>
    <n v="105900000"/>
    <s v="01194/МР"/>
    <m/>
    <d v="2015-11-19T00:00:00"/>
    <m/>
    <m/>
    <n v="1"/>
    <n v="1"/>
    <m/>
    <m/>
    <n v="1"/>
    <n v="1"/>
    <n v="1"/>
    <n v="0"/>
    <n v="1"/>
    <m/>
    <d v="2015-11-30T00:00:00"/>
    <n v="0"/>
    <m/>
    <m/>
    <m/>
    <m/>
    <m/>
    <m/>
  </r>
  <r>
    <x v="307"/>
    <n v="17234"/>
    <s v="45206810350050000766"/>
    <n v="200000000"/>
    <s v="01195/МР"/>
    <m/>
    <d v="2015-12-07T00:00:00"/>
    <m/>
    <m/>
    <n v="1"/>
    <n v="1"/>
    <m/>
    <m/>
    <n v="1"/>
    <n v="1"/>
    <n v="1"/>
    <n v="0"/>
    <n v="1"/>
    <m/>
    <d v="2015-12-31T00:00:00"/>
    <n v="0"/>
    <m/>
    <m/>
    <m/>
    <m/>
    <m/>
    <m/>
  </r>
  <r>
    <x v="308"/>
    <n v="17228"/>
    <s v="45205810350050000424"/>
    <n v="8000000"/>
    <s v="01217/МР"/>
    <m/>
    <d v="2015-12-08T00:00:00"/>
    <m/>
    <m/>
    <n v="1"/>
    <n v="1"/>
    <m/>
    <m/>
    <n v="1"/>
    <n v="1"/>
    <n v="1"/>
    <n v="0"/>
    <n v="1"/>
    <m/>
    <d v="2015-12-15T00:00:00"/>
    <n v="0"/>
    <m/>
    <m/>
    <m/>
    <m/>
    <m/>
    <m/>
  </r>
  <r>
    <x v="309"/>
    <n v="17613"/>
    <s v="45606840255550000025"/>
    <n v="88429859077.160004"/>
    <s v="б/н_2016-02-15"/>
    <m/>
    <d v="2016-02-15T00:00:00"/>
    <m/>
    <m/>
    <n v="1"/>
    <n v="1"/>
    <m/>
    <m/>
    <n v="1"/>
    <n v="1"/>
    <n v="1"/>
    <n v="0"/>
    <n v="1"/>
    <m/>
    <d v="2016-03-18T00:00:00"/>
    <n v="1"/>
    <s v="2016-05-17"/>
    <m/>
    <m/>
    <n v="0"/>
    <m/>
    <m/>
  </r>
  <r>
    <x v="310"/>
    <n v="14545"/>
    <s v="45208810355550000447"/>
    <n v="23000000000"/>
    <s v="3486"/>
    <m/>
    <d v="2014-04-21T00:00:00"/>
    <m/>
    <m/>
    <n v="1"/>
    <n v="1"/>
    <m/>
    <m/>
    <n v="1"/>
    <n v="1"/>
    <n v="1"/>
    <n v="0"/>
    <n v="1"/>
    <m/>
    <d v="2014-04-22T00:00:00"/>
    <n v="0"/>
    <m/>
    <n v="0"/>
    <m/>
    <n v="0"/>
    <m/>
    <m/>
  </r>
  <r>
    <x v="310"/>
    <n v="14546"/>
    <s v="45208810655550000448"/>
    <n v="10000000000"/>
    <s v="3498"/>
    <m/>
    <d v="2014-04-21T00:00:00"/>
    <m/>
    <m/>
    <n v="1"/>
    <n v="1"/>
    <m/>
    <m/>
    <n v="1"/>
    <n v="1"/>
    <n v="1"/>
    <n v="0"/>
    <n v="1"/>
    <m/>
    <d v="2014-04-22T00:00:00"/>
    <n v="0"/>
    <m/>
    <m/>
    <m/>
    <n v="0"/>
    <m/>
    <m/>
  </r>
  <r>
    <x v="310"/>
    <n v="14990"/>
    <s v="45206810255550000455"/>
    <n v="10000000000"/>
    <s v="3675"/>
    <m/>
    <d v="2015-03-12T00:00:00"/>
    <m/>
    <m/>
    <n v="1"/>
    <n v="1"/>
    <m/>
    <m/>
    <n v="1"/>
    <n v="1"/>
    <n v="1"/>
    <n v="0"/>
    <n v="1"/>
    <m/>
    <d v="2015-03-12T00:00:00"/>
    <n v="0"/>
    <m/>
    <m/>
    <n v="0"/>
    <n v="0"/>
    <m/>
    <m/>
  </r>
  <r>
    <x v="310"/>
    <n v="17428"/>
    <s v="45207810055550000557"/>
    <n v="10000000000"/>
    <s v="3810"/>
    <m/>
    <d v="2015-12-31T00:00:00"/>
    <m/>
    <m/>
    <n v="1"/>
    <n v="1"/>
    <m/>
    <m/>
    <n v="1"/>
    <n v="1"/>
    <n v="1"/>
    <n v="0"/>
    <n v="1"/>
    <m/>
    <d v="2016-01-11T00:00:00"/>
    <n v="0"/>
    <m/>
    <m/>
    <n v="0"/>
    <n v="0"/>
    <m/>
    <m/>
  </r>
  <r>
    <x v="311"/>
    <n v="22029"/>
    <s v="45208810555550000564"/>
    <n v="1345000000"/>
    <s v="4003"/>
    <m/>
    <d v="2016-06-27T00:00:00"/>
    <m/>
    <m/>
    <n v="1"/>
    <n v="1"/>
    <m/>
    <m/>
    <n v="1"/>
    <n v="1"/>
    <n v="1"/>
    <n v="0"/>
    <n v="1"/>
    <m/>
    <d v="2016-06-27T00:00:00"/>
    <n v="0"/>
    <m/>
    <m/>
    <n v="0"/>
    <n v="0"/>
    <m/>
    <m/>
  </r>
  <r>
    <x v="312"/>
    <n v="12024"/>
    <s v="45606840355550000019"/>
    <n v="23871383771.220001"/>
    <s v="3459"/>
    <m/>
    <d v="2014-05-08T00:00:00"/>
    <m/>
    <m/>
    <n v="2.1"/>
    <n v="1"/>
    <n v="-2"/>
    <s v="0"/>
    <n v="1"/>
    <n v="1"/>
    <n v="1"/>
    <n v="0"/>
    <n v="1"/>
    <m/>
    <d v="2014-06-27T00:00:00"/>
    <n v="1"/>
    <s v="2016-06-29"/>
    <m/>
    <m/>
    <n v="0"/>
    <m/>
    <m/>
  </r>
  <r>
    <x v="313"/>
    <n v="10578"/>
    <s v="45208810850050000099"/>
    <n v="166666666.69"/>
    <s v="00590/МР"/>
    <m/>
    <d v="2013-12-26T00:00:00"/>
    <m/>
    <m/>
    <n v="1"/>
    <n v="1"/>
    <m/>
    <m/>
    <n v="1"/>
    <n v="1"/>
    <n v="1"/>
    <n v="0"/>
    <n v="1"/>
    <m/>
    <d v="2013-12-31T00:00:00"/>
    <n v="0"/>
    <m/>
    <m/>
    <m/>
    <m/>
    <m/>
    <m/>
  </r>
  <r>
    <x v="313"/>
    <n v="11735"/>
    <s v="45208810550050000111"/>
    <n v="128378378.31999999"/>
    <s v="00695/МР"/>
    <m/>
    <d v="2014-04-15T00:00:00"/>
    <m/>
    <m/>
    <n v="1"/>
    <n v="1"/>
    <m/>
    <m/>
    <n v="1"/>
    <n v="1"/>
    <n v="1"/>
    <n v="0"/>
    <n v="1"/>
    <m/>
    <d v="2014-04-30T00:00:00"/>
    <n v="0"/>
    <m/>
    <m/>
    <m/>
    <m/>
    <m/>
    <m/>
  </r>
  <r>
    <x v="314"/>
    <n v="355"/>
    <s v="45208810155550000388"/>
    <n v="1433000000"/>
    <s v="1959"/>
    <m/>
    <d v="2008-01-11T00:00:00"/>
    <m/>
    <m/>
    <n v="1"/>
    <n v="1"/>
    <m/>
    <m/>
    <n v="1"/>
    <n v="1"/>
    <n v="1"/>
    <n v="0"/>
    <n v="1"/>
    <m/>
    <d v="2008-02-15T00:00:00"/>
    <n v="0"/>
    <m/>
    <n v="0"/>
    <m/>
    <m/>
    <m/>
    <m/>
  </r>
  <r>
    <x v="314"/>
    <n v="1482"/>
    <s v="45208810855550000387"/>
    <n v="2256761513.3200002"/>
    <s v="2245"/>
    <m/>
    <d v="2009-01-20T00:00:00"/>
    <m/>
    <m/>
    <n v="1"/>
    <n v="1"/>
    <m/>
    <m/>
    <n v="1"/>
    <n v="1"/>
    <n v="1"/>
    <n v="0"/>
    <n v="1"/>
    <m/>
    <d v="2009-01-21T00:00:00"/>
    <n v="0"/>
    <m/>
    <n v="0"/>
    <m/>
    <m/>
    <m/>
    <m/>
  </r>
  <r>
    <x v="315"/>
    <n v="10601"/>
    <s v="45208810350050000104"/>
    <n v="87011423.189999998"/>
    <s v="00608/МР"/>
    <m/>
    <d v="2013-12-27T00:00:00"/>
    <m/>
    <m/>
    <n v="1"/>
    <n v="1"/>
    <m/>
    <m/>
    <n v="1"/>
    <n v="1"/>
    <n v="1"/>
    <n v="0"/>
    <n v="1"/>
    <m/>
    <d v="2014-01-27T00:00:00"/>
    <n v="0"/>
    <m/>
    <m/>
    <m/>
    <n v="0"/>
    <m/>
    <m/>
  </r>
  <r>
    <x v="316"/>
    <n v="10579"/>
    <s v="45208810150050000100"/>
    <n v="21389830.940000001"/>
    <s v="00607/МР"/>
    <m/>
    <d v="2013-12-26T00:00:00"/>
    <m/>
    <m/>
    <n v="1"/>
    <n v="1"/>
    <m/>
    <m/>
    <n v="1"/>
    <n v="1"/>
    <n v="1"/>
    <n v="0"/>
    <n v="1"/>
    <m/>
    <d v="2014-01-27T00:00:00"/>
    <n v="0"/>
    <m/>
    <m/>
    <m/>
    <n v="0"/>
    <m/>
    <m/>
  </r>
  <r>
    <x v="316"/>
    <n v="10602"/>
    <s v="45208810050050000103"/>
    <n v="70627925.959999993"/>
    <s v="00606/МР"/>
    <m/>
    <d v="2013-12-27T00:00:00"/>
    <m/>
    <m/>
    <n v="1"/>
    <n v="1"/>
    <m/>
    <m/>
    <n v="1"/>
    <n v="1"/>
    <n v="1"/>
    <n v="0"/>
    <n v="1"/>
    <m/>
    <d v="2014-01-27T00:00:00"/>
    <n v="0"/>
    <m/>
    <m/>
    <m/>
    <n v="0"/>
    <m/>
    <m/>
  </r>
  <r>
    <x v="316"/>
    <n v="10879"/>
    <s v="45208810150050000113"/>
    <n v="102148148.09999999"/>
    <s v="00618/МР"/>
    <m/>
    <d v="2014-01-28T00:00:00"/>
    <m/>
    <m/>
    <n v="1"/>
    <n v="1"/>
    <m/>
    <m/>
    <n v="1"/>
    <n v="1"/>
    <n v="1"/>
    <n v="0"/>
    <n v="1"/>
    <m/>
    <d v="2014-02-25T00:00:00"/>
    <n v="0"/>
    <m/>
    <m/>
    <m/>
    <m/>
    <m/>
    <m/>
  </r>
  <r>
    <x v="317"/>
    <n v="11415"/>
    <s v="45605810155550000020"/>
    <n v="269679111.44"/>
    <s v="3449"/>
    <m/>
    <d v="2014-03-21T00:00:00"/>
    <m/>
    <m/>
    <n v="2.2000000000000002"/>
    <n v="2"/>
    <m/>
    <m/>
    <n v="3.2"/>
    <n v="3.2"/>
    <n v="3.2"/>
    <n v="0"/>
    <n v="1"/>
    <m/>
    <d v="2014-06-30T00:00:00"/>
    <n v="0"/>
    <m/>
    <n v="1"/>
    <m/>
    <n v="0"/>
    <m/>
    <m/>
  </r>
  <r>
    <x v="318"/>
    <n v="11754"/>
    <s v="45208810055550000420"/>
    <n v="10119965.48"/>
    <s v="3476"/>
    <m/>
    <d v="2014-04-14T00:00:00"/>
    <m/>
    <m/>
    <n v="1"/>
    <n v="1"/>
    <m/>
    <m/>
    <n v="1"/>
    <n v="1"/>
    <n v="1"/>
    <n v="0"/>
    <n v="1"/>
    <m/>
    <d v="2014-08-14T00:00:00"/>
    <n v="0"/>
    <m/>
    <m/>
    <m/>
    <m/>
    <m/>
    <m/>
  </r>
  <r>
    <x v="319"/>
    <n v="11749"/>
    <s v="45207810455550000490"/>
    <n v="910308497.69999993"/>
    <s v="3475"/>
    <m/>
    <d v="2014-04-14T00:00:00"/>
    <m/>
    <m/>
    <n v="2.2000000000000002"/>
    <n v="1"/>
    <m/>
    <m/>
    <n v="2.2000000000000002"/>
    <n v="2.2000000000000002"/>
    <n v="2.2000000000000002"/>
    <n v="0"/>
    <n v="1"/>
    <m/>
    <d v="2014-04-24T00:00:00"/>
    <n v="0"/>
    <m/>
    <n v="0"/>
    <m/>
    <n v="0"/>
    <m/>
    <m/>
  </r>
  <r>
    <x v="320"/>
    <n v="11493"/>
    <s v="45816840255550000019"/>
    <n v="3009539303.7200003"/>
    <s v="б/н_2012-11-21"/>
    <m/>
    <d v="2014-03-31T00:00:00"/>
    <m/>
    <m/>
    <n v="2.2000000000000002"/>
    <n v="3"/>
    <m/>
    <m/>
    <n v="4.2"/>
    <n v="4.2"/>
    <n v="4.2"/>
    <n v="0"/>
    <n v="1"/>
    <m/>
    <d v="2000-01-01T00:00:00"/>
    <n v="571"/>
    <m/>
    <n v="0"/>
    <m/>
    <m/>
    <m/>
    <m/>
  </r>
  <r>
    <x v="320"/>
    <n v="16116"/>
    <s v="45816840355550000016"/>
    <n v="310661784.39000005"/>
    <s v="б/н_2012-05-25"/>
    <m/>
    <d v="2012-05-25T00:00:00"/>
    <m/>
    <m/>
    <n v="2.2000000000000002"/>
    <n v="3"/>
    <m/>
    <m/>
    <n v="4.2"/>
    <n v="4.2"/>
    <n v="4.2"/>
    <n v="0"/>
    <n v="1"/>
    <m/>
    <d v="2000-01-01T00:00:00"/>
    <n v="479"/>
    <m/>
    <m/>
    <m/>
    <m/>
    <m/>
    <m/>
  </r>
  <r>
    <x v="320"/>
    <n v="16180"/>
    <s v="45816840655550000017"/>
    <n v="782982131.41999996"/>
    <s v="б/н_2011-08-04"/>
    <m/>
    <d v="2011-08-04T00:00:00"/>
    <m/>
    <m/>
    <n v="2.2000000000000002"/>
    <n v="3"/>
    <m/>
    <m/>
    <n v="4.2"/>
    <n v="4.2"/>
    <n v="4.2"/>
    <n v="0"/>
    <n v="1"/>
    <m/>
    <d v="2000-01-01T00:00:00"/>
    <n v="571"/>
    <m/>
    <m/>
    <m/>
    <n v="0"/>
    <m/>
    <m/>
  </r>
  <r>
    <x v="321"/>
    <n v="10580"/>
    <s v="45207810250050000344"/>
    <n v="384050711.78999996"/>
    <s v="00600/МР"/>
    <m/>
    <d v="2013-12-26T00:00:00"/>
    <m/>
    <m/>
    <n v="2.2000000000000002"/>
    <n v="3"/>
    <n v="-2"/>
    <s v="0"/>
    <n v="3"/>
    <n v="3"/>
    <n v="3"/>
    <n v="0"/>
    <n v="1"/>
    <m/>
    <d v="2014-01-20T00:00:00"/>
    <n v="408"/>
    <m/>
    <n v="1"/>
    <m/>
    <n v="0"/>
    <m/>
    <m/>
  </r>
  <r>
    <x v="321"/>
    <n v="10581"/>
    <s v="45208810450050000101"/>
    <n v="134115000"/>
    <s v="00605/МР"/>
    <m/>
    <d v="2013-12-26T00:00:00"/>
    <m/>
    <m/>
    <n v="2.2000000000000002"/>
    <n v="3"/>
    <n v="-2"/>
    <s v="0"/>
    <n v="3"/>
    <n v="3"/>
    <n v="3"/>
    <n v="0"/>
    <n v="1"/>
    <m/>
    <d v="2014-01-20T00:00:00"/>
    <n v="408"/>
    <m/>
    <n v="1"/>
    <m/>
    <m/>
    <m/>
    <m/>
  </r>
  <r>
    <x v="321"/>
    <n v="11065"/>
    <s v="45207810650050000355"/>
    <n v="100000000"/>
    <s v="00634/МР"/>
    <m/>
    <d v="2014-02-21T00:00:00"/>
    <m/>
    <m/>
    <n v="2.2000000000000002"/>
    <n v="3"/>
    <n v="-2"/>
    <s v="0"/>
    <n v="3"/>
    <n v="3"/>
    <n v="3"/>
    <n v="0"/>
    <n v="1"/>
    <m/>
    <d v="2014-03-20T00:00:00"/>
    <n v="408"/>
    <m/>
    <n v="1"/>
    <m/>
    <n v="0"/>
    <m/>
    <m/>
  </r>
  <r>
    <x v="321"/>
    <n v="11066"/>
    <s v="45208810250050000107"/>
    <n v="192941000"/>
    <s v="00646/МР"/>
    <m/>
    <d v="2014-02-21T00:00:00"/>
    <m/>
    <m/>
    <n v="2.2000000000000002"/>
    <n v="3"/>
    <n v="-2"/>
    <s v="0"/>
    <n v="3"/>
    <n v="3"/>
    <n v="3"/>
    <n v="0"/>
    <n v="1"/>
    <m/>
    <d v="2014-03-20T00:00:00"/>
    <n v="439"/>
    <m/>
    <n v="1"/>
    <m/>
    <m/>
    <m/>
    <m/>
  </r>
  <r>
    <x v="321"/>
    <n v="11104"/>
    <s v="45207810550050000358"/>
    <n v="146666667.19999999"/>
    <s v="00635/МР"/>
    <m/>
    <d v="2014-02-21T00:00:00"/>
    <m/>
    <m/>
    <n v="2.2000000000000002"/>
    <n v="3"/>
    <n v="-2"/>
    <s v="0"/>
    <n v="3"/>
    <n v="3"/>
    <n v="3"/>
    <n v="0"/>
    <n v="1"/>
    <m/>
    <d v="2014-03-20T00:00:00"/>
    <n v="439"/>
    <m/>
    <n v="1"/>
    <m/>
    <n v="0"/>
    <m/>
    <m/>
  </r>
  <r>
    <x v="321"/>
    <n v="11105"/>
    <s v="45207810950050000356"/>
    <n v="66666667.200000003"/>
    <s v="00645/МР"/>
    <m/>
    <d v="2014-02-21T00:00:00"/>
    <m/>
    <m/>
    <n v="2.2000000000000002"/>
    <n v="3"/>
    <n v="-2"/>
    <s v="0"/>
    <n v="3"/>
    <n v="3"/>
    <n v="3"/>
    <n v="0"/>
    <n v="1"/>
    <m/>
    <d v="2014-03-20T00:00:00"/>
    <n v="439"/>
    <m/>
    <n v="1"/>
    <m/>
    <n v="0"/>
    <m/>
    <m/>
  </r>
  <r>
    <x v="321"/>
    <n v="11106"/>
    <s v="45207810250050000357"/>
    <n v="42186666.68"/>
    <s v="00648/МР"/>
    <m/>
    <d v="2014-02-21T00:00:00"/>
    <m/>
    <m/>
    <n v="2.2000000000000002"/>
    <n v="3"/>
    <n v="-2"/>
    <s v="0"/>
    <n v="3"/>
    <n v="3"/>
    <n v="3"/>
    <n v="0"/>
    <n v="1"/>
    <m/>
    <d v="2014-03-20T00:00:00"/>
    <n v="408"/>
    <m/>
    <n v="1"/>
    <m/>
    <n v="0"/>
    <m/>
    <m/>
  </r>
  <r>
    <x v="321"/>
    <n v="12289"/>
    <s v="45208810350050000120"/>
    <n v="590000000"/>
    <s v="00752/МР"/>
    <m/>
    <d v="2014-06-19T00:00:00"/>
    <m/>
    <m/>
    <n v="2.2000000000000002"/>
    <n v="3"/>
    <n v="-2"/>
    <s v="0"/>
    <n v="3"/>
    <n v="3"/>
    <n v="3"/>
    <n v="0"/>
    <n v="1"/>
    <m/>
    <d v="2014-06-20T00:00:00"/>
    <n v="439"/>
    <m/>
    <n v="1"/>
    <m/>
    <n v="0"/>
    <m/>
    <m/>
  </r>
  <r>
    <x v="321"/>
    <n v="12336"/>
    <s v="45208810650050000121"/>
    <n v="150000000"/>
    <s v="00760/МР"/>
    <m/>
    <d v="2014-06-24T00:00:00"/>
    <m/>
    <m/>
    <n v="2.2000000000000002"/>
    <n v="3"/>
    <n v="-2"/>
    <s v="0"/>
    <n v="3"/>
    <n v="3"/>
    <n v="3"/>
    <n v="0"/>
    <n v="1"/>
    <m/>
    <d v="2014-07-21T00:00:00"/>
    <n v="439"/>
    <m/>
    <n v="1"/>
    <m/>
    <n v="0"/>
    <m/>
    <m/>
  </r>
  <r>
    <x v="321"/>
    <n v="12363"/>
    <s v="45208810950050000122"/>
    <n v="200000000"/>
    <s v="00761/МР"/>
    <m/>
    <d v="2014-06-25T00:00:00"/>
    <m/>
    <m/>
    <n v="2.2000000000000002"/>
    <n v="3"/>
    <n v="-2"/>
    <s v="0"/>
    <n v="3"/>
    <n v="3"/>
    <n v="3"/>
    <n v="0"/>
    <n v="1"/>
    <m/>
    <d v="2014-07-21T00:00:00"/>
    <n v="439"/>
    <m/>
    <n v="1"/>
    <m/>
    <n v="0"/>
    <m/>
    <m/>
  </r>
  <r>
    <x v="321"/>
    <n v="12382"/>
    <s v="45208810250050000123"/>
    <n v="60000000"/>
    <s v="00751/МР"/>
    <m/>
    <d v="2014-06-26T00:00:00"/>
    <m/>
    <m/>
    <n v="2.2000000000000002"/>
    <n v="3"/>
    <n v="-2"/>
    <s v="0"/>
    <n v="3"/>
    <n v="3"/>
    <n v="3"/>
    <n v="0"/>
    <n v="1"/>
    <m/>
    <d v="2014-07-21T00:00:00"/>
    <n v="408"/>
    <m/>
    <n v="1"/>
    <m/>
    <n v="0"/>
    <m/>
    <m/>
  </r>
  <r>
    <x v="321"/>
    <n v="13955"/>
    <s v="45207810150050000392"/>
    <n v="161333333.34"/>
    <s v="00858/МР"/>
    <m/>
    <d v="2014-11-12T00:00:00"/>
    <m/>
    <m/>
    <n v="2.2000000000000002"/>
    <n v="3"/>
    <n v="-2"/>
    <s v="0"/>
    <n v="3"/>
    <n v="3"/>
    <n v="3"/>
    <n v="0"/>
    <n v="1"/>
    <m/>
    <d v="2014-11-20T00:00:00"/>
    <n v="439"/>
    <m/>
    <n v="1"/>
    <m/>
    <n v="0"/>
    <m/>
    <m/>
  </r>
  <r>
    <x v="322"/>
    <n v="10583"/>
    <s v="45207810950050000343"/>
    <n v="20235000"/>
    <s v="00601/МР"/>
    <m/>
    <d v="2013-12-26T00:00:00"/>
    <m/>
    <m/>
    <n v="2.1"/>
    <n v="3"/>
    <n v="-2"/>
    <s v="0"/>
    <n v="2.9999999999999996"/>
    <n v="2.9999999999999996"/>
    <n v="2.9999999999999996"/>
    <n v="0"/>
    <n v="1"/>
    <m/>
    <d v="2014-01-20T00:00:00"/>
    <n v="376"/>
    <m/>
    <n v="1"/>
    <m/>
    <n v="0"/>
    <m/>
    <m/>
  </r>
  <r>
    <x v="322"/>
    <n v="10584"/>
    <s v="45207810650050000342"/>
    <n v="58151479.859999999"/>
    <s v="00602/МР"/>
    <m/>
    <d v="2013-12-26T00:00:00"/>
    <m/>
    <m/>
    <n v="2.1"/>
    <n v="3"/>
    <n v="-2"/>
    <s v="0"/>
    <n v="2.9999999999999996"/>
    <n v="2.9999999999999996"/>
    <n v="2.9999999999999996"/>
    <n v="0"/>
    <n v="1"/>
    <m/>
    <d v="2014-01-20T00:00:00"/>
    <n v="408"/>
    <m/>
    <n v="1"/>
    <m/>
    <n v="0"/>
    <m/>
    <m/>
  </r>
  <r>
    <x v="323"/>
    <n v="11055"/>
    <s v="45208810550050000108"/>
    <n v="96470500"/>
    <s v="00637/МР"/>
    <m/>
    <d v="2014-02-21T00:00:00"/>
    <m/>
    <m/>
    <n v="2.1"/>
    <n v="3"/>
    <n v="-2"/>
    <s v="0"/>
    <n v="2.9999999999999996"/>
    <n v="2.9999999999999996"/>
    <n v="2.9999999999999996"/>
    <n v="0"/>
    <n v="1"/>
    <m/>
    <d v="2014-02-24T00:00:00"/>
    <n v="439"/>
    <m/>
    <n v="1"/>
    <m/>
    <m/>
    <m/>
    <m/>
  </r>
  <r>
    <x v="323"/>
    <n v="11817"/>
    <s v="45812810950050000453"/>
    <n v="108400000"/>
    <s v="00700/МР"/>
    <m/>
    <d v="2014-04-29T00:00:00"/>
    <m/>
    <m/>
    <n v="2.1"/>
    <n v="3"/>
    <n v="-2"/>
    <s v="0"/>
    <n v="2.9999999999999996"/>
    <n v="2.9999999999999996"/>
    <n v="2.9999999999999996"/>
    <n v="0"/>
    <n v="1"/>
    <m/>
    <d v="2014-04-29T00:00:00"/>
    <n v="439"/>
    <m/>
    <n v="1"/>
    <m/>
    <m/>
    <m/>
    <m/>
  </r>
  <r>
    <x v="323"/>
    <n v="12691"/>
    <s v="45812810450050000458"/>
    <n v="42500000"/>
    <s v="00742/МР"/>
    <m/>
    <d v="2014-07-08T00:00:00"/>
    <m/>
    <m/>
    <n v="2.1"/>
    <n v="3"/>
    <n v="-2"/>
    <s v="0"/>
    <n v="2.9999999999999996"/>
    <n v="2.9999999999999996"/>
    <n v="2.9999999999999996"/>
    <n v="0"/>
    <n v="1"/>
    <m/>
    <d v="2014-07-21T00:00:00"/>
    <n v="439"/>
    <m/>
    <n v="1"/>
    <m/>
    <m/>
    <m/>
    <m/>
  </r>
  <r>
    <x v="324"/>
    <n v="11056"/>
    <s v="45208810850050000109"/>
    <n v="72352500"/>
    <s v="00639/МР"/>
    <m/>
    <d v="2014-02-21T00:00:00"/>
    <m/>
    <m/>
    <n v="2.1"/>
    <n v="3"/>
    <n v="-2"/>
    <s v="0"/>
    <n v="2.9999999999999996"/>
    <n v="2.9999999999999996"/>
    <n v="2.9999999999999996"/>
    <n v="0"/>
    <n v="1"/>
    <m/>
    <d v="2014-03-20T00:00:00"/>
    <n v="376"/>
    <m/>
    <n v="1"/>
    <m/>
    <m/>
    <m/>
    <m/>
  </r>
  <r>
    <x v="325"/>
    <n v="10585"/>
    <s v="45207810350050000341"/>
    <n v="10780435.030000001"/>
    <s v="00604/МР"/>
    <m/>
    <d v="2013-12-26T00:00:00"/>
    <m/>
    <m/>
    <n v="1"/>
    <n v="3"/>
    <n v="-2"/>
    <s v="0"/>
    <n v="2"/>
    <n v="2"/>
    <n v="2"/>
    <n v="0"/>
    <n v="1"/>
    <m/>
    <d v="2014-01-20T00:00:00"/>
    <n v="316"/>
    <m/>
    <n v="1"/>
    <m/>
    <n v="0"/>
    <m/>
    <m/>
  </r>
  <r>
    <x v="325"/>
    <n v="11067"/>
    <s v="45208810950050000106"/>
    <n v="72352500"/>
    <s v="00640/МР"/>
    <m/>
    <d v="2014-02-21T00:00:00"/>
    <m/>
    <m/>
    <n v="1"/>
    <n v="3"/>
    <n v="-2"/>
    <s v="0"/>
    <n v="2"/>
    <n v="2"/>
    <n v="2"/>
    <n v="0"/>
    <n v="1"/>
    <m/>
    <d v="2014-03-20T00:00:00"/>
    <n v="347"/>
    <m/>
    <n v="1"/>
    <m/>
    <m/>
    <m/>
    <m/>
  </r>
  <r>
    <x v="326"/>
    <n v="100005682"/>
    <s v="32305156950018000404"/>
    <n v="380349.85"/>
    <m/>
    <m/>
    <m/>
    <m/>
    <m/>
    <n v="1"/>
    <n v="1"/>
    <m/>
    <m/>
    <n v="1"/>
    <n v="1"/>
    <n v="1"/>
    <n v="0"/>
    <m/>
    <m/>
    <m/>
    <n v="0"/>
    <m/>
    <m/>
    <m/>
    <m/>
    <m/>
    <m/>
  </r>
  <r>
    <x v="327"/>
    <n v="15725"/>
    <s v="45207810455550000526"/>
    <n v="320000000"/>
    <s v="3741"/>
    <m/>
    <d v="2015-06-17T00:00:00"/>
    <m/>
    <m/>
    <n v="1"/>
    <n v="1"/>
    <m/>
    <m/>
    <n v="1"/>
    <n v="1"/>
    <n v="1"/>
    <n v="0"/>
    <n v="1"/>
    <m/>
    <d v="2015-06-20T00:00:00"/>
    <n v="0"/>
    <m/>
    <n v="0"/>
    <m/>
    <m/>
    <m/>
    <m/>
  </r>
  <r>
    <x v="328"/>
    <n v="12341"/>
    <s v="45208810655550000419"/>
    <n v="1738953179.1600001"/>
    <s v="3513"/>
    <m/>
    <d v="2014-06-18T00:00:00"/>
    <m/>
    <m/>
    <n v="1"/>
    <n v="1"/>
    <m/>
    <m/>
    <n v="1"/>
    <n v="1"/>
    <n v="1"/>
    <n v="0"/>
    <n v="1"/>
    <m/>
    <d v="2015-03-20T00:00:00"/>
    <n v="0"/>
    <m/>
    <m/>
    <m/>
    <m/>
    <m/>
    <m/>
  </r>
  <r>
    <x v="329"/>
    <n v="20969"/>
    <s v="45206810050050000817"/>
    <n v="50000000"/>
    <s v="01358/МР"/>
    <m/>
    <d v="2016-06-09T00:00:00"/>
    <m/>
    <m/>
    <n v="1"/>
    <n v="1"/>
    <m/>
    <m/>
    <n v="1"/>
    <n v="1"/>
    <n v="1"/>
    <n v="0"/>
    <n v="1"/>
    <m/>
    <d v="2016-06-22T00:00:00"/>
    <n v="0"/>
    <m/>
    <m/>
    <m/>
    <m/>
    <m/>
    <m/>
  </r>
  <r>
    <x v="330"/>
    <n v="17711"/>
    <s v="45201810050050000595"/>
    <n v="36592005.049999997"/>
    <s v="ОВ-01315/МР"/>
    <m/>
    <d v="2016-03-30T00:00:00"/>
    <m/>
    <m/>
    <n v="2.1"/>
    <n v="1"/>
    <m/>
    <m/>
    <n v="2.1"/>
    <n v="2.1"/>
    <n v="2.1"/>
    <n v="0"/>
    <n v="1"/>
    <m/>
    <d v="2016-04-01T00:00:00"/>
    <n v="0"/>
    <m/>
    <m/>
    <m/>
    <m/>
    <m/>
    <m/>
  </r>
  <r>
    <x v="330"/>
    <n v="17727"/>
    <s v="45204810050050000259"/>
    <n v="146530455.30000001"/>
    <s v="01316/МР"/>
    <m/>
    <d v="2016-04-01T00:00:00"/>
    <m/>
    <m/>
    <n v="2.1"/>
    <n v="1"/>
    <m/>
    <m/>
    <n v="2.1"/>
    <n v="2.1"/>
    <n v="2.1"/>
    <n v="0"/>
    <n v="1"/>
    <m/>
    <d v="2016-04-05T00:00:00"/>
    <n v="0"/>
    <m/>
    <m/>
    <m/>
    <m/>
    <m/>
    <m/>
  </r>
  <r>
    <x v="331"/>
    <n v="11688"/>
    <s v="45206810055550000419"/>
    <n v="1192955862.1400001"/>
    <s v="3357"/>
    <m/>
    <d v="2014-04-15T00:00:00"/>
    <m/>
    <m/>
    <n v="1"/>
    <n v="1"/>
    <m/>
    <m/>
    <n v="1"/>
    <n v="1"/>
    <n v="1"/>
    <n v="0"/>
    <n v="1"/>
    <m/>
    <d v="2014-04-25T00:00:00"/>
    <n v="0"/>
    <m/>
    <n v="0"/>
    <m/>
    <n v="0"/>
    <m/>
    <m/>
  </r>
  <r>
    <x v="331"/>
    <n v="13098"/>
    <s v="45208810755550000429"/>
    <n v="965135843.27999997"/>
    <s v="3525"/>
    <m/>
    <d v="2014-08-08T00:00:00"/>
    <m/>
    <m/>
    <n v="1"/>
    <n v="1"/>
    <m/>
    <m/>
    <n v="1"/>
    <n v="1"/>
    <n v="1"/>
    <n v="0"/>
    <n v="1"/>
    <m/>
    <d v="2014-08-18T00:00:00"/>
    <n v="0"/>
    <m/>
    <n v="0"/>
    <m/>
    <m/>
    <m/>
    <m/>
  </r>
  <r>
    <x v="331"/>
    <n v="16246"/>
    <s v="45208810655550000477"/>
    <n v="1400000000"/>
    <s v="3723"/>
    <m/>
    <d v="2015-08-14T00:00:00"/>
    <m/>
    <m/>
    <n v="1"/>
    <n v="1"/>
    <m/>
    <m/>
    <n v="1"/>
    <n v="1"/>
    <n v="1"/>
    <n v="0"/>
    <n v="1"/>
    <m/>
    <d v="2015-08-14T00:00:00"/>
    <n v="0"/>
    <m/>
    <m/>
    <m/>
    <m/>
    <m/>
    <m/>
  </r>
  <r>
    <x v="331"/>
    <n v="17474"/>
    <s v="45205810055550000313"/>
    <n v="796017450.11999989"/>
    <s v="3736"/>
    <m/>
    <d v="2015-12-22T00:00:00"/>
    <m/>
    <m/>
    <n v="1"/>
    <n v="1"/>
    <m/>
    <m/>
    <n v="1"/>
    <n v="1"/>
    <n v="1"/>
    <n v="0"/>
    <n v="1"/>
    <m/>
    <d v="2016-01-26T00:00:00"/>
    <n v="0"/>
    <m/>
    <m/>
    <m/>
    <m/>
    <m/>
    <m/>
  </r>
  <r>
    <x v="332"/>
    <n v="11183"/>
    <s v="45812810050050000382"/>
    <n v="2249201.89"/>
    <s v="КС-745000/2012/00017"/>
    <m/>
    <d v="2012-10-02T00:00:00"/>
    <m/>
    <m/>
    <n v="3"/>
    <n v="3"/>
    <m/>
    <m/>
    <n v="5"/>
    <n v="5"/>
    <n v="5"/>
    <n v="0"/>
    <n v="1"/>
    <m/>
    <d v="2000-01-01T00:00:00"/>
    <n v="1095"/>
    <m/>
    <m/>
    <m/>
    <m/>
    <m/>
    <m/>
  </r>
  <r>
    <x v="332"/>
    <n v="11184"/>
    <s v="45812810450050000380"/>
    <n v="17000000"/>
    <s v="КС-745000/2012/00015"/>
    <m/>
    <d v="2012-09-17T00:00:00"/>
    <m/>
    <m/>
    <n v="3"/>
    <n v="3"/>
    <m/>
    <m/>
    <n v="5"/>
    <n v="5"/>
    <n v="5"/>
    <n v="0"/>
    <n v="1"/>
    <m/>
    <d v="2000-01-01T00:00:00"/>
    <n v="1157"/>
    <m/>
    <m/>
    <m/>
    <m/>
    <m/>
    <m/>
  </r>
  <r>
    <x v="332"/>
    <n v="11185"/>
    <s v="45812810750050000381"/>
    <n v="26260122.68"/>
    <s v="КС-745000/2012/00012"/>
    <m/>
    <d v="2012-08-30T00:00:00"/>
    <m/>
    <m/>
    <n v="3"/>
    <n v="3"/>
    <m/>
    <m/>
    <n v="5"/>
    <n v="5"/>
    <n v="5"/>
    <n v="0"/>
    <n v="1"/>
    <m/>
    <d v="2000-01-01T00:00:00"/>
    <n v="1157"/>
    <m/>
    <m/>
    <m/>
    <m/>
    <m/>
    <m/>
  </r>
  <r>
    <x v="333"/>
    <n v="10874"/>
    <s v="45815840150060000003"/>
    <n v="879700.75"/>
    <s v="1808/3409"/>
    <m/>
    <d v="2005-09-29T00:00:00"/>
    <m/>
    <m/>
    <n v="2"/>
    <n v="3"/>
    <m/>
    <m/>
    <n v="4"/>
    <n v="4"/>
    <n v="4"/>
    <n v="0"/>
    <n v="1"/>
    <m/>
    <d v="2014-05-14T00:00:00"/>
    <n v="1006"/>
    <m/>
    <m/>
    <m/>
    <m/>
    <m/>
    <m/>
  </r>
  <r>
    <x v="334"/>
    <n v="17732"/>
    <s v="45104810550050000011"/>
    <n v="323105126.5"/>
    <s v="01320/МР"/>
    <m/>
    <d v="2016-04-05T00:00:00"/>
    <m/>
    <m/>
    <n v="1"/>
    <n v="1"/>
    <m/>
    <m/>
    <n v="1"/>
    <n v="1"/>
    <n v="1"/>
    <n v="0"/>
    <n v="1"/>
    <m/>
    <d v="2016-04-05T00:00:00"/>
    <n v="0"/>
    <m/>
    <m/>
    <m/>
    <m/>
    <m/>
    <m/>
  </r>
  <r>
    <x v="334"/>
    <n v="17739"/>
    <s v="45104810850050000012"/>
    <n v="16252000"/>
    <s v="01319/МР"/>
    <m/>
    <d v="2016-04-05T00:00:00"/>
    <m/>
    <m/>
    <n v="1"/>
    <n v="1"/>
    <m/>
    <m/>
    <n v="1"/>
    <n v="1"/>
    <n v="1"/>
    <n v="0"/>
    <n v="1"/>
    <m/>
    <d v="2016-04-06T00:00:00"/>
    <n v="0"/>
    <m/>
    <m/>
    <m/>
    <m/>
    <m/>
    <m/>
  </r>
  <r>
    <x v="335"/>
    <n v="12077"/>
    <s v="45207810950050000369"/>
    <n v="185543680"/>
    <s v="00712/МР"/>
    <m/>
    <d v="2014-05-30T00:00:00"/>
    <m/>
    <m/>
    <n v="1"/>
    <n v="1"/>
    <m/>
    <m/>
    <n v="1"/>
    <n v="1"/>
    <n v="1"/>
    <n v="0"/>
    <n v="1"/>
    <m/>
    <d v="2014-06-26T00:00:00"/>
    <n v="0"/>
    <m/>
    <m/>
    <m/>
    <n v="0"/>
    <m/>
    <m/>
  </r>
  <r>
    <x v="335"/>
    <n v="17378"/>
    <s v="45207810150050000428"/>
    <n v="85000000"/>
    <s v="01197/МР"/>
    <m/>
    <d v="2015-12-21T00:00:00"/>
    <m/>
    <m/>
    <n v="1"/>
    <n v="1"/>
    <m/>
    <m/>
    <n v="1"/>
    <n v="1"/>
    <n v="1"/>
    <n v="0"/>
    <n v="1"/>
    <m/>
    <d v="2015-12-28T00:00:00"/>
    <n v="0"/>
    <m/>
    <m/>
    <m/>
    <m/>
    <m/>
    <m/>
  </r>
  <r>
    <x v="336"/>
    <n v="20110"/>
    <s v="45207810350050000448"/>
    <n v="892224434.98000002"/>
    <s v="01391/МР"/>
    <m/>
    <d v="2016-05-30T00:00:00"/>
    <m/>
    <m/>
    <n v="1"/>
    <n v="1"/>
    <m/>
    <m/>
    <n v="1"/>
    <n v="1"/>
    <n v="1"/>
    <n v="0"/>
    <n v="1"/>
    <m/>
    <d v="2016-06-27T00:00:00"/>
    <n v="0"/>
    <m/>
    <m/>
    <m/>
    <m/>
    <m/>
    <m/>
  </r>
  <r>
    <x v="336"/>
    <n v="21517"/>
    <s v="45205810050050000478"/>
    <n v="1090946384.73"/>
    <s v="01400/МР"/>
    <m/>
    <d v="2016-06-21T00:00:00"/>
    <m/>
    <m/>
    <n v="1"/>
    <n v="1"/>
    <m/>
    <m/>
    <n v="1"/>
    <n v="1"/>
    <n v="1"/>
    <n v="0"/>
    <n v="1"/>
    <m/>
    <d v="2016-06-27T00:00:00"/>
    <n v="0"/>
    <m/>
    <m/>
    <m/>
    <m/>
    <m/>
    <m/>
  </r>
  <r>
    <x v="337"/>
    <n v="12291"/>
    <s v="32309810200210000032"/>
    <n v="4391304347.8000002"/>
    <s v="502605143 - участ. ТНС Энерго"/>
    <m/>
    <d v="2014-06-19T00:00:00"/>
    <m/>
    <m/>
    <n v="1"/>
    <n v="1"/>
    <m/>
    <m/>
    <n v="1"/>
    <n v="1"/>
    <n v="1"/>
    <n v="0"/>
    <n v="1"/>
    <m/>
    <d v="2014-05-26T00:00:00"/>
    <n v="0"/>
    <m/>
    <m/>
    <m/>
    <n v="0"/>
    <m/>
    <m/>
  </r>
  <r>
    <x v="338"/>
    <n v="11379"/>
    <s v="45812810555550000895"/>
    <n v="375000000"/>
    <s v="16/12"/>
    <m/>
    <d v="2012-03-16T00:00:00"/>
    <m/>
    <m/>
    <n v="3"/>
    <n v="3"/>
    <m/>
    <m/>
    <n v="5"/>
    <n v="5"/>
    <n v="5"/>
    <n v="0"/>
    <n v="1"/>
    <m/>
    <d v="2000-01-01T00:00:00"/>
    <n v="990"/>
    <m/>
    <n v="1"/>
    <n v="1"/>
    <m/>
    <m/>
    <m/>
  </r>
  <r>
    <x v="338"/>
    <n v="11380"/>
    <s v="45812810855550000896"/>
    <n v="249147487.80000001"/>
    <s v="17/12"/>
    <m/>
    <d v="2012-03-16T00:00:00"/>
    <m/>
    <m/>
    <n v="3"/>
    <n v="3"/>
    <m/>
    <m/>
    <n v="5"/>
    <n v="5"/>
    <n v="5"/>
    <n v="0"/>
    <n v="1"/>
    <m/>
    <d v="2000-01-01T00:00:00"/>
    <n v="990"/>
    <m/>
    <n v="1"/>
    <m/>
    <m/>
    <m/>
    <m/>
  </r>
  <r>
    <x v="339"/>
    <n v="11236"/>
    <s v="45812810355550000888"/>
    <n v="20203281.629999999"/>
    <s v="134/10"/>
    <m/>
    <d v="2010-09-16T00:00:00"/>
    <m/>
    <m/>
    <n v="3"/>
    <n v="3"/>
    <m/>
    <m/>
    <n v="5"/>
    <n v="5"/>
    <n v="5"/>
    <n v="0"/>
    <n v="1"/>
    <m/>
    <d v="2000-01-01T00:00:00"/>
    <n v="975"/>
    <m/>
    <n v="1"/>
    <m/>
    <n v="1"/>
    <m/>
    <m/>
  </r>
  <r>
    <x v="339"/>
    <n v="11345"/>
    <s v="45812810355550000891"/>
    <n v="194100243.24000001"/>
    <s v="174/11"/>
    <m/>
    <d v="2011-11-08T00:00:00"/>
    <m/>
    <m/>
    <n v="3"/>
    <n v="3"/>
    <m/>
    <m/>
    <n v="5"/>
    <n v="5"/>
    <n v="5"/>
    <n v="0"/>
    <n v="1"/>
    <m/>
    <d v="2000-01-01T00:00:00"/>
    <n v="975"/>
    <m/>
    <n v="1"/>
    <m/>
    <m/>
    <m/>
    <m/>
  </r>
  <r>
    <x v="339"/>
    <n v="11346"/>
    <s v="45812810155550000897"/>
    <n v="150649500"/>
    <s v="26/13"/>
    <m/>
    <d v="2013-04-24T00:00:00"/>
    <m/>
    <m/>
    <n v="3"/>
    <n v="3"/>
    <m/>
    <m/>
    <n v="5"/>
    <n v="5"/>
    <n v="5"/>
    <n v="0"/>
    <n v="1"/>
    <m/>
    <d v="2000-01-01T00:00:00"/>
    <n v="974"/>
    <m/>
    <n v="1"/>
    <m/>
    <m/>
    <m/>
    <m/>
  </r>
  <r>
    <x v="339"/>
    <n v="11381"/>
    <s v="45812810455550000898"/>
    <n v="198575876.58000001"/>
    <s v="27/13"/>
    <m/>
    <d v="2013-04-24T00:00:00"/>
    <m/>
    <m/>
    <n v="3"/>
    <n v="3"/>
    <m/>
    <m/>
    <n v="5"/>
    <n v="5"/>
    <n v="5"/>
    <n v="0"/>
    <n v="1"/>
    <m/>
    <d v="2000-01-01T00:00:00"/>
    <n v="974"/>
    <m/>
    <n v="1"/>
    <m/>
    <m/>
    <m/>
    <m/>
  </r>
  <r>
    <x v="340"/>
    <n v="16675"/>
    <s v="45206810950050000742"/>
    <n v="391607237"/>
    <s v="01110/МР"/>
    <m/>
    <d v="2015-09-30T00:00:00"/>
    <m/>
    <m/>
    <n v="1"/>
    <n v="1"/>
    <m/>
    <m/>
    <n v="1"/>
    <n v="1"/>
    <n v="1"/>
    <n v="0"/>
    <n v="1"/>
    <m/>
    <d v="2015-10-07T00:00:00"/>
    <n v="0"/>
    <m/>
    <m/>
    <m/>
    <m/>
    <m/>
    <m/>
  </r>
  <r>
    <x v="341"/>
    <n v="11181"/>
    <s v="45812810755550000899"/>
    <n v="79882834.379999995"/>
    <s v="63/11"/>
    <m/>
    <d v="2011-04-08T00:00:00"/>
    <m/>
    <m/>
    <n v="3"/>
    <n v="3"/>
    <m/>
    <m/>
    <n v="5"/>
    <n v="5"/>
    <n v="5"/>
    <n v="0"/>
    <n v="1"/>
    <m/>
    <d v="2000-01-01T00:00:00"/>
    <n v="1097"/>
    <m/>
    <n v="1"/>
    <m/>
    <m/>
    <m/>
    <m/>
  </r>
  <r>
    <x v="341"/>
    <n v="11182"/>
    <s v="45812810055550000900"/>
    <n v="28720654.030000001"/>
    <s v="92/11"/>
    <m/>
    <d v="2011-06-03T00:00:00"/>
    <m/>
    <m/>
    <n v="3"/>
    <n v="3"/>
    <m/>
    <m/>
    <n v="5"/>
    <n v="5"/>
    <n v="5"/>
    <n v="0"/>
    <n v="1"/>
    <m/>
    <d v="2000-01-01T00:00:00"/>
    <n v="1097"/>
    <m/>
    <n v="1"/>
    <n v="1"/>
    <m/>
    <m/>
    <m/>
  </r>
  <r>
    <x v="341"/>
    <n v="11310"/>
    <s v="45812810655550000889"/>
    <n v="806016076.28999996"/>
    <s v="80/11"/>
    <m/>
    <d v="2011-05-06T00:00:00"/>
    <m/>
    <m/>
    <n v="3"/>
    <n v="3"/>
    <m/>
    <m/>
    <n v="5"/>
    <n v="5"/>
    <n v="5"/>
    <n v="0"/>
    <n v="1"/>
    <m/>
    <d v="2000-01-01T00:00:00"/>
    <n v="1097"/>
    <m/>
    <n v="1"/>
    <n v="1"/>
    <m/>
    <m/>
    <m/>
  </r>
  <r>
    <x v="341"/>
    <n v="11351"/>
    <s v="45812810955550000893"/>
    <n v="245479054.11000001"/>
    <s v="8/12"/>
    <m/>
    <d v="2012-02-10T00:00:00"/>
    <m/>
    <m/>
    <n v="3"/>
    <n v="3"/>
    <m/>
    <m/>
    <n v="5"/>
    <n v="5"/>
    <n v="5"/>
    <n v="0"/>
    <n v="1"/>
    <m/>
    <d v="2000-01-01T00:00:00"/>
    <n v="1097"/>
    <m/>
    <n v="1"/>
    <m/>
    <m/>
    <m/>
    <m/>
  </r>
  <r>
    <x v="341"/>
    <n v="11352"/>
    <s v="45812810255550000894"/>
    <n v="72465731.799999997"/>
    <s v="47/12"/>
    <m/>
    <d v="2012-06-29T00:00:00"/>
    <m/>
    <m/>
    <n v="3"/>
    <n v="3"/>
    <m/>
    <m/>
    <n v="5"/>
    <n v="5"/>
    <n v="5"/>
    <n v="0"/>
    <n v="1"/>
    <m/>
    <d v="2000-01-01T00:00:00"/>
    <n v="1097"/>
    <m/>
    <n v="1"/>
    <m/>
    <m/>
    <m/>
    <m/>
  </r>
  <r>
    <x v="341"/>
    <n v="11353"/>
    <s v="45812810655550000892"/>
    <n v="398720022"/>
    <s v="84/12"/>
    <m/>
    <d v="2012-10-17T00:00:00"/>
    <m/>
    <m/>
    <n v="3"/>
    <n v="3"/>
    <m/>
    <m/>
    <n v="5"/>
    <n v="5"/>
    <n v="5"/>
    <n v="0"/>
    <n v="1"/>
    <m/>
    <d v="2000-01-01T00:00:00"/>
    <n v="1097"/>
    <m/>
    <n v="1"/>
    <m/>
    <m/>
    <m/>
    <m/>
  </r>
  <r>
    <x v="342"/>
    <n v="11818"/>
    <s v="45606840755550000017"/>
    <n v="164211060000"/>
    <s v="б/н"/>
    <m/>
    <d v="2014-04-25T00:00:00"/>
    <m/>
    <m/>
    <n v="2.2000000000000002"/>
    <n v="1"/>
    <m/>
    <m/>
    <n v="2.2000000000000002"/>
    <n v="2.2000000000000002"/>
    <n v="2.2000000000000002"/>
    <n v="0"/>
    <n v="1"/>
    <m/>
    <d v="2014-04-29T00:00:00"/>
    <n v="0"/>
    <m/>
    <n v="0"/>
    <m/>
    <n v="0"/>
    <m/>
    <m/>
  </r>
  <r>
    <x v="343"/>
    <n v="16959"/>
    <s v="47802840555550000064"/>
    <n v="63094941900"/>
    <s v="б/н_2014-08-01"/>
    <m/>
    <d v="2014-08-01T00:00:00"/>
    <m/>
    <m/>
    <n v="1"/>
    <n v="3"/>
    <n v="-1"/>
    <s v="0"/>
    <n v="2"/>
    <n v="2"/>
    <n v="2"/>
    <n v="0"/>
    <n v="1"/>
    <m/>
    <d v="2000-01-01T00:00:00"/>
    <n v="100"/>
    <m/>
    <n v="0"/>
    <m/>
    <n v="0"/>
    <m/>
    <m/>
  </r>
  <r>
    <x v="344"/>
    <n v="11819"/>
    <s v="47802840055550000027"/>
    <n v="15789525000"/>
    <s v="LA-321-120314-LGB"/>
    <m/>
    <d v="2014-03-14T00:00:00"/>
    <m/>
    <m/>
    <n v="2.2999999999999998"/>
    <n v="2"/>
    <n v="-2"/>
    <s v="345"/>
    <n v="2"/>
    <n v="2"/>
    <n v="2"/>
    <n v="0"/>
    <n v="1"/>
    <m/>
    <d v="2000-01-01T00:00:00"/>
    <n v="20"/>
    <s v="2016-07-20"/>
    <n v="0"/>
    <m/>
    <n v="0"/>
    <m/>
    <m/>
  </r>
  <r>
    <x v="345"/>
    <n v="11335"/>
    <s v="32309840800210000172"/>
    <n v="3157905000"/>
    <s v="701403146 - участ. Inerco Trade S.A."/>
    <m/>
    <d v="2014-03-14T00:00:00"/>
    <m/>
    <m/>
    <n v="1"/>
    <n v="1"/>
    <n v="-1"/>
    <s v="0"/>
    <n v="1"/>
    <n v="1"/>
    <n v="1"/>
    <n v="0"/>
    <n v="1"/>
    <m/>
    <d v="2014-04-02T00:00:00"/>
    <n v="0"/>
    <m/>
    <m/>
    <m/>
    <m/>
    <m/>
    <m/>
  </r>
  <r>
    <x v="345"/>
    <n v="11336"/>
    <s v="32309840100210000173"/>
    <n v="1052635000.84"/>
    <s v="701403147 - участ. Inerco Trade S.A."/>
    <m/>
    <d v="2014-03-14T00:00:00"/>
    <m/>
    <m/>
    <n v="1"/>
    <n v="1"/>
    <n v="-1"/>
    <s v="0"/>
    <n v="1"/>
    <n v="1"/>
    <n v="1"/>
    <n v="0"/>
    <n v="1"/>
    <m/>
    <d v="2014-04-03T00:00:00"/>
    <n v="0"/>
    <m/>
    <m/>
    <m/>
    <m/>
    <m/>
    <m/>
  </r>
  <r>
    <x v="346"/>
    <n v="17051"/>
    <s v="45816840055550000015"/>
    <n v="2488057438.79"/>
    <s v="3578 (UCP)"/>
    <m/>
    <d v="2015-04-28T00:00:00"/>
    <m/>
    <m/>
    <n v="2.2999999999999998"/>
    <n v="3"/>
    <m/>
    <m/>
    <n v="4.3"/>
    <n v="4.3"/>
    <n v="4.3"/>
    <n v="0"/>
    <n v="1"/>
    <m/>
    <d v="2015-11-17T00:00:00"/>
    <n v="278"/>
    <m/>
    <m/>
    <n v="0"/>
    <m/>
    <m/>
    <m/>
  </r>
  <r>
    <x v="347"/>
    <n v="26581"/>
    <s v="45205810950050000507"/>
    <n v="450000000"/>
    <s v="01432/МР"/>
    <m/>
    <d v="2016-08-30T00:00:00"/>
    <m/>
    <m/>
    <n v="1"/>
    <n v="1"/>
    <m/>
    <m/>
    <n v="1"/>
    <n v="1"/>
    <n v="1"/>
    <n v="0"/>
    <n v="1"/>
    <m/>
    <d v="2016-08-30T00:00:00"/>
    <n v="0"/>
    <m/>
    <m/>
    <m/>
    <m/>
    <m/>
    <m/>
  </r>
  <r>
    <x v="348"/>
    <n v="23804"/>
    <s v="45812810650050000520"/>
    <n v="168190000"/>
    <s v="КС-725940/2014/00019"/>
    <m/>
    <d v="2014-04-15T00:00:00"/>
    <m/>
    <m/>
    <n v="3"/>
    <n v="3"/>
    <m/>
    <m/>
    <n v="5"/>
    <n v="5"/>
    <n v="5"/>
    <n v="0"/>
    <n v="1"/>
    <m/>
    <d v="2000-01-01T00:00:00"/>
    <n v="115"/>
    <m/>
    <n v="0"/>
    <m/>
    <m/>
    <m/>
    <m/>
  </r>
  <r>
    <x v="348"/>
    <n v="23805"/>
    <s v="45812810950050000521"/>
    <n v="319526752"/>
    <s v="КС-725940/2014/00020"/>
    <m/>
    <d v="2014-04-15T00:00:00"/>
    <m/>
    <m/>
    <n v="3"/>
    <n v="3"/>
    <m/>
    <m/>
    <n v="5"/>
    <n v="5"/>
    <n v="5"/>
    <n v="0"/>
    <n v="1"/>
    <m/>
    <d v="2000-01-01T00:00:00"/>
    <n v="98"/>
    <m/>
    <n v="0"/>
    <m/>
    <n v="0"/>
    <m/>
    <m/>
  </r>
  <r>
    <x v="348"/>
    <n v="23806"/>
    <s v="45812810250050000522"/>
    <n v="404110000"/>
    <s v="КС-725940/2014/00021"/>
    <m/>
    <d v="2014-04-15T00:00:00"/>
    <m/>
    <m/>
    <n v="3"/>
    <n v="3"/>
    <m/>
    <m/>
    <n v="5"/>
    <n v="5"/>
    <n v="5"/>
    <n v="0"/>
    <n v="1"/>
    <m/>
    <d v="2000-01-01T00:00:00"/>
    <n v="103"/>
    <m/>
    <n v="0"/>
    <m/>
    <n v="0"/>
    <m/>
    <m/>
  </r>
  <r>
    <x v="348"/>
    <n v="23807"/>
    <s v="45812810550050000523"/>
    <n v="936173248"/>
    <s v="КС-ЦВ-725940/2015/00052"/>
    <m/>
    <d v="2015-12-25T00:00:00"/>
    <m/>
    <m/>
    <n v="3"/>
    <n v="3"/>
    <m/>
    <m/>
    <n v="5"/>
    <n v="5"/>
    <n v="5"/>
    <n v="0"/>
    <n v="1"/>
    <m/>
    <d v="2000-01-01T00:00:00"/>
    <n v="108"/>
    <m/>
    <m/>
    <m/>
    <m/>
    <m/>
    <m/>
  </r>
  <r>
    <x v="349"/>
    <n v="12554"/>
    <s v="45208840355550000187"/>
    <n v="3848096716.8000002"/>
    <s v="3485"/>
    <m/>
    <d v="2014-07-07T00:00:00"/>
    <m/>
    <m/>
    <n v="1"/>
    <n v="1"/>
    <m/>
    <m/>
    <n v="1"/>
    <n v="1"/>
    <n v="1"/>
    <n v="0"/>
    <n v="1"/>
    <m/>
    <d v="2014-07-11T00:00:00"/>
    <n v="0"/>
    <m/>
    <m/>
    <m/>
    <n v="0"/>
    <m/>
    <m/>
  </r>
  <r>
    <x v="350"/>
    <n v="11840"/>
    <s v="45207810750050000365"/>
    <n v="26728551.219999999"/>
    <s v="00697/МР"/>
    <m/>
    <d v="2014-04-25T00:00:00"/>
    <m/>
    <m/>
    <n v="1"/>
    <n v="1"/>
    <m/>
    <m/>
    <n v="1"/>
    <n v="1"/>
    <n v="1"/>
    <n v="0"/>
    <n v="1"/>
    <m/>
    <d v="2014-05-13T00:00:00"/>
    <n v="0"/>
    <m/>
    <m/>
    <m/>
    <m/>
    <m/>
    <m/>
  </r>
  <r>
    <x v="350"/>
    <n v="13944"/>
    <s v="45207810850050000388"/>
    <n v="13325060.02"/>
    <s v="00870/МР"/>
    <m/>
    <d v="2014-11-07T00:00:00"/>
    <m/>
    <m/>
    <n v="1"/>
    <n v="1"/>
    <m/>
    <m/>
    <n v="1"/>
    <n v="1"/>
    <n v="1"/>
    <n v="0"/>
    <n v="1"/>
    <m/>
    <d v="2014-11-14T00:00:00"/>
    <n v="0"/>
    <m/>
    <m/>
    <m/>
    <m/>
    <m/>
    <m/>
  </r>
  <r>
    <x v="350"/>
    <n v="26730"/>
    <s v="45207810950050000479"/>
    <n v="6096900"/>
    <s v="01493/МР"/>
    <m/>
    <d v="2016-09-27T00:00:00"/>
    <m/>
    <m/>
    <n v="1"/>
    <n v="1"/>
    <m/>
    <m/>
    <n v="1"/>
    <n v="1"/>
    <n v="1"/>
    <n v="0"/>
    <n v="0"/>
    <m/>
    <d v="2016-10-14T00:00:00"/>
    <n v="0"/>
    <m/>
    <m/>
    <m/>
    <m/>
    <m/>
    <m/>
  </r>
  <r>
    <x v="351"/>
    <n v="100005824"/>
    <s v="20316A98800210000068"/>
    <n v="12463304515.459999"/>
    <m/>
    <m/>
    <m/>
    <m/>
    <m/>
    <n v="1"/>
    <n v="1"/>
    <m/>
    <m/>
    <n v="1"/>
    <n v="1"/>
    <n v="1"/>
    <n v="0"/>
    <m/>
    <m/>
    <m/>
    <n v="0"/>
    <m/>
    <m/>
    <m/>
    <m/>
    <m/>
    <m/>
  </r>
  <r>
    <x v="352"/>
    <n v="17458"/>
    <s v="45204810950050000249"/>
    <n v="90000000"/>
    <s v="01253/МР"/>
    <m/>
    <d v="2016-01-20T00:00:00"/>
    <m/>
    <m/>
    <n v="1"/>
    <n v="1"/>
    <m/>
    <m/>
    <n v="1"/>
    <n v="1"/>
    <n v="1"/>
    <n v="0"/>
    <n v="1"/>
    <m/>
    <d v="2016-02-15T00:00:00"/>
    <n v="0"/>
    <m/>
    <m/>
    <m/>
    <m/>
    <m/>
    <m/>
  </r>
  <r>
    <x v="353"/>
    <n v="17304"/>
    <s v="45208810555550000496"/>
    <n v="15000000000"/>
    <s v="3358"/>
    <m/>
    <d v="2015-12-17T00:00:00"/>
    <m/>
    <m/>
    <n v="1"/>
    <n v="1"/>
    <m/>
    <m/>
    <n v="1"/>
    <n v="1"/>
    <n v="1"/>
    <n v="0"/>
    <n v="1"/>
    <m/>
    <d v="2016-03-15T00:00:00"/>
    <n v="0"/>
    <m/>
    <m/>
    <m/>
    <n v="0"/>
    <m/>
    <m/>
  </r>
  <r>
    <x v="354"/>
    <n v="12035"/>
    <s v="45208810750050000115"/>
    <n v="1250000000"/>
    <s v="00709/МР"/>
    <m/>
    <d v="2014-05-26T00:00:00"/>
    <m/>
    <m/>
    <n v="1"/>
    <n v="1"/>
    <m/>
    <m/>
    <n v="1"/>
    <n v="1"/>
    <n v="1"/>
    <n v="0"/>
    <n v="1"/>
    <m/>
    <d v="2014-05-26T00:00:00"/>
    <n v="0"/>
    <m/>
    <m/>
    <m/>
    <n v="0"/>
    <m/>
    <m/>
  </r>
  <r>
    <x v="355"/>
    <n v="15287"/>
    <s v="45208810850050000154"/>
    <n v="702630937.15999997"/>
    <s v="01012/МР"/>
    <m/>
    <d v="2015-04-27T00:00:00"/>
    <m/>
    <m/>
    <n v="1"/>
    <n v="1"/>
    <m/>
    <m/>
    <n v="1"/>
    <n v="1"/>
    <n v="1"/>
    <n v="0"/>
    <n v="1"/>
    <m/>
    <d v="2015-04-28T00:00:00"/>
    <n v="0"/>
    <m/>
    <m/>
    <m/>
    <n v="0"/>
    <m/>
    <m/>
  </r>
  <r>
    <x v="355"/>
    <n v="15288"/>
    <s v="45207810750050000404"/>
    <n v="9828361.0600000005"/>
    <s v="01015/МР"/>
    <m/>
    <d v="2015-04-27T00:00:00"/>
    <m/>
    <m/>
    <n v="1"/>
    <n v="1"/>
    <m/>
    <m/>
    <n v="1"/>
    <n v="1"/>
    <n v="1"/>
    <n v="0"/>
    <n v="1"/>
    <m/>
    <d v="2015-04-28T00:00:00"/>
    <n v="0"/>
    <m/>
    <m/>
    <m/>
    <m/>
    <m/>
    <m/>
  </r>
  <r>
    <x v="356"/>
    <n v="12036"/>
    <s v="45208810450050000114"/>
    <n v="380000000"/>
    <s v="00710/МР"/>
    <m/>
    <d v="2014-05-26T00:00:00"/>
    <m/>
    <m/>
    <n v="1"/>
    <n v="1"/>
    <m/>
    <m/>
    <n v="1"/>
    <n v="1"/>
    <n v="1"/>
    <n v="0"/>
    <n v="1"/>
    <m/>
    <d v="2014-05-30T00:00:00"/>
    <n v="0"/>
    <m/>
    <m/>
    <m/>
    <n v="0"/>
    <m/>
    <m/>
  </r>
  <r>
    <x v="357"/>
    <n v="15289"/>
    <s v="45208810150050000155"/>
    <n v="440843171.88999999"/>
    <s v="01011/МР"/>
    <m/>
    <d v="2015-04-27T00:00:00"/>
    <m/>
    <m/>
    <n v="1"/>
    <n v="1"/>
    <m/>
    <m/>
    <n v="1"/>
    <n v="1"/>
    <n v="1"/>
    <n v="0"/>
    <n v="1"/>
    <m/>
    <d v="2015-04-30T00:00:00"/>
    <n v="0"/>
    <m/>
    <m/>
    <m/>
    <n v="0"/>
    <m/>
    <m/>
  </r>
  <r>
    <x v="357"/>
    <n v="15290"/>
    <s v="45207810050050000405"/>
    <n v="199987206.25999999"/>
    <s v="01014/МР"/>
    <m/>
    <d v="2015-04-27T00:00:00"/>
    <m/>
    <m/>
    <n v="1"/>
    <n v="1"/>
    <m/>
    <m/>
    <n v="1"/>
    <n v="1"/>
    <n v="1"/>
    <n v="0"/>
    <n v="1"/>
    <m/>
    <d v="2015-04-30T00:00:00"/>
    <n v="0"/>
    <m/>
    <m/>
    <m/>
    <m/>
    <m/>
    <m/>
  </r>
  <r>
    <x v="358"/>
    <n v="18634"/>
    <s v="45207810355550000613"/>
    <n v="1289415262.3499999"/>
    <s v="3956"/>
    <m/>
    <d v="2016-05-11T00:00:00"/>
    <m/>
    <m/>
    <n v="1"/>
    <n v="1"/>
    <m/>
    <m/>
    <n v="1"/>
    <n v="1"/>
    <n v="1"/>
    <n v="0"/>
    <n v="1"/>
    <m/>
    <d v="2016-05-20T00:00:00"/>
    <n v="0"/>
    <m/>
    <m/>
    <m/>
    <n v="0"/>
    <m/>
    <m/>
  </r>
  <r>
    <x v="359"/>
    <n v="12392"/>
    <s v="45208810850050000125"/>
    <n v="1857982706.6800001"/>
    <s v="00775/МР"/>
    <m/>
    <d v="2014-06-27T00:00:00"/>
    <m/>
    <m/>
    <n v="1"/>
    <n v="1"/>
    <m/>
    <m/>
    <n v="1"/>
    <n v="1"/>
    <n v="1"/>
    <n v="0"/>
    <n v="1"/>
    <m/>
    <d v="2014-06-30T00:00:00"/>
    <n v="0"/>
    <m/>
    <m/>
    <m/>
    <n v="0"/>
    <m/>
    <m/>
  </r>
  <r>
    <x v="359"/>
    <n v="14142"/>
    <s v="45208810650050000147"/>
    <n v="161690694.99000001"/>
    <s v="00832/МР"/>
    <m/>
    <d v="2014-12-01T00:00:00"/>
    <m/>
    <m/>
    <n v="1"/>
    <n v="1"/>
    <m/>
    <m/>
    <n v="1"/>
    <n v="1"/>
    <n v="1"/>
    <n v="0"/>
    <n v="1"/>
    <m/>
    <d v="2014-12-30T00:00:00"/>
    <n v="0"/>
    <m/>
    <m/>
    <m/>
    <m/>
    <m/>
    <m/>
  </r>
  <r>
    <x v="359"/>
    <n v="17533"/>
    <s v="45208810850050000170"/>
    <n v="300000000"/>
    <s v="01265/МР"/>
    <m/>
    <d v="2016-02-05T00:00:00"/>
    <m/>
    <m/>
    <n v="1"/>
    <n v="1"/>
    <m/>
    <m/>
    <n v="1"/>
    <n v="1"/>
    <n v="1"/>
    <n v="0"/>
    <n v="1"/>
    <m/>
    <d v="2016-02-29T00:00:00"/>
    <n v="0"/>
    <m/>
    <m/>
    <m/>
    <m/>
    <m/>
    <m/>
  </r>
  <r>
    <x v="359"/>
    <n v="26599"/>
    <s v="45208810150050000197"/>
    <n v="130589232.3"/>
    <s v="01409/МР"/>
    <m/>
    <d v="2016-09-01T00:00:00"/>
    <m/>
    <m/>
    <n v="1"/>
    <n v="1"/>
    <m/>
    <m/>
    <n v="1"/>
    <n v="1"/>
    <n v="1"/>
    <n v="0"/>
    <n v="1"/>
    <m/>
    <d v="2016-09-30T00:00:00"/>
    <n v="0"/>
    <m/>
    <m/>
    <m/>
    <m/>
    <m/>
    <m/>
  </r>
  <r>
    <x v="360"/>
    <n v="12071"/>
    <s v="45208810350050000117"/>
    <n v="704250000"/>
    <s v="00716/МР"/>
    <m/>
    <d v="2014-05-28T00:00:00"/>
    <m/>
    <m/>
    <n v="2.2000000000000002"/>
    <n v="1"/>
    <m/>
    <m/>
    <n v="2.2000000000000002"/>
    <n v="2.2000000000000002"/>
    <n v="2.2000000000000002"/>
    <n v="0"/>
    <n v="1"/>
    <m/>
    <d v="2014-05-28T00:00:00"/>
    <n v="0"/>
    <m/>
    <m/>
    <m/>
    <n v="0"/>
    <m/>
    <m/>
  </r>
  <r>
    <x v="361"/>
    <n v="12457"/>
    <s v="45208810450050000127"/>
    <n v="223856228.69999999"/>
    <s v="00753/МР"/>
    <m/>
    <d v="2014-07-02T00:00:00"/>
    <m/>
    <m/>
    <n v="2.2000000000000002"/>
    <n v="1"/>
    <m/>
    <m/>
    <n v="2.2000000000000002"/>
    <n v="2.2000000000000002"/>
    <n v="2.2000000000000002"/>
    <n v="0"/>
    <n v="1"/>
    <m/>
    <d v="2014-07-03T00:00:00"/>
    <n v="0"/>
    <m/>
    <m/>
    <m/>
    <m/>
    <m/>
    <m/>
  </r>
  <r>
    <x v="361"/>
    <n v="13530"/>
    <s v="45208810050050000145"/>
    <n v="118000000.01000001"/>
    <s v="00821/МР"/>
    <m/>
    <d v="2014-09-24T00:00:00"/>
    <m/>
    <m/>
    <n v="2.2000000000000002"/>
    <n v="1"/>
    <m/>
    <m/>
    <n v="2.2000000000000002"/>
    <n v="2.2000000000000002"/>
    <n v="2.2000000000000002"/>
    <n v="0"/>
    <n v="1"/>
    <m/>
    <d v="2014-10-23T00:00:00"/>
    <n v="0"/>
    <m/>
    <m/>
    <m/>
    <m/>
    <m/>
    <m/>
  </r>
  <r>
    <x v="361"/>
    <n v="13531"/>
    <s v="45208810550050000140"/>
    <n v="58000000.009999998"/>
    <s v="00820/МР"/>
    <m/>
    <d v="2014-09-24T00:00:00"/>
    <m/>
    <m/>
    <n v="2.2000000000000002"/>
    <n v="1"/>
    <m/>
    <m/>
    <n v="2.2000000000000002"/>
    <n v="2.2000000000000002"/>
    <n v="2.2000000000000002"/>
    <n v="0"/>
    <n v="1"/>
    <m/>
    <d v="2014-10-02T00:00:00"/>
    <n v="0"/>
    <m/>
    <m/>
    <m/>
    <m/>
    <m/>
    <m/>
  </r>
  <r>
    <x v="361"/>
    <n v="13532"/>
    <s v="45208810850050000141"/>
    <n v="160000000.00999999"/>
    <s v="00822/МР"/>
    <m/>
    <d v="2014-09-24T00:00:00"/>
    <m/>
    <m/>
    <n v="2.2000000000000002"/>
    <n v="1"/>
    <m/>
    <m/>
    <n v="2.2000000000000002"/>
    <n v="2.2000000000000002"/>
    <n v="2.2000000000000002"/>
    <n v="0"/>
    <n v="1"/>
    <m/>
    <d v="2014-10-02T00:00:00"/>
    <n v="0"/>
    <m/>
    <m/>
    <m/>
    <m/>
    <m/>
    <m/>
  </r>
  <r>
    <x v="361"/>
    <n v="17745"/>
    <s v="45208810150050000171"/>
    <n v="244758800"/>
    <s v="01330/МР"/>
    <m/>
    <d v="2016-04-06T00:00:00"/>
    <m/>
    <m/>
    <n v="2.2000000000000002"/>
    <n v="1"/>
    <m/>
    <m/>
    <n v="2.2000000000000002"/>
    <n v="2.2000000000000002"/>
    <n v="2.2000000000000002"/>
    <n v="0"/>
    <n v="1"/>
    <m/>
    <d v="2016-04-07T00:00:00"/>
    <n v="0"/>
    <m/>
    <m/>
    <m/>
    <m/>
    <m/>
    <m/>
  </r>
  <r>
    <x v="362"/>
    <n v="11839"/>
    <s v="45606840055550000018"/>
    <n v="82105530000"/>
    <s v="б / н"/>
    <m/>
    <d v="2014-04-25T00:00:00"/>
    <m/>
    <m/>
    <n v="1"/>
    <n v="1"/>
    <m/>
    <m/>
    <n v="1"/>
    <n v="1"/>
    <n v="1"/>
    <n v="0"/>
    <n v="1"/>
    <m/>
    <d v="2014-04-30T00:00:00"/>
    <n v="0"/>
    <m/>
    <n v="0"/>
    <m/>
    <n v="0"/>
    <m/>
    <m/>
  </r>
  <r>
    <x v="363"/>
    <n v="17721"/>
    <s v="47408840800210005018"/>
    <n v="18909689.25"/>
    <s v="47408%5018_конв.сд."/>
    <m/>
    <d v="2016-03-29T00:00:00"/>
    <m/>
    <m/>
    <n v="1"/>
    <n v="3"/>
    <m/>
    <m/>
    <n v="3"/>
    <n v="3"/>
    <n v="3"/>
    <n v="0"/>
    <n v="1"/>
    <m/>
    <d v="2000-01-01T00:00:00"/>
    <n v="81"/>
    <m/>
    <m/>
    <m/>
    <m/>
    <m/>
    <m/>
  </r>
  <r>
    <x v="364"/>
    <n v="16676"/>
    <s v="45208810650050000163"/>
    <n v="250000000"/>
    <s v="01144/МР"/>
    <m/>
    <d v="2015-09-29T00:00:00"/>
    <m/>
    <m/>
    <n v="1"/>
    <n v="1"/>
    <m/>
    <m/>
    <n v="1"/>
    <n v="1"/>
    <n v="1"/>
    <n v="0"/>
    <n v="1"/>
    <m/>
    <d v="2015-09-30T00:00:00"/>
    <n v="0"/>
    <m/>
    <m/>
    <m/>
    <m/>
    <m/>
    <m/>
  </r>
  <r>
    <x v="364"/>
    <n v="21383"/>
    <s v="45208810750050000173"/>
    <n v="500000000"/>
    <s v="01388/МР"/>
    <m/>
    <d v="2016-06-16T00:00:00"/>
    <m/>
    <m/>
    <n v="1"/>
    <n v="1"/>
    <m/>
    <m/>
    <n v="1"/>
    <n v="1"/>
    <n v="1"/>
    <n v="0"/>
    <n v="1"/>
    <m/>
    <d v="2016-06-30T00:00:00"/>
    <n v="0"/>
    <m/>
    <m/>
    <m/>
    <m/>
    <m/>
    <m/>
  </r>
  <r>
    <x v="365"/>
    <n v="20966"/>
    <s v="45204810355550000276"/>
    <n v="2428219546.9200001"/>
    <s v="3544/СДБО"/>
    <m/>
    <d v="2015-03-20T00:00:00"/>
    <m/>
    <m/>
    <n v="2.1"/>
    <n v="1"/>
    <n v="-2"/>
    <s v="0"/>
    <n v="1"/>
    <n v="1"/>
    <n v="1"/>
    <n v="0"/>
    <n v="1"/>
    <m/>
    <d v="2016-06-15T00:00:00"/>
    <n v="0"/>
    <m/>
    <m/>
    <m/>
    <n v="0"/>
    <m/>
    <m/>
  </r>
  <r>
    <x v="366"/>
    <n v="17353"/>
    <s v="47802840155550000066"/>
    <n v="10011267027.879999"/>
    <s v="б/н_2014-03-14"/>
    <m/>
    <d v="2014-03-14T00:00:00"/>
    <m/>
    <m/>
    <n v="2.1"/>
    <n v="1"/>
    <n v="-1"/>
    <s v="0"/>
    <n v="1.1000000000000001"/>
    <n v="1.1000000000000001"/>
    <n v="1.1000000000000001"/>
    <n v="0"/>
    <n v="1"/>
    <m/>
    <d v="2014-03-17T00:00:00"/>
    <n v="2"/>
    <s v="2016-09-01"/>
    <n v="0"/>
    <m/>
    <n v="0"/>
    <m/>
    <m/>
  </r>
  <r>
    <x v="367"/>
    <n v="12395"/>
    <s v="45208810150050000126"/>
    <n v="1057235456.42"/>
    <s v="00774/МР"/>
    <m/>
    <d v="2014-06-30T00:00:00"/>
    <m/>
    <m/>
    <n v="2.2999999999999998"/>
    <n v="1"/>
    <m/>
    <m/>
    <n v="2.2999999999999998"/>
    <n v="2.2999999999999998"/>
    <n v="2.2999999999999998"/>
    <n v="0"/>
    <n v="1"/>
    <m/>
    <d v="2014-07-31T00:00:00"/>
    <n v="0"/>
    <m/>
    <m/>
    <m/>
    <m/>
    <m/>
    <m/>
  </r>
  <r>
    <x v="367"/>
    <n v="13489"/>
    <s v="45208810150050000139"/>
    <n v="237543439.31"/>
    <s v="00790/МР"/>
    <m/>
    <d v="2014-09-25T00:00:00"/>
    <m/>
    <m/>
    <n v="2.2999999999999998"/>
    <n v="1"/>
    <m/>
    <m/>
    <n v="2.2999999999999998"/>
    <n v="2.2999999999999998"/>
    <n v="2.2999999999999998"/>
    <n v="0"/>
    <n v="1"/>
    <m/>
    <d v="2014-09-30T00:00:00"/>
    <n v="0"/>
    <m/>
    <m/>
    <m/>
    <m/>
    <m/>
    <m/>
  </r>
  <r>
    <x v="368"/>
    <n v="12614"/>
    <s v="45812810550050000400"/>
    <n v="24000000"/>
    <s v="КС-749000/2010/00016"/>
    <m/>
    <d v="2010-09-07T00:00:00"/>
    <m/>
    <m/>
    <n v="2.2000000000000002"/>
    <n v="3"/>
    <m/>
    <m/>
    <n v="4.2"/>
    <n v="4.2"/>
    <n v="4.2"/>
    <n v="0"/>
    <n v="1"/>
    <m/>
    <d v="2000-01-01T00:00:00"/>
    <n v="1192"/>
    <m/>
    <n v="1"/>
    <m/>
    <m/>
    <m/>
    <m/>
  </r>
  <r>
    <x v="369"/>
    <n v="12521"/>
    <s v="45812810350050000396"/>
    <n v="43750000"/>
    <s v="КС-749000/2010/00017"/>
    <m/>
    <d v="2010-09-09T00:00:00"/>
    <m/>
    <m/>
    <n v="3"/>
    <n v="3"/>
    <m/>
    <m/>
    <n v="5"/>
    <n v="5"/>
    <n v="5"/>
    <n v="0"/>
    <n v="1"/>
    <m/>
    <d v="2000-01-01T00:00:00"/>
    <n v="969"/>
    <m/>
    <n v="1"/>
    <m/>
    <m/>
    <m/>
    <m/>
  </r>
  <r>
    <x v="369"/>
    <n v="12522"/>
    <s v="45812810050050000395"/>
    <n v="175557804.03"/>
    <s v="КС-749000/2011/00016"/>
    <m/>
    <d v="2011-04-29T00:00:00"/>
    <m/>
    <m/>
    <n v="3"/>
    <n v="3"/>
    <m/>
    <m/>
    <n v="5"/>
    <n v="5"/>
    <n v="5"/>
    <n v="0"/>
    <n v="1"/>
    <m/>
    <d v="2000-01-01T00:00:00"/>
    <n v="974"/>
    <m/>
    <n v="1"/>
    <m/>
    <m/>
    <m/>
    <m/>
  </r>
  <r>
    <x v="370"/>
    <n v="13534"/>
    <s v="45208810450050000143"/>
    <n v="795148821.96000004"/>
    <s v="00814/МР"/>
    <m/>
    <d v="2014-09-29T00:00:00"/>
    <m/>
    <m/>
    <n v="2.1"/>
    <n v="1"/>
    <m/>
    <m/>
    <n v="2.1"/>
    <n v="2.1"/>
    <n v="2.1"/>
    <n v="0"/>
    <n v="1"/>
    <m/>
    <d v="2014-10-17T00:00:00"/>
    <n v="0"/>
    <m/>
    <m/>
    <m/>
    <m/>
    <m/>
    <m/>
  </r>
  <r>
    <x v="371"/>
    <n v="17653"/>
    <s v="47101810400210000106"/>
    <n v="124874000.02"/>
    <s v="2016312"/>
    <m/>
    <d v="2016-03-14T00:00:00"/>
    <m/>
    <m/>
    <n v="2.2000000000000002"/>
    <n v="1"/>
    <m/>
    <m/>
    <n v="2.2000000000000002"/>
    <n v="2.2000000000000002"/>
    <n v="2.2000000000000002"/>
    <n v="0"/>
    <n v="1"/>
    <m/>
    <d v="2000-01-01T00:00:00"/>
    <n v="0"/>
    <m/>
    <m/>
    <m/>
    <m/>
    <m/>
    <m/>
  </r>
  <r>
    <x v="371"/>
    <n v="17661"/>
    <s v="47101810700210000107"/>
    <n v="1297664000.02"/>
    <s v="2016311"/>
    <m/>
    <d v="2016-03-14T00:00:00"/>
    <m/>
    <m/>
    <n v="2.2000000000000002"/>
    <n v="1"/>
    <m/>
    <m/>
    <n v="2.2000000000000002"/>
    <n v="2.2000000000000002"/>
    <n v="2.2000000000000002"/>
    <n v="0"/>
    <n v="1"/>
    <m/>
    <d v="2000-01-01T00:00:00"/>
    <n v="0"/>
    <m/>
    <m/>
    <m/>
    <m/>
    <m/>
    <m/>
  </r>
  <r>
    <x v="372"/>
    <n v="17662"/>
    <s v="47101810000210000111"/>
    <n v="229313000.02000001"/>
    <s v="2016307"/>
    <m/>
    <d v="2016-03-14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372"/>
    <n v="17663"/>
    <s v="47101810300210000112"/>
    <n v="90971499.980000004"/>
    <s v="2016308"/>
    <m/>
    <d v="2016-03-14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373"/>
    <n v="17664"/>
    <s v="47101810300210000109"/>
    <n v="60758000.020000003"/>
    <s v="2016-310"/>
    <m/>
    <d v="2016-03-14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373"/>
    <n v="17665"/>
    <s v="47101810700210000110"/>
    <n v="63262500"/>
    <s v="2016-309"/>
    <m/>
    <d v="2016-03-14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374"/>
    <n v="12523"/>
    <s v="45208810050050000132"/>
    <n v="120202397.56"/>
    <s v="00782/МР"/>
    <m/>
    <d v="2014-07-09T00:00:00"/>
    <m/>
    <m/>
    <n v="1"/>
    <n v="1"/>
    <m/>
    <m/>
    <n v="1"/>
    <n v="1"/>
    <n v="1"/>
    <n v="0"/>
    <n v="1"/>
    <m/>
    <d v="2014-07-31T00:00:00"/>
    <n v="0"/>
    <m/>
    <m/>
    <m/>
    <n v="0"/>
    <m/>
    <m/>
  </r>
  <r>
    <x v="375"/>
    <n v="13860"/>
    <s v="45204810250050000208"/>
    <n v="173910000"/>
    <s v="00824/МР"/>
    <m/>
    <d v="2014-10-29T00:00:00"/>
    <m/>
    <m/>
    <n v="1"/>
    <n v="1"/>
    <m/>
    <m/>
    <n v="1"/>
    <n v="1"/>
    <n v="1"/>
    <n v="0"/>
    <n v="1"/>
    <m/>
    <d v="2014-10-31T00:00:00"/>
    <n v="0"/>
    <m/>
    <m/>
    <m/>
    <n v="0"/>
    <m/>
    <m/>
  </r>
  <r>
    <x v="375"/>
    <n v="26594"/>
    <s v="45205810250050000508"/>
    <n v="585800000"/>
    <s v="01469/МР"/>
    <m/>
    <d v="2016-09-01T00:00:00"/>
    <m/>
    <m/>
    <n v="1"/>
    <n v="1"/>
    <m/>
    <m/>
    <n v="1"/>
    <n v="1"/>
    <n v="1"/>
    <n v="0"/>
    <n v="1"/>
    <m/>
    <d v="2016-09-30T00:00:00"/>
    <n v="0"/>
    <m/>
    <m/>
    <m/>
    <m/>
    <m/>
    <m/>
  </r>
  <r>
    <x v="376"/>
    <n v="26691"/>
    <s v="45207810350050000477"/>
    <n v="65217384"/>
    <s v="КС-ЦВ-709000/2015/00072"/>
    <m/>
    <d v="2015-08-19T00:00:00"/>
    <m/>
    <m/>
    <n v="3"/>
    <n v="3"/>
    <m/>
    <m/>
    <n v="5"/>
    <n v="5"/>
    <n v="5"/>
    <n v="0"/>
    <n v="1"/>
    <m/>
    <d v="2000-01-01T00:00:00"/>
    <n v="100"/>
    <m/>
    <m/>
    <m/>
    <m/>
    <m/>
    <m/>
  </r>
  <r>
    <x v="377"/>
    <n v="16870"/>
    <s v="45206810750050000751"/>
    <n v="10000000"/>
    <s v="01153/МР"/>
    <m/>
    <d v="2015-10-23T00:00:00"/>
    <m/>
    <m/>
    <n v="1"/>
    <n v="1"/>
    <m/>
    <m/>
    <n v="1"/>
    <n v="1"/>
    <n v="1"/>
    <n v="0"/>
    <n v="1"/>
    <m/>
    <d v="2015-10-26T00:00:00"/>
    <n v="0"/>
    <m/>
    <m/>
    <m/>
    <m/>
    <m/>
    <m/>
  </r>
  <r>
    <x v="378"/>
    <n v="12342"/>
    <s v="44209810255550000013"/>
    <n v="5000000000"/>
    <s v="3410"/>
    <m/>
    <d v="2013-12-20T00:00:00"/>
    <m/>
    <m/>
    <n v="1"/>
    <n v="1"/>
    <m/>
    <m/>
    <n v="1"/>
    <n v="1"/>
    <n v="1"/>
    <n v="0"/>
    <n v="1"/>
    <m/>
    <d v="2013-12-31T00:00:00"/>
    <n v="0"/>
    <m/>
    <m/>
    <m/>
    <m/>
    <m/>
    <m/>
  </r>
  <r>
    <x v="378"/>
    <n v="12343"/>
    <s v="44209810755550000018"/>
    <n v="5000000000"/>
    <s v="3411"/>
    <m/>
    <d v="2013-12-20T00:00:00"/>
    <m/>
    <m/>
    <n v="1"/>
    <n v="1"/>
    <m/>
    <m/>
    <n v="1"/>
    <n v="1"/>
    <n v="1"/>
    <n v="0"/>
    <n v="1"/>
    <m/>
    <d v="2013-12-31T00:00:00"/>
    <n v="0"/>
    <m/>
    <m/>
    <m/>
    <m/>
    <m/>
    <m/>
  </r>
  <r>
    <x v="379"/>
    <n v="12439"/>
    <s v="45812810750050000394"/>
    <n v="211604096.72999999"/>
    <s v="КС-702000/2012/00068"/>
    <m/>
    <d v="2012-06-29T00:00:00"/>
    <m/>
    <m/>
    <n v="3"/>
    <n v="3"/>
    <m/>
    <m/>
    <n v="5"/>
    <n v="5"/>
    <n v="5"/>
    <n v="0"/>
    <n v="1"/>
    <m/>
    <d v="2000-01-01T00:00:00"/>
    <n v="995"/>
    <m/>
    <m/>
    <m/>
    <m/>
    <m/>
    <m/>
  </r>
  <r>
    <x v="379"/>
    <n v="16751"/>
    <s v="45812810950060000003"/>
    <n v="202294999.61000001"/>
    <s v="СГ-702000/2012/00268"/>
    <m/>
    <d v="2012-05-10T00:00:00"/>
    <m/>
    <m/>
    <n v="3"/>
    <n v="3"/>
    <m/>
    <m/>
    <n v="5"/>
    <n v="5"/>
    <n v="5"/>
    <n v="0"/>
    <n v="1"/>
    <m/>
    <d v="2000-01-01T00:00:00"/>
    <n v="960"/>
    <m/>
    <m/>
    <m/>
    <m/>
    <m/>
    <m/>
  </r>
  <r>
    <x v="380"/>
    <n v="13697"/>
    <s v="45207810250050000386"/>
    <n v="33333333.34"/>
    <s v="00864/МР"/>
    <m/>
    <d v="2014-10-09T00:00:00"/>
    <m/>
    <m/>
    <n v="1"/>
    <n v="1"/>
    <m/>
    <m/>
    <n v="1"/>
    <n v="1"/>
    <n v="1"/>
    <n v="0"/>
    <n v="1"/>
    <m/>
    <d v="2014-10-31T00:00:00"/>
    <n v="0"/>
    <m/>
    <m/>
    <m/>
    <m/>
    <m/>
    <m/>
  </r>
  <r>
    <x v="380"/>
    <n v="14390"/>
    <s v="45208810950050000148"/>
    <n v="97978792.269999996"/>
    <s v="00956/МР"/>
    <m/>
    <d v="2014-12-24T00:00:00"/>
    <m/>
    <m/>
    <n v="1"/>
    <n v="1"/>
    <m/>
    <m/>
    <n v="1"/>
    <n v="1"/>
    <n v="1"/>
    <n v="0"/>
    <n v="1"/>
    <m/>
    <d v="2014-12-31T00:00:00"/>
    <n v="0"/>
    <m/>
    <n v="0"/>
    <m/>
    <n v="0"/>
    <m/>
    <m/>
  </r>
  <r>
    <x v="380"/>
    <n v="25962"/>
    <s v="45207810250050000470"/>
    <n v="49979448.210000001"/>
    <s v="01447/МР"/>
    <m/>
    <d v="2016-08-03T00:00:00"/>
    <m/>
    <m/>
    <n v="1"/>
    <n v="1"/>
    <m/>
    <m/>
    <n v="1"/>
    <n v="1"/>
    <n v="1"/>
    <n v="0"/>
    <n v="1"/>
    <m/>
    <d v="2016-08-31T00:00:00"/>
    <n v="0"/>
    <m/>
    <m/>
    <m/>
    <m/>
    <m/>
    <m/>
  </r>
  <r>
    <x v="381"/>
    <n v="25254"/>
    <s v="45207810850050000469"/>
    <n v="81309713.950000003"/>
    <s v="01445/МР"/>
    <m/>
    <d v="2016-08-03T00:00:00"/>
    <m/>
    <m/>
    <n v="1"/>
    <n v="1"/>
    <m/>
    <m/>
    <n v="1"/>
    <n v="1"/>
    <n v="1"/>
    <n v="0"/>
    <n v="1"/>
    <m/>
    <d v="2016-08-31T00:00:00"/>
    <n v="0"/>
    <m/>
    <m/>
    <m/>
    <m/>
    <m/>
    <m/>
  </r>
  <r>
    <x v="382"/>
    <n v="26664"/>
    <s v="45207810750050000475"/>
    <n v="25250000"/>
    <s v="01506/МР"/>
    <m/>
    <d v="2016-09-16T00:00:00"/>
    <m/>
    <m/>
    <n v="1"/>
    <n v="1"/>
    <m/>
    <m/>
    <n v="1"/>
    <n v="1"/>
    <n v="1"/>
    <n v="0"/>
    <n v="0"/>
    <m/>
    <d v="2016-10-17T00:00:00"/>
    <n v="0"/>
    <m/>
    <m/>
    <m/>
    <m/>
    <m/>
    <m/>
  </r>
  <r>
    <x v="383"/>
    <n v="15291"/>
    <s v="45208810550050000153"/>
    <n v="42000000"/>
    <s v="01010/МР"/>
    <m/>
    <d v="2015-04-27T00:00:00"/>
    <m/>
    <m/>
    <n v="1"/>
    <n v="1"/>
    <m/>
    <m/>
    <n v="1"/>
    <n v="1"/>
    <n v="1"/>
    <n v="0"/>
    <n v="1"/>
    <m/>
    <d v="2015-04-30T00:00:00"/>
    <n v="0"/>
    <m/>
    <m/>
    <m/>
    <n v="0"/>
    <m/>
    <m/>
  </r>
  <r>
    <x v="384"/>
    <n v="26642"/>
    <s v="45204810850050000284"/>
    <n v="50000000"/>
    <s v="01500/МР"/>
    <m/>
    <d v="2016-09-15T00:00:00"/>
    <m/>
    <m/>
    <n v="1"/>
    <n v="1"/>
    <m/>
    <m/>
    <n v="1"/>
    <n v="1"/>
    <n v="1"/>
    <n v="0"/>
    <n v="1"/>
    <m/>
    <d v="2016-09-25T00:00:00"/>
    <n v="0"/>
    <m/>
    <m/>
    <m/>
    <m/>
    <m/>
    <m/>
  </r>
  <r>
    <x v="385"/>
    <n v="13127"/>
    <s v="45208810550050000137"/>
    <n v="589284326.33000004"/>
    <s v="00840/МР"/>
    <m/>
    <d v="2014-09-02T00:00:00"/>
    <m/>
    <m/>
    <n v="1"/>
    <n v="1"/>
    <m/>
    <m/>
    <n v="1"/>
    <n v="1"/>
    <n v="1"/>
    <n v="0"/>
    <n v="1"/>
    <m/>
    <d v="2014-09-02T00:00:00"/>
    <n v="0"/>
    <m/>
    <m/>
    <m/>
    <n v="0"/>
    <m/>
    <m/>
  </r>
  <r>
    <x v="385"/>
    <n v="13168"/>
    <s v="45208810850050000138"/>
    <n v="375000000.07999998"/>
    <s v="00842/МР"/>
    <m/>
    <d v="2014-09-03T00:00:00"/>
    <m/>
    <m/>
    <n v="1"/>
    <n v="1"/>
    <m/>
    <m/>
    <n v="1"/>
    <n v="1"/>
    <n v="1"/>
    <n v="0"/>
    <n v="1"/>
    <m/>
    <d v="2014-09-05T00:00:00"/>
    <n v="0"/>
    <m/>
    <m/>
    <m/>
    <m/>
    <m/>
    <m/>
  </r>
  <r>
    <x v="385"/>
    <n v="24659"/>
    <s v="45207810050050000463"/>
    <n v="100000000"/>
    <s v="01452/МР"/>
    <m/>
    <d v="2016-07-28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385"/>
    <n v="24905"/>
    <s v="45208810550050000195"/>
    <n v="220000000"/>
    <s v="01453/МР"/>
    <m/>
    <d v="2016-07-29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386"/>
    <n v="17512"/>
    <s v="45205810350050000437"/>
    <n v="69000000"/>
    <s v="01259/МР"/>
    <m/>
    <d v="2016-02-01T00:00:00"/>
    <m/>
    <m/>
    <n v="1"/>
    <n v="1"/>
    <m/>
    <m/>
    <n v="1"/>
    <n v="1"/>
    <n v="1"/>
    <n v="0"/>
    <n v="1"/>
    <m/>
    <d v="2016-02-15T00:00:00"/>
    <n v="0"/>
    <m/>
    <m/>
    <m/>
    <m/>
    <m/>
    <m/>
  </r>
  <r>
    <x v="387"/>
    <n v="19641"/>
    <s v="45206978950050000008"/>
    <n v="2339115900"/>
    <s v="01383/МР"/>
    <m/>
    <d v="2016-05-23T00:00:00"/>
    <m/>
    <m/>
    <n v="1"/>
    <n v="1"/>
    <m/>
    <m/>
    <n v="1"/>
    <n v="1"/>
    <n v="1"/>
    <n v="0"/>
    <n v="1"/>
    <m/>
    <d v="2016-05-30T00:00:00"/>
    <n v="0"/>
    <m/>
    <m/>
    <m/>
    <n v="0"/>
    <m/>
    <m/>
  </r>
  <r>
    <x v="387"/>
    <n v="22280"/>
    <s v="45206978250050000009"/>
    <n v="985263970"/>
    <s v="01418/МР"/>
    <m/>
    <d v="2016-06-29T00:00:00"/>
    <m/>
    <m/>
    <n v="1"/>
    <n v="1"/>
    <m/>
    <m/>
    <n v="1"/>
    <n v="1"/>
    <n v="1"/>
    <n v="0"/>
    <n v="1"/>
    <m/>
    <d v="2016-06-30T00:00:00"/>
    <n v="0"/>
    <m/>
    <m/>
    <m/>
    <n v="0"/>
    <m/>
    <m/>
  </r>
  <r>
    <x v="387"/>
    <n v="24277"/>
    <s v="45206978650050000010"/>
    <n v="956911050"/>
    <s v="01448/МР"/>
    <m/>
    <d v="2016-07-25T00:00:00"/>
    <m/>
    <m/>
    <n v="1"/>
    <n v="1"/>
    <m/>
    <m/>
    <n v="1"/>
    <n v="1"/>
    <n v="1"/>
    <n v="0"/>
    <n v="1"/>
    <m/>
    <d v="2016-07-30T00:00:00"/>
    <n v="0"/>
    <m/>
    <m/>
    <m/>
    <n v="0"/>
    <m/>
    <m/>
  </r>
  <r>
    <x v="388"/>
    <n v="16913"/>
    <s v="45206810650050000754"/>
    <n v="7142857.1500000004"/>
    <s v="01162/МР"/>
    <m/>
    <d v="2015-10-29T00:00:00"/>
    <m/>
    <m/>
    <n v="2.1"/>
    <n v="1"/>
    <m/>
    <m/>
    <n v="2.1"/>
    <n v="2.1"/>
    <n v="2.1"/>
    <n v="0"/>
    <n v="1"/>
    <m/>
    <d v="2015-11-16T00:00:00"/>
    <n v="0"/>
    <m/>
    <m/>
    <m/>
    <m/>
    <m/>
    <m/>
  </r>
  <r>
    <x v="388"/>
    <n v="23454"/>
    <s v="45206810250050000824"/>
    <n v="29500000"/>
    <s v="01426/МР"/>
    <m/>
    <d v="2016-07-13T00:00:00"/>
    <m/>
    <m/>
    <n v="2.1"/>
    <n v="1"/>
    <m/>
    <m/>
    <n v="2.1"/>
    <n v="2.1"/>
    <n v="2.1"/>
    <n v="0"/>
    <n v="1"/>
    <m/>
    <d v="2016-07-13T00:00:00"/>
    <n v="0"/>
    <m/>
    <m/>
    <m/>
    <m/>
    <m/>
    <m/>
  </r>
  <r>
    <x v="389"/>
    <n v="17264"/>
    <s v="45208810255550000495"/>
    <n v="1900000000"/>
    <s v="3872"/>
    <m/>
    <d v="2015-12-11T00:00:00"/>
    <m/>
    <m/>
    <n v="1"/>
    <n v="1"/>
    <m/>
    <m/>
    <n v="1"/>
    <n v="1"/>
    <n v="1"/>
    <n v="0"/>
    <n v="1"/>
    <m/>
    <d v="2015-12-14T00:00:00"/>
    <n v="0"/>
    <m/>
    <m/>
    <m/>
    <n v="0"/>
    <m/>
    <m/>
  </r>
  <r>
    <x v="389"/>
    <n v="18256"/>
    <s v="45207810755550000608"/>
    <n v="1100000000"/>
    <s v="3801"/>
    <m/>
    <d v="2015-12-02T00:00:00"/>
    <m/>
    <m/>
    <n v="1"/>
    <n v="1"/>
    <m/>
    <m/>
    <n v="1"/>
    <n v="1"/>
    <n v="1"/>
    <n v="0"/>
    <n v="1"/>
    <m/>
    <d v="2016-05-10T00:00:00"/>
    <n v="0"/>
    <m/>
    <m/>
    <m/>
    <m/>
    <m/>
    <m/>
  </r>
  <r>
    <x v="390"/>
    <n v="13672"/>
    <s v="45207810950050000385"/>
    <n v="48941176.520000003"/>
    <s v="00829/МР"/>
    <m/>
    <d v="2014-10-13T00:00:00"/>
    <m/>
    <m/>
    <n v="1"/>
    <n v="1"/>
    <m/>
    <m/>
    <n v="1"/>
    <n v="1"/>
    <n v="1"/>
    <n v="0"/>
    <n v="1"/>
    <m/>
    <d v="2014-10-31T00:00:00"/>
    <n v="0"/>
    <m/>
    <m/>
    <m/>
    <n v="0"/>
    <m/>
    <m/>
  </r>
  <r>
    <x v="390"/>
    <n v="22410"/>
    <s v="45207810550050000455"/>
    <n v="69916238"/>
    <s v="01407/МР"/>
    <m/>
    <d v="2016-06-29T00:00:00"/>
    <m/>
    <m/>
    <n v="1"/>
    <n v="1"/>
    <m/>
    <m/>
    <n v="1"/>
    <n v="1"/>
    <n v="1"/>
    <n v="0"/>
    <n v="1"/>
    <m/>
    <d v="2016-06-30T00:00:00"/>
    <n v="0"/>
    <m/>
    <m/>
    <m/>
    <m/>
    <m/>
    <m/>
  </r>
  <r>
    <x v="391"/>
    <n v="14138"/>
    <s v="45208810855550000439"/>
    <n v="411764705.87"/>
    <s v="3555"/>
    <m/>
    <d v="2014-11-28T00:00:00"/>
    <m/>
    <m/>
    <n v="1"/>
    <n v="1"/>
    <m/>
    <m/>
    <n v="1"/>
    <n v="1"/>
    <n v="1"/>
    <n v="0"/>
    <n v="1"/>
    <m/>
    <d v="2014-12-01T00:00:00"/>
    <n v="0"/>
    <m/>
    <m/>
    <m/>
    <n v="0"/>
    <m/>
    <m/>
  </r>
  <r>
    <x v="391"/>
    <n v="16960"/>
    <s v="45208810355550000489"/>
    <n v="742557402.05999994"/>
    <s v="3827"/>
    <m/>
    <d v="2015-11-02T00:00:00"/>
    <m/>
    <m/>
    <n v="1"/>
    <n v="1"/>
    <m/>
    <m/>
    <n v="1"/>
    <n v="1"/>
    <n v="1"/>
    <n v="0"/>
    <n v="1"/>
    <m/>
    <d v="2015-11-03T00:00:00"/>
    <n v="0"/>
    <m/>
    <m/>
    <m/>
    <m/>
    <m/>
    <m/>
  </r>
  <r>
    <x v="392"/>
    <n v="13243"/>
    <s v="45208810655550000422"/>
    <n v="611764705.88"/>
    <s v="3554"/>
    <m/>
    <d v="2014-09-11T00:00:00"/>
    <m/>
    <m/>
    <n v="2.1"/>
    <n v="1"/>
    <m/>
    <m/>
    <n v="2.1"/>
    <n v="2.1"/>
    <n v="2.1"/>
    <n v="0"/>
    <n v="1"/>
    <m/>
    <d v="2014-09-12T00:00:00"/>
    <n v="0"/>
    <m/>
    <m/>
    <m/>
    <m/>
    <m/>
    <m/>
  </r>
  <r>
    <x v="393"/>
    <n v="13945"/>
    <s v="45606840055550000021"/>
    <n v="3516151778.1900001"/>
    <s v="б/н_2014-10-15"/>
    <m/>
    <d v="2014-10-15T00:00:00"/>
    <m/>
    <m/>
    <n v="1"/>
    <n v="1"/>
    <m/>
    <m/>
    <n v="1"/>
    <n v="1"/>
    <n v="1"/>
    <n v="0"/>
    <n v="1"/>
    <m/>
    <d v="2014-11-10T00:00:00"/>
    <n v="0"/>
    <m/>
    <m/>
    <m/>
    <n v="0"/>
    <m/>
    <m/>
  </r>
  <r>
    <x v="394"/>
    <n v="16221"/>
    <s v="45603978855550000002"/>
    <n v="32387182337.099998"/>
    <s v="3574/СДБО"/>
    <m/>
    <d v="2015-04-21T00:00:00"/>
    <m/>
    <m/>
    <n v="2.2000000000000002"/>
    <n v="1"/>
    <n v="-2"/>
    <s v="0"/>
    <n v="1"/>
    <n v="1"/>
    <n v="1"/>
    <n v="0"/>
    <n v="1"/>
    <m/>
    <d v="2015-08-11T00:00:00"/>
    <n v="1"/>
    <m/>
    <m/>
    <m/>
    <m/>
    <m/>
    <m/>
  </r>
  <r>
    <x v="395"/>
    <n v="13946"/>
    <s v="45606840755550000020"/>
    <n v="2659306888.6100001"/>
    <s v="б/н_2014-10-15"/>
    <m/>
    <d v="2014-10-15T00:00:00"/>
    <m/>
    <m/>
    <n v="1"/>
    <n v="1"/>
    <m/>
    <m/>
    <n v="1"/>
    <n v="1"/>
    <n v="1"/>
    <n v="0"/>
    <n v="1"/>
    <m/>
    <d v="2014-11-10T00:00:00"/>
    <n v="0"/>
    <m/>
    <m/>
    <m/>
    <n v="0"/>
    <m/>
    <m/>
  </r>
  <r>
    <x v="396"/>
    <n v="14261"/>
    <s v="45812810050050000476"/>
    <n v="886757173.29999995"/>
    <s v="00918/МР"/>
    <m/>
    <d v="2014-12-12T00:00:00"/>
    <m/>
    <m/>
    <n v="2.1"/>
    <n v="3"/>
    <m/>
    <m/>
    <n v="4.0999999999999996"/>
    <n v="4.0999999999999996"/>
    <n v="4.0999999999999996"/>
    <n v="0"/>
    <n v="1"/>
    <m/>
    <d v="2014-12-30T00:00:00"/>
    <n v="367"/>
    <m/>
    <m/>
    <m/>
    <m/>
    <m/>
    <m/>
  </r>
  <r>
    <x v="397"/>
    <n v="13142"/>
    <s v="45814810250050000012"/>
    <n v="120000000"/>
    <s v="КС-730750/2013/00133"/>
    <m/>
    <d v="2013-10-23T00:00:00"/>
    <m/>
    <m/>
    <n v="2.1"/>
    <n v="3"/>
    <m/>
    <m/>
    <n v="4.0999999999999996"/>
    <n v="4.0999999999999996"/>
    <n v="4.0999999999999996"/>
    <n v="0"/>
    <n v="1"/>
    <m/>
    <d v="2000-01-01T00:00:00"/>
    <n v="796"/>
    <m/>
    <m/>
    <m/>
    <m/>
    <m/>
    <m/>
  </r>
  <r>
    <x v="397"/>
    <n v="13143"/>
    <s v="45814810550050000013"/>
    <n v="99998610.159999996"/>
    <s v="КС-730750/2013/00060"/>
    <m/>
    <d v="2013-05-27T00:00:00"/>
    <m/>
    <m/>
    <n v="2.1"/>
    <n v="3"/>
    <m/>
    <m/>
    <n v="4.0999999999999996"/>
    <n v="4.0999999999999996"/>
    <n v="4.0999999999999996"/>
    <n v="0"/>
    <n v="1"/>
    <m/>
    <d v="2000-01-01T00:00:00"/>
    <n v="809"/>
    <m/>
    <m/>
    <m/>
    <m/>
    <m/>
    <m/>
  </r>
  <r>
    <x v="398"/>
    <n v="15154"/>
    <s v="45206810155550000458"/>
    <n v="33000000"/>
    <s v="3683"/>
    <m/>
    <d v="2015-04-07T00:00:00"/>
    <m/>
    <m/>
    <n v="1"/>
    <n v="1"/>
    <m/>
    <m/>
    <n v="1"/>
    <n v="1"/>
    <n v="1"/>
    <n v="0"/>
    <n v="1"/>
    <m/>
    <d v="2015-04-21T00:00:00"/>
    <n v="0"/>
    <m/>
    <m/>
    <m/>
    <m/>
    <m/>
    <m/>
  </r>
  <r>
    <x v="399"/>
    <n v="16630"/>
    <s v="45812810050050000502"/>
    <n v="117257422.78"/>
    <s v="01133/МР"/>
    <m/>
    <d v="2015-09-28T00:00:00"/>
    <m/>
    <m/>
    <n v="2.2000000000000002"/>
    <n v="3"/>
    <m/>
    <m/>
    <n v="4.2"/>
    <n v="4.2"/>
    <n v="4.2"/>
    <n v="0"/>
    <n v="1"/>
    <m/>
    <d v="2000-01-01T00:00:00"/>
    <n v="246"/>
    <m/>
    <m/>
    <m/>
    <m/>
    <m/>
    <m/>
  </r>
  <r>
    <x v="400"/>
    <n v="16975"/>
    <s v="45206810150050000759"/>
    <n v="192052000"/>
    <s v="01173/МР"/>
    <m/>
    <d v="2015-11-10T00:00:00"/>
    <m/>
    <m/>
    <n v="1"/>
    <n v="1"/>
    <m/>
    <m/>
    <n v="1"/>
    <n v="1"/>
    <n v="1"/>
    <n v="0"/>
    <n v="1"/>
    <m/>
    <d v="2015-11-30T00:00:00"/>
    <n v="0"/>
    <m/>
    <m/>
    <m/>
    <m/>
    <m/>
    <m/>
  </r>
  <r>
    <x v="401"/>
    <n v="14879"/>
    <s v="45208810255550000453"/>
    <n v="5963610406.0600004"/>
    <s v="3601"/>
    <m/>
    <d v="2014-12-30T00:00:00"/>
    <m/>
    <m/>
    <n v="2.1"/>
    <n v="1"/>
    <n v="-1"/>
    <s v="0"/>
    <n v="1.1000000000000001"/>
    <n v="1.1000000000000001"/>
    <n v="1.1000000000000001"/>
    <n v="0"/>
    <n v="1"/>
    <m/>
    <d v="2015-01-12T00:00:00"/>
    <n v="0"/>
    <m/>
    <n v="0"/>
    <m/>
    <n v="0"/>
    <m/>
    <m/>
  </r>
  <r>
    <x v="402"/>
    <n v="16121"/>
    <s v="45205810150050000378"/>
    <n v="70295592.219999999"/>
    <s v="01080/МР"/>
    <m/>
    <d v="2015-07-31T00:00:00"/>
    <m/>
    <m/>
    <n v="1"/>
    <n v="1"/>
    <m/>
    <m/>
    <n v="1"/>
    <n v="1"/>
    <n v="1"/>
    <n v="0"/>
    <n v="1"/>
    <m/>
    <d v="2015-08-20T00:00:00"/>
    <n v="0"/>
    <m/>
    <m/>
    <m/>
    <m/>
    <m/>
    <m/>
  </r>
  <r>
    <x v="403"/>
    <n v="16066"/>
    <s v="45205810750050000383"/>
    <n v="112022963.83"/>
    <s v="01038/МР"/>
    <m/>
    <d v="2015-07-17T00:00:00"/>
    <m/>
    <m/>
    <n v="1"/>
    <n v="1"/>
    <m/>
    <m/>
    <n v="1"/>
    <n v="1"/>
    <n v="1"/>
    <n v="0"/>
    <n v="1"/>
    <m/>
    <d v="2015-08-17T00:00:00"/>
    <n v="0"/>
    <m/>
    <m/>
    <m/>
    <m/>
    <m/>
    <m/>
  </r>
  <r>
    <x v="403"/>
    <n v="24903"/>
    <s v="45205810050050000494"/>
    <n v="299532552.98000002"/>
    <s v="01425/МР"/>
    <m/>
    <d v="2016-07-27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404"/>
    <n v="13673"/>
    <s v="45812810350050000503"/>
    <n v="628571428.54999995"/>
    <s v="00877/МР"/>
    <m/>
    <d v="2014-10-13T00:00:00"/>
    <m/>
    <m/>
    <n v="2.2000000000000002"/>
    <n v="3"/>
    <m/>
    <m/>
    <n v="4.2"/>
    <n v="4.2"/>
    <n v="4.2"/>
    <n v="0"/>
    <n v="1"/>
    <m/>
    <d v="2000-01-01T00:00:00"/>
    <n v="194"/>
    <m/>
    <m/>
    <m/>
    <m/>
    <m/>
    <m/>
  </r>
  <r>
    <x v="404"/>
    <n v="13773"/>
    <s v="45812810150050000499"/>
    <n v="718367346.95000005"/>
    <s v="00878/МР"/>
    <m/>
    <d v="2014-10-13T00:00:00"/>
    <m/>
    <m/>
    <n v="2.2000000000000002"/>
    <n v="3"/>
    <m/>
    <m/>
    <n v="4.2"/>
    <n v="4.2"/>
    <n v="4.2"/>
    <n v="0"/>
    <n v="1"/>
    <m/>
    <d v="2000-01-01T00:00:00"/>
    <n v="194"/>
    <m/>
    <m/>
    <m/>
    <m/>
    <m/>
    <m/>
  </r>
  <r>
    <x v="404"/>
    <n v="17372"/>
    <s v="45812810050050000515"/>
    <n v="89986560.549999997"/>
    <s v="01238/МР"/>
    <m/>
    <d v="2015-12-24T00:00:00"/>
    <m/>
    <m/>
    <n v="2.2000000000000002"/>
    <n v="3"/>
    <m/>
    <m/>
    <n v="4.2"/>
    <n v="4.2"/>
    <n v="4.2"/>
    <n v="0"/>
    <n v="1"/>
    <m/>
    <d v="2000-01-01T00:00:00"/>
    <n v="194"/>
    <m/>
    <m/>
    <m/>
    <m/>
    <m/>
    <m/>
  </r>
  <r>
    <x v="405"/>
    <n v="13858"/>
    <s v="32309840800210000185"/>
    <n v="5921071875"/>
    <s v="703010143 - участ. Донецксталь"/>
    <m/>
    <d v="2014-10-30T00:00:00"/>
    <m/>
    <m/>
    <n v="2.2000000000000002"/>
    <n v="3"/>
    <m/>
    <m/>
    <n v="4.2"/>
    <n v="4.2"/>
    <n v="4.2"/>
    <n v="0"/>
    <n v="1"/>
    <m/>
    <d v="2014-10-31T00:00:00"/>
    <n v="697"/>
    <m/>
    <m/>
    <m/>
    <m/>
    <m/>
    <m/>
  </r>
  <r>
    <x v="406"/>
    <n v="21908"/>
    <s v="45206810350050000821"/>
    <n v="999986762.91999996"/>
    <s v="01404/МР"/>
    <m/>
    <d v="2016-06-24T00:00:00"/>
    <m/>
    <m/>
    <n v="1"/>
    <n v="1"/>
    <m/>
    <m/>
    <n v="1"/>
    <n v="1"/>
    <n v="1"/>
    <n v="0"/>
    <n v="1"/>
    <m/>
    <d v="2016-06-30T00:00:00"/>
    <n v="0"/>
    <m/>
    <m/>
    <m/>
    <n v="0"/>
    <m/>
    <m/>
  </r>
  <r>
    <x v="406"/>
    <n v="24271"/>
    <s v="45206810550050000825"/>
    <n v="972257780.20000005"/>
    <s v="01403/МР"/>
    <m/>
    <d v="2016-07-21T00:00:00"/>
    <m/>
    <m/>
    <n v="1"/>
    <n v="1"/>
    <m/>
    <m/>
    <n v="1"/>
    <n v="1"/>
    <n v="1"/>
    <n v="0"/>
    <n v="1"/>
    <m/>
    <d v="2016-08-01T00:00:00"/>
    <n v="0"/>
    <m/>
    <m/>
    <m/>
    <m/>
    <m/>
    <m/>
  </r>
  <r>
    <x v="407"/>
    <n v="24278"/>
    <s v="45206810850050000826"/>
    <n v="227591545.75"/>
    <s v="01402/МР"/>
    <m/>
    <d v="2016-07-21T00:00:00"/>
    <m/>
    <m/>
    <n v="1"/>
    <n v="1"/>
    <m/>
    <m/>
    <n v="1"/>
    <n v="1"/>
    <n v="1"/>
    <n v="0"/>
    <n v="1"/>
    <m/>
    <d v="2016-07-29T00:00:00"/>
    <n v="0"/>
    <m/>
    <m/>
    <m/>
    <m/>
    <m/>
    <m/>
  </r>
  <r>
    <x v="408"/>
    <n v="17017"/>
    <s v="45205810950050000413"/>
    <n v="200000000"/>
    <s v="01200/МР"/>
    <m/>
    <d v="2015-11-12T00:00:00"/>
    <m/>
    <m/>
    <n v="2.1"/>
    <n v="1"/>
    <m/>
    <m/>
    <n v="2.1"/>
    <n v="2.1"/>
    <n v="2.1"/>
    <n v="0"/>
    <n v="1"/>
    <m/>
    <d v="2015-11-13T00:00:00"/>
    <n v="0"/>
    <m/>
    <m/>
    <m/>
    <m/>
    <m/>
    <m/>
  </r>
  <r>
    <x v="409"/>
    <n v="16867"/>
    <s v="45205810850050000403"/>
    <n v="300000000"/>
    <s v="01113/МР"/>
    <m/>
    <d v="2015-10-08T00:00:00"/>
    <m/>
    <m/>
    <n v="1"/>
    <n v="1"/>
    <m/>
    <m/>
    <n v="1"/>
    <n v="1"/>
    <n v="1"/>
    <n v="0"/>
    <n v="1"/>
    <m/>
    <d v="2015-11-02T00:00:00"/>
    <n v="1"/>
    <s v="2016-04-29"/>
    <m/>
    <m/>
    <m/>
    <m/>
    <m/>
  </r>
  <r>
    <x v="410"/>
    <n v="15751"/>
    <s v="45208810655550000464"/>
    <n v="3636123466.6700001"/>
    <s v="3700"/>
    <m/>
    <d v="2015-06-03T00:00:00"/>
    <m/>
    <m/>
    <n v="2.1"/>
    <n v="1"/>
    <n v="-2"/>
    <s v="0"/>
    <n v="1"/>
    <n v="1"/>
    <n v="1"/>
    <n v="0"/>
    <n v="1"/>
    <m/>
    <d v="2015-06-15T00:00:00"/>
    <n v="0"/>
    <m/>
    <n v="0"/>
    <m/>
    <m/>
    <m/>
    <m/>
  </r>
  <r>
    <x v="410"/>
    <n v="15763"/>
    <s v="45208810555550000470"/>
    <n v="8191197329.6899996"/>
    <s v="3671"/>
    <m/>
    <d v="2015-06-03T00:00:00"/>
    <m/>
    <m/>
    <n v="2.1"/>
    <n v="1"/>
    <n v="-2"/>
    <s v="0"/>
    <n v="1"/>
    <n v="1"/>
    <n v="1"/>
    <n v="0"/>
    <n v="1"/>
    <m/>
    <d v="2015-06-15T00:00:00"/>
    <n v="0"/>
    <m/>
    <n v="0"/>
    <m/>
    <m/>
    <m/>
    <m/>
  </r>
  <r>
    <x v="410"/>
    <n v="17642"/>
    <s v="45206810955550000496"/>
    <n v="13000000000"/>
    <s v="3932"/>
    <m/>
    <d v="2016-03-11T00:00:00"/>
    <m/>
    <m/>
    <n v="2.1"/>
    <n v="1"/>
    <n v="-2"/>
    <s v="0"/>
    <n v="1"/>
    <n v="1"/>
    <n v="1"/>
    <n v="0"/>
    <n v="1"/>
    <m/>
    <d v="2016-03-14T00:00:00"/>
    <n v="0"/>
    <m/>
    <m/>
    <m/>
    <n v="0"/>
    <n v="0"/>
    <m/>
  </r>
  <r>
    <x v="411"/>
    <n v="14398"/>
    <s v="45207810050050000395"/>
    <n v="93660280.290000007"/>
    <s v="00955/МР"/>
    <m/>
    <d v="2014-12-26T00:00:00"/>
    <m/>
    <m/>
    <n v="1"/>
    <n v="1"/>
    <m/>
    <m/>
    <n v="1"/>
    <n v="1"/>
    <n v="1"/>
    <n v="0"/>
    <n v="1"/>
    <m/>
    <d v="2014-12-26T00:00:00"/>
    <n v="0"/>
    <m/>
    <m/>
    <m/>
    <m/>
    <m/>
    <m/>
  </r>
  <r>
    <x v="411"/>
    <n v="17259"/>
    <s v="45206810250050000769"/>
    <n v="130000000"/>
    <s v="01231/МР"/>
    <m/>
    <d v="2015-12-11T00:00:00"/>
    <m/>
    <m/>
    <n v="1"/>
    <n v="1"/>
    <m/>
    <m/>
    <n v="1"/>
    <n v="1"/>
    <n v="1"/>
    <n v="0"/>
    <n v="1"/>
    <m/>
    <d v="2015-12-30T00:00:00"/>
    <n v="0"/>
    <m/>
    <m/>
    <m/>
    <m/>
    <m/>
    <m/>
  </r>
  <r>
    <x v="411"/>
    <n v="17384"/>
    <s v="45206810850050000774"/>
    <n v="170000000"/>
    <s v="01255/МР"/>
    <m/>
    <d v="2015-12-25T00:00:00"/>
    <m/>
    <m/>
    <n v="1"/>
    <n v="1"/>
    <m/>
    <m/>
    <n v="1"/>
    <n v="1"/>
    <n v="1"/>
    <n v="0"/>
    <n v="1"/>
    <m/>
    <d v="2015-12-30T00:00:00"/>
    <n v="0"/>
    <m/>
    <m/>
    <m/>
    <m/>
    <m/>
    <m/>
  </r>
  <r>
    <x v="411"/>
    <n v="26543"/>
    <s v="45206810250050000837"/>
    <n v="100000000"/>
    <s v="01460/МР"/>
    <m/>
    <d v="2016-08-23T00:00:00"/>
    <m/>
    <m/>
    <n v="1"/>
    <n v="1"/>
    <m/>
    <m/>
    <n v="1"/>
    <n v="1"/>
    <n v="1"/>
    <n v="0"/>
    <n v="1"/>
    <m/>
    <d v="2016-08-30T00:00:00"/>
    <n v="0"/>
    <m/>
    <m/>
    <m/>
    <m/>
    <m/>
    <m/>
  </r>
  <r>
    <x v="411"/>
    <n v="26600"/>
    <s v="45206810250050000840"/>
    <n v="100000000"/>
    <s v="01461/МР"/>
    <m/>
    <d v="2016-09-02T00:00:00"/>
    <m/>
    <m/>
    <n v="1"/>
    <n v="1"/>
    <m/>
    <m/>
    <n v="1"/>
    <n v="1"/>
    <n v="1"/>
    <n v="0"/>
    <n v="1"/>
    <m/>
    <d v="2016-09-30T00:00:00"/>
    <n v="0"/>
    <m/>
    <m/>
    <m/>
    <m/>
    <m/>
    <m/>
  </r>
  <r>
    <x v="412"/>
    <n v="15048"/>
    <s v="45207810850050000472"/>
    <n v="25339056.670000002"/>
    <s v="00953/МР"/>
    <m/>
    <d v="2015-03-23T00:00:00"/>
    <m/>
    <m/>
    <n v="1"/>
    <n v="3"/>
    <m/>
    <m/>
    <n v="3"/>
    <n v="3"/>
    <n v="3"/>
    <n v="0"/>
    <n v="1"/>
    <m/>
    <d v="2015-04-15T00:00:00"/>
    <n v="147"/>
    <s v="2016-08-16"/>
    <n v="0"/>
    <m/>
    <m/>
    <m/>
    <m/>
  </r>
  <r>
    <x v="412"/>
    <n v="15487"/>
    <s v="45207810150050000473"/>
    <n v="126379519.51000001"/>
    <s v="01020/МР"/>
    <m/>
    <d v="2015-05-19T00:00:00"/>
    <m/>
    <m/>
    <n v="1"/>
    <n v="3"/>
    <m/>
    <m/>
    <n v="3"/>
    <n v="3"/>
    <n v="3"/>
    <n v="0"/>
    <n v="1"/>
    <m/>
    <d v="2015-06-15T00:00:00"/>
    <n v="148"/>
    <m/>
    <n v="0"/>
    <m/>
    <m/>
    <m/>
    <m/>
  </r>
  <r>
    <x v="413"/>
    <n v="17186"/>
    <s v="45207810255550000551"/>
    <n v="8000000000"/>
    <s v="3735"/>
    <m/>
    <d v="2015-12-02T00:00:00"/>
    <m/>
    <m/>
    <n v="1"/>
    <n v="1"/>
    <m/>
    <m/>
    <n v="1"/>
    <n v="1"/>
    <n v="1"/>
    <n v="0"/>
    <n v="1"/>
    <m/>
    <d v="2015-12-03T00:00:00"/>
    <n v="0"/>
    <m/>
    <m/>
    <m/>
    <m/>
    <m/>
    <m/>
  </r>
  <r>
    <x v="414"/>
    <n v="17832"/>
    <s v="45207810750050000459"/>
    <n v="409810000"/>
    <s v="01343/МР"/>
    <m/>
    <d v="2016-04-29T00:00:00"/>
    <m/>
    <m/>
    <n v="1"/>
    <n v="1"/>
    <m/>
    <m/>
    <n v="1"/>
    <n v="1"/>
    <n v="1"/>
    <n v="0"/>
    <n v="1"/>
    <m/>
    <d v="2016-07-15T00:00:00"/>
    <n v="0"/>
    <m/>
    <m/>
    <m/>
    <m/>
    <m/>
    <m/>
  </r>
  <r>
    <x v="415"/>
    <n v="14439"/>
    <s v="47802840355550000044"/>
    <n v="8412658919.3699999"/>
    <s v="цесс_2011-10-07 (б/н ,)"/>
    <m/>
    <d v="2011-10-07T00:00:00"/>
    <m/>
    <m/>
    <n v="2.2000000000000002"/>
    <n v="1"/>
    <m/>
    <m/>
    <n v="2.2000000000000002"/>
    <n v="2.2000000000000002"/>
    <n v="2.2000000000000002"/>
    <n v="0"/>
    <n v="1"/>
    <m/>
    <d v="2000-01-01T00:00:00"/>
    <n v="0"/>
    <m/>
    <n v="0"/>
    <n v="0"/>
    <m/>
    <m/>
    <m/>
  </r>
  <r>
    <x v="416"/>
    <n v="15096"/>
    <s v="45208810455550000457"/>
    <n v="360540359.14999998"/>
    <s v="3660"/>
    <m/>
    <d v="2015-04-02T00:00:00"/>
    <m/>
    <m/>
    <n v="1"/>
    <n v="1"/>
    <m/>
    <m/>
    <n v="1"/>
    <n v="1"/>
    <n v="1"/>
    <n v="0"/>
    <n v="1"/>
    <m/>
    <d v="2015-04-03T00:00:00"/>
    <n v="0"/>
    <m/>
    <m/>
    <m/>
    <n v="0"/>
    <n v="0"/>
    <m/>
  </r>
  <r>
    <x v="417"/>
    <n v="14440"/>
    <s v="47802840655550000045"/>
    <n v="5956115629.3100004"/>
    <s v="цесс_2014-04-15 (б/,н)"/>
    <m/>
    <d v="2014-04-15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418"/>
    <n v="100006241"/>
    <s v="47408810500210035457"/>
    <n v="330003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419"/>
    <n v="23213"/>
    <s v="45207810450050000458"/>
    <n v="975060457.61000001"/>
    <s v="01411/МР"/>
    <m/>
    <d v="2016-07-07T00:00:00"/>
    <m/>
    <m/>
    <n v="1"/>
    <n v="1"/>
    <m/>
    <m/>
    <n v="1"/>
    <n v="1"/>
    <n v="1"/>
    <n v="0"/>
    <n v="1"/>
    <m/>
    <d v="2016-07-29T00:00:00"/>
    <n v="0"/>
    <m/>
    <m/>
    <m/>
    <m/>
    <m/>
    <m/>
  </r>
  <r>
    <x v="420"/>
    <n v="14897"/>
    <s v="45208810755550000461"/>
    <n v="9617493292.8299999"/>
    <s v="3658"/>
    <m/>
    <d v="2015-02-11T00:00:00"/>
    <m/>
    <m/>
    <n v="1"/>
    <n v="1"/>
    <m/>
    <m/>
    <n v="1"/>
    <n v="1"/>
    <n v="1"/>
    <n v="0"/>
    <n v="1"/>
    <m/>
    <d v="2015-04-29T00:00:00"/>
    <n v="0"/>
    <m/>
    <m/>
    <m/>
    <m/>
    <m/>
    <m/>
  </r>
  <r>
    <x v="421"/>
    <n v="14948"/>
    <s v="45812810550050000426"/>
    <n v="55000000"/>
    <s v="КС-724960/2013/00041"/>
    <m/>
    <d v="2013-09-18T00:00:00"/>
    <m/>
    <m/>
    <n v="3"/>
    <n v="3"/>
    <m/>
    <m/>
    <n v="5"/>
    <n v="5"/>
    <n v="5"/>
    <n v="0"/>
    <n v="1"/>
    <m/>
    <d v="2000-01-01T00:00:00"/>
    <n v="628"/>
    <m/>
    <m/>
    <m/>
    <m/>
    <m/>
    <m/>
  </r>
  <r>
    <x v="421"/>
    <n v="14949"/>
    <s v="45812810850050000427"/>
    <n v="30000000"/>
    <s v="КС-724960/2014/00028"/>
    <m/>
    <d v="2014-05-12T00:00:00"/>
    <m/>
    <m/>
    <n v="3"/>
    <n v="3"/>
    <m/>
    <m/>
    <n v="5"/>
    <n v="5"/>
    <n v="5"/>
    <n v="0"/>
    <n v="1"/>
    <m/>
    <d v="2000-01-01T00:00:00"/>
    <n v="628"/>
    <m/>
    <m/>
    <m/>
    <m/>
    <m/>
    <m/>
  </r>
  <r>
    <x v="422"/>
    <n v="8677"/>
    <s v="32309978800210000002"/>
    <n v="4029811555.9699998"/>
    <s v="700806121(1) - фонд. Солар (Альфа, Зета)"/>
    <m/>
    <d v="2012-06-08T00:00:00"/>
    <m/>
    <m/>
    <n v="2.2999999999999998"/>
    <n v="3"/>
    <n v="-2"/>
    <s v="5"/>
    <n v="4"/>
    <n v="4"/>
    <n v="4"/>
    <n v="0"/>
    <n v="1"/>
    <m/>
    <d v="2012-06-28T00:00:00"/>
    <n v="793"/>
    <m/>
    <n v="0"/>
    <m/>
    <n v="0"/>
    <m/>
    <m/>
  </r>
  <r>
    <x v="423"/>
    <n v="15462"/>
    <s v="32309978100210000003"/>
    <n v="3594156235.23"/>
    <s v="700806121(2) - фонд. Солар (Бета, Гамма)"/>
    <m/>
    <d v="2012-06-08T00:00:00"/>
    <m/>
    <m/>
    <n v="2.2999999999999998"/>
    <n v="3"/>
    <n v="-2"/>
    <s v="5"/>
    <n v="4"/>
    <n v="4"/>
    <n v="4"/>
    <n v="0"/>
    <n v="1"/>
    <m/>
    <d v="2012-06-28T00:00:00"/>
    <n v="793"/>
    <m/>
    <n v="0"/>
    <m/>
    <n v="0"/>
    <m/>
    <m/>
  </r>
  <r>
    <x v="424"/>
    <n v="26668"/>
    <s v="32108392700210000015"/>
    <n v="933646500"/>
    <s v="700909166"/>
    <m/>
    <d v="2016-09-09T00:00:00"/>
    <m/>
    <m/>
    <n v="2"/>
    <n v="1"/>
    <n v="-1"/>
    <s v="0"/>
    <n v="1"/>
    <n v="1"/>
    <n v="1"/>
    <n v="0"/>
    <n v="0"/>
    <n v="1"/>
    <d v="2500-01-01T00:00:00"/>
    <n v="0"/>
    <m/>
    <m/>
    <m/>
    <m/>
    <m/>
    <m/>
  </r>
  <r>
    <x v="424"/>
    <n v="26671"/>
    <s v="32108392100210000013"/>
    <n v="622431000"/>
    <s v="700909163"/>
    <m/>
    <d v="2016-09-09T00:00:00"/>
    <m/>
    <m/>
    <n v="2"/>
    <n v="1"/>
    <n v="-1"/>
    <s v="0"/>
    <n v="1"/>
    <n v="1"/>
    <n v="1"/>
    <n v="0"/>
    <n v="0"/>
    <n v="1"/>
    <d v="2500-01-01T00:00:00"/>
    <n v="0"/>
    <m/>
    <m/>
    <m/>
    <m/>
    <m/>
    <m/>
  </r>
  <r>
    <x v="424"/>
    <n v="26672"/>
    <s v="32108392400210000014"/>
    <n v="311215500"/>
    <s v="700909165"/>
    <m/>
    <d v="2016-09-09T00:00:00"/>
    <m/>
    <m/>
    <n v="2"/>
    <n v="1"/>
    <n v="-1"/>
    <s v="0"/>
    <n v="1"/>
    <n v="1"/>
    <n v="1"/>
    <n v="0"/>
    <n v="0"/>
    <n v="1"/>
    <d v="2500-01-01T00:00:00"/>
    <n v="0"/>
    <m/>
    <m/>
    <m/>
    <m/>
    <m/>
    <m/>
  </r>
  <r>
    <x v="424"/>
    <n v="26673"/>
    <s v="32108810000210000132"/>
    <n v="650000000"/>
    <s v="5009091639"/>
    <m/>
    <d v="2016-09-09T00:00:00"/>
    <m/>
    <m/>
    <n v="2"/>
    <n v="1"/>
    <n v="-1"/>
    <s v="0"/>
    <n v="1"/>
    <n v="1"/>
    <n v="1"/>
    <n v="0"/>
    <n v="0"/>
    <n v="1"/>
    <d v="2500-01-01T00:00:00"/>
    <n v="0"/>
    <m/>
    <m/>
    <m/>
    <m/>
    <m/>
    <m/>
  </r>
  <r>
    <x v="424"/>
    <n v="26724"/>
    <s v="32103978700210001530"/>
    <n v="1112993874.5999999"/>
    <s v="703009162"/>
    <m/>
    <d v="2016-09-30T00:00:00"/>
    <m/>
    <m/>
    <n v="2"/>
    <n v="2"/>
    <n v="-1"/>
    <s v="0"/>
    <n v="2"/>
    <n v="2"/>
    <n v="2"/>
    <n v="0"/>
    <n v="0"/>
    <m/>
    <d v="2500-01-01T00:00:00"/>
    <n v="0"/>
    <m/>
    <m/>
    <m/>
    <m/>
    <m/>
    <m/>
  </r>
  <r>
    <x v="424"/>
    <n v="26725"/>
    <s v="32103840000210005843"/>
    <n v="7447666310.1000004"/>
    <s v="703009163"/>
    <m/>
    <d v="2016-09-30T00:00:00"/>
    <m/>
    <m/>
    <n v="2"/>
    <n v="2"/>
    <n v="-1"/>
    <s v="0"/>
    <n v="2"/>
    <n v="2"/>
    <n v="2"/>
    <n v="0"/>
    <n v="0"/>
    <m/>
    <d v="2500-01-01T00:00:00"/>
    <n v="0"/>
    <m/>
    <m/>
    <m/>
    <m/>
    <m/>
    <m/>
  </r>
  <r>
    <x v="424"/>
    <n v="26726"/>
    <s v="32103810300210001302"/>
    <n v="100000000"/>
    <s v="5030091612"/>
    <m/>
    <d v="2016-09-30T00:00:00"/>
    <m/>
    <m/>
    <n v="2"/>
    <n v="2"/>
    <n v="-1"/>
    <s v="0"/>
    <n v="2"/>
    <n v="2"/>
    <n v="2"/>
    <n v="0"/>
    <n v="0"/>
    <m/>
    <d v="2500-01-01T00:00:00"/>
    <n v="0"/>
    <m/>
    <m/>
    <m/>
    <m/>
    <m/>
    <m/>
  </r>
  <r>
    <x v="425"/>
    <n v="19724"/>
    <s v="45205810550050000486"/>
    <n v="200000000"/>
    <s v="01370/МР"/>
    <m/>
    <d v="2016-05-24T00:00:00"/>
    <m/>
    <m/>
    <n v="1"/>
    <n v="1"/>
    <m/>
    <m/>
    <n v="1"/>
    <n v="1"/>
    <n v="1"/>
    <n v="0"/>
    <n v="1"/>
    <m/>
    <d v="2016-06-20T00:00:00"/>
    <n v="1"/>
    <s v="2016-09-21"/>
    <m/>
    <m/>
    <m/>
    <m/>
    <m/>
  </r>
  <r>
    <x v="426"/>
    <n v="16680"/>
    <s v="45207810750050000417"/>
    <n v="33000000"/>
    <s v="01123/МР"/>
    <m/>
    <d v="2015-09-29T00:00:00"/>
    <m/>
    <m/>
    <n v="1"/>
    <n v="1"/>
    <m/>
    <m/>
    <n v="1"/>
    <n v="1"/>
    <n v="1"/>
    <n v="0"/>
    <n v="1"/>
    <m/>
    <d v="2015-10-07T00:00:00"/>
    <n v="0"/>
    <m/>
    <m/>
    <m/>
    <m/>
    <m/>
    <m/>
  </r>
  <r>
    <x v="427"/>
    <n v="14343"/>
    <s v="45208810455550000444"/>
    <n v="112200000000"/>
    <s v="3613"/>
    <m/>
    <d v="2014-12-17T00:00:00"/>
    <m/>
    <m/>
    <n v="1"/>
    <n v="1"/>
    <m/>
    <m/>
    <n v="1"/>
    <n v="1"/>
    <n v="1"/>
    <n v="0"/>
    <n v="1"/>
    <m/>
    <d v="2014-12-17T00:00:00"/>
    <n v="0"/>
    <m/>
    <m/>
    <m/>
    <n v="0"/>
    <n v="0"/>
    <m/>
  </r>
  <r>
    <x v="428"/>
    <n v="16818"/>
    <s v="45205810250050000401"/>
    <n v="105000000"/>
    <s v="01092/МР"/>
    <m/>
    <d v="2015-10-09T00:00:00"/>
    <m/>
    <m/>
    <n v="1"/>
    <n v="1"/>
    <m/>
    <m/>
    <n v="1"/>
    <n v="1"/>
    <n v="1"/>
    <n v="0"/>
    <n v="1"/>
    <m/>
    <d v="2015-10-29T00:00:00"/>
    <n v="0"/>
    <m/>
    <m/>
    <m/>
    <m/>
    <m/>
    <m/>
  </r>
  <r>
    <x v="428"/>
    <n v="20662"/>
    <s v="45205810450050000476"/>
    <n v="76000000"/>
    <s v="01369/МР"/>
    <m/>
    <d v="2016-06-07T00:00:00"/>
    <m/>
    <m/>
    <n v="1"/>
    <n v="1"/>
    <m/>
    <m/>
    <n v="1"/>
    <n v="1"/>
    <n v="1"/>
    <n v="0"/>
    <n v="1"/>
    <m/>
    <d v="2016-06-30T00:00:00"/>
    <n v="0"/>
    <m/>
    <m/>
    <m/>
    <m/>
    <m/>
    <m/>
  </r>
  <r>
    <x v="429"/>
    <n v="100006354"/>
    <s v="32106840300210000215"/>
    <n v="4132434483"/>
    <m/>
    <m/>
    <m/>
    <m/>
    <m/>
    <n v="1"/>
    <n v="1"/>
    <m/>
    <m/>
    <n v="1"/>
    <n v="1"/>
    <n v="1"/>
    <n v="0"/>
    <m/>
    <m/>
    <m/>
    <n v="0"/>
    <m/>
    <m/>
    <m/>
    <m/>
    <m/>
    <m/>
  </r>
  <r>
    <x v="430"/>
    <n v="16754"/>
    <s v="45205810050050000397"/>
    <n v="66999999.990000002"/>
    <s v="01094/МР"/>
    <m/>
    <d v="2015-10-09T00:00:00"/>
    <m/>
    <m/>
    <n v="1"/>
    <n v="1"/>
    <m/>
    <m/>
    <n v="1"/>
    <n v="1"/>
    <n v="1"/>
    <n v="0"/>
    <n v="1"/>
    <m/>
    <d v="2015-10-14T00:00:00"/>
    <n v="0"/>
    <m/>
    <m/>
    <m/>
    <m/>
    <m/>
    <m/>
  </r>
  <r>
    <x v="431"/>
    <n v="16755"/>
    <s v="45205810350050000398"/>
    <n v="142250000"/>
    <s v="01093/МР"/>
    <m/>
    <d v="2015-10-09T00:00:00"/>
    <m/>
    <m/>
    <n v="1"/>
    <n v="1"/>
    <m/>
    <m/>
    <n v="1"/>
    <n v="1"/>
    <n v="1"/>
    <n v="0"/>
    <n v="1"/>
    <m/>
    <d v="2015-10-19T00:00:00"/>
    <n v="0"/>
    <m/>
    <m/>
    <m/>
    <m/>
    <m/>
    <m/>
  </r>
  <r>
    <x v="432"/>
    <n v="16929"/>
    <s v="45208810055550000585"/>
    <n v="830007863.22000003"/>
    <s v="3722"/>
    <m/>
    <d v="2015-10-30T00:00:00"/>
    <m/>
    <m/>
    <n v="1"/>
    <n v="1"/>
    <m/>
    <m/>
    <n v="1"/>
    <n v="1"/>
    <n v="1"/>
    <n v="0"/>
    <n v="1"/>
    <m/>
    <d v="2016-09-30T00:00:00"/>
    <n v="0"/>
    <m/>
    <m/>
    <m/>
    <m/>
    <m/>
    <m/>
  </r>
  <r>
    <x v="433"/>
    <n v="15409"/>
    <s v="47101810400210000012"/>
    <n v="10007130"/>
    <s v="2011-346"/>
    <m/>
    <d v="2011-04-21T00:00:00"/>
    <m/>
    <m/>
    <n v="2"/>
    <n v="3"/>
    <m/>
    <m/>
    <n v="4"/>
    <n v="4"/>
    <n v="4"/>
    <n v="0"/>
    <n v="1"/>
    <m/>
    <d v="2011-08-01T00:00:00"/>
    <n v="1645"/>
    <m/>
    <m/>
    <m/>
    <m/>
    <m/>
    <m/>
  </r>
  <r>
    <x v="434"/>
    <n v="17324"/>
    <s v="45206810250050000772"/>
    <n v="83850000"/>
    <s v="01201/МР"/>
    <m/>
    <d v="2015-12-15T00:00:00"/>
    <m/>
    <m/>
    <n v="1"/>
    <n v="1"/>
    <m/>
    <m/>
    <n v="1"/>
    <n v="1"/>
    <n v="1"/>
    <n v="0"/>
    <n v="1"/>
    <m/>
    <d v="2016-01-11T00:00:00"/>
    <n v="0"/>
    <m/>
    <m/>
    <m/>
    <m/>
    <m/>
    <m/>
  </r>
  <r>
    <x v="434"/>
    <n v="24526"/>
    <s v="45206810750050000829"/>
    <n v="86250000"/>
    <s v="01341/МР"/>
    <m/>
    <d v="2016-07-11T00:00:00"/>
    <m/>
    <m/>
    <n v="1"/>
    <n v="1"/>
    <m/>
    <m/>
    <n v="1"/>
    <n v="1"/>
    <n v="1"/>
    <n v="0"/>
    <n v="1"/>
    <m/>
    <d v="2016-08-10T00:00:00"/>
    <n v="0"/>
    <m/>
    <m/>
    <m/>
    <m/>
    <m/>
    <m/>
  </r>
  <r>
    <x v="435"/>
    <n v="16501"/>
    <s v="45207810255550000535"/>
    <n v="3135000000"/>
    <s v="3760"/>
    <m/>
    <d v="2015-09-11T00:00:00"/>
    <m/>
    <m/>
    <n v="2.2000000000000002"/>
    <n v="1"/>
    <m/>
    <m/>
    <n v="2.2000000000000002"/>
    <n v="2.2000000000000002"/>
    <n v="2.2000000000000002"/>
    <n v="0"/>
    <n v="1"/>
    <m/>
    <d v="2015-09-11T00:00:00"/>
    <n v="0"/>
    <m/>
    <m/>
    <m/>
    <n v="0"/>
    <m/>
    <m/>
  </r>
  <r>
    <x v="436"/>
    <n v="16686"/>
    <s v="45208810450050000169"/>
    <n v="925000000"/>
    <s v="01118/МР"/>
    <m/>
    <d v="2015-09-25T00:00:00"/>
    <m/>
    <m/>
    <n v="2.2000000000000002"/>
    <n v="1"/>
    <m/>
    <m/>
    <n v="2.2000000000000002"/>
    <n v="2.2000000000000002"/>
    <n v="2.2000000000000002"/>
    <n v="0"/>
    <n v="1"/>
    <m/>
    <d v="2015-11-25T00:00:00"/>
    <n v="0"/>
    <m/>
    <m/>
    <m/>
    <m/>
    <m/>
    <m/>
  </r>
  <r>
    <x v="437"/>
    <n v="15968"/>
    <s v="45605840955550000025"/>
    <n v="17179003200"/>
    <s v="3737"/>
    <m/>
    <d v="2015-07-14T00:00:00"/>
    <m/>
    <m/>
    <n v="2.2000000000000002"/>
    <n v="1"/>
    <m/>
    <m/>
    <n v="2.2000000000000002"/>
    <n v="2.2000000000000002"/>
    <n v="2.2000000000000002"/>
    <n v="0"/>
    <n v="1"/>
    <m/>
    <d v="2015-07-15T00:00:00"/>
    <n v="0"/>
    <m/>
    <n v="0"/>
    <m/>
    <n v="0"/>
    <m/>
    <m/>
  </r>
  <r>
    <x v="438"/>
    <n v="15816"/>
    <s v="45208810255550000466"/>
    <n v="9270982857.1499996"/>
    <s v="3749"/>
    <m/>
    <d v="2015-06-25T00:00:00"/>
    <m/>
    <m/>
    <n v="2.1"/>
    <n v="1"/>
    <m/>
    <m/>
    <n v="2.1"/>
    <n v="2.1"/>
    <n v="2.1"/>
    <n v="0"/>
    <n v="1"/>
    <m/>
    <d v="2015-06-25T00:00:00"/>
    <n v="0"/>
    <m/>
    <m/>
    <m/>
    <n v="0"/>
    <n v="0"/>
    <m/>
  </r>
  <r>
    <x v="439"/>
    <n v="15817"/>
    <s v="45208810555550000467"/>
    <n v="32023580000"/>
    <s v="3714"/>
    <m/>
    <d v="2015-06-25T00:00:00"/>
    <m/>
    <m/>
    <n v="1"/>
    <n v="1"/>
    <m/>
    <m/>
    <n v="1"/>
    <n v="1"/>
    <n v="1"/>
    <n v="0"/>
    <n v="1"/>
    <m/>
    <d v="2015-06-25T00:00:00"/>
    <n v="0"/>
    <m/>
    <m/>
    <m/>
    <n v="0"/>
    <m/>
    <m/>
  </r>
  <r>
    <x v="439"/>
    <n v="22153"/>
    <s v="45206810355550000520"/>
    <n v="7500000000"/>
    <s v="4024"/>
    <m/>
    <d v="2016-06-28T00:00:00"/>
    <m/>
    <m/>
    <n v="1"/>
    <n v="1"/>
    <m/>
    <m/>
    <n v="1"/>
    <n v="1"/>
    <n v="1"/>
    <n v="0"/>
    <n v="1"/>
    <m/>
    <d v="2016-06-28T00:00:00"/>
    <n v="0"/>
    <m/>
    <m/>
    <m/>
    <n v="0"/>
    <m/>
    <m/>
  </r>
  <r>
    <x v="440"/>
    <n v="15989"/>
    <s v="45812810450050000461"/>
    <n v="73621324.069999993"/>
    <s v="КС-728000/2012/00058"/>
    <m/>
    <d v="2012-10-01T00:00:00"/>
    <m/>
    <m/>
    <n v="3"/>
    <n v="3"/>
    <m/>
    <m/>
    <n v="5"/>
    <n v="5"/>
    <n v="5"/>
    <n v="0"/>
    <n v="1"/>
    <m/>
    <d v="2000-01-01T00:00:00"/>
    <n v="732"/>
    <m/>
    <m/>
    <m/>
    <n v="0"/>
    <m/>
    <m/>
  </r>
  <r>
    <x v="440"/>
    <n v="15990"/>
    <s v="45812810050050000463"/>
    <n v="59999632"/>
    <s v="КС-728000/2012/00059"/>
    <m/>
    <d v="2012-10-01T00:00:00"/>
    <m/>
    <m/>
    <n v="3"/>
    <n v="3"/>
    <m/>
    <m/>
    <n v="5"/>
    <n v="5"/>
    <n v="5"/>
    <n v="0"/>
    <n v="1"/>
    <m/>
    <d v="2000-01-01T00:00:00"/>
    <n v="705"/>
    <m/>
    <m/>
    <m/>
    <n v="0"/>
    <m/>
    <m/>
  </r>
  <r>
    <x v="441"/>
    <n v="15991"/>
    <s v="45812810150050000460"/>
    <n v="81750521.269999996"/>
    <s v="КС-728000/2012/00060"/>
    <m/>
    <d v="2012-10-01T00:00:00"/>
    <m/>
    <m/>
    <n v="3"/>
    <n v="3"/>
    <m/>
    <m/>
    <n v="5"/>
    <n v="5"/>
    <n v="5"/>
    <n v="0"/>
    <n v="1"/>
    <m/>
    <d v="2000-01-01T00:00:00"/>
    <n v="732"/>
    <m/>
    <m/>
    <m/>
    <n v="0"/>
    <m/>
    <m/>
  </r>
  <r>
    <x v="441"/>
    <n v="15992"/>
    <s v="45812810750050000462"/>
    <n v="59999412"/>
    <s v="КС-728000/2012/00061"/>
    <m/>
    <d v="2012-10-01T00:00:00"/>
    <m/>
    <m/>
    <n v="3"/>
    <n v="3"/>
    <m/>
    <m/>
    <n v="5"/>
    <n v="5"/>
    <n v="5"/>
    <n v="0"/>
    <n v="1"/>
    <m/>
    <d v="2000-01-01T00:00:00"/>
    <n v="705"/>
    <m/>
    <m/>
    <m/>
    <n v="0"/>
    <m/>
    <m/>
  </r>
  <r>
    <x v="442"/>
    <n v="15996"/>
    <s v="45812810550050000468"/>
    <n v="27345825.84"/>
    <s v="КС-728000/2013/00047"/>
    <m/>
    <d v="2013-08-12T00:00:00"/>
    <m/>
    <m/>
    <n v="3"/>
    <n v="3"/>
    <m/>
    <m/>
    <n v="5"/>
    <n v="5"/>
    <n v="5"/>
    <n v="0"/>
    <n v="1"/>
    <m/>
    <d v="2000-01-01T00:00:00"/>
    <n v="740"/>
    <m/>
    <m/>
    <m/>
    <m/>
    <m/>
    <m/>
  </r>
  <r>
    <x v="442"/>
    <n v="15997"/>
    <s v="45812810250050000467"/>
    <n v="59985932"/>
    <s v="КС-728000/2012/00062"/>
    <m/>
    <d v="2012-10-01T00:00:00"/>
    <m/>
    <m/>
    <n v="3"/>
    <n v="3"/>
    <m/>
    <m/>
    <n v="5"/>
    <n v="5"/>
    <n v="5"/>
    <n v="0"/>
    <n v="1"/>
    <m/>
    <d v="2000-01-01T00:00:00"/>
    <n v="737"/>
    <m/>
    <m/>
    <m/>
    <m/>
    <m/>
    <m/>
  </r>
  <r>
    <x v="442"/>
    <n v="15998"/>
    <s v="45812810650050000465"/>
    <n v="59999550"/>
    <s v="КС-728000/2013/00101"/>
    <m/>
    <d v="2013-12-25T00:00:00"/>
    <m/>
    <m/>
    <n v="3"/>
    <n v="3"/>
    <m/>
    <m/>
    <n v="5"/>
    <n v="5"/>
    <n v="5"/>
    <n v="0"/>
    <n v="1"/>
    <m/>
    <d v="2000-01-01T00:00:00"/>
    <n v="737"/>
    <m/>
    <m/>
    <m/>
    <m/>
    <m/>
    <m/>
  </r>
  <r>
    <x v="443"/>
    <n v="19987"/>
    <s v="45205810250050000472"/>
    <n v="437900000"/>
    <s v="01378/МР"/>
    <m/>
    <d v="2016-05-30T00:00:00"/>
    <m/>
    <m/>
    <n v="1"/>
    <n v="1"/>
    <m/>
    <m/>
    <n v="1"/>
    <n v="1"/>
    <n v="1"/>
    <n v="0"/>
    <n v="1"/>
    <m/>
    <d v="2015-05-31T00:00:00"/>
    <n v="0"/>
    <m/>
    <m/>
    <m/>
    <m/>
    <m/>
    <m/>
  </r>
  <r>
    <x v="444"/>
    <n v="17754"/>
    <s v="45206810850050000800"/>
    <n v="79900000"/>
    <s v="01296/МР"/>
    <m/>
    <d v="2016-04-08T00:00:00"/>
    <m/>
    <m/>
    <n v="1"/>
    <n v="1"/>
    <m/>
    <m/>
    <n v="1"/>
    <n v="1"/>
    <n v="1"/>
    <n v="0"/>
    <n v="1"/>
    <m/>
    <d v="2016-05-04T00:00:00"/>
    <n v="0"/>
    <m/>
    <m/>
    <m/>
    <m/>
    <m/>
    <m/>
  </r>
  <r>
    <x v="445"/>
    <n v="25387"/>
    <s v="45208810250050000194"/>
    <n v="90511645.170000002"/>
    <s v="01431/МР"/>
    <m/>
    <d v="2016-08-04T00:00:00"/>
    <m/>
    <m/>
    <n v="1"/>
    <n v="1"/>
    <m/>
    <m/>
    <n v="1"/>
    <n v="1"/>
    <n v="1"/>
    <n v="0"/>
    <n v="1"/>
    <m/>
    <d v="2016-08-25T00:00:00"/>
    <n v="0"/>
    <m/>
    <m/>
    <m/>
    <m/>
    <m/>
    <m/>
  </r>
  <r>
    <x v="446"/>
    <n v="17541"/>
    <s v="45205810650050000438"/>
    <n v="105000000"/>
    <s v="01246/МР"/>
    <m/>
    <d v="2016-02-05T00:00:00"/>
    <m/>
    <m/>
    <n v="1"/>
    <n v="1"/>
    <m/>
    <m/>
    <n v="1"/>
    <n v="1"/>
    <n v="1"/>
    <n v="0"/>
    <n v="1"/>
    <m/>
    <d v="2016-02-29T00:00:00"/>
    <n v="0"/>
    <m/>
    <m/>
    <m/>
    <m/>
    <m/>
    <m/>
  </r>
  <r>
    <x v="446"/>
    <n v="22161"/>
    <s v="45205810750050000480"/>
    <n v="125000000"/>
    <s v="01382/МР"/>
    <m/>
    <d v="2016-06-16T00:00:00"/>
    <m/>
    <m/>
    <n v="1"/>
    <n v="1"/>
    <m/>
    <m/>
    <n v="1"/>
    <n v="1"/>
    <n v="1"/>
    <n v="0"/>
    <n v="1"/>
    <m/>
    <d v="2016-06-30T00:00:00"/>
    <n v="0"/>
    <m/>
    <m/>
    <m/>
    <m/>
    <m/>
    <m/>
  </r>
  <r>
    <x v="447"/>
    <n v="16354"/>
    <s v="45208840455550000197"/>
    <n v="33883429774.68"/>
    <s v="3783"/>
    <m/>
    <d v="2015-08-28T00:00:00"/>
    <m/>
    <m/>
    <n v="1"/>
    <n v="1"/>
    <m/>
    <m/>
    <n v="1"/>
    <n v="1"/>
    <n v="1"/>
    <n v="0"/>
    <n v="1"/>
    <m/>
    <d v="2015-08-28T00:00:00"/>
    <n v="0"/>
    <m/>
    <n v="0"/>
    <m/>
    <n v="0"/>
    <m/>
    <m/>
  </r>
  <r>
    <x v="448"/>
    <n v="16355"/>
    <s v="45208840755550000198"/>
    <n v="62409667004.650002"/>
    <s v="3782"/>
    <m/>
    <d v="2015-08-28T00:00:00"/>
    <m/>
    <m/>
    <n v="1"/>
    <n v="1"/>
    <m/>
    <m/>
    <n v="1"/>
    <n v="1"/>
    <n v="1"/>
    <n v="0"/>
    <n v="1"/>
    <m/>
    <d v="2015-08-28T00:00:00"/>
    <n v="0"/>
    <m/>
    <n v="0"/>
    <m/>
    <n v="0"/>
    <m/>
    <m/>
  </r>
  <r>
    <x v="449"/>
    <n v="17319"/>
    <s v="45204810450050000286"/>
    <n v="12356589.9"/>
    <s v="01232/МР"/>
    <m/>
    <d v="2015-12-18T00:00:00"/>
    <m/>
    <m/>
    <n v="1"/>
    <n v="1"/>
    <m/>
    <m/>
    <n v="1"/>
    <n v="1"/>
    <n v="1"/>
    <n v="0"/>
    <n v="1"/>
    <m/>
    <d v="2015-12-22T00:00:00"/>
    <n v="0"/>
    <m/>
    <m/>
    <m/>
    <m/>
    <m/>
    <m/>
  </r>
  <r>
    <x v="450"/>
    <n v="16689"/>
    <s v="45207810350050000419"/>
    <n v="23538485.920000002"/>
    <s v="01105/МР"/>
    <m/>
    <d v="2015-09-30T00:00:00"/>
    <m/>
    <m/>
    <n v="1"/>
    <n v="1"/>
    <m/>
    <m/>
    <n v="1"/>
    <n v="1"/>
    <n v="1"/>
    <n v="0"/>
    <n v="1"/>
    <m/>
    <d v="2015-10-30T00:00:00"/>
    <n v="0"/>
    <m/>
    <m/>
    <m/>
    <m/>
    <m/>
    <m/>
  </r>
  <r>
    <x v="450"/>
    <n v="16692"/>
    <s v="45206810050050000749"/>
    <n v="357096061.24000001"/>
    <s v="01106/МР"/>
    <m/>
    <d v="2015-09-30T00:00:00"/>
    <m/>
    <m/>
    <n v="1"/>
    <n v="1"/>
    <m/>
    <m/>
    <n v="1"/>
    <n v="1"/>
    <n v="1"/>
    <n v="0"/>
    <n v="1"/>
    <m/>
    <d v="2015-10-30T00:00:00"/>
    <n v="0"/>
    <m/>
    <m/>
    <m/>
    <m/>
    <m/>
    <m/>
  </r>
  <r>
    <x v="451"/>
    <n v="16177"/>
    <s v="45812810550050000510"/>
    <n v="92959768.140000001"/>
    <s v="01090/МР"/>
    <m/>
    <d v="2015-08-06T00:00:00"/>
    <m/>
    <m/>
    <n v="2.1"/>
    <n v="3"/>
    <m/>
    <m/>
    <n v="4.0999999999999996"/>
    <n v="4.0999999999999996"/>
    <n v="4.0999999999999996"/>
    <n v="0"/>
    <n v="1"/>
    <m/>
    <d v="2015-08-31T00:00:00"/>
    <n v="184"/>
    <m/>
    <m/>
    <m/>
    <m/>
    <m/>
    <m/>
  </r>
  <r>
    <x v="451"/>
    <n v="17347"/>
    <s v="45812810450050000526"/>
    <n v="100000000"/>
    <s v="01244/МР"/>
    <m/>
    <d v="2015-12-22T00:00:00"/>
    <m/>
    <m/>
    <n v="2.1"/>
    <n v="3"/>
    <m/>
    <m/>
    <n v="4.0999999999999996"/>
    <n v="4.0999999999999996"/>
    <n v="4.0999999999999996"/>
    <n v="0"/>
    <n v="1"/>
    <m/>
    <d v="2015-12-28T00:00:00"/>
    <n v="184"/>
    <m/>
    <m/>
    <m/>
    <m/>
    <m/>
    <m/>
  </r>
  <r>
    <x v="452"/>
    <n v="17559"/>
    <s v="45206810050050000781"/>
    <n v="133600000"/>
    <s v="01263/МР"/>
    <m/>
    <d v="2016-02-11T00:00:00"/>
    <m/>
    <m/>
    <n v="1"/>
    <n v="1"/>
    <m/>
    <m/>
    <n v="1"/>
    <n v="1"/>
    <n v="1"/>
    <n v="0"/>
    <n v="1"/>
    <m/>
    <d v="2016-03-10T00:00:00"/>
    <n v="0"/>
    <m/>
    <m/>
    <m/>
    <n v="0"/>
    <m/>
    <m/>
  </r>
  <r>
    <x v="452"/>
    <n v="26577"/>
    <s v="45206810850050000839"/>
    <n v="1530000000"/>
    <s v="01477/МР"/>
    <m/>
    <d v="2016-08-29T00:00:00"/>
    <m/>
    <m/>
    <n v="1"/>
    <n v="1"/>
    <m/>
    <m/>
    <n v="1"/>
    <n v="1"/>
    <n v="1"/>
    <n v="0"/>
    <n v="1"/>
    <m/>
    <d v="2016-09-12T00:00:00"/>
    <n v="0"/>
    <m/>
    <m/>
    <m/>
    <n v="0"/>
    <m/>
    <m/>
  </r>
  <r>
    <x v="453"/>
    <n v="16749"/>
    <s v="45206810750050000748"/>
    <n v="500000000"/>
    <s v="01145/МР"/>
    <m/>
    <d v="2015-10-08T00:00:00"/>
    <m/>
    <m/>
    <n v="1"/>
    <n v="1"/>
    <m/>
    <m/>
    <n v="1"/>
    <n v="1"/>
    <n v="1"/>
    <n v="0"/>
    <n v="1"/>
    <m/>
    <d v="2015-10-10T00:00:00"/>
    <n v="0"/>
    <m/>
    <m/>
    <m/>
    <m/>
    <m/>
    <m/>
  </r>
  <r>
    <x v="453"/>
    <n v="17560"/>
    <s v="45206810750050000780"/>
    <n v="396000000"/>
    <s v="01262/МР"/>
    <m/>
    <d v="2016-02-11T00:00:00"/>
    <m/>
    <m/>
    <n v="1"/>
    <n v="1"/>
    <m/>
    <m/>
    <n v="1"/>
    <n v="1"/>
    <n v="1"/>
    <n v="0"/>
    <n v="1"/>
    <m/>
    <d v="2016-03-10T00:00:00"/>
    <n v="0"/>
    <m/>
    <m/>
    <m/>
    <n v="0"/>
    <m/>
    <m/>
  </r>
  <r>
    <x v="454"/>
    <n v="16093"/>
    <s v="45812810850050000469"/>
    <n v="39500000"/>
    <s v="КС-728000/2013/00026"/>
    <m/>
    <d v="2013-05-24T00:00:00"/>
    <m/>
    <m/>
    <n v="3"/>
    <n v="3"/>
    <m/>
    <m/>
    <n v="5"/>
    <n v="5"/>
    <n v="5"/>
    <n v="0"/>
    <n v="1"/>
    <m/>
    <d v="2000-01-01T00:00:00"/>
    <n v="676"/>
    <m/>
    <n v="1"/>
    <m/>
    <m/>
    <m/>
    <m/>
  </r>
  <r>
    <x v="455"/>
    <n v="17291"/>
    <s v="44605810655550000055"/>
    <n v="13000000"/>
    <s v="3854"/>
    <m/>
    <d v="2015-12-02T00:00:00"/>
    <m/>
    <m/>
    <n v="1"/>
    <n v="2"/>
    <m/>
    <m/>
    <n v="2"/>
    <n v="2"/>
    <n v="2"/>
    <n v="0"/>
    <n v="1"/>
    <m/>
    <d v="2015-12-31T00:00:00"/>
    <n v="17"/>
    <s v="2016-06-27"/>
    <m/>
    <m/>
    <m/>
    <m/>
    <m/>
  </r>
  <r>
    <x v="455"/>
    <n v="22405"/>
    <s v="44606810655550000151"/>
    <n v="54000000"/>
    <s v="4015"/>
    <m/>
    <d v="2016-06-27T00:00:00"/>
    <m/>
    <m/>
    <n v="1"/>
    <n v="1"/>
    <m/>
    <m/>
    <n v="1"/>
    <n v="1"/>
    <n v="1"/>
    <n v="0"/>
    <n v="1"/>
    <m/>
    <d v="2016-07-30T00:00:00"/>
    <n v="0"/>
    <m/>
    <m/>
    <m/>
    <m/>
    <m/>
    <m/>
  </r>
  <r>
    <x v="455"/>
    <n v="23218"/>
    <s v="44606810255550000153"/>
    <n v="93199656.560000002"/>
    <s v="4014"/>
    <m/>
    <d v="2016-07-01T00:00:00"/>
    <m/>
    <m/>
    <n v="1"/>
    <n v="1"/>
    <m/>
    <m/>
    <n v="1"/>
    <n v="1"/>
    <n v="1"/>
    <n v="0"/>
    <n v="1"/>
    <m/>
    <d v="2016-07-30T00:00:00"/>
    <n v="0"/>
    <m/>
    <m/>
    <m/>
    <m/>
    <m/>
    <m/>
  </r>
  <r>
    <x v="455"/>
    <n v="26548"/>
    <s v="44606810855550000155"/>
    <n v="50000000"/>
    <s v="4073"/>
    <m/>
    <d v="2016-08-22T00:00:00"/>
    <m/>
    <m/>
    <n v="1"/>
    <n v="1"/>
    <m/>
    <m/>
    <n v="1"/>
    <n v="1"/>
    <n v="1"/>
    <n v="0"/>
    <n v="1"/>
    <m/>
    <d v="2016-08-30T00:00:00"/>
    <n v="0"/>
    <m/>
    <m/>
    <m/>
    <m/>
    <m/>
    <m/>
  </r>
  <r>
    <x v="456"/>
    <n v="16966"/>
    <s v="45206810550050000757"/>
    <n v="100000000"/>
    <s v="01183/МР"/>
    <m/>
    <d v="2015-11-05T00:00:00"/>
    <m/>
    <m/>
    <n v="1"/>
    <n v="1"/>
    <m/>
    <m/>
    <n v="1"/>
    <n v="1"/>
    <n v="1"/>
    <n v="0"/>
    <n v="1"/>
    <m/>
    <d v="2015-11-28T00:00:00"/>
    <n v="0"/>
    <m/>
    <m/>
    <m/>
    <m/>
    <m/>
    <m/>
  </r>
  <r>
    <x v="456"/>
    <n v="17297"/>
    <s v="45206810650050000770"/>
    <n v="100000000"/>
    <s v="01225/МР"/>
    <m/>
    <d v="2015-12-16T00:00:00"/>
    <m/>
    <m/>
    <n v="1"/>
    <n v="1"/>
    <m/>
    <m/>
    <n v="1"/>
    <n v="1"/>
    <n v="1"/>
    <n v="0"/>
    <n v="1"/>
    <m/>
    <d v="2015-12-28T00:00:00"/>
    <n v="0"/>
    <m/>
    <m/>
    <m/>
    <m/>
    <m/>
    <m/>
  </r>
  <r>
    <x v="457"/>
    <n v="16934"/>
    <s v="45207810555550000549"/>
    <n v="799999833.01999998"/>
    <s v="3820"/>
    <m/>
    <d v="2015-10-30T00:00:00"/>
    <m/>
    <m/>
    <n v="1"/>
    <n v="1"/>
    <m/>
    <m/>
    <n v="1"/>
    <n v="1"/>
    <n v="1"/>
    <n v="0"/>
    <n v="1"/>
    <m/>
    <d v="2015-11-20T00:00:00"/>
    <n v="0"/>
    <m/>
    <m/>
    <m/>
    <m/>
    <m/>
    <m/>
  </r>
  <r>
    <x v="457"/>
    <n v="17714"/>
    <s v="45207810455550000571"/>
    <n v="199995631.03"/>
    <s v="3945"/>
    <m/>
    <d v="2016-03-30T00:00:00"/>
    <m/>
    <m/>
    <n v="1"/>
    <n v="1"/>
    <m/>
    <m/>
    <n v="1"/>
    <n v="1"/>
    <n v="1"/>
    <n v="0"/>
    <n v="1"/>
    <m/>
    <d v="2016-04-20T00:00:00"/>
    <n v="0"/>
    <m/>
    <m/>
    <m/>
    <m/>
    <m/>
    <m/>
  </r>
  <r>
    <x v="457"/>
    <n v="17811"/>
    <s v="45207810055550000599"/>
    <n v="2000000000"/>
    <s v="3971"/>
    <m/>
    <d v="2016-04-27T00:00:00"/>
    <m/>
    <m/>
    <n v="1"/>
    <n v="1"/>
    <m/>
    <m/>
    <n v="1"/>
    <n v="1"/>
    <n v="1"/>
    <n v="0"/>
    <n v="1"/>
    <m/>
    <d v="2016-05-20T00:00:00"/>
    <n v="0"/>
    <m/>
    <m/>
    <m/>
    <n v="0"/>
    <m/>
    <m/>
  </r>
  <r>
    <x v="458"/>
    <n v="25258"/>
    <s v="45207810550050000468"/>
    <n v="99388643.459999993"/>
    <s v="01446/МР"/>
    <m/>
    <d v="2016-08-03T00:00:00"/>
    <m/>
    <m/>
    <n v="1"/>
    <n v="1"/>
    <m/>
    <m/>
    <n v="1"/>
    <n v="1"/>
    <n v="1"/>
    <n v="0"/>
    <n v="1"/>
    <m/>
    <d v="2016-08-31T00:00:00"/>
    <n v="0"/>
    <m/>
    <m/>
    <m/>
    <m/>
    <m/>
    <m/>
  </r>
  <r>
    <x v="459"/>
    <n v="17150"/>
    <s v="45604840955550000026"/>
    <n v="6479073688.5"/>
    <s v="б/н_2015-11-27"/>
    <m/>
    <d v="2015-11-27T00:00:00"/>
    <m/>
    <m/>
    <n v="1"/>
    <n v="1"/>
    <m/>
    <m/>
    <n v="1"/>
    <n v="1"/>
    <n v="1"/>
    <n v="0"/>
    <n v="1"/>
    <m/>
    <d v="2016-03-13T00:00:00"/>
    <n v="0"/>
    <m/>
    <m/>
    <m/>
    <m/>
    <m/>
    <m/>
  </r>
  <r>
    <x v="460"/>
    <n v="17173"/>
    <s v="45206810750050000764"/>
    <n v="74188000"/>
    <s v="01218/МР"/>
    <m/>
    <d v="2015-12-01T00:00:00"/>
    <m/>
    <m/>
    <n v="1"/>
    <n v="1"/>
    <m/>
    <m/>
    <n v="1"/>
    <n v="1"/>
    <n v="1"/>
    <n v="0"/>
    <n v="1"/>
    <m/>
    <d v="2015-12-10T00:00:00"/>
    <n v="0"/>
    <m/>
    <m/>
    <m/>
    <m/>
    <m/>
    <m/>
  </r>
  <r>
    <x v="460"/>
    <n v="17692"/>
    <s v="45207810950050000437"/>
    <n v="33000000"/>
    <s v="01313/МР"/>
    <m/>
    <d v="2016-03-25T00:00:00"/>
    <m/>
    <m/>
    <n v="1"/>
    <n v="1"/>
    <m/>
    <m/>
    <n v="1"/>
    <n v="1"/>
    <n v="1"/>
    <n v="0"/>
    <n v="1"/>
    <m/>
    <d v="2016-04-25T00:00:00"/>
    <n v="0"/>
    <m/>
    <m/>
    <m/>
    <n v="0"/>
    <m/>
    <m/>
  </r>
  <r>
    <x v="461"/>
    <n v="26693"/>
    <s v="45206810450050000844"/>
    <n v="24000000"/>
    <s v="01478/МР"/>
    <m/>
    <d v="2016-09-06T00:00:00"/>
    <m/>
    <m/>
    <n v="1"/>
    <n v="1"/>
    <m/>
    <m/>
    <n v="1"/>
    <n v="1"/>
    <n v="1"/>
    <n v="0"/>
    <n v="1"/>
    <m/>
    <d v="2016-09-30T00:00:00"/>
    <n v="0"/>
    <m/>
    <m/>
    <m/>
    <m/>
    <m/>
    <m/>
  </r>
  <r>
    <x v="462"/>
    <n v="16681"/>
    <s v="45206810650050000741"/>
    <n v="529000000"/>
    <s v="01143/МР"/>
    <m/>
    <d v="2015-09-30T00:00:00"/>
    <m/>
    <m/>
    <n v="1"/>
    <n v="1"/>
    <m/>
    <m/>
    <n v="1"/>
    <n v="1"/>
    <n v="1"/>
    <n v="0"/>
    <n v="1"/>
    <m/>
    <d v="2015-11-02T00:00:00"/>
    <n v="0"/>
    <m/>
    <m/>
    <m/>
    <n v="0"/>
    <m/>
    <m/>
  </r>
  <r>
    <x v="463"/>
    <n v="22154"/>
    <s v="45206810555550000524"/>
    <n v="1630000000"/>
    <s v="3815"/>
    <m/>
    <d v="2016-05-30T00:00:00"/>
    <m/>
    <m/>
    <n v="1"/>
    <n v="1"/>
    <m/>
    <m/>
    <n v="1"/>
    <n v="1"/>
    <n v="1"/>
    <n v="0"/>
    <n v="1"/>
    <m/>
    <d v="2016-06-28T00:00:00"/>
    <n v="0"/>
    <m/>
    <m/>
    <m/>
    <n v="0"/>
    <m/>
    <m/>
  </r>
  <r>
    <x v="464"/>
    <n v="17149"/>
    <s v="45208840955550000202"/>
    <n v="7561307649.54"/>
    <s v="3856"/>
    <m/>
    <d v="2015-11-25T00:00:00"/>
    <m/>
    <m/>
    <n v="1"/>
    <n v="1"/>
    <m/>
    <m/>
    <n v="1"/>
    <n v="1"/>
    <n v="1"/>
    <n v="0"/>
    <n v="1"/>
    <m/>
    <d v="2015-12-07T00:00:00"/>
    <n v="0"/>
    <m/>
    <m/>
    <m/>
    <n v="0"/>
    <m/>
    <m/>
  </r>
  <r>
    <x v="464"/>
    <n v="17207"/>
    <s v="20311A98755550000001"/>
    <n v="7431937285.5"/>
    <s v="3857"/>
    <m/>
    <d v="2015-11-25T00:00:00"/>
    <m/>
    <m/>
    <n v="1"/>
    <n v="1"/>
    <m/>
    <m/>
    <n v="1"/>
    <n v="1"/>
    <n v="1"/>
    <n v="0"/>
    <n v="1"/>
    <m/>
    <d v="2015-12-04T00:00:00"/>
    <n v="0"/>
    <m/>
    <n v="0"/>
    <m/>
    <n v="0"/>
    <m/>
    <m/>
  </r>
  <r>
    <x v="464"/>
    <n v="100006548"/>
    <s v="20311A98055550000002"/>
    <n v="598910697"/>
    <m/>
    <m/>
    <m/>
    <m/>
    <m/>
    <n v="1"/>
    <n v="1"/>
    <m/>
    <m/>
    <n v="1"/>
    <n v="1"/>
    <n v="1"/>
    <n v="0"/>
    <m/>
    <m/>
    <m/>
    <n v="0"/>
    <m/>
    <m/>
    <m/>
    <m/>
    <m/>
    <m/>
  </r>
  <r>
    <x v="465"/>
    <n v="16967"/>
    <s v="45205810050050000410"/>
    <n v="300000000"/>
    <s v="01165/МР"/>
    <m/>
    <d v="2015-11-05T00:00:00"/>
    <m/>
    <m/>
    <n v="1"/>
    <n v="1"/>
    <m/>
    <m/>
    <n v="1"/>
    <n v="1"/>
    <n v="1"/>
    <n v="0"/>
    <n v="1"/>
    <m/>
    <d v="2015-11-30T00:00:00"/>
    <n v="0"/>
    <m/>
    <m/>
    <m/>
    <m/>
    <m/>
    <m/>
  </r>
  <r>
    <x v="466"/>
    <n v="16803"/>
    <s v="45812810950050000479"/>
    <n v="7685800.9699999997"/>
    <s v="КС-703910/2013/00027"/>
    <m/>
    <d v="2013-10-31T00:00:00"/>
    <m/>
    <m/>
    <n v="3"/>
    <n v="3"/>
    <m/>
    <m/>
    <n v="5"/>
    <n v="5"/>
    <n v="5"/>
    <n v="0"/>
    <n v="1"/>
    <m/>
    <d v="2000-01-01T00:00:00"/>
    <n v="521"/>
    <m/>
    <m/>
    <m/>
    <m/>
    <m/>
    <m/>
  </r>
  <r>
    <x v="466"/>
    <n v="16804"/>
    <s v="45812810650050000481"/>
    <n v="106000000"/>
    <s v="КС-703910/2014/00029"/>
    <m/>
    <d v="2014-05-19T00:00:00"/>
    <m/>
    <m/>
    <n v="3"/>
    <n v="3"/>
    <m/>
    <m/>
    <n v="5"/>
    <n v="5"/>
    <n v="5"/>
    <n v="0"/>
    <n v="1"/>
    <m/>
    <d v="2000-01-01T00:00:00"/>
    <n v="520"/>
    <m/>
    <m/>
    <m/>
    <m/>
    <m/>
    <m/>
  </r>
  <r>
    <x v="466"/>
    <n v="16805"/>
    <s v="45812810350050000480"/>
    <n v="12000000"/>
    <s v="КС-703910/2014/00027"/>
    <m/>
    <d v="2014-05-19T00:00:00"/>
    <m/>
    <m/>
    <n v="3"/>
    <n v="3"/>
    <m/>
    <m/>
    <n v="5"/>
    <n v="5"/>
    <n v="5"/>
    <n v="0"/>
    <n v="1"/>
    <m/>
    <d v="2000-01-01T00:00:00"/>
    <n v="520"/>
    <m/>
    <m/>
    <m/>
    <m/>
    <m/>
    <m/>
  </r>
  <r>
    <x v="466"/>
    <n v="16806"/>
    <s v="45812810050050000489"/>
    <n v="65000000"/>
    <s v="КС-703910/2014/00028"/>
    <m/>
    <d v="2014-05-19T00:00:00"/>
    <m/>
    <m/>
    <n v="3"/>
    <n v="3"/>
    <m/>
    <m/>
    <n v="5"/>
    <n v="5"/>
    <n v="5"/>
    <n v="0"/>
    <n v="1"/>
    <m/>
    <d v="2000-01-01T00:00:00"/>
    <n v="520"/>
    <m/>
    <m/>
    <m/>
    <m/>
    <m/>
    <m/>
  </r>
  <r>
    <x v="466"/>
    <n v="16807"/>
    <s v="45812810950050000482"/>
    <n v="8700000"/>
    <s v="КС-ЦУ-703910/2014/00040"/>
    <m/>
    <d v="2014-07-11T00:00:00"/>
    <m/>
    <m/>
    <n v="3"/>
    <n v="3"/>
    <m/>
    <m/>
    <n v="5"/>
    <n v="5"/>
    <n v="5"/>
    <n v="0"/>
    <n v="1"/>
    <m/>
    <d v="2000-01-01T00:00:00"/>
    <n v="520"/>
    <m/>
    <m/>
    <m/>
    <m/>
    <m/>
    <m/>
  </r>
  <r>
    <x v="466"/>
    <n v="16808"/>
    <s v="45812810250050000483"/>
    <n v="120000000"/>
    <s v="КС-ЦУ-703910/2014/00058"/>
    <m/>
    <d v="2014-08-14T00:00:00"/>
    <m/>
    <m/>
    <n v="3"/>
    <n v="3"/>
    <m/>
    <m/>
    <n v="5"/>
    <n v="5"/>
    <n v="5"/>
    <n v="0"/>
    <n v="1"/>
    <m/>
    <d v="2000-01-01T00:00:00"/>
    <n v="520"/>
    <m/>
    <m/>
    <m/>
    <m/>
    <m/>
    <m/>
  </r>
  <r>
    <x v="466"/>
    <n v="16809"/>
    <s v="45812810550050000484"/>
    <n v="19600000"/>
    <s v="КС-ЦУ-703910/2014/00059"/>
    <m/>
    <d v="2014-08-14T00:00:00"/>
    <m/>
    <m/>
    <n v="3"/>
    <n v="3"/>
    <m/>
    <m/>
    <n v="5"/>
    <n v="5"/>
    <n v="5"/>
    <n v="0"/>
    <n v="1"/>
    <m/>
    <d v="2000-01-01T00:00:00"/>
    <n v="520"/>
    <m/>
    <m/>
    <m/>
    <m/>
    <m/>
    <m/>
  </r>
  <r>
    <x v="466"/>
    <n v="16810"/>
    <s v="45812810850050000485"/>
    <n v="30000000"/>
    <s v="КС-ЦУ-703910/2014/00060"/>
    <m/>
    <d v="2014-08-14T00:00:00"/>
    <m/>
    <m/>
    <n v="3"/>
    <n v="3"/>
    <m/>
    <m/>
    <n v="5"/>
    <n v="5"/>
    <n v="5"/>
    <n v="0"/>
    <n v="1"/>
    <m/>
    <d v="2000-01-01T00:00:00"/>
    <n v="520"/>
    <m/>
    <n v="1"/>
    <m/>
    <m/>
    <m/>
    <m/>
  </r>
  <r>
    <x v="466"/>
    <n v="16811"/>
    <s v="45812810150050000486"/>
    <n v="68700000"/>
    <s v="КС-ЦУ-703910/2014/00075"/>
    <m/>
    <d v="2014-11-13T00:00:00"/>
    <m/>
    <m/>
    <n v="3"/>
    <n v="3"/>
    <m/>
    <m/>
    <n v="5"/>
    <n v="5"/>
    <n v="5"/>
    <n v="0"/>
    <n v="1"/>
    <m/>
    <d v="2000-01-01T00:00:00"/>
    <n v="520"/>
    <m/>
    <m/>
    <m/>
    <m/>
    <m/>
    <m/>
  </r>
  <r>
    <x v="466"/>
    <n v="16812"/>
    <s v="45812810450050000487"/>
    <n v="100000000"/>
    <s v="КС-ЦУ-703910/2014/00081"/>
    <m/>
    <d v="2014-12-15T00:00:00"/>
    <m/>
    <m/>
    <n v="3"/>
    <n v="3"/>
    <m/>
    <m/>
    <n v="5"/>
    <n v="5"/>
    <n v="5"/>
    <n v="0"/>
    <n v="1"/>
    <m/>
    <d v="2000-01-01T00:00:00"/>
    <n v="520"/>
    <m/>
    <m/>
    <m/>
    <m/>
    <m/>
    <m/>
  </r>
  <r>
    <x v="467"/>
    <n v="19988"/>
    <s v="45208810655550000558"/>
    <n v="1818063955"/>
    <s v="3873"/>
    <m/>
    <d v="2016-05-26T00:00:00"/>
    <m/>
    <m/>
    <n v="1"/>
    <n v="1"/>
    <m/>
    <m/>
    <n v="1"/>
    <n v="1"/>
    <n v="1"/>
    <n v="0"/>
    <n v="1"/>
    <m/>
    <d v="2016-06-25T00:00:00"/>
    <n v="0"/>
    <m/>
    <m/>
    <m/>
    <n v="0"/>
    <m/>
    <m/>
  </r>
  <r>
    <x v="468"/>
    <n v="22858"/>
    <s v="20311A98355550000003"/>
    <n v="268209000"/>
    <s v="3972"/>
    <m/>
    <d v="2016-06-15T00:00:00"/>
    <m/>
    <m/>
    <n v="1"/>
    <n v="2"/>
    <m/>
    <m/>
    <n v="2"/>
    <n v="2"/>
    <n v="2"/>
    <n v="0"/>
    <n v="1"/>
    <m/>
    <d v="2016-06-27T00:00:00"/>
    <n v="0"/>
    <m/>
    <m/>
    <n v="1"/>
    <n v="0"/>
    <m/>
    <m/>
  </r>
  <r>
    <x v="469"/>
    <n v="17231"/>
    <s v="44607810855550000057"/>
    <n v="34315319.579999998"/>
    <s v="3853"/>
    <m/>
    <d v="2015-12-03T00:00:00"/>
    <m/>
    <m/>
    <n v="1"/>
    <n v="1"/>
    <m/>
    <m/>
    <n v="1"/>
    <n v="1"/>
    <n v="1"/>
    <n v="0"/>
    <n v="1"/>
    <m/>
    <d v="2015-12-20T00:00:00"/>
    <n v="0"/>
    <m/>
    <m/>
    <m/>
    <m/>
    <m/>
    <m/>
  </r>
  <r>
    <x v="470"/>
    <n v="17496"/>
    <s v="45205810250050000498"/>
    <n v="226467032.90999997"/>
    <s v="01233/МР"/>
    <m/>
    <d v="2016-01-29T00:00:00"/>
    <m/>
    <m/>
    <n v="1"/>
    <n v="1"/>
    <m/>
    <m/>
    <n v="1"/>
    <n v="1"/>
    <n v="1"/>
    <n v="0"/>
    <n v="1"/>
    <m/>
    <d v="2016-02-29T00:00:00"/>
    <n v="0"/>
    <m/>
    <m/>
    <m/>
    <m/>
    <m/>
    <m/>
  </r>
  <r>
    <x v="471"/>
    <n v="17412"/>
    <s v="45205810250050000430"/>
    <n v="73169614.5"/>
    <s v="01247/МР"/>
    <m/>
    <d v="2015-12-30T00:00:00"/>
    <m/>
    <m/>
    <n v="1"/>
    <n v="1"/>
    <m/>
    <m/>
    <n v="1"/>
    <n v="1"/>
    <n v="1"/>
    <n v="0"/>
    <n v="1"/>
    <m/>
    <d v="2016-01-25T00:00:00"/>
    <n v="0"/>
    <m/>
    <m/>
    <m/>
    <n v="0"/>
    <m/>
    <m/>
  </r>
  <r>
    <x v="472"/>
    <n v="17593"/>
    <s v="44707810755550000002"/>
    <n v="10000000000"/>
    <s v="3944"/>
    <m/>
    <d v="2016-02-24T00:00:00"/>
    <m/>
    <m/>
    <n v="1"/>
    <n v="1"/>
    <m/>
    <m/>
    <n v="1"/>
    <n v="1"/>
    <n v="1"/>
    <n v="0"/>
    <n v="1"/>
    <m/>
    <d v="2016-04-20T00:00:00"/>
    <n v="0"/>
    <m/>
    <m/>
    <m/>
    <n v="0"/>
    <m/>
    <m/>
  </r>
  <r>
    <x v="473"/>
    <n v="17069"/>
    <s v="45204810150050000243"/>
    <n v="154713385.31999999"/>
    <s v="01185/МР"/>
    <m/>
    <d v="2015-11-19T00:00:00"/>
    <m/>
    <m/>
    <n v="1"/>
    <n v="1"/>
    <m/>
    <m/>
    <n v="1"/>
    <n v="1"/>
    <n v="1"/>
    <n v="0"/>
    <n v="1"/>
    <m/>
    <d v="2015-11-30T00:00:00"/>
    <n v="0"/>
    <m/>
    <m/>
    <m/>
    <m/>
    <m/>
    <m/>
  </r>
  <r>
    <x v="474"/>
    <n v="17118"/>
    <s v="45207810955550000550"/>
    <n v="15000000000"/>
    <s v="3826"/>
    <m/>
    <d v="2015-11-23T00:00:00"/>
    <m/>
    <m/>
    <n v="1"/>
    <n v="1"/>
    <m/>
    <m/>
    <n v="1"/>
    <n v="1"/>
    <n v="1"/>
    <n v="0"/>
    <n v="1"/>
    <m/>
    <d v="2015-11-26T00:00:00"/>
    <n v="0"/>
    <m/>
    <m/>
    <m/>
    <n v="0"/>
    <m/>
    <m/>
  </r>
  <r>
    <x v="475"/>
    <n v="16789"/>
    <s v="45812810350050000477"/>
    <n v="93332322.090000004"/>
    <s v="КС-ЦН-724910/2015/00004"/>
    <m/>
    <d v="2015-05-19T00:00:00"/>
    <m/>
    <m/>
    <n v="3"/>
    <n v="3"/>
    <m/>
    <m/>
    <n v="5"/>
    <n v="5"/>
    <n v="5"/>
    <n v="0"/>
    <n v="1"/>
    <m/>
    <d v="2000-01-01T00:00:00"/>
    <n v="423"/>
    <m/>
    <m/>
    <n v="1"/>
    <m/>
    <m/>
    <m/>
  </r>
  <r>
    <x v="475"/>
    <n v="16790"/>
    <s v="45812810650050000478"/>
    <n v="87200000"/>
    <s v="КС-ЦН-724910/2015/00005"/>
    <m/>
    <d v="2015-05-21T00:00:00"/>
    <m/>
    <m/>
    <n v="3"/>
    <n v="3"/>
    <m/>
    <m/>
    <n v="5"/>
    <n v="5"/>
    <n v="5"/>
    <n v="0"/>
    <n v="1"/>
    <m/>
    <d v="2000-01-01T00:00:00"/>
    <n v="423"/>
    <m/>
    <m/>
    <n v="1"/>
    <m/>
    <m/>
    <m/>
  </r>
  <r>
    <x v="475"/>
    <n v="16798"/>
    <s v="45812810250060000004"/>
    <n v="47590820.270000003"/>
    <s v="IGR15/PEBR/0289"/>
    <m/>
    <d v="2015-05-06T00:00:00"/>
    <m/>
    <m/>
    <n v="3"/>
    <n v="3"/>
    <m/>
    <m/>
    <n v="5"/>
    <n v="5"/>
    <n v="5"/>
    <n v="0"/>
    <n v="1"/>
    <m/>
    <d v="2000-01-01T00:00:00"/>
    <n v="375"/>
    <m/>
    <m/>
    <m/>
    <m/>
    <m/>
    <m/>
  </r>
  <r>
    <x v="475"/>
    <n v="16799"/>
    <s v="45812810550060000005"/>
    <n v="47638458.740000002"/>
    <s v="IGR15/PEBR/0290"/>
    <m/>
    <d v="2015-05-06T00:00:00"/>
    <m/>
    <m/>
    <n v="3"/>
    <n v="3"/>
    <m/>
    <m/>
    <n v="5"/>
    <n v="5"/>
    <n v="5"/>
    <n v="0"/>
    <n v="1"/>
    <m/>
    <d v="2000-01-01T00:00:00"/>
    <n v="375"/>
    <m/>
    <m/>
    <m/>
    <m/>
    <m/>
    <m/>
  </r>
  <r>
    <x v="475"/>
    <n v="17582"/>
    <s v="45812810150060000010"/>
    <n v="12363834.369999999"/>
    <s v="IGR14/PEBR/0184"/>
    <m/>
    <d v="2014-02-17T00:00:00"/>
    <m/>
    <m/>
    <n v="3"/>
    <n v="3"/>
    <m/>
    <m/>
    <n v="5"/>
    <n v="5"/>
    <n v="5"/>
    <n v="0"/>
    <n v="1"/>
    <m/>
    <d v="2000-01-01T00:00:00"/>
    <n v="404"/>
    <m/>
    <m/>
    <m/>
    <m/>
    <m/>
    <m/>
  </r>
  <r>
    <x v="476"/>
    <n v="17147"/>
    <s v="45205810250050000427"/>
    <n v="8838048.25"/>
    <s v="01203/МР"/>
    <m/>
    <d v="2015-11-13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477"/>
    <n v="17020"/>
    <s v="45205810250050000414"/>
    <n v="244535969.78"/>
    <s v="01202/МР"/>
    <m/>
    <d v="2015-11-13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477"/>
    <n v="17777"/>
    <s v="45205810550050000460"/>
    <n v="95023505.879999995"/>
    <s v="01335/МР"/>
    <m/>
    <d v="2016-04-19T00:00:00"/>
    <m/>
    <m/>
    <n v="1"/>
    <n v="1"/>
    <m/>
    <m/>
    <n v="1"/>
    <n v="1"/>
    <n v="1"/>
    <n v="0"/>
    <n v="1"/>
    <m/>
    <d v="2016-05-15T00:00:00"/>
    <n v="0"/>
    <m/>
    <m/>
    <m/>
    <m/>
    <m/>
    <m/>
  </r>
  <r>
    <x v="477"/>
    <n v="24908"/>
    <s v="45205810550050000512"/>
    <n v="29981454.030000001"/>
    <s v="01420/МР"/>
    <m/>
    <d v="2016-07-29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478"/>
    <n v="17237"/>
    <s v="45206810650050000767"/>
    <n v="150000000"/>
    <s v="01198/МР"/>
    <m/>
    <d v="2015-12-07T00:00:00"/>
    <m/>
    <m/>
    <n v="1"/>
    <n v="1"/>
    <m/>
    <m/>
    <n v="1"/>
    <n v="1"/>
    <n v="1"/>
    <n v="0"/>
    <n v="1"/>
    <m/>
    <d v="2015-12-15T00:00:00"/>
    <n v="0"/>
    <m/>
    <m/>
    <m/>
    <m/>
    <m/>
    <m/>
  </r>
  <r>
    <x v="479"/>
    <n v="17594"/>
    <s v="45205810350050000440"/>
    <n v="110113789.14"/>
    <s v="01273/МР"/>
    <m/>
    <d v="2016-02-19T00:00:00"/>
    <m/>
    <m/>
    <n v="1"/>
    <n v="1"/>
    <m/>
    <m/>
    <n v="1"/>
    <n v="1"/>
    <n v="1"/>
    <n v="0"/>
    <n v="1"/>
    <m/>
    <d v="2016-02-29T00:00:00"/>
    <n v="0"/>
    <m/>
    <m/>
    <m/>
    <n v="0"/>
    <m/>
    <m/>
  </r>
  <r>
    <x v="480"/>
    <n v="17119"/>
    <s v="47423810450050004922"/>
    <n v="143056275.72"/>
    <s v="1/14"/>
    <m/>
    <d v="2014-09-04T00:00:00"/>
    <m/>
    <m/>
    <n v="2.2999999999999998"/>
    <n v="3"/>
    <m/>
    <m/>
    <n v="4.3"/>
    <n v="4.3"/>
    <n v="4.3"/>
    <n v="0"/>
    <n v="1"/>
    <m/>
    <d v="2000-01-01T00:00:00"/>
    <n v="344"/>
    <m/>
    <m/>
    <m/>
    <m/>
    <m/>
    <m/>
  </r>
  <r>
    <x v="480"/>
    <n v="17120"/>
    <s v="47423810050050004924"/>
    <n v="28449382.809999999"/>
    <s v="2/14"/>
    <m/>
    <d v="2014-09-04T00:00:00"/>
    <m/>
    <m/>
    <n v="2.2999999999999998"/>
    <n v="3"/>
    <m/>
    <m/>
    <n v="4.3"/>
    <n v="4.3"/>
    <n v="4.3"/>
    <n v="0"/>
    <n v="1"/>
    <m/>
    <d v="2000-01-01T00:00:00"/>
    <n v="344"/>
    <m/>
    <m/>
    <m/>
    <m/>
    <m/>
    <m/>
  </r>
  <r>
    <x v="480"/>
    <n v="17121"/>
    <s v="47423810950050004927"/>
    <n v="53869842.369999997"/>
    <s v="3/14"/>
    <m/>
    <d v="2014-09-04T00:00:00"/>
    <m/>
    <m/>
    <n v="2.2999999999999998"/>
    <n v="3"/>
    <m/>
    <m/>
    <n v="4.3"/>
    <n v="4.3"/>
    <n v="4.3"/>
    <n v="0"/>
    <n v="1"/>
    <m/>
    <d v="2000-01-01T00:00:00"/>
    <n v="344"/>
    <m/>
    <m/>
    <m/>
    <m/>
    <m/>
    <m/>
  </r>
  <r>
    <x v="480"/>
    <n v="17122"/>
    <s v="47423810950050004930"/>
    <n v="53869843.549999997"/>
    <s v="4/14"/>
    <m/>
    <d v="2014-09-04T00:00:00"/>
    <m/>
    <m/>
    <n v="2.2999999999999998"/>
    <n v="3"/>
    <m/>
    <m/>
    <n v="4.3"/>
    <n v="4.3"/>
    <n v="4.3"/>
    <n v="0"/>
    <n v="1"/>
    <m/>
    <d v="2000-01-01T00:00:00"/>
    <n v="344"/>
    <m/>
    <m/>
    <m/>
    <m/>
    <m/>
    <m/>
  </r>
  <r>
    <x v="480"/>
    <n v="17123"/>
    <s v="47423810550050004932"/>
    <n v="93028307.920000002"/>
    <s v="5/14"/>
    <m/>
    <d v="2014-09-04T00:00:00"/>
    <m/>
    <m/>
    <n v="2.2999999999999998"/>
    <n v="3"/>
    <m/>
    <m/>
    <n v="4.3"/>
    <n v="4.3"/>
    <n v="4.3"/>
    <n v="0"/>
    <n v="1"/>
    <m/>
    <d v="2000-01-01T00:00:00"/>
    <n v="344"/>
    <m/>
    <m/>
    <m/>
    <m/>
    <m/>
    <m/>
  </r>
  <r>
    <x v="480"/>
    <n v="17124"/>
    <s v="47423810150050004934"/>
    <n v="65464180.689999998"/>
    <s v="6/14"/>
    <m/>
    <d v="2014-09-04T00:00:00"/>
    <m/>
    <m/>
    <n v="2.2999999999999998"/>
    <n v="3"/>
    <m/>
    <m/>
    <n v="4.3"/>
    <n v="4.3"/>
    <n v="4.3"/>
    <n v="0"/>
    <n v="1"/>
    <m/>
    <d v="2000-01-01T00:00:00"/>
    <n v="344"/>
    <m/>
    <m/>
    <m/>
    <m/>
    <m/>
    <m/>
  </r>
  <r>
    <x v="480"/>
    <n v="17180"/>
    <s v="45811810450050000022"/>
    <n v="68201743.989999995"/>
    <s v="65/13"/>
    <m/>
    <d v="2013-10-16T00:00:00"/>
    <m/>
    <m/>
    <n v="2.2999999999999998"/>
    <n v="3"/>
    <m/>
    <m/>
    <n v="4.3"/>
    <n v="4.3"/>
    <n v="4.3"/>
    <n v="0"/>
    <n v="1"/>
    <m/>
    <d v="2000-01-01T00:00:00"/>
    <n v="344"/>
    <m/>
    <m/>
    <m/>
    <m/>
    <m/>
    <m/>
  </r>
  <r>
    <x v="480"/>
    <n v="17181"/>
    <s v="45811810150050000021"/>
    <n v="110105334.98999999"/>
    <s v="66/13"/>
    <m/>
    <d v="2013-10-16T00:00:00"/>
    <m/>
    <m/>
    <n v="2.2999999999999998"/>
    <n v="3"/>
    <m/>
    <m/>
    <n v="4.3"/>
    <n v="4.3"/>
    <n v="4.3"/>
    <n v="0"/>
    <n v="1"/>
    <m/>
    <d v="2000-01-01T00:00:00"/>
    <n v="344"/>
    <m/>
    <m/>
    <m/>
    <m/>
    <m/>
    <m/>
  </r>
  <r>
    <x v="480"/>
    <n v="17182"/>
    <s v="45811810750050000023"/>
    <n v="31806224.93"/>
    <s v="55/14"/>
    <m/>
    <d v="2014-12-11T00:00:00"/>
    <m/>
    <m/>
    <n v="2.2999999999999998"/>
    <n v="3"/>
    <m/>
    <m/>
    <n v="4.3"/>
    <n v="4.3"/>
    <n v="4.3"/>
    <n v="0"/>
    <n v="1"/>
    <m/>
    <d v="2000-01-01T00:00:00"/>
    <n v="344"/>
    <m/>
    <n v="0"/>
    <m/>
    <m/>
    <m/>
    <m/>
  </r>
  <r>
    <x v="480"/>
    <n v="17238"/>
    <s v="45811810050050000024"/>
    <n v="154032163.94"/>
    <s v="34/14"/>
    <m/>
    <d v="2014-09-05T00:00:00"/>
    <m/>
    <m/>
    <n v="2.2999999999999998"/>
    <n v="3"/>
    <m/>
    <m/>
    <n v="4.3"/>
    <n v="4.3"/>
    <n v="4.3"/>
    <n v="0"/>
    <n v="1"/>
    <m/>
    <d v="2000-01-01T00:00:00"/>
    <n v="344"/>
    <m/>
    <m/>
    <m/>
    <m/>
    <m/>
    <m/>
  </r>
  <r>
    <x v="480"/>
    <n v="17239"/>
    <s v="45811810350050000025"/>
    <n v="20674487.620000001"/>
    <s v="42/13"/>
    <m/>
    <d v="2013-07-04T00:00:00"/>
    <m/>
    <m/>
    <n v="2.2999999999999998"/>
    <n v="3"/>
    <m/>
    <m/>
    <n v="4.3"/>
    <n v="4.3"/>
    <n v="4.3"/>
    <n v="0"/>
    <n v="1"/>
    <m/>
    <d v="2000-01-01T00:00:00"/>
    <n v="344"/>
    <m/>
    <m/>
    <m/>
    <m/>
    <m/>
    <m/>
  </r>
  <r>
    <x v="480"/>
    <n v="17262"/>
    <s v="45811810650050000026"/>
    <n v="20123452.59"/>
    <s v="19/13"/>
    <m/>
    <d v="2013-04-05T00:00:00"/>
    <m/>
    <m/>
    <n v="2.2999999999999998"/>
    <n v="3"/>
    <m/>
    <m/>
    <n v="4.3"/>
    <n v="4.3"/>
    <n v="4.3"/>
    <n v="0"/>
    <n v="1"/>
    <m/>
    <d v="2000-01-01T00:00:00"/>
    <n v="344"/>
    <m/>
    <m/>
    <m/>
    <m/>
    <m/>
    <m/>
  </r>
  <r>
    <x v="480"/>
    <n v="17358"/>
    <s v="45811810250050000028"/>
    <n v="5155140.33"/>
    <s v="137/11"/>
    <m/>
    <d v="2011-08-18T00:00:00"/>
    <m/>
    <m/>
    <n v="2.2999999999999998"/>
    <n v="3"/>
    <m/>
    <m/>
    <n v="4.3"/>
    <n v="4.3"/>
    <n v="4.3"/>
    <n v="0"/>
    <n v="1"/>
    <m/>
    <d v="2000-01-01T00:00:00"/>
    <n v="344"/>
    <m/>
    <n v="0"/>
    <m/>
    <m/>
    <m/>
    <m/>
  </r>
  <r>
    <x v="480"/>
    <n v="17392"/>
    <s v="45811810950050000030"/>
    <n v="1009842.45"/>
    <s v="167/11"/>
    <m/>
    <d v="2011-10-26T00:00:00"/>
    <m/>
    <m/>
    <n v="2.2999999999999998"/>
    <n v="3"/>
    <m/>
    <m/>
    <n v="4.3"/>
    <n v="4.3"/>
    <n v="4.3"/>
    <n v="0"/>
    <n v="1"/>
    <m/>
    <d v="2000-01-01T00:00:00"/>
    <n v="344"/>
    <m/>
    <n v="0"/>
    <m/>
    <m/>
    <m/>
    <m/>
  </r>
  <r>
    <x v="481"/>
    <n v="17357"/>
    <s v="45207810555550000552"/>
    <n v="923076923.07000005"/>
    <s v="3852"/>
    <m/>
    <d v="2015-12-23T00:00:00"/>
    <m/>
    <m/>
    <n v="1"/>
    <n v="1"/>
    <m/>
    <m/>
    <n v="1"/>
    <n v="1"/>
    <n v="1"/>
    <n v="0"/>
    <n v="1"/>
    <m/>
    <d v="2015-12-23T00:00:00"/>
    <n v="0"/>
    <m/>
    <m/>
    <m/>
    <n v="0"/>
    <m/>
    <m/>
  </r>
  <r>
    <x v="481"/>
    <n v="17675"/>
    <s v="45207810755550000569"/>
    <n v="500000000"/>
    <s v="3946"/>
    <m/>
    <d v="2016-03-18T00:00:00"/>
    <m/>
    <m/>
    <n v="1"/>
    <n v="1"/>
    <m/>
    <m/>
    <n v="1"/>
    <n v="1"/>
    <n v="1"/>
    <n v="0"/>
    <n v="1"/>
    <m/>
    <d v="2016-03-18T00:00:00"/>
    <n v="0"/>
    <m/>
    <m/>
    <m/>
    <n v="0"/>
    <m/>
    <m/>
  </r>
  <r>
    <x v="482"/>
    <n v="17307"/>
    <s v="45205810950050000426"/>
    <n v="57926360.710000001"/>
    <s v="01208/МР"/>
    <m/>
    <d v="2015-12-01T00:00:00"/>
    <m/>
    <m/>
    <n v="1"/>
    <n v="1"/>
    <m/>
    <m/>
    <n v="1"/>
    <n v="1"/>
    <n v="1"/>
    <n v="0"/>
    <n v="1"/>
    <m/>
    <d v="2015-12-31T00:00:00"/>
    <n v="0"/>
    <m/>
    <m/>
    <m/>
    <m/>
    <m/>
    <m/>
  </r>
  <r>
    <x v="482"/>
    <n v="17376"/>
    <s v="45205810150050000433"/>
    <n v="37000000"/>
    <s v="01209/МР"/>
    <m/>
    <d v="2015-12-01T00:00:00"/>
    <m/>
    <m/>
    <n v="1"/>
    <n v="1"/>
    <m/>
    <m/>
    <n v="1"/>
    <n v="1"/>
    <n v="1"/>
    <n v="0"/>
    <n v="1"/>
    <m/>
    <d v="2015-12-31T00:00:00"/>
    <n v="0"/>
    <m/>
    <m/>
    <m/>
    <m/>
    <m/>
    <m/>
  </r>
  <r>
    <x v="483"/>
    <n v="19565"/>
    <s v="45606840555550000026"/>
    <n v="58105452000"/>
    <s v="б/н_2016-02-15"/>
    <m/>
    <d v="2016-02-15T00:00:00"/>
    <m/>
    <m/>
    <n v="1"/>
    <n v="1"/>
    <m/>
    <m/>
    <n v="1"/>
    <n v="1"/>
    <n v="1"/>
    <n v="0"/>
    <n v="1"/>
    <m/>
    <d v="2016-03-17T00:00:00"/>
    <n v="0"/>
    <m/>
    <m/>
    <m/>
    <n v="0"/>
    <m/>
    <m/>
  </r>
  <r>
    <x v="484"/>
    <n v="19564"/>
    <s v="45606840155550000028"/>
    <n v="25263240000"/>
    <s v="б/н_2016-02-15"/>
    <m/>
    <d v="2016-02-15T00:00:00"/>
    <m/>
    <m/>
    <n v="1"/>
    <n v="1"/>
    <m/>
    <m/>
    <n v="1"/>
    <n v="1"/>
    <n v="1"/>
    <n v="0"/>
    <n v="1"/>
    <m/>
    <d v="2016-03-17T00:00:00"/>
    <n v="0"/>
    <m/>
    <m/>
    <m/>
    <n v="0"/>
    <m/>
    <m/>
  </r>
  <r>
    <x v="485"/>
    <n v="19566"/>
    <s v="45606840855550000027"/>
    <n v="15789525000"/>
    <s v="б/н_2016-02-15"/>
    <m/>
    <d v="2016-02-15T00:00:00"/>
    <m/>
    <m/>
    <n v="1"/>
    <n v="1"/>
    <m/>
    <m/>
    <n v="1"/>
    <n v="1"/>
    <n v="1"/>
    <n v="0"/>
    <n v="1"/>
    <m/>
    <d v="2016-03-17T00:00:00"/>
    <n v="0"/>
    <m/>
    <m/>
    <m/>
    <n v="0"/>
    <m/>
    <m/>
  </r>
  <r>
    <x v="486"/>
    <n v="17736"/>
    <s v="45205810112800000003"/>
    <n v="99480000"/>
    <s v="01284/МР"/>
    <m/>
    <d v="2016-03-16T00:00:00"/>
    <m/>
    <m/>
    <n v="1"/>
    <n v="1"/>
    <m/>
    <m/>
    <n v="1"/>
    <n v="1"/>
    <n v="1"/>
    <n v="0"/>
    <n v="1"/>
    <m/>
    <d v="2016-04-01T00:00:00"/>
    <n v="0"/>
    <m/>
    <m/>
    <m/>
    <n v="0"/>
    <m/>
    <m/>
  </r>
  <r>
    <x v="487"/>
    <n v="17737"/>
    <s v="45205810512800000001"/>
    <n v="48900000"/>
    <s v="01285/МР"/>
    <m/>
    <d v="2016-03-16T00:00:00"/>
    <m/>
    <m/>
    <n v="1"/>
    <n v="1"/>
    <m/>
    <m/>
    <n v="1"/>
    <n v="1"/>
    <n v="1"/>
    <n v="0"/>
    <n v="1"/>
    <m/>
    <d v="2016-04-01T00:00:00"/>
    <n v="0"/>
    <m/>
    <m/>
    <m/>
    <n v="0"/>
    <m/>
    <m/>
  </r>
  <r>
    <x v="488"/>
    <n v="17021"/>
    <s v="45812810350050000493"/>
    <n v="49994203.729999997"/>
    <s v="КС-ЦУ-703770/2015/00035"/>
    <m/>
    <d v="2015-10-02T00:00:00"/>
    <m/>
    <m/>
    <n v="3"/>
    <n v="3"/>
    <n v="-2"/>
    <s v="0"/>
    <n v="4"/>
    <n v="4"/>
    <n v="4"/>
    <n v="0"/>
    <n v="1"/>
    <m/>
    <d v="2000-01-01T00:00:00"/>
    <n v="327"/>
    <m/>
    <m/>
    <m/>
    <n v="1"/>
    <m/>
    <m/>
  </r>
  <r>
    <x v="488"/>
    <n v="17022"/>
    <s v="45812810050050000492"/>
    <n v="238707279.13999999"/>
    <s v="КС-ЦУ-703770/2015/00013"/>
    <m/>
    <d v="2015-04-24T00:00:00"/>
    <m/>
    <m/>
    <n v="3"/>
    <n v="3"/>
    <n v="-2"/>
    <s v="0"/>
    <n v="4"/>
    <n v="4"/>
    <n v="4"/>
    <n v="0"/>
    <n v="1"/>
    <m/>
    <d v="2000-01-01T00:00:00"/>
    <n v="360"/>
    <m/>
    <n v="1"/>
    <m/>
    <m/>
    <m/>
    <m/>
  </r>
  <r>
    <x v="488"/>
    <n v="17023"/>
    <s v="45812810650050000494"/>
    <n v="166400000"/>
    <s v="КС-ЦУ-703770/2014/00027"/>
    <m/>
    <d v="2014-08-05T00:00:00"/>
    <m/>
    <m/>
    <n v="3"/>
    <n v="3"/>
    <n v="-2"/>
    <s v="0"/>
    <n v="4"/>
    <n v="4"/>
    <n v="4"/>
    <n v="0"/>
    <n v="1"/>
    <m/>
    <d v="2000-01-01T00:00:00"/>
    <n v="360"/>
    <m/>
    <n v="1"/>
    <m/>
    <m/>
    <m/>
    <m/>
  </r>
  <r>
    <x v="489"/>
    <n v="17470"/>
    <s v="45207810450050000432"/>
    <n v="300000000"/>
    <s v="01250/МР"/>
    <m/>
    <d v="2016-01-13T00:00:00"/>
    <m/>
    <m/>
    <n v="1"/>
    <n v="1"/>
    <m/>
    <m/>
    <n v="1"/>
    <n v="1"/>
    <n v="1"/>
    <n v="0"/>
    <n v="1"/>
    <m/>
    <d v="2016-01-15T00:00:00"/>
    <n v="0"/>
    <m/>
    <m/>
    <m/>
    <m/>
    <m/>
    <m/>
  </r>
  <r>
    <x v="489"/>
    <n v="25379"/>
    <s v="45206810450050000831"/>
    <n v="250000000"/>
    <s v="01441/МР"/>
    <m/>
    <d v="2016-08-04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490"/>
    <n v="18450"/>
    <s v="45207810850050000443"/>
    <n v="210997024.80000001"/>
    <s v="01354/МР"/>
    <m/>
    <d v="2016-05-06T00:00:00"/>
    <m/>
    <m/>
    <n v="1"/>
    <n v="1"/>
    <m/>
    <m/>
    <n v="1"/>
    <n v="1"/>
    <n v="1"/>
    <n v="0"/>
    <n v="1"/>
    <m/>
    <d v="2016-05-16T00:00:00"/>
    <n v="0"/>
    <m/>
    <m/>
    <m/>
    <n v="0"/>
    <m/>
    <m/>
  </r>
  <r>
    <x v="491"/>
    <n v="17195"/>
    <s v="45605840555550000030"/>
    <n v="20842173000"/>
    <s v="б/н_2015-12-02"/>
    <m/>
    <d v="2015-12-02T00:00:00"/>
    <m/>
    <m/>
    <n v="1"/>
    <n v="2"/>
    <n v="-2"/>
    <s v="0"/>
    <n v="1"/>
    <n v="1"/>
    <n v="1"/>
    <n v="0"/>
    <n v="1"/>
    <m/>
    <d v="2015-12-02T00:00:00"/>
    <n v="15"/>
    <s v="2016-09-07"/>
    <n v="0"/>
    <m/>
    <n v="0"/>
    <m/>
    <m/>
  </r>
  <r>
    <x v="492"/>
    <n v="18635"/>
    <s v="45208810555550000551"/>
    <n v="3000000000"/>
    <s v="3863"/>
    <m/>
    <d v="2016-05-12T00:00:00"/>
    <m/>
    <m/>
    <n v="1"/>
    <n v="1"/>
    <n v="-2"/>
    <s v="0"/>
    <n v="1"/>
    <n v="1"/>
    <n v="1"/>
    <n v="0"/>
    <n v="1"/>
    <m/>
    <d v="2016-05-12T00:00:00"/>
    <n v="0"/>
    <m/>
    <m/>
    <m/>
    <n v="0"/>
    <m/>
    <m/>
  </r>
  <r>
    <x v="492"/>
    <n v="19411"/>
    <s v="45207810455550000610"/>
    <n v="1000000000"/>
    <s v="3960"/>
    <m/>
    <d v="2016-05-19T00:00:00"/>
    <m/>
    <m/>
    <n v="1"/>
    <n v="1"/>
    <n v="-2"/>
    <s v="0"/>
    <n v="1"/>
    <n v="1"/>
    <n v="1"/>
    <n v="0"/>
    <n v="1"/>
    <m/>
    <d v="2016-05-19T00:00:00"/>
    <n v="0"/>
    <m/>
    <m/>
    <m/>
    <m/>
    <m/>
    <m/>
  </r>
  <r>
    <x v="493"/>
    <n v="19725"/>
    <s v="45207810755550000611"/>
    <n v="1600000000"/>
    <s v="3867"/>
    <m/>
    <d v="2016-05-16T00:00:00"/>
    <m/>
    <m/>
    <n v="1"/>
    <n v="1"/>
    <m/>
    <m/>
    <n v="1"/>
    <n v="1"/>
    <n v="1"/>
    <n v="0"/>
    <n v="1"/>
    <m/>
    <d v="2016-05-24T00:00:00"/>
    <n v="0"/>
    <m/>
    <m/>
    <m/>
    <m/>
    <m/>
    <m/>
  </r>
  <r>
    <x v="493"/>
    <n v="19728"/>
    <s v="45208810355550000557"/>
    <n v="1500000000"/>
    <s v="3866"/>
    <m/>
    <d v="2016-05-25T00:00:00"/>
    <m/>
    <m/>
    <n v="1"/>
    <n v="1"/>
    <m/>
    <m/>
    <n v="1"/>
    <n v="1"/>
    <n v="1"/>
    <n v="0"/>
    <n v="1"/>
    <m/>
    <d v="2016-05-25T00:00:00"/>
    <n v="0"/>
    <m/>
    <m/>
    <m/>
    <m/>
    <m/>
    <m/>
  </r>
  <r>
    <x v="494"/>
    <n v="18259"/>
    <s v="45606978355550000004"/>
    <n v="6451785487.1300001"/>
    <s v="б/н_2013-12-25"/>
    <m/>
    <d v="2013-12-25T00:00:00"/>
    <m/>
    <m/>
    <n v="2.2000000000000002"/>
    <n v="1"/>
    <m/>
    <m/>
    <n v="2.2000000000000002"/>
    <n v="2.2000000000000002"/>
    <n v="2.2000000000000002"/>
    <n v="0"/>
    <n v="1"/>
    <m/>
    <d v="2000-01-01T00:00:00"/>
    <n v="1"/>
    <s v="2016-05-20"/>
    <m/>
    <m/>
    <n v="0"/>
    <m/>
    <m/>
  </r>
  <r>
    <x v="495"/>
    <n v="19726"/>
    <s v="45207810055550000612"/>
    <n v="270000000"/>
    <s v="3961"/>
    <m/>
    <d v="2016-05-24T00:00:00"/>
    <m/>
    <m/>
    <n v="1"/>
    <n v="1"/>
    <m/>
    <m/>
    <n v="1"/>
    <n v="1"/>
    <n v="1"/>
    <n v="0"/>
    <n v="1"/>
    <m/>
    <d v="2016-05-24T00:00:00"/>
    <n v="0"/>
    <m/>
    <m/>
    <m/>
    <m/>
    <m/>
    <m/>
  </r>
  <r>
    <x v="495"/>
    <n v="19727"/>
    <s v="45208810755550000555"/>
    <n v="630000000"/>
    <s v="3865"/>
    <m/>
    <d v="2016-05-18T00:00:00"/>
    <m/>
    <m/>
    <n v="1"/>
    <n v="1"/>
    <m/>
    <m/>
    <n v="1"/>
    <n v="1"/>
    <n v="1"/>
    <n v="0"/>
    <n v="1"/>
    <m/>
    <d v="2016-05-24T00:00:00"/>
    <n v="0"/>
    <m/>
    <m/>
    <m/>
    <m/>
    <m/>
    <m/>
  </r>
  <r>
    <x v="496"/>
    <n v="20170"/>
    <s v="45204810750050000274"/>
    <n v="29884999.099999998"/>
    <s v="01297/МР"/>
    <m/>
    <d v="2016-05-27T00:00:00"/>
    <m/>
    <m/>
    <n v="1"/>
    <n v="1"/>
    <m/>
    <m/>
    <n v="1"/>
    <n v="1"/>
    <n v="1"/>
    <n v="0"/>
    <n v="1"/>
    <m/>
    <d v="2016-05-31T00:00:00"/>
    <n v="0"/>
    <m/>
    <m/>
    <m/>
    <n v="0"/>
    <m/>
    <m/>
  </r>
  <r>
    <x v="497"/>
    <n v="21518"/>
    <s v="45204810550050000283"/>
    <n v="39000000"/>
    <s v="01298/МР"/>
    <m/>
    <d v="2016-05-27T00:00:00"/>
    <m/>
    <m/>
    <n v="1"/>
    <n v="1"/>
    <m/>
    <m/>
    <n v="1"/>
    <n v="1"/>
    <n v="1"/>
    <n v="0"/>
    <n v="1"/>
    <m/>
    <d v="2016-05-31T00:00:00"/>
    <n v="0"/>
    <m/>
    <m/>
    <m/>
    <n v="0"/>
    <m/>
    <m/>
  </r>
  <r>
    <x v="497"/>
    <n v="24910"/>
    <s v="45204810650050000277"/>
    <n v="31600000"/>
    <s v="01301/МР"/>
    <m/>
    <d v="2016-05-27T00:00:00"/>
    <m/>
    <m/>
    <n v="1"/>
    <n v="1"/>
    <m/>
    <m/>
    <n v="1"/>
    <n v="1"/>
    <n v="1"/>
    <n v="0"/>
    <n v="1"/>
    <m/>
    <d v="2016-05-31T00:00:00"/>
    <n v="0"/>
    <m/>
    <m/>
    <m/>
    <n v="0"/>
    <m/>
    <m/>
  </r>
  <r>
    <x v="498"/>
    <n v="24784"/>
    <s v="45205810750050000493"/>
    <n v="23998142.760000002"/>
    <s v="01299/МР"/>
    <m/>
    <d v="2016-05-27T00:00:00"/>
    <m/>
    <m/>
    <n v="1"/>
    <n v="1"/>
    <m/>
    <m/>
    <n v="1"/>
    <n v="1"/>
    <n v="1"/>
    <n v="0"/>
    <n v="1"/>
    <m/>
    <d v="2016-05-31T00:00:00"/>
    <n v="0"/>
    <m/>
    <m/>
    <m/>
    <n v="0"/>
    <m/>
    <m/>
  </r>
  <r>
    <x v="498"/>
    <n v="24909"/>
    <s v="45205810550050000499"/>
    <n v="15900087.539999999"/>
    <s v="01302/МР"/>
    <m/>
    <d v="2016-05-27T00:00:00"/>
    <m/>
    <m/>
    <n v="1"/>
    <n v="1"/>
    <m/>
    <m/>
    <n v="1"/>
    <n v="1"/>
    <n v="1"/>
    <n v="0"/>
    <n v="1"/>
    <m/>
    <d v="2016-05-31T00:00:00"/>
    <n v="0"/>
    <m/>
    <m/>
    <m/>
    <n v="0"/>
    <m/>
    <m/>
  </r>
  <r>
    <x v="499"/>
    <n v="18260"/>
    <s v="45812810055550000997"/>
    <n v="839161385.71000004"/>
    <s v="38-177/15/170-14-КР"/>
    <m/>
    <d v="2014-07-03T00:00:00"/>
    <m/>
    <m/>
    <n v="1"/>
    <n v="3"/>
    <m/>
    <m/>
    <n v="3"/>
    <n v="3"/>
    <n v="3"/>
    <n v="0"/>
    <n v="1"/>
    <m/>
    <d v="2000-01-01T00:00:00"/>
    <n v="93"/>
    <m/>
    <n v="1"/>
    <m/>
    <m/>
    <m/>
    <m/>
  </r>
  <r>
    <x v="500"/>
    <n v="18261"/>
    <s v="45208810055550000530"/>
    <n v="20161751342.189999"/>
    <s v="79-1006/15/1108-14-КР"/>
    <m/>
    <d v="2014-07-04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501"/>
    <n v="18262"/>
    <s v="45606810155550000016"/>
    <n v="1255000000"/>
    <s v="79-1006/15/1015-13-КР"/>
    <m/>
    <d v="2013-12-12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502"/>
    <n v="17418"/>
    <s v="45205810250050000443"/>
    <n v="140000000"/>
    <s v="01199/МР"/>
    <m/>
    <d v="2015-12-28T00:00:00"/>
    <m/>
    <m/>
    <n v="1"/>
    <n v="1"/>
    <m/>
    <m/>
    <n v="1"/>
    <n v="1"/>
    <n v="1"/>
    <n v="0"/>
    <n v="1"/>
    <m/>
    <d v="2015-12-31T00:00:00"/>
    <n v="0"/>
    <m/>
    <m/>
    <m/>
    <n v="0"/>
    <m/>
    <m/>
  </r>
  <r>
    <x v="503"/>
    <n v="17473"/>
    <s v="45205810450050000434"/>
    <n v="41291358"/>
    <s v="01252/МР"/>
    <m/>
    <d v="2016-01-22T00:00:00"/>
    <m/>
    <m/>
    <n v="1"/>
    <n v="1"/>
    <m/>
    <m/>
    <n v="1"/>
    <n v="1"/>
    <n v="1"/>
    <n v="0"/>
    <n v="1"/>
    <m/>
    <d v="2016-02-05T00:00:00"/>
    <n v="0"/>
    <m/>
    <m/>
    <m/>
    <m/>
    <m/>
    <m/>
  </r>
  <r>
    <x v="504"/>
    <n v="20973"/>
    <s v="47101810300210000138"/>
    <n v="323538500"/>
    <s v="2016-600"/>
    <m/>
    <d v="2016-06-10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505"/>
    <n v="21516"/>
    <s v="45207810255550000616"/>
    <n v="7000000000"/>
    <s v="4032"/>
    <m/>
    <d v="2016-06-17T00:00:00"/>
    <m/>
    <m/>
    <n v="1"/>
    <n v="1"/>
    <m/>
    <m/>
    <n v="1"/>
    <n v="1"/>
    <n v="1"/>
    <n v="0"/>
    <n v="1"/>
    <m/>
    <d v="2016-06-26T00:00:00"/>
    <n v="0"/>
    <m/>
    <m/>
    <m/>
    <n v="0"/>
    <n v="0"/>
    <m/>
  </r>
  <r>
    <x v="506"/>
    <n v="17457"/>
    <s v="45205810850050000432"/>
    <n v="240000000"/>
    <s v="01254/МР"/>
    <m/>
    <d v="2016-01-20T00:00:00"/>
    <m/>
    <m/>
    <n v="1"/>
    <n v="1"/>
    <m/>
    <m/>
    <n v="1"/>
    <n v="1"/>
    <n v="1"/>
    <n v="0"/>
    <n v="1"/>
    <m/>
    <d v="2016-02-01T00:00:00"/>
    <n v="0"/>
    <m/>
    <m/>
    <m/>
    <m/>
    <m/>
    <m/>
  </r>
  <r>
    <x v="507"/>
    <n v="17587"/>
    <s v="45606840955550000024"/>
    <n v="18947430000"/>
    <s v="3892"/>
    <m/>
    <d v="2016-02-19T00:00:00"/>
    <m/>
    <m/>
    <n v="2.2000000000000002"/>
    <n v="1"/>
    <n v="-2"/>
    <s v="0"/>
    <n v="1"/>
    <n v="1"/>
    <n v="1"/>
    <n v="0"/>
    <n v="1"/>
    <m/>
    <d v="2016-02-19T00:00:00"/>
    <n v="0"/>
    <m/>
    <m/>
    <m/>
    <n v="0"/>
    <m/>
    <m/>
  </r>
  <r>
    <x v="508"/>
    <n v="23573"/>
    <s v="45205810150050000488"/>
    <n v="8042068"/>
    <s v="01405/МР"/>
    <m/>
    <d v="2016-07-08T00:00:00"/>
    <m/>
    <m/>
    <n v="1"/>
    <n v="1"/>
    <m/>
    <m/>
    <n v="1"/>
    <n v="1"/>
    <n v="1"/>
    <n v="0"/>
    <n v="1"/>
    <m/>
    <d v="2016-07-25T00:00:00"/>
    <n v="0"/>
    <m/>
    <m/>
    <m/>
    <m/>
    <m/>
    <m/>
  </r>
  <r>
    <x v="509"/>
    <n v="18632"/>
    <s v="45206810108800000003"/>
    <n v="24181099.390000001"/>
    <s v="01277/МР"/>
    <m/>
    <d v="2016-05-12T00:00:00"/>
    <m/>
    <m/>
    <n v="1"/>
    <n v="1"/>
    <m/>
    <m/>
    <n v="1"/>
    <n v="1"/>
    <n v="1"/>
    <n v="0"/>
    <n v="1"/>
    <m/>
    <d v="2016-06-01T00:00:00"/>
    <n v="0"/>
    <s v="2016-06-01"/>
    <m/>
    <m/>
    <m/>
    <m/>
    <m/>
  </r>
  <r>
    <x v="510"/>
    <n v="17497"/>
    <s v="45205810650050000496"/>
    <n v="3390430.25"/>
    <s v="01256/МР"/>
    <m/>
    <d v="2016-01-28T00:00:00"/>
    <m/>
    <m/>
    <n v="1"/>
    <n v="1"/>
    <m/>
    <m/>
    <n v="1"/>
    <n v="1"/>
    <n v="1"/>
    <n v="0"/>
    <n v="1"/>
    <m/>
    <d v="2016-02-01T00:00:00"/>
    <n v="0"/>
    <m/>
    <m/>
    <m/>
    <m/>
    <m/>
    <m/>
  </r>
  <r>
    <x v="511"/>
    <n v="17735"/>
    <s v="45205810208800000001"/>
    <n v="48700000"/>
    <s v="01280/МР"/>
    <m/>
    <d v="2016-02-26T00:00:00"/>
    <m/>
    <m/>
    <n v="1"/>
    <n v="1"/>
    <m/>
    <m/>
    <n v="1"/>
    <n v="1"/>
    <n v="1"/>
    <n v="0"/>
    <n v="1"/>
    <m/>
    <d v="2016-02-29T00:00:00"/>
    <n v="0"/>
    <m/>
    <m/>
    <m/>
    <m/>
    <m/>
    <m/>
  </r>
  <r>
    <x v="512"/>
    <n v="17828"/>
    <s v="45205810950050000468"/>
    <n v="81850000"/>
    <s v="01336/МР"/>
    <m/>
    <d v="2016-04-28T00:00:00"/>
    <m/>
    <m/>
    <n v="1"/>
    <n v="1"/>
    <m/>
    <m/>
    <n v="1"/>
    <n v="1"/>
    <n v="1"/>
    <n v="0"/>
    <n v="1"/>
    <m/>
    <d v="2015-05-05T00:00:00"/>
    <n v="1"/>
    <s v="2016-05-05"/>
    <m/>
    <m/>
    <m/>
    <m/>
    <m/>
  </r>
  <r>
    <x v="513"/>
    <n v="17521"/>
    <s v="45207810150050000431"/>
    <n v="178452381.06"/>
    <s v="01260/МР"/>
    <m/>
    <d v="2016-02-01T00:00:00"/>
    <m/>
    <m/>
    <n v="1"/>
    <n v="1"/>
    <m/>
    <m/>
    <n v="1"/>
    <n v="1"/>
    <n v="1"/>
    <n v="0"/>
    <n v="1"/>
    <m/>
    <d v="2016-02-10T00:00:00"/>
    <n v="0"/>
    <m/>
    <m/>
    <m/>
    <n v="0"/>
    <m/>
    <m/>
  </r>
  <r>
    <x v="513"/>
    <n v="17527"/>
    <s v="45205810150050000501"/>
    <n v="39701566.130000003"/>
    <s v="01261/МР"/>
    <m/>
    <d v="2016-02-01T00:00:00"/>
    <m/>
    <m/>
    <n v="1"/>
    <n v="1"/>
    <m/>
    <m/>
    <n v="1"/>
    <n v="1"/>
    <n v="1"/>
    <n v="0"/>
    <n v="1"/>
    <m/>
    <d v="2016-02-08T00:00:00"/>
    <n v="0"/>
    <m/>
    <m/>
    <m/>
    <m/>
    <m/>
    <m/>
  </r>
  <r>
    <x v="514"/>
    <n v="17830"/>
    <s v="45207810250050000441"/>
    <n v="600000000"/>
    <s v="01342/МР"/>
    <m/>
    <d v="2016-04-29T00:00:00"/>
    <m/>
    <m/>
    <n v="1"/>
    <n v="1"/>
    <m/>
    <m/>
    <n v="1"/>
    <n v="1"/>
    <n v="1"/>
    <n v="0"/>
    <n v="1"/>
    <m/>
    <d v="2016-05-16T00:00:00"/>
    <n v="0"/>
    <m/>
    <m/>
    <m/>
    <m/>
    <m/>
    <m/>
  </r>
  <r>
    <x v="515"/>
    <n v="17646"/>
    <s v="45205810250050000511"/>
    <n v="3778209.33"/>
    <s v="01286/МР"/>
    <m/>
    <d v="2016-03-02T00:00:00"/>
    <m/>
    <m/>
    <n v="1"/>
    <n v="1"/>
    <m/>
    <m/>
    <n v="1"/>
    <n v="1"/>
    <n v="1"/>
    <n v="0"/>
    <n v="1"/>
    <m/>
    <d v="2016-03-17T00:00:00"/>
    <n v="0"/>
    <m/>
    <m/>
    <m/>
    <m/>
    <m/>
    <m/>
  </r>
  <r>
    <x v="516"/>
    <n v="17829"/>
    <s v="45207810750050000446"/>
    <n v="831637929.60000002"/>
    <s v="01333/МР"/>
    <m/>
    <d v="2016-04-29T00:00:00"/>
    <m/>
    <m/>
    <n v="2.1"/>
    <n v="1"/>
    <m/>
    <m/>
    <n v="2.1"/>
    <n v="2.1"/>
    <n v="2.1"/>
    <n v="0"/>
    <n v="1"/>
    <m/>
    <d v="2016-05-26T00:00:00"/>
    <n v="0"/>
    <m/>
    <m/>
    <m/>
    <n v="0"/>
    <m/>
    <m/>
  </r>
  <r>
    <x v="516"/>
    <n v="23093"/>
    <s v="45207810850050000456"/>
    <n v="413357065"/>
    <s v="01396/МР"/>
    <m/>
    <d v="2016-06-29T00:00:00"/>
    <m/>
    <m/>
    <n v="2.1"/>
    <n v="1"/>
    <m/>
    <m/>
    <n v="2.1"/>
    <n v="2.1"/>
    <n v="2.1"/>
    <n v="0"/>
    <n v="1"/>
    <m/>
    <d v="2016-07-08T00:00:00"/>
    <n v="0"/>
    <m/>
    <m/>
    <m/>
    <n v="0"/>
    <m/>
    <m/>
  </r>
  <r>
    <x v="517"/>
    <n v="17803"/>
    <s v="45206810750050000803"/>
    <n v="72800000"/>
    <s v="01278/МР"/>
    <m/>
    <d v="2016-04-15T00:00:00"/>
    <m/>
    <m/>
    <n v="1"/>
    <n v="1"/>
    <m/>
    <m/>
    <n v="1"/>
    <n v="1"/>
    <n v="1"/>
    <n v="0"/>
    <n v="1"/>
    <m/>
    <d v="2016-04-28T00:00:00"/>
    <n v="0"/>
    <m/>
    <m/>
    <m/>
    <n v="0"/>
    <m/>
    <m/>
  </r>
  <r>
    <x v="518"/>
    <n v="22030"/>
    <s v="45207810155550000619"/>
    <n v="274160000"/>
    <s v="3920"/>
    <m/>
    <d v="2016-06-23T00:00:00"/>
    <m/>
    <m/>
    <n v="1"/>
    <n v="1"/>
    <m/>
    <m/>
    <n v="1"/>
    <n v="1"/>
    <n v="1"/>
    <n v="0"/>
    <n v="1"/>
    <m/>
    <d v="2016-07-07T00:00:00"/>
    <n v="0"/>
    <m/>
    <m/>
    <m/>
    <m/>
    <m/>
    <m/>
  </r>
  <r>
    <x v="519"/>
    <n v="17779"/>
    <s v="45204810650050000264"/>
    <n v="139959368.19"/>
    <s v="01326/МР"/>
    <m/>
    <d v="2016-04-19T00:00:00"/>
    <m/>
    <m/>
    <n v="1"/>
    <n v="1"/>
    <m/>
    <m/>
    <n v="1"/>
    <n v="1"/>
    <n v="1"/>
    <n v="0"/>
    <n v="1"/>
    <m/>
    <d v="2016-04-29T00:00:00"/>
    <n v="0"/>
    <m/>
    <m/>
    <m/>
    <m/>
    <m/>
    <m/>
  </r>
  <r>
    <x v="520"/>
    <n v="17760"/>
    <s v="45204810750050000261"/>
    <n v="30000000"/>
    <s v="01304/МР"/>
    <m/>
    <d v="2016-04-04T00:00:00"/>
    <m/>
    <m/>
    <n v="1"/>
    <n v="1"/>
    <m/>
    <m/>
    <n v="1"/>
    <n v="1"/>
    <n v="1"/>
    <n v="0"/>
    <n v="1"/>
    <m/>
    <d v="2016-04-25T00:00:00"/>
    <n v="0"/>
    <m/>
    <m/>
    <m/>
    <m/>
    <m/>
    <m/>
  </r>
  <r>
    <x v="521"/>
    <n v="17755"/>
    <s v="45205810950050000455"/>
    <n v="167000000"/>
    <s v="01323/МР"/>
    <m/>
    <d v="2016-04-05T00:00:00"/>
    <m/>
    <m/>
    <n v="1"/>
    <n v="1"/>
    <m/>
    <m/>
    <n v="1"/>
    <n v="1"/>
    <n v="1"/>
    <n v="0"/>
    <n v="1"/>
    <m/>
    <d v="2016-04-25T00:00:00"/>
    <n v="0"/>
    <m/>
    <m/>
    <m/>
    <n v="0"/>
    <m/>
    <m/>
  </r>
  <r>
    <x v="521"/>
    <n v="19989"/>
    <s v="45207810050050000447"/>
    <n v="119130434.78"/>
    <s v="01324/МР"/>
    <m/>
    <d v="2016-05-30T00:00:00"/>
    <m/>
    <m/>
    <n v="1"/>
    <n v="1"/>
    <m/>
    <m/>
    <n v="1"/>
    <n v="1"/>
    <n v="1"/>
    <n v="0"/>
    <n v="1"/>
    <m/>
    <d v="2016-06-27T00:00:00"/>
    <n v="0"/>
    <m/>
    <m/>
    <m/>
    <n v="0"/>
    <m/>
    <m/>
  </r>
  <r>
    <x v="522"/>
    <n v="19294"/>
    <s v="45207810055550000609"/>
    <n v="159428606"/>
    <s v="3951"/>
    <m/>
    <d v="2016-03-29T00:00:00"/>
    <m/>
    <m/>
    <n v="1"/>
    <n v="1"/>
    <m/>
    <m/>
    <n v="1"/>
    <n v="1"/>
    <n v="1"/>
    <n v="0"/>
    <n v="1"/>
    <m/>
    <d v="2016-06-05T00:00:00"/>
    <n v="0"/>
    <m/>
    <m/>
    <m/>
    <m/>
    <m/>
    <m/>
  </r>
  <r>
    <x v="523"/>
    <n v="24155"/>
    <s v="44606810555550000154"/>
    <n v="42860638.789999999"/>
    <s v="3953"/>
    <m/>
    <d v="2016-05-18T00:00:00"/>
    <m/>
    <m/>
    <n v="1"/>
    <n v="1"/>
    <m/>
    <m/>
    <n v="1"/>
    <n v="1"/>
    <n v="1"/>
    <n v="0"/>
    <n v="1"/>
    <m/>
    <d v="2016-08-05T00:00:00"/>
    <n v="0"/>
    <m/>
    <m/>
    <m/>
    <m/>
    <m/>
    <m/>
  </r>
  <r>
    <x v="524"/>
    <n v="18263"/>
    <s v="45208810755550000542"/>
    <n v="325000000"/>
    <s v="38-177/15/497-13-КР"/>
    <m/>
    <d v="2013-10-24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524"/>
    <n v="19729"/>
    <s v="45208810055550000556"/>
    <n v="2519185000"/>
    <s v="3990"/>
    <m/>
    <d v="2016-05-25T00:00:00"/>
    <m/>
    <m/>
    <n v="1"/>
    <n v="1"/>
    <m/>
    <m/>
    <n v="1"/>
    <n v="1"/>
    <n v="1"/>
    <n v="0"/>
    <n v="0"/>
    <m/>
    <d v="2016-10-20T00:00:00"/>
    <n v="0"/>
    <m/>
    <m/>
    <m/>
    <m/>
    <m/>
    <m/>
  </r>
  <r>
    <x v="525"/>
    <n v="18264"/>
    <s v="45108810555550000033"/>
    <n v="30549993199.93"/>
    <s v="38-196/15/139-14-КР"/>
    <m/>
    <d v="2014-09-29T00:00:00"/>
    <m/>
    <m/>
    <n v="1"/>
    <n v="1"/>
    <m/>
    <m/>
    <n v="1"/>
    <n v="1"/>
    <n v="1"/>
    <n v="0"/>
    <n v="1"/>
    <m/>
    <d v="2000-01-01T00:00:00"/>
    <n v="0"/>
    <m/>
    <n v="0"/>
    <m/>
    <n v="0"/>
    <m/>
    <m/>
  </r>
  <r>
    <x v="526"/>
    <n v="18265"/>
    <s v="45108810855550000034"/>
    <n v="8487497112"/>
    <s v="38-196/15/204-13-КР"/>
    <m/>
    <d v="2013-09-27T00:00:00"/>
    <m/>
    <m/>
    <n v="2.1"/>
    <n v="1"/>
    <m/>
    <m/>
    <n v="2.1"/>
    <n v="2.1"/>
    <n v="2.1"/>
    <n v="0"/>
    <n v="1"/>
    <m/>
    <d v="2000-01-01T00:00:00"/>
    <n v="0"/>
    <m/>
    <n v="0"/>
    <m/>
    <n v="0"/>
    <m/>
    <m/>
  </r>
  <r>
    <x v="527"/>
    <n v="18266"/>
    <s v="45108810955550000028"/>
    <n v="1972752259.9000001"/>
    <s v="38-196/15/48-13-КР"/>
    <m/>
    <d v="2013-04-11T00:00:00"/>
    <m/>
    <m/>
    <n v="1"/>
    <n v="1"/>
    <m/>
    <m/>
    <n v="1"/>
    <n v="1"/>
    <n v="1"/>
    <n v="0"/>
    <n v="1"/>
    <m/>
    <d v="2000-01-01T00:00:00"/>
    <n v="0"/>
    <m/>
    <m/>
    <n v="0"/>
    <n v="0"/>
    <m/>
    <m/>
  </r>
  <r>
    <x v="528"/>
    <n v="17618"/>
    <s v="47408840700210005024"/>
    <n v="5684.23"/>
    <s v="47408%5024_конв.сд."/>
    <m/>
    <d v="2016-01-11T00:00:00"/>
    <m/>
    <m/>
    <n v="2"/>
    <n v="3"/>
    <m/>
    <m/>
    <n v="4"/>
    <n v="4"/>
    <n v="4"/>
    <n v="0"/>
    <n v="1"/>
    <m/>
    <d v="2000-01-01T00:00:00"/>
    <n v="259"/>
    <m/>
    <m/>
    <m/>
    <m/>
    <m/>
    <m/>
  </r>
  <r>
    <x v="529"/>
    <n v="17738"/>
    <s v="45205810508800000015"/>
    <n v="52710000"/>
    <s v="01314/МР"/>
    <m/>
    <d v="2016-03-24T00:00:00"/>
    <m/>
    <m/>
    <n v="2.1"/>
    <n v="1"/>
    <m/>
    <m/>
    <n v="2.1"/>
    <n v="2.1"/>
    <n v="2.1"/>
    <n v="0"/>
    <n v="1"/>
    <m/>
    <d v="2016-03-31T00:00:00"/>
    <n v="0"/>
    <m/>
    <m/>
    <m/>
    <m/>
    <m/>
    <m/>
  </r>
  <r>
    <x v="530"/>
    <n v="19563"/>
    <s v="45208810450050000172"/>
    <n v="249275250"/>
    <s v="01371/МР"/>
    <m/>
    <d v="2016-05-20T00:00:00"/>
    <m/>
    <m/>
    <n v="1"/>
    <n v="1"/>
    <m/>
    <m/>
    <n v="1"/>
    <n v="1"/>
    <n v="1"/>
    <n v="0"/>
    <n v="1"/>
    <m/>
    <d v="2016-05-31T00:00:00"/>
    <n v="0"/>
    <m/>
    <m/>
    <m/>
    <m/>
    <m/>
    <m/>
  </r>
  <r>
    <x v="531"/>
    <n v="17730"/>
    <s v="45206810950050000797"/>
    <n v="150000000"/>
    <s v="01321/МР"/>
    <m/>
    <d v="2016-04-04T00:00:00"/>
    <m/>
    <m/>
    <n v="1"/>
    <n v="1"/>
    <m/>
    <m/>
    <n v="1"/>
    <n v="1"/>
    <n v="1"/>
    <n v="0"/>
    <n v="1"/>
    <m/>
    <d v="2016-04-15T00:00:00"/>
    <n v="0"/>
    <m/>
    <m/>
    <m/>
    <m/>
    <m/>
    <m/>
  </r>
  <r>
    <x v="532"/>
    <n v="21907"/>
    <s v="45208810255550000563"/>
    <n v="5000000000"/>
    <s v="б/н_2016-05-16"/>
    <m/>
    <d v="2016-05-16T00:00:00"/>
    <m/>
    <m/>
    <n v="1"/>
    <n v="1"/>
    <m/>
    <m/>
    <n v="1"/>
    <n v="1"/>
    <n v="1"/>
    <n v="0"/>
    <n v="1"/>
    <m/>
    <d v="2016-06-23T00:00:00"/>
    <n v="0"/>
    <m/>
    <m/>
    <m/>
    <n v="0"/>
    <m/>
    <m/>
  </r>
  <r>
    <x v="533"/>
    <n v="18267"/>
    <s v="47423810250050005121"/>
    <n v="1656843860.55"/>
    <s v="109-4042/18/17-15-У/1"/>
    <m/>
    <d v="2015-12-21T00:00:00"/>
    <m/>
    <m/>
    <n v="2.2000000000000002"/>
    <n v="2"/>
    <m/>
    <m/>
    <n v="3.2"/>
    <n v="3.2"/>
    <n v="3.2"/>
    <n v="0"/>
    <n v="1"/>
    <m/>
    <d v="2000-01-01T00:00:00"/>
    <n v="0"/>
    <m/>
    <n v="1"/>
    <m/>
    <m/>
    <m/>
    <m/>
  </r>
  <r>
    <x v="533"/>
    <n v="18268"/>
    <s v="47423810750050005155"/>
    <n v="1718957236.54"/>
    <s v="109-4042/18/95-15-У"/>
    <m/>
    <d v="2015-12-21T00:00:00"/>
    <m/>
    <m/>
    <n v="2.2000000000000002"/>
    <n v="2"/>
    <m/>
    <m/>
    <n v="3.2"/>
    <n v="3.2"/>
    <n v="3.2"/>
    <n v="0"/>
    <n v="1"/>
    <m/>
    <d v="2000-01-01T00:00:00"/>
    <n v="0"/>
    <m/>
    <n v="1"/>
    <m/>
    <m/>
    <m/>
    <m/>
  </r>
  <r>
    <x v="534"/>
    <n v="22964"/>
    <s v="44606810955550000152"/>
    <n v="425000000"/>
    <s v="3966"/>
    <m/>
    <d v="2016-05-16T00:00:00"/>
    <m/>
    <m/>
    <n v="1"/>
    <n v="1"/>
    <m/>
    <m/>
    <n v="1"/>
    <n v="1"/>
    <n v="1"/>
    <n v="0"/>
    <n v="1"/>
    <m/>
    <d v="2015-08-05T00:00:00"/>
    <n v="0"/>
    <m/>
    <m/>
    <m/>
    <m/>
    <m/>
    <m/>
  </r>
  <r>
    <x v="535"/>
    <n v="17742"/>
    <s v="45206810812800000001"/>
    <n v="8733919.7400000002"/>
    <s v="01325/МР"/>
    <m/>
    <d v="2016-04-06T00:00:00"/>
    <m/>
    <m/>
    <n v="1"/>
    <n v="1"/>
    <m/>
    <m/>
    <n v="1"/>
    <n v="1"/>
    <n v="1"/>
    <n v="0"/>
    <n v="1"/>
    <m/>
    <d v="2016-05-04T00:00:00"/>
    <n v="0"/>
    <s v="2016-06-01"/>
    <m/>
    <m/>
    <m/>
    <m/>
    <m/>
  </r>
  <r>
    <x v="536"/>
    <n v="19920"/>
    <s v="45205810450050000502"/>
    <n v="90010000.029999986"/>
    <s v="01345/МР"/>
    <m/>
    <d v="2016-05-16T00:00:00"/>
    <m/>
    <m/>
    <n v="1"/>
    <n v="1"/>
    <m/>
    <m/>
    <n v="1"/>
    <n v="1"/>
    <n v="1"/>
    <n v="0"/>
    <n v="1"/>
    <m/>
    <d v="2016-05-31T00:00:00"/>
    <n v="0"/>
    <m/>
    <m/>
    <m/>
    <m/>
    <m/>
    <m/>
  </r>
  <r>
    <x v="537"/>
    <n v="18803"/>
    <s v="44505810116800000001"/>
    <n v="100000000"/>
    <s v="01332/МР"/>
    <m/>
    <d v="2016-05-13T00:00:00"/>
    <m/>
    <m/>
    <n v="1"/>
    <n v="1"/>
    <m/>
    <m/>
    <n v="1"/>
    <n v="1"/>
    <n v="1"/>
    <n v="0"/>
    <n v="1"/>
    <m/>
    <d v="2016-06-01T00:00:00"/>
    <n v="0"/>
    <m/>
    <m/>
    <m/>
    <n v="0"/>
    <m/>
    <m/>
  </r>
  <r>
    <x v="538"/>
    <n v="17812"/>
    <s v="45207810355550000600"/>
    <n v="474982275.75"/>
    <s v="3973"/>
    <m/>
    <d v="2016-04-28T00:00:00"/>
    <m/>
    <m/>
    <n v="1"/>
    <n v="1"/>
    <m/>
    <m/>
    <n v="1"/>
    <n v="1"/>
    <n v="1"/>
    <n v="0"/>
    <n v="1"/>
    <m/>
    <d v="2016-05-20T00:00:00"/>
    <n v="0"/>
    <m/>
    <m/>
    <m/>
    <n v="0"/>
    <m/>
    <m/>
  </r>
  <r>
    <x v="539"/>
    <n v="21519"/>
    <s v="45207810950050000453"/>
    <n v="100000000"/>
    <s v="01331/МР"/>
    <m/>
    <d v="2016-06-15T00:00:00"/>
    <m/>
    <m/>
    <n v="1"/>
    <n v="1"/>
    <m/>
    <m/>
    <n v="1"/>
    <n v="1"/>
    <n v="1"/>
    <n v="0"/>
    <n v="1"/>
    <m/>
    <d v="2016-06-29T00:00:00"/>
    <n v="3"/>
    <s v="2016-08-01"/>
    <m/>
    <m/>
    <m/>
    <m/>
    <m/>
  </r>
  <r>
    <x v="540"/>
    <n v="17704"/>
    <s v="45812810850050000508"/>
    <n v="539729093.74000001"/>
    <s v="КС-ЦУ-703710/2015/00059"/>
    <m/>
    <d v="2015-08-14T00:00:00"/>
    <m/>
    <m/>
    <n v="1"/>
    <n v="3"/>
    <m/>
    <m/>
    <n v="3"/>
    <n v="3"/>
    <n v="3"/>
    <n v="0"/>
    <n v="1"/>
    <m/>
    <d v="2000-01-01T00:00:00"/>
    <n v="320"/>
    <m/>
    <m/>
    <m/>
    <n v="0"/>
    <m/>
    <m/>
  </r>
  <r>
    <x v="541"/>
    <n v="17778"/>
    <s v="20312A98300210000009"/>
    <n v="40030193.25"/>
    <s v="007"/>
    <m/>
    <d v="2016-04-18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41"/>
    <n v="18269"/>
    <s v="20312A98700210000010"/>
    <n v="34692834.149999999"/>
    <s v="008"/>
    <m/>
    <d v="2016-05-06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41"/>
    <n v="20225"/>
    <s v="20312A98000210000011"/>
    <n v="29355475.050000001"/>
    <s v="009"/>
    <m/>
    <d v="2016-05-23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41"/>
    <n v="20226"/>
    <s v="20312A98300210000012"/>
    <n v="37361513.700000003"/>
    <s v="010"/>
    <m/>
    <d v="2016-05-27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41"/>
    <n v="21386"/>
    <s v="20312A98600210000013"/>
    <n v="40030193.25"/>
    <s v="011"/>
    <m/>
    <d v="2016-06-15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41"/>
    <n v="21792"/>
    <s v="20312A98900210000014"/>
    <n v="37361513.700000003"/>
    <s v="012"/>
    <m/>
    <d v="2016-06-21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41"/>
    <n v="22406"/>
    <s v="20312A98200210000015"/>
    <n v="29355475.050000001"/>
    <s v="013"/>
    <m/>
    <d v="2016-06-28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41"/>
    <n v="22965"/>
    <s v="20312A98500210000016"/>
    <n v="26686795.5"/>
    <s v="014"/>
    <m/>
    <d v="2016-07-04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41"/>
    <n v="26356"/>
    <s v="20312A98800210000020"/>
    <n v="34692834.149999999"/>
    <s v="017"/>
    <m/>
    <d v="2016-08-05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41"/>
    <n v="26618"/>
    <s v="20312A98400210000022"/>
    <n v="48036231.899999999"/>
    <s v="019"/>
    <m/>
    <d v="2016-08-23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41"/>
    <n v="100006852"/>
    <s v="20312A98700210000023"/>
    <n v="45367552.350000001"/>
    <m/>
    <m/>
    <m/>
    <m/>
    <m/>
    <n v="1"/>
    <n v="1"/>
    <m/>
    <m/>
    <n v="1"/>
    <n v="1"/>
    <n v="1"/>
    <n v="0"/>
    <m/>
    <m/>
    <m/>
    <n v="0"/>
    <m/>
    <m/>
    <m/>
    <m/>
    <m/>
    <m/>
  </r>
  <r>
    <x v="542"/>
    <n v="19919"/>
    <s v="45207810650050000452"/>
    <n v="150000000"/>
    <s v="01329/МР"/>
    <m/>
    <d v="2016-05-11T00:00:00"/>
    <m/>
    <m/>
    <n v="1"/>
    <n v="1"/>
    <m/>
    <m/>
    <n v="1"/>
    <n v="1"/>
    <n v="1"/>
    <n v="0"/>
    <n v="1"/>
    <m/>
    <d v="2016-06-30T00:00:00"/>
    <n v="0"/>
    <m/>
    <m/>
    <m/>
    <n v="0"/>
    <m/>
    <m/>
  </r>
  <r>
    <x v="543"/>
    <n v="100006854"/>
    <s v="20312A98100210000005"/>
    <n v="773917069.5"/>
    <m/>
    <m/>
    <m/>
    <m/>
    <m/>
    <n v="1"/>
    <n v="1"/>
    <m/>
    <m/>
    <n v="1"/>
    <n v="1"/>
    <n v="1"/>
    <n v="0"/>
    <m/>
    <m/>
    <m/>
    <n v="0"/>
    <m/>
    <m/>
    <m/>
    <m/>
    <m/>
    <m/>
  </r>
  <r>
    <x v="544"/>
    <n v="17831"/>
    <s v="45206810150050000814"/>
    <n v="142000000"/>
    <s v="01349/МР"/>
    <m/>
    <d v="2016-04-29T00:00:00"/>
    <m/>
    <m/>
    <n v="1"/>
    <n v="1"/>
    <m/>
    <m/>
    <n v="1"/>
    <n v="1"/>
    <n v="1"/>
    <n v="0"/>
    <n v="1"/>
    <m/>
    <d v="2016-05-25T00:00:00"/>
    <n v="0"/>
    <m/>
    <m/>
    <m/>
    <m/>
    <m/>
    <m/>
  </r>
  <r>
    <x v="545"/>
    <n v="17786"/>
    <s v="45207810250050000438"/>
    <n v="84110628"/>
    <s v="01346/МР"/>
    <m/>
    <d v="2016-04-22T00:00:00"/>
    <m/>
    <m/>
    <n v="1"/>
    <n v="1"/>
    <m/>
    <m/>
    <n v="1"/>
    <n v="1"/>
    <n v="1"/>
    <n v="0"/>
    <n v="1"/>
    <m/>
    <d v="2016-04-25T00:00:00"/>
    <n v="0"/>
    <m/>
    <m/>
    <m/>
    <m/>
    <m/>
    <m/>
  </r>
  <r>
    <x v="545"/>
    <n v="17827"/>
    <s v="45206810650050000806"/>
    <n v="100000000"/>
    <s v="01350/МР"/>
    <m/>
    <d v="2016-04-26T00:00:00"/>
    <m/>
    <m/>
    <n v="1"/>
    <n v="1"/>
    <m/>
    <m/>
    <n v="1"/>
    <n v="1"/>
    <n v="1"/>
    <n v="0"/>
    <n v="1"/>
    <m/>
    <d v="2016-05-25T00:00:00"/>
    <n v="0"/>
    <m/>
    <m/>
    <m/>
    <m/>
    <m/>
    <m/>
  </r>
  <r>
    <x v="546"/>
    <n v="17804"/>
    <s v="45206810050050000804"/>
    <n v="250000000"/>
    <s v="01357/МР"/>
    <m/>
    <d v="2016-04-26T00:00:00"/>
    <m/>
    <m/>
    <n v="1"/>
    <n v="1"/>
    <m/>
    <m/>
    <n v="1"/>
    <n v="1"/>
    <n v="1"/>
    <n v="0"/>
    <n v="1"/>
    <m/>
    <d v="2016-04-29T00:00:00"/>
    <n v="0"/>
    <m/>
    <m/>
    <m/>
    <m/>
    <m/>
    <m/>
  </r>
  <r>
    <x v="547"/>
    <n v="21514"/>
    <s v="45208810050050000174"/>
    <n v="61512512.210000001"/>
    <s v="01386/МР"/>
    <m/>
    <d v="2016-06-20T00:00:00"/>
    <m/>
    <m/>
    <n v="2.2000000000000002"/>
    <n v="1"/>
    <m/>
    <m/>
    <n v="2.2000000000000002"/>
    <n v="2.2000000000000002"/>
    <n v="2.2000000000000002"/>
    <n v="0"/>
    <n v="1"/>
    <m/>
    <d v="2016-06-20T00:00:00"/>
    <n v="0"/>
    <m/>
    <m/>
    <m/>
    <m/>
    <m/>
    <m/>
  </r>
  <r>
    <x v="548"/>
    <n v="17833"/>
    <s v="45205810250050000469"/>
    <n v="35000000"/>
    <s v="01355/МР"/>
    <m/>
    <d v="2016-04-29T00:00:00"/>
    <m/>
    <m/>
    <n v="1"/>
    <n v="1"/>
    <m/>
    <m/>
    <n v="1"/>
    <n v="1"/>
    <n v="1"/>
    <n v="0"/>
    <n v="1"/>
    <m/>
    <d v="2015-05-10T00:00:00"/>
    <n v="0"/>
    <m/>
    <m/>
    <m/>
    <m/>
    <m/>
    <m/>
  </r>
  <r>
    <x v="549"/>
    <n v="20313"/>
    <s v="45208810955550000559"/>
    <n v="31062500000"/>
    <s v="б/н_2016-06-03"/>
    <m/>
    <d v="2016-06-03T00:00:00"/>
    <m/>
    <m/>
    <n v="1"/>
    <n v="1"/>
    <m/>
    <m/>
    <n v="1"/>
    <n v="1"/>
    <n v="1"/>
    <n v="0"/>
    <n v="1"/>
    <m/>
    <d v="2016-06-06T00:00:00"/>
    <n v="0"/>
    <m/>
    <m/>
    <m/>
    <n v="0"/>
    <m/>
    <m/>
  </r>
  <r>
    <x v="550"/>
    <n v="21911"/>
    <s v="45205810350050000479"/>
    <n v="61248525"/>
    <s v="01361/МР"/>
    <m/>
    <d v="2016-05-26T00:00:00"/>
    <m/>
    <m/>
    <n v="1"/>
    <n v="1"/>
    <m/>
    <m/>
    <n v="1"/>
    <n v="1"/>
    <n v="1"/>
    <n v="0"/>
    <n v="1"/>
    <m/>
    <d v="2016-07-12T00:00:00"/>
    <n v="0"/>
    <m/>
    <m/>
    <m/>
    <m/>
    <m/>
    <m/>
  </r>
  <r>
    <x v="551"/>
    <n v="18270"/>
    <s v="47423810450050005206"/>
    <n v="7720864055.46"/>
    <s v="109-4042/18/96-15-У"/>
    <m/>
    <d v="2015-12-24T00:00:00"/>
    <m/>
    <m/>
    <n v="3"/>
    <n v="2"/>
    <n v="-2"/>
    <s v="0"/>
    <n v="3"/>
    <n v="3"/>
    <n v="3"/>
    <n v="0"/>
    <n v="1"/>
    <m/>
    <d v="2000-01-01T00:00:00"/>
    <n v="0"/>
    <m/>
    <m/>
    <n v="1"/>
    <m/>
    <m/>
    <m/>
  </r>
  <r>
    <x v="552"/>
    <n v="22653"/>
    <s v="45206810715800000001"/>
    <n v="43196583"/>
    <s v="01401/МР"/>
    <m/>
    <d v="2016-07-05T00:00:00"/>
    <m/>
    <m/>
    <n v="1"/>
    <n v="1"/>
    <m/>
    <m/>
    <n v="1"/>
    <n v="1"/>
    <n v="1"/>
    <n v="0"/>
    <n v="1"/>
    <m/>
    <d v="2016-08-05T00:00:00"/>
    <n v="0"/>
    <m/>
    <m/>
    <m/>
    <m/>
    <m/>
    <m/>
  </r>
  <r>
    <x v="553"/>
    <n v="22652"/>
    <s v="45206810315800000003"/>
    <n v="136704170"/>
    <s v="01399/МР"/>
    <m/>
    <d v="2016-07-05T00:00:00"/>
    <m/>
    <m/>
    <n v="1"/>
    <n v="1"/>
    <m/>
    <m/>
    <n v="1"/>
    <n v="1"/>
    <n v="1"/>
    <n v="0"/>
    <n v="1"/>
    <m/>
    <d v="2016-08-05T00:00:00"/>
    <n v="0"/>
    <m/>
    <m/>
    <m/>
    <m/>
    <m/>
    <m/>
  </r>
  <r>
    <x v="554"/>
    <n v="18271"/>
    <s v="45812810055550000984"/>
    <n v="2160279748.54"/>
    <s v="38-177/15/51-13-КР"/>
    <m/>
    <d v="2013-03-29T00:00:00"/>
    <m/>
    <m/>
    <n v="1"/>
    <n v="3"/>
    <m/>
    <m/>
    <n v="3"/>
    <n v="3"/>
    <n v="3"/>
    <n v="0"/>
    <n v="1"/>
    <m/>
    <d v="2000-01-01T00:00:00"/>
    <n v="243"/>
    <m/>
    <n v="0"/>
    <m/>
    <m/>
    <m/>
    <m/>
  </r>
  <r>
    <x v="554"/>
    <n v="18272"/>
    <s v="45812810255550000991"/>
    <n v="1124697938.6800001"/>
    <s v="38-177/15/74-13-КР"/>
    <m/>
    <d v="2013-05-31T00:00:00"/>
    <m/>
    <m/>
    <n v="1"/>
    <n v="3"/>
    <m/>
    <m/>
    <n v="3"/>
    <n v="3"/>
    <n v="3"/>
    <n v="0"/>
    <n v="1"/>
    <m/>
    <d v="2000-01-01T00:00:00"/>
    <n v="243"/>
    <m/>
    <n v="0"/>
    <m/>
    <m/>
    <m/>
    <m/>
  </r>
  <r>
    <x v="554"/>
    <n v="18273"/>
    <s v="45812810755550000996"/>
    <n v="483557854.64999998"/>
    <s v="79-1006/15/1126-14-КР"/>
    <m/>
    <d v="2014-06-09T00:00:00"/>
    <m/>
    <m/>
    <n v="1"/>
    <n v="3"/>
    <m/>
    <m/>
    <n v="3"/>
    <n v="3"/>
    <n v="3"/>
    <n v="0"/>
    <n v="1"/>
    <m/>
    <d v="2000-01-01T00:00:00"/>
    <n v="243"/>
    <m/>
    <m/>
    <m/>
    <m/>
    <m/>
    <m/>
  </r>
  <r>
    <x v="554"/>
    <n v="18274"/>
    <s v="45812810155550000994"/>
    <n v="800000000"/>
    <s v="79-1006/15/1162-14-КР"/>
    <m/>
    <d v="2014-08-05T00:00:00"/>
    <m/>
    <m/>
    <n v="1"/>
    <n v="3"/>
    <m/>
    <m/>
    <n v="3"/>
    <n v="3"/>
    <n v="3"/>
    <n v="0"/>
    <n v="1"/>
    <m/>
    <d v="2000-01-01T00:00:00"/>
    <n v="243"/>
    <m/>
    <m/>
    <m/>
    <m/>
    <m/>
    <m/>
  </r>
  <r>
    <x v="555"/>
    <n v="22651"/>
    <s v="45205810950050000484"/>
    <n v="48913375.18"/>
    <s v="01377/МР"/>
    <m/>
    <d v="2016-06-30T00:00:00"/>
    <m/>
    <m/>
    <n v="1"/>
    <n v="1"/>
    <m/>
    <m/>
    <n v="1"/>
    <n v="1"/>
    <n v="1"/>
    <n v="0"/>
    <n v="1"/>
    <m/>
    <d v="2016-07-30T00:00:00"/>
    <n v="0"/>
    <m/>
    <m/>
    <m/>
    <m/>
    <m/>
    <m/>
  </r>
  <r>
    <x v="556"/>
    <n v="20315"/>
    <s v="45206810016800000001"/>
    <n v="147677540"/>
    <s v="01372/МР"/>
    <m/>
    <d v="2016-06-07T00:00:00"/>
    <m/>
    <m/>
    <n v="1"/>
    <n v="1"/>
    <m/>
    <m/>
    <n v="1"/>
    <n v="1"/>
    <n v="1"/>
    <n v="0"/>
    <n v="1"/>
    <m/>
    <d v="2016-06-15T00:00:00"/>
    <n v="0"/>
    <m/>
    <m/>
    <m/>
    <m/>
    <m/>
    <m/>
  </r>
  <r>
    <x v="557"/>
    <n v="22159"/>
    <s v="45205810350050000482"/>
    <n v="41752580.390000001"/>
    <s v="01376/МР"/>
    <m/>
    <d v="2016-06-08T00:00:00"/>
    <m/>
    <m/>
    <n v="1"/>
    <n v="1"/>
    <m/>
    <m/>
    <n v="1"/>
    <n v="1"/>
    <n v="1"/>
    <n v="0"/>
    <n v="1"/>
    <m/>
    <d v="2016-06-23T00:00:00"/>
    <n v="0"/>
    <m/>
    <m/>
    <m/>
    <n v="0"/>
    <m/>
    <m/>
  </r>
  <r>
    <x v="558"/>
    <n v="22158"/>
    <s v="45205810250050000485"/>
    <n v="29634042.379999999"/>
    <s v="01373/МР"/>
    <m/>
    <d v="2016-06-08T00:00:00"/>
    <m/>
    <m/>
    <n v="1"/>
    <n v="1"/>
    <m/>
    <m/>
    <n v="1"/>
    <n v="1"/>
    <n v="1"/>
    <n v="0"/>
    <n v="1"/>
    <m/>
    <d v="2016-06-23T00:00:00"/>
    <n v="0"/>
    <m/>
    <m/>
    <n v="0"/>
    <m/>
    <m/>
    <m/>
  </r>
  <r>
    <x v="559"/>
    <n v="26641"/>
    <s v="45208810519800000001"/>
    <n v="368530105.25999999"/>
    <s v="01438/МР"/>
    <m/>
    <d v="2016-09-15T00:00:00"/>
    <m/>
    <m/>
    <n v="1"/>
    <n v="1"/>
    <m/>
    <m/>
    <n v="1"/>
    <n v="1"/>
    <n v="1"/>
    <n v="0"/>
    <n v="1"/>
    <m/>
    <d v="2016-09-27T00:00:00"/>
    <n v="0"/>
    <m/>
    <m/>
    <m/>
    <n v="0"/>
    <m/>
    <m/>
  </r>
  <r>
    <x v="560"/>
    <n v="18275"/>
    <s v="45208840655550000214"/>
    <n v="7299573333.0100002"/>
    <s v="31-108/15/454-13-КР"/>
    <m/>
    <d v="2013-10-30T00:00:00"/>
    <m/>
    <m/>
    <n v="2.1"/>
    <n v="1"/>
    <m/>
    <m/>
    <n v="2.1"/>
    <n v="2.1"/>
    <n v="2.1"/>
    <n v="0"/>
    <n v="1"/>
    <m/>
    <d v="2000-01-01T00:00:00"/>
    <n v="0"/>
    <m/>
    <m/>
    <m/>
    <n v="0"/>
    <m/>
    <m/>
  </r>
  <r>
    <x v="561"/>
    <n v="18276"/>
    <s v="45606978655550000005"/>
    <n v="654761982.75"/>
    <s v="38-196/31-13-КР"/>
    <m/>
    <d v="2013-03-11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562"/>
    <n v="20316"/>
    <s v="45204810908800000001"/>
    <n v="42500000"/>
    <s v="01387/МР"/>
    <m/>
    <d v="2016-06-07T00:00:00"/>
    <m/>
    <m/>
    <n v="1"/>
    <n v="1"/>
    <m/>
    <m/>
    <n v="1"/>
    <n v="1"/>
    <n v="1"/>
    <n v="0"/>
    <n v="1"/>
    <m/>
    <d v="2016-06-15T00:00:00"/>
    <n v="0"/>
    <m/>
    <m/>
    <m/>
    <m/>
    <m/>
    <m/>
  </r>
  <r>
    <x v="563"/>
    <n v="25381"/>
    <s v="45208810904800000001"/>
    <n v="396140204.02999997"/>
    <s v="01462/МР"/>
    <m/>
    <d v="2016-08-05T00:00:00"/>
    <m/>
    <m/>
    <n v="1"/>
    <n v="1"/>
    <m/>
    <m/>
    <n v="1"/>
    <n v="1"/>
    <n v="1"/>
    <n v="0"/>
    <n v="1"/>
    <m/>
    <d v="2016-08-10T00:00:00"/>
    <n v="0"/>
    <m/>
    <m/>
    <m/>
    <m/>
    <m/>
    <m/>
  </r>
  <r>
    <x v="563"/>
    <n v="26620"/>
    <s v="45208810504800000003"/>
    <n v="202756304.30000001"/>
    <s v="01491/МР"/>
    <m/>
    <d v="2016-09-08T00:00:00"/>
    <m/>
    <m/>
    <n v="1"/>
    <n v="1"/>
    <m/>
    <m/>
    <n v="1"/>
    <n v="1"/>
    <n v="1"/>
    <n v="0"/>
    <n v="1"/>
    <m/>
    <d v="2016-09-10T00:00:00"/>
    <n v="0"/>
    <m/>
    <m/>
    <m/>
    <m/>
    <m/>
    <m/>
  </r>
  <r>
    <x v="564"/>
    <n v="18436"/>
    <s v="45812810450060000011"/>
    <n v="13606188.34"/>
    <s v="31-039/16/337-13-ГА"/>
    <m/>
    <d v="2013-07-25T00:00:00"/>
    <m/>
    <m/>
    <n v="3"/>
    <n v="3"/>
    <m/>
    <m/>
    <n v="5"/>
    <n v="5"/>
    <n v="5"/>
    <n v="0"/>
    <n v="1"/>
    <m/>
    <d v="2013-04-23T00:00:00"/>
    <n v="1164"/>
    <m/>
    <m/>
    <m/>
    <m/>
    <m/>
    <m/>
  </r>
  <r>
    <x v="565"/>
    <n v="18428"/>
    <s v="32109840400210000536"/>
    <n v="4048013577.0500002"/>
    <s v="701005167"/>
    <m/>
    <d v="2012-07-31T00:00:00"/>
    <m/>
    <m/>
    <n v="2"/>
    <n v="1"/>
    <m/>
    <m/>
    <n v="2"/>
    <n v="2"/>
    <n v="2"/>
    <n v="0"/>
    <n v="1"/>
    <m/>
    <d v="2012-09-14T00:00:00"/>
    <n v="1"/>
    <s v="2016-06-16"/>
    <m/>
    <m/>
    <m/>
    <m/>
    <m/>
  </r>
  <r>
    <x v="566"/>
    <n v="18277"/>
    <s v="32007978000210000010"/>
    <n v="5812348600"/>
    <s v="7010051612"/>
    <m/>
    <d v="2016-05-10T00:00:00"/>
    <m/>
    <m/>
    <n v="1"/>
    <n v="1"/>
    <m/>
    <m/>
    <n v="1"/>
    <n v="1"/>
    <n v="1"/>
    <n v="0"/>
    <n v="1"/>
    <m/>
    <d v="2016-06-09T00:00:00"/>
    <n v="0"/>
    <m/>
    <m/>
    <m/>
    <m/>
    <m/>
    <m/>
  </r>
  <r>
    <x v="566"/>
    <n v="18278"/>
    <s v="32007840500210000033"/>
    <n v="24884291400"/>
    <s v="7010051613"/>
    <m/>
    <d v="2016-05-10T00:00:00"/>
    <m/>
    <m/>
    <n v="1"/>
    <n v="1"/>
    <m/>
    <m/>
    <n v="1"/>
    <n v="1"/>
    <n v="1"/>
    <n v="0"/>
    <n v="1"/>
    <m/>
    <d v="2016-06-09T00:00:00"/>
    <n v="0"/>
    <m/>
    <m/>
    <m/>
    <m/>
    <m/>
    <m/>
  </r>
  <r>
    <x v="566"/>
    <n v="100006961"/>
    <s v="32009810400210000035"/>
    <n v="43257361131"/>
    <m/>
    <m/>
    <m/>
    <m/>
    <m/>
    <n v="1"/>
    <n v="1"/>
    <m/>
    <m/>
    <n v="1"/>
    <n v="1"/>
    <n v="1"/>
    <n v="0"/>
    <m/>
    <m/>
    <m/>
    <n v="0"/>
    <m/>
    <m/>
    <m/>
    <m/>
    <m/>
    <m/>
  </r>
  <r>
    <x v="567"/>
    <n v="26590"/>
    <s v="45208810455550000583"/>
    <n v="537719359.89999998"/>
    <s v="4070"/>
    <m/>
    <d v="2016-08-25T00:00:00"/>
    <m/>
    <m/>
    <n v="2.2000000000000002"/>
    <n v="1"/>
    <m/>
    <m/>
    <n v="2.2000000000000002"/>
    <n v="2.2000000000000002"/>
    <n v="2.2000000000000002"/>
    <n v="0"/>
    <n v="1"/>
    <m/>
    <d v="2016-09-22T00:00:00"/>
    <n v="0"/>
    <m/>
    <m/>
    <m/>
    <m/>
    <m/>
    <m/>
  </r>
  <r>
    <x v="568"/>
    <n v="26589"/>
    <s v="45208810755550000584"/>
    <n v="433815121.49000001"/>
    <s v="4068"/>
    <m/>
    <d v="2016-08-25T00:00:00"/>
    <m/>
    <m/>
    <n v="1"/>
    <n v="1"/>
    <m/>
    <m/>
    <n v="1"/>
    <n v="1"/>
    <n v="1"/>
    <n v="0"/>
    <n v="1"/>
    <m/>
    <d v="2016-09-26T00:00:00"/>
    <n v="0"/>
    <m/>
    <m/>
    <m/>
    <n v="0"/>
    <m/>
    <m/>
  </r>
  <r>
    <x v="569"/>
    <n v="23923"/>
    <s v="45208810755550000571"/>
    <n v="1500000000"/>
    <s v="4033"/>
    <m/>
    <d v="2016-07-06T00:00:00"/>
    <m/>
    <m/>
    <n v="1"/>
    <n v="1"/>
    <m/>
    <m/>
    <n v="1"/>
    <n v="1"/>
    <n v="1"/>
    <n v="0"/>
    <n v="0"/>
    <m/>
    <d v="2016-10-17T00:00:00"/>
    <n v="0"/>
    <m/>
    <m/>
    <m/>
    <m/>
    <m/>
    <m/>
  </r>
  <r>
    <x v="570"/>
    <n v="26646"/>
    <s v="45206810702800000001"/>
    <n v="590000000"/>
    <s v="01496/МР"/>
    <m/>
    <d v="2016-09-16T00:00:00"/>
    <m/>
    <m/>
    <n v="1"/>
    <n v="1"/>
    <m/>
    <m/>
    <n v="1"/>
    <n v="1"/>
    <n v="1"/>
    <n v="0"/>
    <n v="1"/>
    <m/>
    <d v="2016-09-25T00:00:00"/>
    <n v="0"/>
    <m/>
    <m/>
    <m/>
    <n v="0"/>
    <m/>
    <m/>
  </r>
  <r>
    <x v="571"/>
    <n v="22534"/>
    <s v="45204810212800000001"/>
    <n v="149826184.86000001"/>
    <s v="01398/МР"/>
    <m/>
    <d v="2016-07-04T00:00:00"/>
    <m/>
    <m/>
    <n v="1"/>
    <n v="1"/>
    <m/>
    <m/>
    <n v="1"/>
    <n v="1"/>
    <n v="1"/>
    <n v="0"/>
    <n v="1"/>
    <m/>
    <d v="2016-07-15T00:00:00"/>
    <n v="0"/>
    <m/>
    <m/>
    <m/>
    <m/>
    <m/>
    <m/>
  </r>
  <r>
    <x v="572"/>
    <n v="23338"/>
    <s v="45207810150050000457"/>
    <n v="150000000"/>
    <s v="01416/МР"/>
    <m/>
    <d v="2016-07-07T00:00:00"/>
    <m/>
    <m/>
    <n v="1"/>
    <n v="1"/>
    <m/>
    <m/>
    <n v="1"/>
    <n v="1"/>
    <n v="1"/>
    <n v="0"/>
    <n v="1"/>
    <m/>
    <d v="2016-07-25T00:00:00"/>
    <n v="0"/>
    <m/>
    <m/>
    <m/>
    <m/>
    <m/>
    <m/>
  </r>
  <r>
    <x v="572"/>
    <n v="24906"/>
    <s v="45207810650050000465"/>
    <n v="150000000"/>
    <s v="01434/МР"/>
    <m/>
    <d v="2016-07-29T00:00:00"/>
    <m/>
    <m/>
    <n v="1"/>
    <n v="1"/>
    <m/>
    <m/>
    <n v="1"/>
    <n v="1"/>
    <n v="1"/>
    <n v="0"/>
    <n v="1"/>
    <m/>
    <d v="2016-08-25T00:00:00"/>
    <n v="0"/>
    <m/>
    <m/>
    <m/>
    <m/>
    <m/>
    <m/>
  </r>
  <r>
    <x v="573"/>
    <n v="24663"/>
    <s v="45206810955550000522"/>
    <n v="159158995.28999999"/>
    <s v="4011"/>
    <m/>
    <d v="2016-07-20T00:00:00"/>
    <m/>
    <m/>
    <n v="1"/>
    <n v="1"/>
    <m/>
    <m/>
    <n v="1"/>
    <n v="1"/>
    <n v="1"/>
    <n v="0"/>
    <n v="1"/>
    <m/>
    <d v="2016-08-20T00:00:00"/>
    <n v="0"/>
    <m/>
    <m/>
    <m/>
    <m/>
    <m/>
    <m/>
  </r>
  <r>
    <x v="574"/>
    <n v="18438"/>
    <s v="45812810750060000012"/>
    <n v="16720852.449999999"/>
    <s v="00048/16/54-13"/>
    <m/>
    <d v="2013-07-12T00:00:00"/>
    <m/>
    <m/>
    <n v="2.1"/>
    <n v="3"/>
    <m/>
    <m/>
    <n v="4.0999999999999996"/>
    <n v="4.0999999999999996"/>
    <n v="4.0999999999999996"/>
    <n v="0"/>
    <n v="1"/>
    <m/>
    <d v="2013-07-12T00:00:00"/>
    <n v="548"/>
    <m/>
    <m/>
    <m/>
    <m/>
    <m/>
    <m/>
  </r>
  <r>
    <x v="575"/>
    <n v="23688"/>
    <s v="45812810650050000517"/>
    <n v="140639580.71000001"/>
    <s v="00056/15/0781-13"/>
    <m/>
    <d v="2013-12-27T00:00:00"/>
    <m/>
    <m/>
    <n v="3"/>
    <n v="3"/>
    <m/>
    <m/>
    <n v="5"/>
    <n v="5"/>
    <n v="5"/>
    <n v="0"/>
    <n v="1"/>
    <m/>
    <d v="2000-01-01T00:00:00"/>
    <n v="190"/>
    <m/>
    <m/>
    <m/>
    <m/>
    <m/>
    <m/>
  </r>
  <r>
    <x v="575"/>
    <n v="23689"/>
    <s v="45812810350050000516"/>
    <n v="123423845.16"/>
    <s v="00056/15/0057-14"/>
    <m/>
    <d v="2014-03-28T00:00:00"/>
    <m/>
    <m/>
    <n v="3"/>
    <n v="3"/>
    <m/>
    <m/>
    <n v="5"/>
    <n v="5"/>
    <n v="5"/>
    <n v="0"/>
    <n v="1"/>
    <m/>
    <d v="2000-01-01T00:00:00"/>
    <n v="190"/>
    <m/>
    <n v="1"/>
    <m/>
    <m/>
    <m/>
    <m/>
  </r>
  <r>
    <x v="575"/>
    <n v="23690"/>
    <s v="45812810950050000518"/>
    <n v="388888689.49000001"/>
    <s v="81-049/6/15/538-14"/>
    <m/>
    <d v="2014-06-19T00:00:00"/>
    <m/>
    <m/>
    <n v="3"/>
    <n v="3"/>
    <m/>
    <m/>
    <n v="5"/>
    <n v="5"/>
    <n v="5"/>
    <n v="0"/>
    <n v="1"/>
    <m/>
    <d v="2000-01-01T00:00:00"/>
    <n v="219"/>
    <m/>
    <n v="1"/>
    <m/>
    <m/>
    <m/>
    <m/>
  </r>
  <r>
    <x v="575"/>
    <n v="23691"/>
    <s v="45812810250050000519"/>
    <n v="425000000"/>
    <s v="81-049/6/15/591-14"/>
    <m/>
    <d v="2014-06-19T00:00:00"/>
    <m/>
    <m/>
    <n v="3"/>
    <n v="3"/>
    <m/>
    <m/>
    <n v="5"/>
    <n v="5"/>
    <n v="5"/>
    <n v="0"/>
    <n v="1"/>
    <m/>
    <d v="2000-01-01T00:00:00"/>
    <n v="219"/>
    <m/>
    <m/>
    <m/>
    <m/>
    <m/>
    <m/>
  </r>
  <r>
    <x v="576"/>
    <n v="26535"/>
    <s v="45812810850050000537"/>
    <n v="20000000"/>
    <s v="ОКБ78/15/08-14"/>
    <m/>
    <d v="2014-07-21T00:00:00"/>
    <m/>
    <m/>
    <n v="2.1"/>
    <n v="3"/>
    <m/>
    <m/>
    <n v="4.0999999999999996"/>
    <n v="4.0999999999999996"/>
    <n v="4.0999999999999996"/>
    <n v="0"/>
    <n v="1"/>
    <m/>
    <d v="2000-01-01T00:00:00"/>
    <n v="143"/>
    <m/>
    <m/>
    <m/>
    <m/>
    <m/>
    <m/>
  </r>
  <r>
    <x v="576"/>
    <n v="26536"/>
    <s v="45812810550050000536"/>
    <n v="73521416.510000005"/>
    <s v="ОКБ78/15/13-14"/>
    <m/>
    <d v="2014-09-19T00:00:00"/>
    <m/>
    <m/>
    <n v="2.1"/>
    <n v="3"/>
    <m/>
    <m/>
    <n v="4.0999999999999996"/>
    <n v="4.0999999999999996"/>
    <n v="4.0999999999999996"/>
    <n v="0"/>
    <n v="1"/>
    <m/>
    <d v="2000-01-01T00:00:00"/>
    <n v="149"/>
    <m/>
    <m/>
    <m/>
    <m/>
    <m/>
    <m/>
  </r>
  <r>
    <x v="577"/>
    <n v="18279"/>
    <s v="45812810355550001010"/>
    <n v="2832648028.8899999"/>
    <s v="009-03/15/28-14"/>
    <m/>
    <d v="2014-06-20T00:00:00"/>
    <m/>
    <m/>
    <n v="2.1"/>
    <n v="3"/>
    <m/>
    <m/>
    <n v="4.0999999999999996"/>
    <n v="4.0999999999999996"/>
    <n v="4.0999999999999996"/>
    <n v="0"/>
    <n v="1"/>
    <m/>
    <d v="2000-01-01T00:00:00"/>
    <n v="109"/>
    <m/>
    <n v="0"/>
    <m/>
    <n v="0"/>
    <m/>
    <m/>
  </r>
  <r>
    <x v="578"/>
    <n v="18280"/>
    <s v="45208810255550000534"/>
    <n v="2533625889"/>
    <s v="009-03/15/43-14"/>
    <m/>
    <d v="2014-09-16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579"/>
    <n v="18281"/>
    <s v="45208810755550000526"/>
    <n v="1064583404.66"/>
    <s v="009-03/15/42-14"/>
    <m/>
    <d v="2014-09-16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580"/>
    <n v="24516"/>
    <s v="45812810150050000525"/>
    <n v="31681904.57"/>
    <s v="00060/15/222-14КР"/>
    <m/>
    <d v="2014-10-20T00:00:00"/>
    <m/>
    <m/>
    <n v="2.1"/>
    <n v="3"/>
    <m/>
    <m/>
    <n v="4.0999999999999996"/>
    <n v="4.0999999999999996"/>
    <n v="4.0999999999999996"/>
    <n v="0"/>
    <n v="1"/>
    <m/>
    <d v="2000-01-01T00:00:00"/>
    <n v="317"/>
    <m/>
    <n v="0"/>
    <m/>
    <n v="0"/>
    <m/>
    <m/>
  </r>
  <r>
    <x v="581"/>
    <n v="18282"/>
    <s v="45208810055550000527"/>
    <n v="3634963541.6999998"/>
    <s v="32-260/15/2276-11-КР"/>
    <m/>
    <d v="2011-11-30T00:00:00"/>
    <m/>
    <m/>
    <n v="2.1"/>
    <n v="1"/>
    <m/>
    <m/>
    <n v="2.1"/>
    <n v="2.1"/>
    <n v="2.1"/>
    <n v="0"/>
    <n v="1"/>
    <m/>
    <d v="2000-01-01T00:00:00"/>
    <n v="0"/>
    <m/>
    <n v="0"/>
    <m/>
    <n v="0"/>
    <m/>
    <m/>
  </r>
  <r>
    <x v="582"/>
    <n v="18443"/>
    <s v="45208810955550000520"/>
    <n v="1622000000"/>
    <s v="38-177/15/599-13-КР"/>
    <m/>
    <d v="2014-01-15T00:00:00"/>
    <m/>
    <m/>
    <n v="2.1"/>
    <n v="1"/>
    <m/>
    <m/>
    <n v="2.1"/>
    <n v="2.1"/>
    <n v="2.1"/>
    <n v="0"/>
    <n v="1"/>
    <m/>
    <d v="2000-01-01T00:00:00"/>
    <n v="0"/>
    <m/>
    <m/>
    <m/>
    <m/>
    <m/>
    <m/>
  </r>
  <r>
    <x v="583"/>
    <n v="18285"/>
    <s v="45208810355550000528"/>
    <n v="868660908.82000005"/>
    <s v="38-177-3081/15/144-12-КР"/>
    <m/>
    <d v="2012-05-23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584"/>
    <n v="18286"/>
    <s v="45207810155550000583"/>
    <n v="2598208014.4000001"/>
    <s v="38-177/15/206-14-КР"/>
    <m/>
    <d v="2014-07-08T00:00:00"/>
    <m/>
    <m/>
    <n v="1"/>
    <n v="1"/>
    <m/>
    <m/>
    <n v="1"/>
    <n v="1"/>
    <n v="1"/>
    <n v="0"/>
    <n v="1"/>
    <m/>
    <d v="2000-01-01T00:00:00"/>
    <n v="0"/>
    <m/>
    <n v="0"/>
    <m/>
    <m/>
    <m/>
    <m/>
  </r>
  <r>
    <x v="584"/>
    <n v="18287"/>
    <s v="45208810155550000540"/>
    <n v="2238939370"/>
    <s v="38-196/15/209-13-КР"/>
    <m/>
    <d v="2013-11-06T00:00:00"/>
    <m/>
    <m/>
    <n v="1"/>
    <n v="1"/>
    <m/>
    <m/>
    <n v="1"/>
    <n v="1"/>
    <n v="1"/>
    <n v="0"/>
    <n v="1"/>
    <m/>
    <d v="2000-01-01T00:00:00"/>
    <n v="0"/>
    <m/>
    <n v="0"/>
    <m/>
    <n v="0"/>
    <m/>
    <m/>
  </r>
  <r>
    <x v="585"/>
    <n v="18605"/>
    <s v="45208810255550000547"/>
    <n v="717500000"/>
    <s v="14-114/15/191-11КР"/>
    <m/>
    <d v="2011-10-19T00:00:00"/>
    <m/>
    <m/>
    <n v="1"/>
    <n v="2"/>
    <m/>
    <m/>
    <n v="2"/>
    <n v="2"/>
    <n v="2"/>
    <n v="0"/>
    <n v="1"/>
    <m/>
    <d v="2013-12-30T00:00:00"/>
    <n v="0"/>
    <m/>
    <m/>
    <n v="1"/>
    <m/>
    <m/>
    <m/>
  </r>
  <r>
    <x v="586"/>
    <n v="18288"/>
    <s v="45208840055550000212"/>
    <n v="3237484206"/>
    <s v="38-196/15/112-13-КР"/>
    <m/>
    <d v="2013-07-01T00:00:00"/>
    <m/>
    <m/>
    <n v="2.1"/>
    <n v="1"/>
    <m/>
    <m/>
    <n v="2.1"/>
    <n v="2.1"/>
    <n v="2.1"/>
    <n v="0"/>
    <n v="1"/>
    <m/>
    <d v="2000-01-01T00:00:00"/>
    <n v="0"/>
    <m/>
    <m/>
    <m/>
    <n v="0"/>
    <m/>
    <m/>
  </r>
  <r>
    <x v="587"/>
    <n v="18289"/>
    <s v="45208810855550000523"/>
    <n v="10000000000"/>
    <s v="38-177-3078/15/781-12-КР"/>
    <m/>
    <d v="2012-12-11T00:00:00"/>
    <m/>
    <m/>
    <n v="2.1"/>
    <n v="3"/>
    <n v="-2"/>
    <s v="345"/>
    <n v="2.9999999999999996"/>
    <n v="2.9999999999999996"/>
    <n v="2.9999999999999996"/>
    <n v="0"/>
    <n v="1"/>
    <m/>
    <d v="2000-01-01T00:00:00"/>
    <n v="34"/>
    <s v="2016-07-28"/>
    <n v="0"/>
    <n v="0"/>
    <m/>
    <m/>
    <m/>
  </r>
  <r>
    <x v="588"/>
    <n v="18290"/>
    <s v="45208810255550000576"/>
    <n v="900000000"/>
    <s v="38-177/15/177-14-КР"/>
    <m/>
    <d v="2014-07-16T00:00:00"/>
    <m/>
    <m/>
    <n v="1"/>
    <n v="2"/>
    <n v="-2"/>
    <s v="0"/>
    <n v="1"/>
    <n v="1"/>
    <n v="1"/>
    <n v="0"/>
    <n v="1"/>
    <m/>
    <d v="2000-01-01T00:00:00"/>
    <n v="30"/>
    <s v="2016-08-17"/>
    <n v="0"/>
    <m/>
    <m/>
    <m/>
    <m/>
  </r>
  <r>
    <x v="589"/>
    <n v="26653"/>
    <s v="45206810020800000000"/>
    <n v="1200000.8500000001"/>
    <s v="4203-5788/15/461-15-КР"/>
    <m/>
    <d v="2015-12-17T00:00:00"/>
    <m/>
    <m/>
    <n v="1"/>
    <n v="1"/>
    <m/>
    <m/>
    <n v="1"/>
    <n v="1"/>
    <n v="1"/>
    <n v="0"/>
    <n v="1"/>
    <m/>
    <d v="2015-12-31T00:00:00"/>
    <n v="0"/>
    <m/>
    <m/>
    <m/>
    <m/>
    <m/>
    <m/>
  </r>
  <r>
    <x v="590"/>
    <n v="18291"/>
    <s v="45208810055550000543"/>
    <n v="3611625000"/>
    <s v="38-196/15/136-14-КР"/>
    <m/>
    <d v="2014-09-30T00:00:00"/>
    <m/>
    <m/>
    <n v="2.1"/>
    <n v="1"/>
    <m/>
    <m/>
    <n v="2.1"/>
    <n v="2.1"/>
    <n v="2.1"/>
    <n v="0"/>
    <n v="1"/>
    <m/>
    <d v="2000-01-01T00:00:00"/>
    <n v="0"/>
    <m/>
    <m/>
    <m/>
    <n v="0"/>
    <m/>
    <m/>
  </r>
  <r>
    <x v="591"/>
    <n v="18292"/>
    <s v="45207810655550000575"/>
    <n v="52000000"/>
    <s v="38-196/15/16-14-КР"/>
    <m/>
    <d v="2014-04-30T00:00:00"/>
    <m/>
    <m/>
    <n v="1"/>
    <n v="1"/>
    <m/>
    <m/>
    <n v="1"/>
    <n v="1"/>
    <n v="1"/>
    <n v="0"/>
    <n v="1"/>
    <m/>
    <d v="2000-01-01T00:00:00"/>
    <n v="0"/>
    <m/>
    <n v="0"/>
    <m/>
    <n v="0"/>
    <m/>
    <m/>
  </r>
  <r>
    <x v="592"/>
    <n v="18294"/>
    <s v="45208810555550000522"/>
    <n v="5676442052.2800007"/>
    <s v="29-2067/15/2365-11-КР"/>
    <m/>
    <d v="2011-11-24T00:00:00"/>
    <m/>
    <m/>
    <n v="1"/>
    <n v="1"/>
    <m/>
    <m/>
    <n v="1"/>
    <n v="1"/>
    <n v="1"/>
    <n v="0"/>
    <n v="1"/>
    <m/>
    <d v="2000-01-01T00:00:00"/>
    <n v="4"/>
    <s v="2016-09-05"/>
    <m/>
    <m/>
    <n v="0"/>
    <m/>
    <m/>
  </r>
  <r>
    <x v="593"/>
    <n v="18295"/>
    <s v="45208978955550000064"/>
    <n v="1580817054.5999999"/>
    <s v="38-196/15/263-13-КР"/>
    <m/>
    <d v="2013-11-26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594"/>
    <n v="18296"/>
    <s v="45208810555550000519"/>
    <n v="6014000000"/>
    <s v="38-177-3079/15/33-11-КР"/>
    <m/>
    <d v="2012-10-11T00:00:00"/>
    <m/>
    <m/>
    <n v="2.1"/>
    <n v="1"/>
    <m/>
    <m/>
    <n v="2.1"/>
    <n v="2.1"/>
    <n v="2.1"/>
    <n v="0"/>
    <n v="1"/>
    <m/>
    <d v="2000-01-01T00:00:00"/>
    <n v="0"/>
    <m/>
    <n v="0"/>
    <m/>
    <n v="0"/>
    <m/>
    <m/>
  </r>
  <r>
    <x v="595"/>
    <n v="18297"/>
    <s v="45207810055550000573"/>
    <n v="3451958030.46"/>
    <s v="38-196/15/14-12-КР"/>
    <m/>
    <d v="2012-09-07T00:00:00"/>
    <m/>
    <m/>
    <n v="1"/>
    <n v="1"/>
    <m/>
    <m/>
    <n v="1"/>
    <n v="1"/>
    <n v="1"/>
    <n v="0"/>
    <n v="1"/>
    <m/>
    <d v="2000-01-01T00:00:00"/>
    <n v="0"/>
    <m/>
    <n v="0"/>
    <m/>
    <m/>
    <m/>
    <m/>
  </r>
  <r>
    <x v="596"/>
    <n v="18298"/>
    <s v="45208840955550000215"/>
    <n v="4779257741.8000002"/>
    <s v="38-196/15/01-13-КР"/>
    <m/>
    <d v="2013-01-17T00:00:00"/>
    <m/>
    <m/>
    <n v="1"/>
    <n v="1"/>
    <m/>
    <m/>
    <n v="1"/>
    <n v="1"/>
    <n v="1"/>
    <n v="0"/>
    <n v="1"/>
    <m/>
    <d v="2000-01-01T00:00:00"/>
    <n v="0"/>
    <m/>
    <n v="0"/>
    <m/>
    <n v="0"/>
    <n v="0"/>
    <m/>
  </r>
  <r>
    <x v="597"/>
    <n v="18299"/>
    <s v="45208810755550000539"/>
    <n v="1157939324.0699999"/>
    <s v="38-196/15/34-13-КР"/>
    <m/>
    <d v="2013-03-28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598"/>
    <n v="18300"/>
    <s v="45812810155550000981"/>
    <n v="498531250.16000003"/>
    <s v="79-1006/15/178-13-КР"/>
    <m/>
    <d v="2013-07-25T00:00:00"/>
    <m/>
    <m/>
    <n v="1"/>
    <n v="3"/>
    <m/>
    <m/>
    <n v="3"/>
    <n v="3"/>
    <n v="3"/>
    <n v="0"/>
    <n v="1"/>
    <m/>
    <d v="2000-01-01T00:00:00"/>
    <n v="47"/>
    <m/>
    <n v="1"/>
    <m/>
    <n v="0"/>
    <m/>
    <m/>
  </r>
  <r>
    <x v="599"/>
    <n v="18600"/>
    <s v="45207810255550000593"/>
    <n v="154345772.09999999"/>
    <s v="38-177/15/58-14-КР"/>
    <m/>
    <d v="2014-04-22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600"/>
    <n v="21791"/>
    <s v="45812810550060000018"/>
    <n v="945694594.85000002"/>
    <s v="78-1003/16/605-13-ГА"/>
    <m/>
    <d v="2013-09-26T00:00:00"/>
    <m/>
    <m/>
    <n v="3"/>
    <n v="3"/>
    <m/>
    <m/>
    <n v="5"/>
    <n v="5"/>
    <n v="5"/>
    <n v="0"/>
    <n v="1"/>
    <m/>
    <d v="2013-10-02T00:00:00"/>
    <n v="574"/>
    <m/>
    <m/>
    <m/>
    <m/>
    <m/>
    <m/>
  </r>
  <r>
    <x v="601"/>
    <n v="18302"/>
    <s v="45208810955550000533"/>
    <n v="355700000"/>
    <s v="38-196/15/101-14-КР"/>
    <m/>
    <d v="2014-08-01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602"/>
    <n v="18303"/>
    <s v="45208810255550000521"/>
    <n v="3751500000"/>
    <s v="31-028/15/1075-13-КР"/>
    <m/>
    <d v="2013-11-13T00:00:00"/>
    <m/>
    <m/>
    <n v="1"/>
    <n v="1"/>
    <m/>
    <m/>
    <n v="1"/>
    <n v="1"/>
    <n v="1"/>
    <n v="0"/>
    <n v="1"/>
    <m/>
    <d v="2000-01-01T00:00:00"/>
    <n v="0"/>
    <m/>
    <m/>
    <m/>
    <n v="0"/>
    <n v="0"/>
    <m/>
  </r>
  <r>
    <x v="603"/>
    <n v="18606"/>
    <s v="45208840755550000208"/>
    <n v="5058963810"/>
    <s v="38-196/15/58-14-КР"/>
    <m/>
    <d v="2014-05-22T00:00:00"/>
    <m/>
    <m/>
    <n v="2.1"/>
    <n v="3"/>
    <m/>
    <m/>
    <n v="4.0999999999999996"/>
    <n v="4.0999999999999996"/>
    <n v="4.0999999999999996"/>
    <n v="0"/>
    <n v="1"/>
    <m/>
    <d v="2000-01-01T00:00:00"/>
    <n v="185"/>
    <m/>
    <m/>
    <m/>
    <n v="0"/>
    <m/>
    <m/>
  </r>
  <r>
    <x v="604"/>
    <n v="18304"/>
    <s v="45208840055550000209"/>
    <n v="3763362420.3600001"/>
    <s v="38-196/15/286-13-КР"/>
    <m/>
    <d v="2013-12-17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605"/>
    <n v="18305"/>
    <s v="45208840355550000213"/>
    <n v="13551553789.780001"/>
    <s v="38-196/15/357-13-КР"/>
    <m/>
    <d v="2013-12-16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606"/>
    <n v="18306"/>
    <s v="45208840555550000217"/>
    <n v="4996563607.1999998"/>
    <s v="38-196/15/239-13-КР"/>
    <m/>
    <d v="2013-12-06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607"/>
    <n v="18599"/>
    <s v="45108810955550000031"/>
    <n v="9020000"/>
    <s v="38-177/15/592-13-КР"/>
    <m/>
    <d v="2013-12-30T00:00:00"/>
    <m/>
    <m/>
    <n v="1"/>
    <n v="2"/>
    <m/>
    <m/>
    <n v="2"/>
    <n v="2"/>
    <n v="2"/>
    <n v="0"/>
    <n v="1"/>
    <m/>
    <d v="2000-01-01T00:00:00"/>
    <n v="7"/>
    <s v="2016-07-22"/>
    <m/>
    <m/>
    <m/>
    <m/>
    <m/>
  </r>
  <r>
    <x v="608"/>
    <n v="26728"/>
    <s v="45208810955550000588"/>
    <n v="2535291759.79"/>
    <s v="4031"/>
    <m/>
    <d v="2016-09-26T00:00:00"/>
    <m/>
    <m/>
    <n v="1"/>
    <n v="1"/>
    <m/>
    <m/>
    <n v="1"/>
    <n v="1"/>
    <n v="1"/>
    <n v="0"/>
    <n v="0"/>
    <m/>
    <d v="2016-10-28T00:00:00"/>
    <n v="0"/>
    <m/>
    <m/>
    <n v="0"/>
    <m/>
    <m/>
    <m/>
  </r>
  <r>
    <x v="609"/>
    <n v="25614"/>
    <s v="45204810012800000007"/>
    <n v="2524380"/>
    <s v="01456/МР"/>
    <m/>
    <d v="2016-08-09T00:00:00"/>
    <m/>
    <m/>
    <n v="1"/>
    <n v="1"/>
    <m/>
    <m/>
    <n v="1"/>
    <n v="1"/>
    <n v="1"/>
    <n v="0"/>
    <n v="1"/>
    <m/>
    <d v="2016-08-31T00:00:00"/>
    <n v="0"/>
    <s v="2016-09-02"/>
    <m/>
    <m/>
    <m/>
    <m/>
    <m/>
  </r>
  <r>
    <x v="610"/>
    <n v="18308"/>
    <s v="45208840155550000206"/>
    <n v="1481057445"/>
    <s v="79-1006/15/995-13-КР"/>
    <m/>
    <d v="2014-03-21T00:00:00"/>
    <m/>
    <m/>
    <n v="2.1"/>
    <n v="2"/>
    <m/>
    <m/>
    <n v="3.0999999999999996"/>
    <n v="3.0999999999999996"/>
    <n v="3.0999999999999996"/>
    <n v="0"/>
    <n v="1"/>
    <m/>
    <d v="2000-01-01T00:00:00"/>
    <n v="30"/>
    <s v="2016-09-30"/>
    <n v="0"/>
    <m/>
    <n v="0"/>
    <m/>
    <m/>
  </r>
  <r>
    <x v="610"/>
    <n v="18309"/>
    <s v="45208840755550000211"/>
    <n v="309474690"/>
    <s v="79-1006/15/998-13-КР"/>
    <m/>
    <d v="2014-03-21T00:00:00"/>
    <m/>
    <m/>
    <n v="2.1"/>
    <n v="2"/>
    <m/>
    <m/>
    <n v="3.0999999999999996"/>
    <n v="3.0999999999999996"/>
    <n v="3.0999999999999996"/>
    <n v="0"/>
    <n v="1"/>
    <m/>
    <d v="2000-01-01T00:00:00"/>
    <n v="30"/>
    <s v="2016-09-30"/>
    <n v="0"/>
    <m/>
    <n v="0"/>
    <m/>
    <m/>
  </r>
  <r>
    <x v="611"/>
    <n v="26652"/>
    <s v="45205810814800000000"/>
    <n v="24000000.27"/>
    <s v="31-114/15/185-14-КР"/>
    <m/>
    <d v="2014-04-17T00:00:00"/>
    <m/>
    <m/>
    <n v="1"/>
    <n v="1"/>
    <m/>
    <m/>
    <n v="1"/>
    <n v="1"/>
    <n v="1"/>
    <n v="0"/>
    <n v="1"/>
    <m/>
    <d v="2014-04-30T00:00:00"/>
    <n v="0"/>
    <m/>
    <m/>
    <m/>
    <m/>
    <m/>
    <m/>
  </r>
  <r>
    <x v="612"/>
    <n v="18310"/>
    <s v="45208840255550000203"/>
    <n v="3499326762.25"/>
    <s v="38-196/15/78-14-КР"/>
    <m/>
    <d v="2014-06-09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613"/>
    <n v="26657"/>
    <s v="45208810615800000002"/>
    <n v="993340000"/>
    <s v="79-1006/15/1169-14-КР"/>
    <m/>
    <d v="2014-08-13T00:00:00"/>
    <m/>
    <m/>
    <n v="2.2000000000000002"/>
    <n v="1"/>
    <m/>
    <m/>
    <n v="2.2000000000000002"/>
    <n v="2.2000000000000002"/>
    <n v="2.2000000000000002"/>
    <n v="0"/>
    <n v="1"/>
    <m/>
    <d v="2014-08-31T00:00:00"/>
    <n v="0"/>
    <m/>
    <m/>
    <m/>
    <m/>
    <m/>
    <m/>
  </r>
  <r>
    <x v="614"/>
    <n v="24780"/>
    <s v="45205810415800000001"/>
    <n v="22500000"/>
    <s v="01459/МР"/>
    <m/>
    <d v="2016-07-29T00:00:00"/>
    <m/>
    <m/>
    <n v="1"/>
    <n v="1"/>
    <m/>
    <m/>
    <n v="1"/>
    <n v="1"/>
    <n v="1"/>
    <n v="0"/>
    <n v="1"/>
    <m/>
    <d v="2016-07-29T00:00:00"/>
    <n v="0"/>
    <m/>
    <m/>
    <m/>
    <m/>
    <m/>
    <m/>
  </r>
  <r>
    <x v="615"/>
    <n v="26658"/>
    <s v="45206810910800000000"/>
    <n v="50000000"/>
    <s v="4209-5848/15/915-15-КР"/>
    <m/>
    <d v="2015-12-15T00:00:00"/>
    <m/>
    <m/>
    <n v="1"/>
    <n v="1"/>
    <m/>
    <m/>
    <n v="1"/>
    <n v="1"/>
    <n v="1"/>
    <n v="0"/>
    <n v="1"/>
    <m/>
    <d v="2015-12-31T00:00:00"/>
    <n v="0"/>
    <m/>
    <m/>
    <m/>
    <m/>
    <m/>
    <m/>
  </r>
  <r>
    <x v="616"/>
    <n v="18311"/>
    <s v="45208810555550000548"/>
    <n v="2105503293.6600001"/>
    <s v="31-108/15/459-12-КР"/>
    <m/>
    <d v="2012-12-07T00:00:00"/>
    <m/>
    <m/>
    <n v="2.2000000000000002"/>
    <n v="1"/>
    <m/>
    <m/>
    <n v="2.2000000000000002"/>
    <n v="2.2000000000000002"/>
    <n v="2.2000000000000002"/>
    <n v="0"/>
    <n v="1"/>
    <m/>
    <d v="2000-01-01T00:00:00"/>
    <n v="0"/>
    <m/>
    <m/>
    <m/>
    <n v="0"/>
    <m/>
    <m/>
  </r>
  <r>
    <x v="617"/>
    <n v="18312"/>
    <s v="45208840455550000210"/>
    <n v="9373293621"/>
    <s v="38-196/15/337-13-КР"/>
    <m/>
    <d v="2013-12-19T00:00:00"/>
    <m/>
    <m/>
    <n v="2.1"/>
    <n v="1"/>
    <m/>
    <m/>
    <n v="2.1"/>
    <n v="2.1"/>
    <n v="2.1"/>
    <n v="0"/>
    <n v="1"/>
    <m/>
    <d v="2000-01-01T00:00:00"/>
    <n v="0"/>
    <m/>
    <m/>
    <m/>
    <n v="0"/>
    <m/>
    <m/>
  </r>
  <r>
    <x v="618"/>
    <n v="24785"/>
    <s v="45207810350050000464"/>
    <n v="106000000"/>
    <s v="01415/МР"/>
    <m/>
    <d v="2016-07-29T00:00:00"/>
    <m/>
    <m/>
    <n v="1"/>
    <n v="1"/>
    <m/>
    <m/>
    <n v="1"/>
    <n v="1"/>
    <n v="1"/>
    <n v="0"/>
    <n v="1"/>
    <m/>
    <d v="2016-08-08T00:00:00"/>
    <n v="0"/>
    <m/>
    <m/>
    <m/>
    <m/>
    <m/>
    <m/>
  </r>
  <r>
    <x v="619"/>
    <n v="25967"/>
    <s v="45205810750050000503"/>
    <n v="200000000"/>
    <s v="01422/МР"/>
    <m/>
    <d v="2016-08-11T00:00:00"/>
    <m/>
    <m/>
    <n v="1"/>
    <n v="1"/>
    <m/>
    <m/>
    <n v="1"/>
    <n v="1"/>
    <n v="1"/>
    <n v="0"/>
    <n v="1"/>
    <m/>
    <d v="2016-08-12T00:00:00"/>
    <n v="0"/>
    <m/>
    <m/>
    <m/>
    <m/>
    <m/>
    <m/>
  </r>
  <r>
    <x v="620"/>
    <n v="24035"/>
    <s v="45205810150050000491"/>
    <n v="283941257.05000001"/>
    <s v="01423/МР"/>
    <m/>
    <d v="2016-07-20T00:00:00"/>
    <m/>
    <m/>
    <n v="1"/>
    <n v="1"/>
    <m/>
    <m/>
    <n v="1"/>
    <n v="1"/>
    <n v="1"/>
    <n v="0"/>
    <n v="1"/>
    <m/>
    <d v="2016-07-31T00:00:00"/>
    <n v="0"/>
    <m/>
    <m/>
    <m/>
    <m/>
    <m/>
    <m/>
  </r>
  <r>
    <x v="621"/>
    <n v="23924"/>
    <s v="45205810850050000490"/>
    <n v="90000000"/>
    <s v="01421/МР"/>
    <m/>
    <d v="2016-07-19T00:00:00"/>
    <m/>
    <m/>
    <n v="1"/>
    <n v="1"/>
    <m/>
    <m/>
    <n v="1"/>
    <n v="3"/>
    <n v="3"/>
    <n v="0"/>
    <n v="1"/>
    <m/>
    <d v="2016-08-01T00:00:00"/>
    <n v="0"/>
    <m/>
    <m/>
    <m/>
    <n v="1"/>
    <m/>
    <m/>
  </r>
  <r>
    <x v="622"/>
    <n v="26625"/>
    <s v="45207810400800000001"/>
    <n v="50160000"/>
    <s v="01442/МР"/>
    <m/>
    <d v="2016-09-09T00:00:00"/>
    <m/>
    <m/>
    <n v="1"/>
    <n v="1"/>
    <m/>
    <m/>
    <n v="1"/>
    <n v="1"/>
    <n v="1"/>
    <n v="0"/>
    <n v="1"/>
    <m/>
    <d v="2016-09-20T00:00:00"/>
    <n v="0"/>
    <m/>
    <m/>
    <m/>
    <n v="0"/>
    <m/>
    <m/>
  </r>
  <r>
    <x v="623"/>
    <n v="23925"/>
    <s v="45207810150050000460"/>
    <n v="130000000"/>
    <s v="01437/МР"/>
    <m/>
    <d v="2016-07-19T00:00:00"/>
    <m/>
    <m/>
    <n v="1"/>
    <n v="1"/>
    <m/>
    <m/>
    <n v="1"/>
    <n v="1"/>
    <n v="1"/>
    <n v="0"/>
    <n v="1"/>
    <m/>
    <d v="2016-07-25T00:00:00"/>
    <n v="1"/>
    <s v="2016-07-26"/>
    <m/>
    <m/>
    <m/>
    <m/>
    <m/>
  </r>
  <r>
    <x v="623"/>
    <n v="26637"/>
    <s v="45208810450050000198"/>
    <n v="344502900"/>
    <s v="01492/МР"/>
    <m/>
    <d v="2016-09-12T00:00:00"/>
    <m/>
    <m/>
    <n v="1"/>
    <n v="1"/>
    <m/>
    <m/>
    <n v="1"/>
    <n v="1"/>
    <n v="1"/>
    <n v="0"/>
    <n v="1"/>
    <m/>
    <d v="2016-09-25T00:00:00"/>
    <n v="0"/>
    <m/>
    <m/>
    <m/>
    <n v="0"/>
    <m/>
    <m/>
  </r>
  <r>
    <x v="624"/>
    <n v="24276"/>
    <s v="45207810604800000001"/>
    <n v="256730000"/>
    <s v="01436/МР"/>
    <m/>
    <d v="2016-07-25T00:00:00"/>
    <m/>
    <m/>
    <n v="1"/>
    <n v="1"/>
    <m/>
    <m/>
    <n v="1"/>
    <n v="1"/>
    <n v="1"/>
    <n v="0"/>
    <n v="1"/>
    <m/>
    <d v="2016-08-01T00:00:00"/>
    <n v="0"/>
    <s v="2016-08-02"/>
    <m/>
    <m/>
    <m/>
    <m/>
    <m/>
  </r>
  <r>
    <x v="625"/>
    <n v="26578"/>
    <s v="45205810015800000003"/>
    <n v="800000000"/>
    <s v="01486/МР"/>
    <m/>
    <d v="2016-08-30T00:00:00"/>
    <m/>
    <m/>
    <n v="1"/>
    <n v="1"/>
    <m/>
    <m/>
    <n v="1"/>
    <n v="1"/>
    <n v="1"/>
    <n v="0"/>
    <n v="1"/>
    <m/>
    <d v="2016-09-01T00:00:00"/>
    <n v="0"/>
    <m/>
    <m/>
    <m/>
    <m/>
    <m/>
    <m/>
  </r>
  <r>
    <x v="626"/>
    <n v="26579"/>
    <s v="45205810915800000006"/>
    <n v="200000000"/>
    <s v="01487/МР"/>
    <m/>
    <d v="2016-08-30T00:00:00"/>
    <m/>
    <m/>
    <n v="1"/>
    <n v="1"/>
    <m/>
    <m/>
    <n v="1"/>
    <n v="1"/>
    <n v="1"/>
    <n v="0"/>
    <n v="1"/>
    <m/>
    <d v="2016-09-01T00:00:00"/>
    <n v="0"/>
    <m/>
    <m/>
    <m/>
    <m/>
    <m/>
    <m/>
  </r>
  <r>
    <x v="627"/>
    <n v="26606"/>
    <s v="45207810905800000001"/>
    <n v="100000000"/>
    <s v="01470/МР"/>
    <m/>
    <d v="2016-09-06T00:00:00"/>
    <m/>
    <m/>
    <n v="2.1"/>
    <n v="1"/>
    <m/>
    <m/>
    <n v="2.1"/>
    <n v="2.1"/>
    <n v="2.1"/>
    <n v="0"/>
    <n v="1"/>
    <m/>
    <d v="2016-09-28T00:00:00"/>
    <n v="0"/>
    <m/>
    <m/>
    <m/>
    <m/>
    <m/>
    <m/>
  </r>
  <r>
    <x v="628"/>
    <n v="26714"/>
    <s v="45208810405800000005"/>
    <n v="138500000"/>
    <s v="01519/МР"/>
    <m/>
    <d v="2016-09-30T00:00:00"/>
    <m/>
    <m/>
    <n v="1"/>
    <n v="1"/>
    <m/>
    <m/>
    <n v="1"/>
    <n v="1"/>
    <n v="1"/>
    <n v="0"/>
    <n v="0"/>
    <m/>
    <d v="2016-10-25T00:00:00"/>
    <n v="0"/>
    <m/>
    <m/>
    <m/>
    <n v="0"/>
    <m/>
    <m/>
  </r>
  <r>
    <x v="628"/>
    <n v="26717"/>
    <s v="45206810205800000003"/>
    <n v="74781625.209999993"/>
    <s v="01527/МР"/>
    <m/>
    <d v="2016-09-30T00:00:00"/>
    <m/>
    <m/>
    <n v="1"/>
    <n v="1"/>
    <m/>
    <m/>
    <n v="1"/>
    <n v="1"/>
    <n v="1"/>
    <n v="0"/>
    <n v="0"/>
    <m/>
    <d v="2016-10-25T00:00:00"/>
    <n v="0"/>
    <m/>
    <m/>
    <m/>
    <m/>
    <m/>
    <m/>
  </r>
  <r>
    <x v="629"/>
    <n v="26715"/>
    <s v="45206810605800000001"/>
    <n v="48605315.979999997"/>
    <s v="01523/МР"/>
    <m/>
    <d v="2016-09-30T00:00:00"/>
    <m/>
    <m/>
    <n v="1"/>
    <n v="1"/>
    <m/>
    <m/>
    <n v="1"/>
    <n v="1"/>
    <n v="1"/>
    <n v="0"/>
    <n v="0"/>
    <m/>
    <d v="2016-10-25T00:00:00"/>
    <n v="0"/>
    <m/>
    <m/>
    <m/>
    <n v="0"/>
    <m/>
    <m/>
  </r>
  <r>
    <x v="629"/>
    <n v="26716"/>
    <s v="45208810205800000001"/>
    <n v="102200000"/>
    <s v="01525/МР"/>
    <m/>
    <d v="2016-09-30T00:00:00"/>
    <m/>
    <m/>
    <n v="1"/>
    <n v="1"/>
    <m/>
    <m/>
    <n v="1"/>
    <n v="1"/>
    <n v="1"/>
    <n v="0"/>
    <n v="0"/>
    <m/>
    <d v="2016-10-25T00:00:00"/>
    <n v="0"/>
    <m/>
    <m/>
    <m/>
    <n v="0"/>
    <m/>
    <m/>
  </r>
  <r>
    <x v="630"/>
    <n v="26718"/>
    <s v="45208810805800000003"/>
    <n v="65865002.640000001"/>
    <s v="01528/МР"/>
    <m/>
    <d v="2016-09-30T00:00:00"/>
    <m/>
    <m/>
    <n v="1"/>
    <n v="1"/>
    <m/>
    <m/>
    <n v="1"/>
    <n v="1"/>
    <n v="1"/>
    <n v="0"/>
    <n v="0"/>
    <m/>
    <d v="2016-10-25T00:00:00"/>
    <n v="0"/>
    <m/>
    <m/>
    <m/>
    <n v="0"/>
    <m/>
    <m/>
  </r>
  <r>
    <x v="631"/>
    <n v="26585"/>
    <s v="45606810755550000018"/>
    <n v="13300782600"/>
    <s v="б/н_2016-08-16"/>
    <m/>
    <d v="2016-08-16T00:00:00"/>
    <m/>
    <m/>
    <n v="2.1"/>
    <n v="1"/>
    <m/>
    <m/>
    <n v="2.1"/>
    <n v="2.1"/>
    <n v="2.1"/>
    <n v="0"/>
    <n v="1"/>
    <m/>
    <d v="2016-08-31T00:00:00"/>
    <n v="0"/>
    <m/>
    <m/>
    <n v="0"/>
    <n v="0"/>
    <m/>
    <m/>
  </r>
  <r>
    <x v="632"/>
    <n v="25388"/>
    <s v="45208810355550000573"/>
    <n v="1000594425"/>
    <s v="4066"/>
    <m/>
    <d v="2016-08-05T00:00:00"/>
    <m/>
    <m/>
    <n v="2.1"/>
    <n v="1"/>
    <n v="-2"/>
    <s v="0"/>
    <n v="1"/>
    <n v="1"/>
    <n v="1"/>
    <n v="0"/>
    <n v="1"/>
    <m/>
    <d v="2016-08-05T00:00:00"/>
    <n v="0"/>
    <m/>
    <m/>
    <m/>
    <n v="0"/>
    <m/>
    <m/>
  </r>
  <r>
    <x v="633"/>
    <n v="25260"/>
    <s v="45208810750050000186"/>
    <n v="24000000"/>
    <s v="КС-ЦВ-725780/2014/00041"/>
    <m/>
    <d v="2014-07-25T00:00:00"/>
    <m/>
    <m/>
    <n v="2.1"/>
    <n v="3"/>
    <m/>
    <m/>
    <n v="4.0999999999999996"/>
    <n v="4.0999999999999996"/>
    <n v="4.0999999999999996"/>
    <n v="0"/>
    <n v="1"/>
    <m/>
    <d v="2000-01-01T00:00:00"/>
    <n v="95"/>
    <m/>
    <n v="0"/>
    <m/>
    <m/>
    <m/>
    <m/>
  </r>
  <r>
    <x v="633"/>
    <n v="25261"/>
    <s v="45208810350050000188"/>
    <n v="40000000"/>
    <s v="КС-ЦВ-725780/2014/00048"/>
    <m/>
    <d v="2014-08-25T00:00:00"/>
    <m/>
    <m/>
    <n v="2.1"/>
    <n v="3"/>
    <m/>
    <m/>
    <n v="4.0999999999999996"/>
    <n v="4.0999999999999996"/>
    <n v="4.0999999999999996"/>
    <n v="0"/>
    <n v="1"/>
    <m/>
    <d v="2000-01-01T00:00:00"/>
    <n v="95"/>
    <m/>
    <n v="0"/>
    <m/>
    <m/>
    <m/>
    <m/>
  </r>
  <r>
    <x v="633"/>
    <n v="25262"/>
    <s v="45208810050050000187"/>
    <n v="25000000"/>
    <s v="КС-ЦВ-725780/2014/00049"/>
    <m/>
    <d v="2014-08-25T00:00:00"/>
    <m/>
    <m/>
    <n v="2.1"/>
    <n v="3"/>
    <m/>
    <m/>
    <n v="4.0999999999999996"/>
    <n v="4.0999999999999996"/>
    <n v="4.0999999999999996"/>
    <n v="0"/>
    <n v="1"/>
    <m/>
    <d v="2000-01-01T00:00:00"/>
    <n v="95"/>
    <m/>
    <n v="0"/>
    <m/>
    <m/>
    <m/>
    <m/>
  </r>
  <r>
    <x v="633"/>
    <n v="25263"/>
    <s v="45208810950050000193"/>
    <n v="25000000"/>
    <s v="КС-ЦВ-725780/2014/00053"/>
    <m/>
    <d v="2014-09-03T00:00:00"/>
    <m/>
    <m/>
    <n v="2.1"/>
    <n v="3"/>
    <m/>
    <m/>
    <n v="4.0999999999999996"/>
    <n v="4.0999999999999996"/>
    <n v="4.0999999999999996"/>
    <n v="0"/>
    <n v="1"/>
    <m/>
    <d v="2000-01-01T00:00:00"/>
    <n v="95"/>
    <m/>
    <n v="0"/>
    <m/>
    <m/>
    <m/>
    <m/>
  </r>
  <r>
    <x v="633"/>
    <n v="25264"/>
    <s v="45208810450050000185"/>
    <n v="20000000"/>
    <s v="КС-ЦВ-725780/2014/00055"/>
    <m/>
    <d v="2014-09-19T00:00:00"/>
    <m/>
    <m/>
    <n v="2.1"/>
    <n v="3"/>
    <m/>
    <m/>
    <n v="4.0999999999999996"/>
    <n v="4.0999999999999996"/>
    <n v="4.0999999999999996"/>
    <n v="0"/>
    <n v="1"/>
    <m/>
    <d v="2000-01-01T00:00:00"/>
    <n v="95"/>
    <m/>
    <n v="0"/>
    <m/>
    <m/>
    <m/>
    <m/>
  </r>
  <r>
    <x v="633"/>
    <n v="25265"/>
    <s v="45207810250050000467"/>
    <n v="38640000"/>
    <s v="КС-ЦВ-725780/2015/00006"/>
    <m/>
    <d v="2015-02-12T00:00:00"/>
    <m/>
    <m/>
    <n v="2.1"/>
    <n v="3"/>
    <m/>
    <m/>
    <n v="4.0999999999999996"/>
    <n v="4.0999999999999996"/>
    <n v="4.0999999999999996"/>
    <n v="0"/>
    <n v="1"/>
    <m/>
    <d v="2000-01-01T00:00:00"/>
    <n v="98"/>
    <m/>
    <m/>
    <m/>
    <m/>
    <m/>
    <m/>
  </r>
  <r>
    <x v="633"/>
    <n v="25266"/>
    <s v="45208810650050000189"/>
    <n v="200000000"/>
    <s v="КС-ЦВ-725780/2015/00025"/>
    <m/>
    <d v="2015-05-15T00:00:00"/>
    <m/>
    <m/>
    <n v="2.1"/>
    <n v="3"/>
    <m/>
    <m/>
    <n v="4.0999999999999996"/>
    <n v="4.0999999999999996"/>
    <n v="4.0999999999999996"/>
    <n v="0"/>
    <n v="1"/>
    <m/>
    <d v="2000-01-01T00:00:00"/>
    <n v="99"/>
    <m/>
    <n v="0"/>
    <m/>
    <n v="0"/>
    <m/>
    <m/>
  </r>
  <r>
    <x v="633"/>
    <n v="25267"/>
    <s v="45208810050050000190"/>
    <n v="85000000"/>
    <s v="КС-ЦВ-725780/2015/00032"/>
    <m/>
    <d v="2015-06-17T00:00:00"/>
    <m/>
    <m/>
    <n v="2.1"/>
    <n v="3"/>
    <m/>
    <m/>
    <n v="4.0999999999999996"/>
    <n v="4.0999999999999996"/>
    <n v="4.0999999999999996"/>
    <n v="0"/>
    <n v="1"/>
    <m/>
    <d v="2000-01-01T00:00:00"/>
    <n v="95"/>
    <m/>
    <n v="0"/>
    <m/>
    <m/>
    <m/>
    <m/>
  </r>
  <r>
    <x v="634"/>
    <n v="26598"/>
    <s v="47304810700210000001"/>
    <n v="3000000000"/>
    <s v="414162-310816-1/1-1"/>
    <m/>
    <d v="2016-08-31T00:00:00"/>
    <m/>
    <m/>
    <n v="1"/>
    <n v="1"/>
    <m/>
    <m/>
    <n v="1"/>
    <n v="3"/>
    <n v="3"/>
    <n v="0"/>
    <n v="0"/>
    <m/>
    <d v="2500-01-01T00:00:00"/>
    <n v="0"/>
    <m/>
    <m/>
    <m/>
    <m/>
    <m/>
    <s v="приобретение/погашение векселей"/>
  </r>
  <r>
    <x v="635"/>
    <n v="26619"/>
    <s v="45605840155550000029"/>
    <n v="9271609093.2600002"/>
    <s v="б/н_2016-09-07"/>
    <m/>
    <d v="2016-09-07T00:00:00"/>
    <m/>
    <m/>
    <n v="1"/>
    <n v="1"/>
    <m/>
    <m/>
    <n v="1"/>
    <n v="1"/>
    <n v="1"/>
    <n v="0"/>
    <n v="1"/>
    <m/>
    <d v="2016-09-07T00:00:00"/>
    <n v="0"/>
    <m/>
    <m/>
    <m/>
    <n v="0"/>
    <m/>
    <m/>
  </r>
  <r>
    <x v="636"/>
    <n v="26610"/>
    <s v="45812810150050000538"/>
    <n v="8893083.1899999995"/>
    <s v="КС-ЦУ-703730/2013/00019"/>
    <m/>
    <d v="2013-09-25T00:00:00"/>
    <m/>
    <m/>
    <n v="3"/>
    <n v="3"/>
    <n v="-1"/>
    <s v="0"/>
    <n v="4"/>
    <n v="4"/>
    <n v="4"/>
    <n v="0"/>
    <n v="1"/>
    <m/>
    <d v="2000-01-01T00:00:00"/>
    <n v="140"/>
    <m/>
    <n v="0"/>
    <m/>
    <m/>
    <m/>
    <m/>
  </r>
  <r>
    <x v="636"/>
    <n v="26611"/>
    <s v="45812810450050000539"/>
    <n v="120000000"/>
    <s v="КС-ЦУ-703730/2015/00075"/>
    <m/>
    <d v="2015-10-06T00:00:00"/>
    <m/>
    <m/>
    <n v="3"/>
    <n v="3"/>
    <n v="-1"/>
    <s v="0"/>
    <n v="4"/>
    <n v="4"/>
    <n v="4"/>
    <n v="0"/>
    <n v="1"/>
    <m/>
    <d v="2000-01-01T00:00:00"/>
    <n v="128"/>
    <m/>
    <n v="1"/>
    <m/>
    <m/>
    <m/>
    <m/>
  </r>
  <r>
    <x v="636"/>
    <n v="26612"/>
    <s v="45812810850050000540"/>
    <n v="300000000"/>
    <s v="КС-ЦУ-703730/2015/00083"/>
    <m/>
    <d v="2015-10-19T00:00:00"/>
    <m/>
    <m/>
    <n v="3"/>
    <n v="3"/>
    <n v="-1"/>
    <s v="0"/>
    <n v="4"/>
    <n v="4"/>
    <n v="4"/>
    <n v="0"/>
    <n v="1"/>
    <m/>
    <d v="2000-01-01T00:00:00"/>
    <n v="112"/>
    <m/>
    <n v="1"/>
    <m/>
    <m/>
    <m/>
    <m/>
  </r>
  <r>
    <x v="637"/>
    <n v="26729"/>
    <s v="45206810755550000528"/>
    <n v="800000000"/>
    <s v="4079"/>
    <m/>
    <d v="2016-09-29T00:00:00"/>
    <m/>
    <m/>
    <n v="1"/>
    <n v="1"/>
    <m/>
    <m/>
    <n v="1"/>
    <n v="1"/>
    <n v="1"/>
    <n v="0"/>
    <n v="0"/>
    <m/>
    <d v="2016-10-25T00:00:00"/>
    <n v="0"/>
    <m/>
    <m/>
    <m/>
    <n v="0"/>
    <m/>
    <m/>
  </r>
  <r>
    <x v="638"/>
    <n v="26713"/>
    <s v="45208810005800000007"/>
    <n v="110980414.23999999"/>
    <s v="01516/МР"/>
    <m/>
    <d v="2016-09-30T00:00:00"/>
    <m/>
    <m/>
    <n v="1"/>
    <n v="1"/>
    <m/>
    <m/>
    <n v="1"/>
    <n v="1"/>
    <n v="1"/>
    <n v="0"/>
    <n v="0"/>
    <m/>
    <d v="2016-10-25T00:00:00"/>
    <n v="0"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  <r>
    <x v="639"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AID_Summary" cacheId="0" applyNumberFormats="0" applyBorderFormats="0" applyFontFormats="0" applyPatternFormats="0" applyAlignmentFormats="0" applyWidthHeightFormats="1" dataCaption="Данные" updatedVersion="4" minRefreshableVersion="3" showMemberPropertyTips="0" useAutoFormatting="1" itemPrintTitles="1" createdVersion="4" indent="0" compact="0" compactData="0" gridDropZones="1">
  <location ref="A3:E645" firstHeaderRow="1" firstDataRow="2" firstDataCol="1"/>
  <pivotFields count="27">
    <pivotField axis="axisRow" compact="0" outline="0" subtotalTop="0" showAll="0" includeNewItemsInFilter="1" sortType="ascending">
      <items count="794">
        <item m="1" x="656"/>
        <item m="1" x="740"/>
        <item m="1" x="730"/>
        <item m="1" x="704"/>
        <item m="1" x="734"/>
        <item m="1" x="776"/>
        <item m="1" x="774"/>
        <item x="1"/>
        <item m="1" x="771"/>
        <item m="1" x="727"/>
        <item m="1" x="767"/>
        <item m="1" x="723"/>
        <item x="2"/>
        <item m="1" x="700"/>
        <item m="1" x="644"/>
        <item m="1" x="665"/>
        <item x="3"/>
        <item m="1" x="641"/>
        <item m="1" x="732"/>
        <item x="4"/>
        <item x="5"/>
        <item m="1" x="713"/>
        <item m="1" x="752"/>
        <item m="1" x="655"/>
        <item x="6"/>
        <item m="1" x="708"/>
        <item x="7"/>
        <item m="1" x="697"/>
        <item m="1" x="717"/>
        <item m="1" x="754"/>
        <item m="1" x="763"/>
        <item x="8"/>
        <item m="1" x="781"/>
        <item m="1" x="788"/>
        <item x="9"/>
        <item x="10"/>
        <item m="1" x="709"/>
        <item m="1" x="696"/>
        <item x="11"/>
        <item m="1" x="775"/>
        <item m="1" x="764"/>
        <item x="12"/>
        <item m="1" x="702"/>
        <item x="13"/>
        <item x="14"/>
        <item x="15"/>
        <item x="16"/>
        <item x="17"/>
        <item x="18"/>
        <item x="19"/>
        <item x="20"/>
        <item x="21"/>
        <item m="1" x="714"/>
        <item x="22"/>
        <item x="23"/>
        <item m="1" x="718"/>
        <item x="24"/>
        <item x="25"/>
        <item x="26"/>
        <item x="27"/>
        <item x="28"/>
        <item m="1" x="737"/>
        <item x="29"/>
        <item m="1" x="692"/>
        <item x="30"/>
        <item m="1" x="690"/>
        <item x="31"/>
        <item x="32"/>
        <item m="1" x="777"/>
        <item x="33"/>
        <item x="34"/>
        <item x="35"/>
        <item x="36"/>
        <item m="1" x="785"/>
        <item m="1" x="699"/>
        <item x="37"/>
        <item x="38"/>
        <item m="1" x="648"/>
        <item x="39"/>
        <item m="1" x="682"/>
        <item m="1" x="720"/>
        <item x="40"/>
        <item x="41"/>
        <item x="42"/>
        <item x="43"/>
        <item x="44"/>
        <item x="45"/>
        <item m="1" x="668"/>
        <item m="1" x="749"/>
        <item m="1" x="784"/>
        <item m="1" x="647"/>
        <item x="46"/>
        <item x="47"/>
        <item x="48"/>
        <item x="49"/>
        <item m="1" x="673"/>
        <item x="50"/>
        <item x="51"/>
        <item x="52"/>
        <item x="53"/>
        <item x="54"/>
        <item x="55"/>
        <item x="56"/>
        <item x="57"/>
        <item x="58"/>
        <item m="1" x="742"/>
        <item m="1" x="672"/>
        <item m="1" x="751"/>
        <item x="59"/>
        <item x="60"/>
        <item x="61"/>
        <item x="62"/>
        <item x="63"/>
        <item x="64"/>
        <item x="65"/>
        <item m="1" x="789"/>
        <item m="1" x="741"/>
        <item x="66"/>
        <item x="67"/>
        <item x="68"/>
        <item x="69"/>
        <item x="70"/>
        <item x="71"/>
        <item x="72"/>
        <item x="73"/>
        <item x="74"/>
        <item x="75"/>
        <item m="1" x="707"/>
        <item m="1" x="688"/>
        <item x="76"/>
        <item m="1" x="685"/>
        <item x="77"/>
        <item x="78"/>
        <item x="79"/>
        <item m="1" x="710"/>
        <item m="1" x="759"/>
        <item x="80"/>
        <item x="81"/>
        <item x="82"/>
        <item m="1" x="705"/>
        <item x="83"/>
        <item x="84"/>
        <item x="85"/>
        <item x="86"/>
        <item x="87"/>
        <item m="1" x="698"/>
        <item x="88"/>
        <item x="89"/>
        <item m="1" x="725"/>
        <item m="1" x="658"/>
        <item x="90"/>
        <item x="91"/>
        <item m="1" x="657"/>
        <item x="92"/>
        <item x="93"/>
        <item x="94"/>
        <item x="95"/>
        <item x="96"/>
        <item x="97"/>
        <item x="98"/>
        <item x="99"/>
        <item x="100"/>
        <item x="101"/>
        <item m="1" x="729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m="1" x="724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m="1" x="757"/>
        <item m="1" x="64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m="1" x="679"/>
        <item x="149"/>
        <item x="150"/>
        <item x="151"/>
        <item x="152"/>
        <item x="153"/>
        <item x="154"/>
        <item m="1" x="654"/>
        <item x="155"/>
        <item x="156"/>
        <item x="157"/>
        <item m="1" x="772"/>
        <item x="158"/>
        <item m="1" x="722"/>
        <item m="1" x="674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m="1" x="659"/>
        <item x="175"/>
        <item x="176"/>
        <item x="177"/>
        <item m="1" x="765"/>
        <item x="178"/>
        <item m="1" x="716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m="1" x="744"/>
        <item x="193"/>
        <item x="194"/>
        <item m="1" x="778"/>
        <item x="195"/>
        <item x="196"/>
        <item x="197"/>
        <item x="198"/>
        <item m="1" x="650"/>
        <item x="199"/>
        <item m="1" x="677"/>
        <item m="1" x="715"/>
        <item x="200"/>
        <item x="201"/>
        <item x="202"/>
        <item x="203"/>
        <item m="1" x="689"/>
        <item x="204"/>
        <item m="1" x="779"/>
        <item m="1" x="645"/>
        <item x="205"/>
        <item x="206"/>
        <item x="207"/>
        <item x="208"/>
        <item x="209"/>
        <item m="1" x="680"/>
        <item m="1" x="756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m="1" x="787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669"/>
        <item x="243"/>
        <item x="244"/>
        <item x="245"/>
        <item m="1" x="73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m="1" x="683"/>
        <item x="264"/>
        <item x="265"/>
        <item x="266"/>
        <item x="267"/>
        <item x="268"/>
        <item x="269"/>
        <item x="270"/>
        <item x="271"/>
        <item x="272"/>
        <item x="273"/>
        <item m="1" x="675"/>
        <item x="274"/>
        <item x="275"/>
        <item x="276"/>
        <item x="277"/>
        <item x="278"/>
        <item x="279"/>
        <item x="280"/>
        <item m="1" x="739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m="1" x="652"/>
        <item x="292"/>
        <item x="293"/>
        <item x="294"/>
        <item x="295"/>
        <item x="296"/>
        <item x="297"/>
        <item x="298"/>
        <item m="1" x="773"/>
        <item x="299"/>
        <item x="300"/>
        <item m="1" x="646"/>
        <item x="301"/>
        <item x="302"/>
        <item m="1" x="694"/>
        <item x="303"/>
        <item x="304"/>
        <item x="305"/>
        <item x="306"/>
        <item x="307"/>
        <item x="308"/>
        <item x="309"/>
        <item x="310"/>
        <item m="1" x="738"/>
        <item x="311"/>
        <item x="312"/>
        <item x="313"/>
        <item x="314"/>
        <item x="315"/>
        <item x="316"/>
        <item m="1" x="791"/>
        <item x="317"/>
        <item x="318"/>
        <item x="319"/>
        <item x="320"/>
        <item x="321"/>
        <item m="1" x="762"/>
        <item x="322"/>
        <item x="323"/>
        <item x="324"/>
        <item x="325"/>
        <item x="326"/>
        <item m="1" x="678"/>
        <item x="327"/>
        <item x="328"/>
        <item x="329"/>
        <item x="330"/>
        <item x="331"/>
        <item x="332"/>
        <item x="333"/>
        <item x="334"/>
        <item x="335"/>
        <item x="336"/>
        <item m="1" x="786"/>
        <item x="337"/>
        <item x="338"/>
        <item x="339"/>
        <item x="340"/>
        <item m="1" x="651"/>
        <item x="341"/>
        <item m="1" x="676"/>
        <item x="342"/>
        <item x="343"/>
        <item x="344"/>
        <item x="345"/>
        <item x="346"/>
        <item m="1" x="684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m="1" x="687"/>
        <item m="1" x="743"/>
        <item x="368"/>
        <item x="369"/>
        <item x="370"/>
        <item x="371"/>
        <item x="372"/>
        <item x="373"/>
        <item x="374"/>
        <item x="375"/>
        <item x="376"/>
        <item x="377"/>
        <item m="1" x="686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m="1" x="664"/>
        <item x="397"/>
        <item x="398"/>
        <item x="399"/>
        <item x="400"/>
        <item x="401"/>
        <item x="402"/>
        <item x="403"/>
        <item x="404"/>
        <item m="1" x="746"/>
        <item x="405"/>
        <item m="1" x="691"/>
        <item x="406"/>
        <item x="407"/>
        <item m="1" x="721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m="1" x="661"/>
        <item x="421"/>
        <item x="422"/>
        <item x="423"/>
        <item x="424"/>
        <item x="425"/>
        <item x="426"/>
        <item m="1" x="671"/>
        <item x="427"/>
        <item x="428"/>
        <item x="429"/>
        <item x="430"/>
        <item x="431"/>
        <item x="432"/>
        <item x="433"/>
        <item m="1" x="719"/>
        <item x="434"/>
        <item x="435"/>
        <item m="1" x="760"/>
        <item m="1" x="667"/>
        <item x="436"/>
        <item x="437"/>
        <item m="1" x="670"/>
        <item x="438"/>
        <item x="439"/>
        <item m="1" x="745"/>
        <item m="1" x="712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m="1" x="711"/>
        <item x="451"/>
        <item x="452"/>
        <item x="453"/>
        <item x="454"/>
        <item x="455"/>
        <item m="1" x="640"/>
        <item x="456"/>
        <item x="457"/>
        <item x="458"/>
        <item x="459"/>
        <item x="460"/>
        <item x="461"/>
        <item x="462"/>
        <item x="463"/>
        <item m="1" x="770"/>
        <item m="1" x="695"/>
        <item x="464"/>
        <item x="465"/>
        <item m="1" x="681"/>
        <item x="466"/>
        <item x="467"/>
        <item x="468"/>
        <item m="1" x="701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m="1" x="768"/>
        <item m="1" x="790"/>
        <item x="500"/>
        <item x="501"/>
        <item x="502"/>
        <item x="503"/>
        <item x="504"/>
        <item x="505"/>
        <item x="506"/>
        <item x="507"/>
        <item x="508"/>
        <item x="509"/>
        <item m="1" x="783"/>
        <item x="510"/>
        <item x="511"/>
        <item x="512"/>
        <item x="513"/>
        <item x="514"/>
        <item x="515"/>
        <item m="1" x="731"/>
        <item x="516"/>
        <item m="1" x="663"/>
        <item x="517"/>
        <item m="1" x="733"/>
        <item m="1" x="703"/>
        <item x="518"/>
        <item m="1" x="748"/>
        <item m="1" x="766"/>
        <item m="1" x="769"/>
        <item m="1" x="792"/>
        <item x="519"/>
        <item x="520"/>
        <item m="1" x="755"/>
        <item x="521"/>
        <item m="1" x="660"/>
        <item x="522"/>
        <item x="523"/>
        <item x="524"/>
        <item x="525"/>
        <item x="526"/>
        <item x="527"/>
        <item m="1" x="643"/>
        <item x="528"/>
        <item x="529"/>
        <item x="530"/>
        <item x="531"/>
        <item m="1" x="758"/>
        <item x="532"/>
        <item m="1" x="666"/>
        <item x="533"/>
        <item x="534"/>
        <item x="535"/>
        <item x="536"/>
        <item x="537"/>
        <item x="538"/>
        <item m="1" x="706"/>
        <item x="539"/>
        <item x="540"/>
        <item x="541"/>
        <item x="542"/>
        <item x="543"/>
        <item m="1" x="747"/>
        <item x="544"/>
        <item x="545"/>
        <item x="546"/>
        <item x="547"/>
        <item m="1" x="750"/>
        <item x="548"/>
        <item m="1" x="642"/>
        <item x="549"/>
        <item x="550"/>
        <item x="551"/>
        <item x="552"/>
        <item x="553"/>
        <item m="1" x="782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m="1" x="780"/>
        <item x="565"/>
        <item x="566"/>
        <item x="567"/>
        <item x="568"/>
        <item x="569"/>
        <item x="570"/>
        <item x="571"/>
        <item x="572"/>
        <item x="573"/>
        <item m="1" x="75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m="1" x="693"/>
        <item x="592"/>
        <item x="593"/>
        <item x="594"/>
        <item x="595"/>
        <item x="596"/>
        <item x="597"/>
        <item x="598"/>
        <item x="599"/>
        <item m="1" x="653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m="1" x="728"/>
        <item m="1" x="662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m="1" x="736"/>
        <item m="1" x="761"/>
        <item x="636"/>
        <item x="637"/>
        <item x="638"/>
        <item m="1" x="726"/>
        <item x="0"/>
        <item x="639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3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numFmtId="3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0"/>
  </rowFields>
  <rowItems count="641">
    <i>
      <x v="7"/>
    </i>
    <i>
      <x v="12"/>
    </i>
    <i>
      <x v="16"/>
    </i>
    <i>
      <x v="19"/>
    </i>
    <i>
      <x v="20"/>
    </i>
    <i>
      <x v="24"/>
    </i>
    <i>
      <x v="26"/>
    </i>
    <i>
      <x v="31"/>
    </i>
    <i>
      <x v="34"/>
    </i>
    <i>
      <x v="35"/>
    </i>
    <i>
      <x v="38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3"/>
    </i>
    <i>
      <x v="54"/>
    </i>
    <i>
      <x v="56"/>
    </i>
    <i>
      <x v="57"/>
    </i>
    <i>
      <x v="58"/>
    </i>
    <i>
      <x v="59"/>
    </i>
    <i>
      <x v="60"/>
    </i>
    <i>
      <x v="62"/>
    </i>
    <i>
      <x v="64"/>
    </i>
    <i>
      <x v="66"/>
    </i>
    <i>
      <x v="67"/>
    </i>
    <i>
      <x v="69"/>
    </i>
    <i>
      <x v="70"/>
    </i>
    <i>
      <x v="71"/>
    </i>
    <i>
      <x v="72"/>
    </i>
    <i>
      <x v="75"/>
    </i>
    <i>
      <x v="76"/>
    </i>
    <i>
      <x v="78"/>
    </i>
    <i>
      <x v="81"/>
    </i>
    <i>
      <x v="82"/>
    </i>
    <i>
      <x v="83"/>
    </i>
    <i>
      <x v="84"/>
    </i>
    <i>
      <x v="85"/>
    </i>
    <i>
      <x v="86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9"/>
    </i>
    <i>
      <x v="131"/>
    </i>
    <i>
      <x v="132"/>
    </i>
    <i>
      <x v="133"/>
    </i>
    <i>
      <x v="136"/>
    </i>
    <i>
      <x v="137"/>
    </i>
    <i>
      <x v="138"/>
    </i>
    <i>
      <x v="140"/>
    </i>
    <i>
      <x v="141"/>
    </i>
    <i>
      <x v="142"/>
    </i>
    <i>
      <x v="143"/>
    </i>
    <i>
      <x v="144"/>
    </i>
    <i>
      <x v="146"/>
    </i>
    <i>
      <x v="147"/>
    </i>
    <i>
      <x v="150"/>
    </i>
    <i>
      <x v="151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5"/>
    </i>
    <i>
      <x v="216"/>
    </i>
    <i>
      <x v="217"/>
    </i>
    <i>
      <x v="218"/>
    </i>
    <i>
      <x v="219"/>
    </i>
    <i>
      <x v="220"/>
    </i>
    <i>
      <x v="222"/>
    </i>
    <i>
      <x v="223"/>
    </i>
    <i>
      <x v="224"/>
    </i>
    <i>
      <x v="226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6"/>
    </i>
    <i>
      <x v="247"/>
    </i>
    <i>
      <x v="248"/>
    </i>
    <i>
      <x v="250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7"/>
    </i>
    <i>
      <x v="268"/>
    </i>
    <i>
      <x v="270"/>
    </i>
    <i>
      <x v="271"/>
    </i>
    <i>
      <x v="272"/>
    </i>
    <i>
      <x v="273"/>
    </i>
    <i>
      <x v="275"/>
    </i>
    <i>
      <x v="278"/>
    </i>
    <i>
      <x v="279"/>
    </i>
    <i>
      <x v="280"/>
    </i>
    <i>
      <x v="281"/>
    </i>
    <i>
      <x v="283"/>
    </i>
    <i>
      <x v="286"/>
    </i>
    <i>
      <x v="287"/>
    </i>
    <i>
      <x v="288"/>
    </i>
    <i>
      <x v="289"/>
    </i>
    <i>
      <x v="290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8"/>
    </i>
    <i>
      <x v="329"/>
    </i>
    <i>
      <x v="330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90"/>
    </i>
    <i>
      <x v="391"/>
    </i>
    <i>
      <x v="393"/>
    </i>
    <i>
      <x v="394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5"/>
    </i>
    <i>
      <x v="406"/>
    </i>
    <i>
      <x v="407"/>
    </i>
    <i>
      <x v="408"/>
    </i>
    <i>
      <x v="409"/>
    </i>
    <i>
      <x v="410"/>
    </i>
    <i>
      <x v="412"/>
    </i>
    <i>
      <x v="413"/>
    </i>
    <i>
      <x v="414"/>
    </i>
    <i>
      <x v="415"/>
    </i>
    <i>
      <x v="416"/>
    </i>
    <i>
      <x v="418"/>
    </i>
    <i>
      <x v="419"/>
    </i>
    <i>
      <x v="420"/>
    </i>
    <i>
      <x v="421"/>
    </i>
    <i>
      <x v="422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5"/>
    </i>
    <i>
      <x v="436"/>
    </i>
    <i>
      <x v="437"/>
    </i>
    <i>
      <x v="438"/>
    </i>
    <i>
      <x v="440"/>
    </i>
    <i>
      <x v="442"/>
    </i>
    <i>
      <x v="443"/>
    </i>
    <i>
      <x v="444"/>
    </i>
    <i>
      <x v="445"/>
    </i>
    <i>
      <x v="446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1"/>
    </i>
    <i>
      <x v="513"/>
    </i>
    <i>
      <x v="514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30"/>
    </i>
    <i>
      <x v="531"/>
    </i>
    <i>
      <x v="532"/>
    </i>
    <i>
      <x v="533"/>
    </i>
    <i>
      <x v="534"/>
    </i>
    <i>
      <x v="535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5"/>
    </i>
    <i>
      <x v="546"/>
    </i>
    <i>
      <x v="549"/>
    </i>
    <i>
      <x v="550"/>
    </i>
    <i>
      <x v="552"/>
    </i>
    <i>
      <x v="553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8"/>
    </i>
    <i>
      <x v="569"/>
    </i>
    <i>
      <x v="570"/>
    </i>
    <i>
      <x v="571"/>
    </i>
    <i>
      <x v="572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4"/>
    </i>
    <i>
      <x v="585"/>
    </i>
    <i>
      <x v="587"/>
    </i>
    <i>
      <x v="588"/>
    </i>
    <i>
      <x v="589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5"/>
    </i>
    <i>
      <x v="636"/>
    </i>
    <i>
      <x v="637"/>
    </i>
    <i>
      <x v="638"/>
    </i>
    <i>
      <x v="639"/>
    </i>
    <i>
      <x v="640"/>
    </i>
    <i>
      <x v="642"/>
    </i>
    <i>
      <x v="644"/>
    </i>
    <i>
      <x v="647"/>
    </i>
    <i>
      <x v="652"/>
    </i>
    <i>
      <x v="653"/>
    </i>
    <i>
      <x v="655"/>
    </i>
    <i>
      <x v="657"/>
    </i>
    <i>
      <x v="658"/>
    </i>
    <i>
      <x v="659"/>
    </i>
    <i>
      <x v="660"/>
    </i>
    <i>
      <x v="661"/>
    </i>
    <i>
      <x v="662"/>
    </i>
    <i>
      <x v="664"/>
    </i>
    <i>
      <x v="665"/>
    </i>
    <i>
      <x v="666"/>
    </i>
    <i>
      <x v="667"/>
    </i>
    <i>
      <x v="669"/>
    </i>
    <i>
      <x v="671"/>
    </i>
    <i>
      <x v="672"/>
    </i>
    <i>
      <x v="673"/>
    </i>
    <i>
      <x v="674"/>
    </i>
    <i>
      <x v="675"/>
    </i>
    <i>
      <x v="676"/>
    </i>
    <i>
      <x v="678"/>
    </i>
    <i>
      <x v="679"/>
    </i>
    <i>
      <x v="680"/>
    </i>
    <i>
      <x v="681"/>
    </i>
    <i>
      <x v="682"/>
    </i>
    <i>
      <x v="684"/>
    </i>
    <i>
      <x v="685"/>
    </i>
    <i>
      <x v="686"/>
    </i>
    <i>
      <x v="687"/>
    </i>
    <i>
      <x v="689"/>
    </i>
    <i>
      <x v="691"/>
    </i>
    <i>
      <x v="692"/>
    </i>
    <i>
      <x v="693"/>
    </i>
    <i>
      <x v="694"/>
    </i>
    <i>
      <x v="695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7"/>
    </i>
    <i>
      <x v="788"/>
    </i>
    <i>
      <x v="789"/>
    </i>
    <i>
      <x v="791"/>
    </i>
    <i>
      <x v="79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Минимум CQ_CID" fld="15" subtotal="min" baseField="0" baseItem="0"/>
    <dataField name="Максимум CQ_CID" fld="15" subtotal="max" baseField="0" baseItem="0"/>
    <dataField name="Максимум по полю OD" fld="10" subtotal="max" baseField="0" baseItem="13"/>
    <dataField name="Максимум по полю ODPros" fld="20" subtotal="max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52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2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7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6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7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8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3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4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8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7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402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84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3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7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8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9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0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1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3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4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5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40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1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4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70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1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9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35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19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21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6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7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6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9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2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3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2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5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6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5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93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2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1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6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7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42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3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4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0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3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8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4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79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8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9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3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4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5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7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8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9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0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86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5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4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8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9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8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1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2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1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5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4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5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00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1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08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86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1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2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6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7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3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6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7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8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9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32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3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4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6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7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0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2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3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7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8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90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53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4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60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81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0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92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69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25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18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1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5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6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7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9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9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1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2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3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4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5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6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92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1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2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5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6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5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41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2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3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0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7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8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7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8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9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34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3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4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6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7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8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0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0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5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3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9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8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1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2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4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5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4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20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1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0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5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1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2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9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5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6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7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22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3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6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7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6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98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52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3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4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5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6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7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01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2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3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7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80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73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7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80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85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9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24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5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9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8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1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5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6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8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9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9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1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2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4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5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6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9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10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1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2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5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1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2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6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7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8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7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8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33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4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3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7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6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7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01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84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3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2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8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9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0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1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3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4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5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40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1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4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70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1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8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9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5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4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5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6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7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9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0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1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2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5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1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2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6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5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6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9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1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2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3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2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3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5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6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7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6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7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2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1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2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2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8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7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63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3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3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4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3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6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7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6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7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8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0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4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3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2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78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4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78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8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9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0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3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4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5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3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4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5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7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8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0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1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9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0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1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5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4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8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9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0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8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5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89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9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1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0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4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5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6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4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5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6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7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8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9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07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51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2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0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1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2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6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5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9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1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9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3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2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1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6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5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6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7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6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9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2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1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2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7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8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7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73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2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3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4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3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6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7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6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80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60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2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3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7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8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4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7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8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9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0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2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3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4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0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3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4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5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7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8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0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1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91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405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61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3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4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8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9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0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5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8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9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1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0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4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5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4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5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6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8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9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0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1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2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1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9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0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1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7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4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5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9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1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2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3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2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6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5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6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5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6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6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1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19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2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1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2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7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8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5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62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3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2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3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4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6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7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6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7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8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0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3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2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3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7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3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4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7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8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9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2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3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4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0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3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4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5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6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7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8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0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1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8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9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50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1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3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4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8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4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8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9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0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4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5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5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4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5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6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7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8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9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0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1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1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9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0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1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4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79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2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2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3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0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5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6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5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6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6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21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97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42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1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2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6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7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72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3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2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3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4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5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6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7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6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7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8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0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1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2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3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6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7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" Type="http://schemas.openxmlformats.org/officeDocument/2006/relationships/hyperlink" Target="file:///\\plu20\dfs01\OCR\&#1055;&#1056;&#1054;&#1060;&#1057;&#1059;&#1046;&#1044;&#1045;&#1053;&#1048;&#1071;\10\30\254-&#1055;%20&#1059;&#1050;&#1057;%202016-09-30%20&#1054;&#1090;&#1095;&#1077;&#1090;.xls" TargetMode="External"/><Relationship Id="rId23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4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7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8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7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52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3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0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3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4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5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6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7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8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0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8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7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84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9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0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1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2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3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4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8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4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8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9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8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02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74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5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54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5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7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8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9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0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1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0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8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1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95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40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6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3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4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89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9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1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2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5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6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5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5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6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9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10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1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39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2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1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2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6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7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61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2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2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3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5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6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7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6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7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8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0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1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2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3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6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2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3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4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7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8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7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2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3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3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4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3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6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7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8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0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7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00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48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0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2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3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4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3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4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9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8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1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9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84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5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4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5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8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7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0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8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0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0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8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1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50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4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3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4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9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1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9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1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2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55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6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5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5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4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5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6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9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0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1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2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1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2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6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5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9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1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2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9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2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3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5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6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7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5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6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7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8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1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2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3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6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2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3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7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6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7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72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3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4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3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4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6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7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8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77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0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58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0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3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2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3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3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9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8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7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64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4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5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4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8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7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0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8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0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9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0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88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1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0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5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4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3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79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8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5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9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1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0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4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5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6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4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5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6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8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9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06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51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2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0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1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2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6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5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9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1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9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6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99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82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1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5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6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7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5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6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7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8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9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1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2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3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1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2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3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7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6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7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2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4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3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2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6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7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8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7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0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8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3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2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3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3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89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0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8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74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4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5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4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7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8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7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0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8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90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404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61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3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4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3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9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0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5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8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9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0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1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0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4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5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1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4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5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6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8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9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0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1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2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0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1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2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4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5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9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1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6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9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2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1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5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6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5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5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6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7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9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1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2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3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2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1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2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3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8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5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6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92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84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3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7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6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7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7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7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0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2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3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2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3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3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8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9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6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84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3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4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5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7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8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7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0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8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9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50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1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4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3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4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8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4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5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8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9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0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0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3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4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5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1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4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5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6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7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8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9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0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1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2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9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0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1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2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4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5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9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8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5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6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9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0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1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5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6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5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6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7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8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9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1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2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2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1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2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5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6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3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3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4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1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57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6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7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7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7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0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2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3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2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3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88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73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3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4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5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6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7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8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7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0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8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7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83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9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0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1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2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3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4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8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4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5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8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9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0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8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01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53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4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0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1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4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5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6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7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8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9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0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1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9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8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94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40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1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2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3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4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5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9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5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9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9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10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12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75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1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6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55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6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8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9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1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2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2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1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2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7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4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5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83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1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6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7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6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6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7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0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2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3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2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2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3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7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8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83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3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4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6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7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8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0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7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8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9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0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1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2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3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4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7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3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4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5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8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9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8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0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3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4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0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4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5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4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7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8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9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0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1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8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1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49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50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1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2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3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4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5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5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9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9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0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85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5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6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5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6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8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1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9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1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2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1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9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2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51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5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4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5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2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3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0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56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7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6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6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7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1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2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3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2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3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7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6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72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3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3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4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6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7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8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6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76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8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9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0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2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3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4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7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" Type="http://schemas.openxmlformats.org/officeDocument/2006/relationships/hyperlink" Target="file:///\\plu20\dfs01\OCR\&#1055;&#1056;&#1054;&#1060;&#1057;&#1059;&#1046;&#1044;&#1045;&#1053;&#1048;&#1071;\10\30\254-&#1055;%20&#1059;&#1050;&#1057;%202016-09-30%20&#1054;&#1090;&#1095;&#1077;&#1090;.xls" TargetMode="External"/><Relationship Id="rId23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4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5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8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7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8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0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3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0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4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5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4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7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8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9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0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8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87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1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59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0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1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3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4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5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4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89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0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8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05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0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5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6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5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6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9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8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1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9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1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1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98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2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1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5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4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9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6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82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1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0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5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6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7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5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6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7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9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1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2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3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1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2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3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7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6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82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83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2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6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7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8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6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7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8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9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0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2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3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4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2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3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4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8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7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8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0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3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03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75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4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3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7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8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9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0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8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1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9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0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1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4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3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4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4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99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0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18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0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5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5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6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5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9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8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1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9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1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0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1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49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2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4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5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4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6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1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2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1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5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6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5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2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5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6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7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9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0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1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2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3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1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2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3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5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6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92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7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93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2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6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7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3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6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7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8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9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2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3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4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2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3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4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6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7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8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39" Type="http://schemas.openxmlformats.org/officeDocument/2006/relationships/printerSettings" Target="../printerSettings/printerSettings7.bin"/><Relationship Id="rId85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4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3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7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0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8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8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0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58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1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0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4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3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4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4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4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9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7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0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85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5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6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5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8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9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0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8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1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9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0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1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2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4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5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4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9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8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5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6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9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1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0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1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5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6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2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5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6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7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8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9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09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51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2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3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1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2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3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5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6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9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6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7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01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2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6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7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6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7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8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9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2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3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3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2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3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6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7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4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5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2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58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7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0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8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82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60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8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1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0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3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4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3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4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89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7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00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74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0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4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5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6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8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9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0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8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1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9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8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93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407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61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2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3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4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5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9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5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6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9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1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9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10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11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54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5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1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2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5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6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7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8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9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0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1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2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1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2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3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4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5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6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6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7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1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2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6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5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2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6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7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8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9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2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3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3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2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3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5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6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7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84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2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8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7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0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7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8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0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1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3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4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3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3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4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8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9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0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4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0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4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5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7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8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9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0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1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8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9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50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1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2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3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4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5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8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5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4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5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6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9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9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0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1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4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5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1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2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5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6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5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8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9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0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1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2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9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1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2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3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4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5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6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6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00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1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2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6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7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6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7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99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72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3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2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3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52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3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6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5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6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94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1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57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8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7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75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8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0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2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3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4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3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" Type="http://schemas.openxmlformats.org/officeDocument/2006/relationships/hyperlink" Target="file:///\\plu20\dfs01\OCR\&#1055;&#1056;&#1054;&#1060;&#1057;&#1059;&#1046;&#1044;&#1045;&#1053;&#1048;&#1071;\10\30\254-&#1055;%20&#1059;&#1050;&#1057;%202016-09-30%20&#1054;&#1090;&#1095;&#1077;&#1090;.xls" TargetMode="External"/><Relationship Id="rId23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4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8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7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50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0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4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5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7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8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9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0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8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7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86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9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0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1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3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4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5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8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4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5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6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9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8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9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04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51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4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0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1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75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6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5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8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9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0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1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9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97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2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1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2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4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5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6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5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6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1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9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10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1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1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7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6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7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9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2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3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2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6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5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6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83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2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1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7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8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90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2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3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4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60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3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90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7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8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9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4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5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6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9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8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9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0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1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5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4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8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9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2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1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2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5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4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5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6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11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20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1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5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62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2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7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3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6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7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8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22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3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4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6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7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50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4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3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7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8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80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3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4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5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0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1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9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80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59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5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5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8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9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66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7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6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59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1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2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3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5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6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45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9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82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1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21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66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7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31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2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3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80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81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24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7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8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9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33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4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5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7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8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0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06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96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3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4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59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8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9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1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2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1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5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4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5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10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10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40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61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2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6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7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3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6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7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8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9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42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3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4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5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6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7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0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25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3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7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63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4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0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28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91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9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9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5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28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21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5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6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9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9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51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2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3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47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5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6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00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14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2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5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6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19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2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93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67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74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58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234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7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8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2" Type="http://schemas.openxmlformats.org/officeDocument/2006/relationships/hyperlink" Target="file:///\\plu20\dfs01\OCR\&#1055;&#1056;&#1054;&#1060;&#1057;&#1059;&#1046;&#1044;&#1045;&#1053;&#1048;&#1071;\10\30\254-&#1055;%20&#1059;&#1050;&#1057;%202016-09-30%20&#1054;&#1090;&#1095;&#1077;&#1090;.xls" TargetMode="External"/><Relationship Id="rId44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53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4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71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69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76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8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0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95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29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36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79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8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82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606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1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43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5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4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303" Type="http://schemas.openxmlformats.org/officeDocument/2006/relationships/hyperlink" Target="file:///\\plu20\dfs01\OCR\&#1055;&#1056;&#1054;&#1060;&#1057;&#1059;&#1046;&#1044;&#1045;&#1053;&#1048;&#1071;\10\30\254-&#1055;%20&#1059;&#1057;&#1050;&#1047;&#1044;&#1054;%20(&#1044;&#1054;)%202016-09-30%20&#1054;&#1090;&#1095;&#1077;&#1090;.xls" TargetMode="External"/><Relationship Id="rId1510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0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1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89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96" Type="http://schemas.openxmlformats.org/officeDocument/2006/relationships/hyperlink" Target="file:///\\plu20\dfs01\OCR\&#1055;&#1056;&#1054;&#1060;&#1057;&#1059;&#1046;&#1044;&#1045;&#1053;&#1048;&#1071;\10\30\254-&#1055;%20&#1059;&#1054;&#1056;&#1055;&#1057;%20&#1062;&#1040;&#1041;&#1057;%202016-09-30%20&#1054;&#1090;&#1095;&#1077;&#1090;.xls" TargetMode="External"/><Relationship Id="rId25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63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7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93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16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23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3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76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7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60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98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628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3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25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46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7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020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18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1325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32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90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83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31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80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27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190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485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69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8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34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55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9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182" Type="http://schemas.openxmlformats.org/officeDocument/2006/relationships/hyperlink" Target="file:///\\plu20\dfs01\OCR\&#1055;&#1056;&#1054;&#1060;&#1057;&#1059;&#1046;&#1044;&#1045;&#1053;&#1048;&#1071;\10\30\254-&#1055;%20&#1059;&#1056;&#1055;&#1047;%202016-09-30%20&#1054;&#1090;&#1095;&#1077;&#1090;.xls" TargetMode="External"/><Relationship Id="rId205" Type="http://schemas.openxmlformats.org/officeDocument/2006/relationships/hyperlink" Target="file:///\\plu20\dfs01\OCR\&#1055;&#1056;&#1054;&#1060;&#1057;&#1059;&#1046;&#1044;&#1045;&#1053;&#1048;&#1071;\10\30\254-&#1055;%20&#1059;&#1054;&#1056;&#1055;&#1057;%202016-09-30%20&#1054;&#1090;&#1095;&#1077;&#1090;.xls" TargetMode="External"/><Relationship Id="rId41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85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042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48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69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717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924" Type="http://schemas.openxmlformats.org/officeDocument/2006/relationships/hyperlink" Target="file:///\\plu20\dfs01\OCR\&#1055;&#1056;&#1054;&#1060;&#1057;&#1059;&#1046;&#1044;&#1045;&#1053;&#1048;&#1071;\10\30\254-&#1055;%20&#1059;&#1055;&#1041;%202016-09-30%20&#1054;&#1090;&#1095;&#1077;&#1090;.xls" TargetMode="External"/><Relationship Id="rId1347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554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Relationship Id="rId1761" Type="http://schemas.openxmlformats.org/officeDocument/2006/relationships/hyperlink" Target="file:///\\plu20\dfs01\OCR\&#1055;&#1056;&#1054;&#1060;&#1057;&#1059;&#1046;&#1044;&#1045;&#1053;&#1048;&#1071;\10\30\254-&#1055;%20&#1059;&#1057;&#1050;&#1047;&#1044;&#1054;%202016-09-30%20&#1054;&#1090;&#1095;&#1077;&#1090;.xl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E645"/>
  <sheetViews>
    <sheetView zoomScale="85" workbookViewId="0">
      <pane xSplit="1" ySplit="6" topLeftCell="B595" activePane="bottomRight" state="frozen"/>
      <selection pane="topRight" activeCell="B1" sqref="B1"/>
      <selection pane="bottomLeft" activeCell="A7" sqref="A7"/>
      <selection pane="bottomRight" activeCell="A8" sqref="A8:XFD645"/>
    </sheetView>
  </sheetViews>
  <sheetFormatPr defaultRowHeight="12.75" x14ac:dyDescent="0.2"/>
  <cols>
    <col min="1" max="2" width="6.7109375" customWidth="1"/>
    <col min="3" max="4" width="11.85546875" customWidth="1"/>
    <col min="5" max="5" width="8.7109375" customWidth="1"/>
    <col min="6" max="7" width="6.7109375" customWidth="1"/>
    <col min="8" max="8" width="11.85546875" customWidth="1"/>
    <col min="9" max="9" width="6.7109375" customWidth="1"/>
    <col min="10" max="10" width="8.140625" customWidth="1"/>
    <col min="11" max="13" width="6.7109375" customWidth="1"/>
    <col min="14" max="14" width="10.7109375" customWidth="1"/>
    <col min="15" max="15" width="30.7109375" customWidth="1"/>
    <col min="16" max="16" width="18.140625" customWidth="1"/>
    <col min="17" max="18" width="6.7109375" customWidth="1"/>
    <col min="19" max="19" width="8.7109375" customWidth="1"/>
    <col min="21" max="21" width="23.28515625" customWidth="1"/>
    <col min="22" max="22" width="20.7109375" customWidth="1"/>
    <col min="25" max="25" width="9.85546875" bestFit="1" customWidth="1"/>
    <col min="27" max="27" width="5.7109375" customWidth="1"/>
    <col min="29" max="31" width="6.85546875" customWidth="1"/>
  </cols>
  <sheetData>
    <row r="1" spans="1:31" ht="13.5" thickBot="1" x14ac:dyDescent="0.25">
      <c r="A1" s="34" t="s">
        <v>195</v>
      </c>
      <c r="B1" s="35"/>
      <c r="C1" s="36">
        <v>42644</v>
      </c>
      <c r="D1" s="37"/>
      <c r="E1" s="38"/>
      <c r="F1" s="33" t="b">
        <v>0</v>
      </c>
      <c r="G1" s="136"/>
      <c r="H1" s="137"/>
      <c r="J1" s="147"/>
      <c r="M1" s="150" t="s">
        <v>928</v>
      </c>
      <c r="N1" s="149">
        <f ca="1">MAX(OFFSET(AB6,1,0,1000))</f>
        <v>1</v>
      </c>
      <c r="O1" s="134" t="b">
        <v>0</v>
      </c>
      <c r="P1" s="134"/>
      <c r="U1">
        <f ca="1">COUNTA(OFFSET('Классификация клиентов'!$A$6,1,0,1000,22))</f>
        <v>11195</v>
      </c>
      <c r="W1" t="str">
        <f>"A" &amp; CHAR(10) &amp; "B"</f>
        <v>A
B</v>
      </c>
      <c r="X1" t="s">
        <v>119</v>
      </c>
    </row>
    <row r="2" spans="1:31" x14ac:dyDescent="0.2">
      <c r="A2" s="39" t="s">
        <v>192</v>
      </c>
      <c r="B2" s="40"/>
      <c r="C2" s="42">
        <v>42643</v>
      </c>
      <c r="D2" s="40"/>
      <c r="E2" s="41"/>
      <c r="G2" s="138"/>
      <c r="H2" s="139"/>
      <c r="O2" s="135"/>
      <c r="P2" s="135"/>
    </row>
    <row r="3" spans="1:31" x14ac:dyDescent="0.2">
      <c r="A3" s="50" t="s">
        <v>491</v>
      </c>
      <c r="C3" s="58">
        <v>42644</v>
      </c>
      <c r="D3" s="147" t="s">
        <v>1399</v>
      </c>
      <c r="K3" t="s">
        <v>1715</v>
      </c>
      <c r="L3" t="s">
        <v>1716</v>
      </c>
      <c r="O3" s="153" t="s">
        <v>1161</v>
      </c>
      <c r="U3" s="165" t="s">
        <v>242</v>
      </c>
      <c r="V3" s="165"/>
    </row>
    <row r="4" spans="1:31" x14ac:dyDescent="0.2">
      <c r="A4" s="50">
        <f t="shared" ref="A4:AE4" si="0">COLUMN(A4)</f>
        <v>1</v>
      </c>
      <c r="B4" s="50">
        <f t="shared" si="0"/>
        <v>2</v>
      </c>
      <c r="C4" s="50">
        <f t="shared" si="0"/>
        <v>3</v>
      </c>
      <c r="D4" s="50">
        <f t="shared" si="0"/>
        <v>4</v>
      </c>
      <c r="E4" s="50">
        <f t="shared" si="0"/>
        <v>5</v>
      </c>
      <c r="F4" s="50">
        <f t="shared" si="0"/>
        <v>6</v>
      </c>
      <c r="G4" s="50">
        <f t="shared" si="0"/>
        <v>7</v>
      </c>
      <c r="H4" s="50">
        <f t="shared" si="0"/>
        <v>8</v>
      </c>
      <c r="I4" s="50">
        <f t="shared" si="0"/>
        <v>9</v>
      </c>
      <c r="J4" s="50">
        <f t="shared" si="0"/>
        <v>10</v>
      </c>
      <c r="K4" s="50">
        <f t="shared" si="0"/>
        <v>11</v>
      </c>
      <c r="L4" s="50">
        <f t="shared" si="0"/>
        <v>12</v>
      </c>
      <c r="M4" s="50">
        <f t="shared" si="0"/>
        <v>13</v>
      </c>
      <c r="N4" s="50">
        <f t="shared" si="0"/>
        <v>14</v>
      </c>
      <c r="O4" s="50">
        <f t="shared" si="0"/>
        <v>15</v>
      </c>
      <c r="P4" s="50">
        <f t="shared" si="0"/>
        <v>16</v>
      </c>
      <c r="Q4" s="50">
        <f t="shared" si="0"/>
        <v>17</v>
      </c>
      <c r="R4" s="50">
        <f t="shared" si="0"/>
        <v>18</v>
      </c>
      <c r="S4" s="50">
        <f t="shared" si="0"/>
        <v>19</v>
      </c>
      <c r="T4" s="50">
        <f t="shared" si="0"/>
        <v>20</v>
      </c>
      <c r="U4" s="50">
        <f t="shared" si="0"/>
        <v>21</v>
      </c>
      <c r="V4" s="50">
        <f t="shared" si="0"/>
        <v>22</v>
      </c>
      <c r="W4" s="50">
        <f t="shared" si="0"/>
        <v>23</v>
      </c>
      <c r="X4" s="50">
        <f t="shared" si="0"/>
        <v>24</v>
      </c>
      <c r="Y4" s="50">
        <v>24</v>
      </c>
      <c r="Z4" s="50">
        <f t="shared" si="0"/>
        <v>26</v>
      </c>
      <c r="AA4" s="50">
        <f t="shared" si="0"/>
        <v>27</v>
      </c>
      <c r="AB4" s="50">
        <f t="shared" si="0"/>
        <v>28</v>
      </c>
      <c r="AC4" s="50">
        <f t="shared" si="0"/>
        <v>29</v>
      </c>
      <c r="AD4" s="50">
        <f t="shared" si="0"/>
        <v>30</v>
      </c>
      <c r="AE4" s="50">
        <f t="shared" si="0"/>
        <v>31</v>
      </c>
    </row>
    <row r="5" spans="1:31" ht="13.5" thickBot="1" x14ac:dyDescent="0.25">
      <c r="A5" s="13" t="s">
        <v>390</v>
      </c>
      <c r="B5" s="13" t="s">
        <v>391</v>
      </c>
      <c r="C5" s="13" t="s">
        <v>294</v>
      </c>
      <c r="D5" s="13" t="s">
        <v>2294</v>
      </c>
      <c r="E5" s="13" t="s">
        <v>486</v>
      </c>
      <c r="F5" s="13" t="s">
        <v>489</v>
      </c>
      <c r="G5" s="13" t="s">
        <v>490</v>
      </c>
      <c r="H5" s="13" t="s">
        <v>187</v>
      </c>
      <c r="I5" s="13" t="s">
        <v>188</v>
      </c>
      <c r="J5" s="13" t="s">
        <v>297</v>
      </c>
      <c r="K5" s="13" t="s">
        <v>1670</v>
      </c>
      <c r="L5" s="13" t="s">
        <v>1671</v>
      </c>
      <c r="M5" s="13" t="s">
        <v>193</v>
      </c>
      <c r="N5" s="13" t="s">
        <v>194</v>
      </c>
      <c r="O5" s="13" t="s">
        <v>51</v>
      </c>
      <c r="P5" s="13" t="s">
        <v>217</v>
      </c>
      <c r="Q5" s="13" t="s">
        <v>156</v>
      </c>
      <c r="R5" s="13" t="s">
        <v>157</v>
      </c>
      <c r="S5" s="151" t="s">
        <v>913</v>
      </c>
      <c r="T5" s="145" t="s">
        <v>568</v>
      </c>
      <c r="U5" s="13" t="s">
        <v>243</v>
      </c>
      <c r="V5" s="13" t="s">
        <v>297</v>
      </c>
      <c r="AA5" s="13" t="s">
        <v>281</v>
      </c>
      <c r="AB5" s="13" t="s">
        <v>926</v>
      </c>
      <c r="AC5" s="13" t="s">
        <v>924</v>
      </c>
      <c r="AD5" s="13" t="s">
        <v>922</v>
      </c>
      <c r="AE5" s="13" t="s">
        <v>923</v>
      </c>
    </row>
    <row r="6" spans="1:31" x14ac:dyDescent="0.2">
      <c r="A6" t="s">
        <v>50</v>
      </c>
      <c r="B6" t="s">
        <v>50</v>
      </c>
      <c r="C6" s="10" t="s">
        <v>50</v>
      </c>
      <c r="D6" s="10" t="s">
        <v>50</v>
      </c>
      <c r="E6" s="9">
        <f t="shared" ref="E6:E69" si="1">IF(D6&gt;DtAn,0,IF(EDATE(D6+1,3)-1&gt;DtAn, 1, 2))</f>
        <v>0</v>
      </c>
      <c r="F6" s="9">
        <f t="shared" ref="F6:F69" si="2">IF( E6 &gt; 1, IF(T6&gt;=180, 4.4, 3.4), IF( E6 = 1, 2.4, IF(B6 = "", 2, 1) ) )</f>
        <v>1</v>
      </c>
      <c r="G6" t="s">
        <v>50</v>
      </c>
      <c r="H6" t="s">
        <v>50</v>
      </c>
      <c r="I6" t="e">
        <f ca="1">VLOOKUP(A6,OFFSET(SVOD!$A$4,1,0,2000,3),3,0)</f>
        <v>#N/A</v>
      </c>
      <c r="J6" s="18" t="s">
        <v>50</v>
      </c>
      <c r="K6" s="47" t="e">
        <f t="shared" ref="K6:K69" ca="1" si="3">MAX(F6, IF(ROUND((I6 - ROUND(I6,0))*10, 0) = 1, ROUND(I6,0), I6))</f>
        <v>#N/A</v>
      </c>
      <c r="L6" s="47" t="e">
        <f t="shared" ref="L6:L69" si="4">IF(S6=1, G6, MAX(G6*(S6=""),K6))</f>
        <v>#VALUE!</v>
      </c>
      <c r="M6" s="46" t="s">
        <v>50</v>
      </c>
      <c r="N6" s="45" t="e">
        <f t="shared" ref="N6:N69" si="5">AND(L6&lt;&gt;M6, OR(ABS(L6 - ROUND(M6,0)) &gt; 0.15, ABS(M6 - ROUND(L6,0)) &gt; 0.15), OR(ROUND(L6,0)&lt;&gt;1, ROUND(M6,0)&lt;&gt;1))</f>
        <v>#VALUE!</v>
      </c>
      <c r="O6" t="s">
        <v>50</v>
      </c>
      <c r="P6" s="53" t="s">
        <v>50</v>
      </c>
      <c r="Q6" t="e">
        <f ca="1">VLOOKUP(A6,OFFSET(SVOD!$A$4,1,0,2000,3),2,0)</f>
        <v>#N/A</v>
      </c>
      <c r="R6" t="e">
        <f ca="1">VLOOKUP(A6,OFFSET(SVOD!$A$4,1,0,2000,3),3,0)</f>
        <v>#N/A</v>
      </c>
      <c r="S6" t="str">
        <f t="shared" ref="S6:S69" si="6">IF(LEN(AC6 &amp; AD6 &amp; AE6) &gt; 0, AND( IF(AC6 &lt;&gt; "", ROUND(K6,1) = ROUND(AC6,1), 1), IF(AD6 &lt;&gt; "", ROUND(B6,0) = ROUND(AD6,0), 1), IF(AE6 &lt;&gt; "", AA6 = AE6, 1)) * 1, "")</f>
        <v/>
      </c>
      <c r="T6" s="144">
        <f ca="1">VLOOKUP(A6,OFFSET(SVOD!$A$4,1,0,2000,5),5,0)</f>
        <v>0</v>
      </c>
      <c r="U6" t="s">
        <v>50</v>
      </c>
      <c r="V6" t="s">
        <v>50</v>
      </c>
      <c r="AA6">
        <f ca="1">VLOOKUP(A6,OFFSET(SVOD!$A$4,1,0,2000,4),4,0)</f>
        <v>3</v>
      </c>
    </row>
    <row r="7" spans="1:31" x14ac:dyDescent="0.2">
      <c r="A7">
        <v>0</v>
      </c>
      <c r="C7" s="10"/>
      <c r="D7" s="10"/>
      <c r="E7" s="9">
        <f t="shared" si="1"/>
        <v>2</v>
      </c>
      <c r="F7" s="9" t="e">
        <f t="shared" ca="1" si="2"/>
        <v>#N/A</v>
      </c>
      <c r="I7" t="e">
        <f ca="1">VLOOKUP(A7,OFFSET(SVOD!$A$4,1,0,2000,3),3,0)</f>
        <v>#N/A</v>
      </c>
      <c r="J7" s="160"/>
      <c r="K7" s="47" t="e">
        <f t="shared" ca="1" si="3"/>
        <v>#N/A</v>
      </c>
      <c r="L7" s="47" t="e">
        <f t="shared" ca="1" si="4"/>
        <v>#N/A</v>
      </c>
      <c r="M7" s="46"/>
      <c r="N7" s="45" t="e">
        <f t="shared" ca="1" si="5"/>
        <v>#N/A</v>
      </c>
      <c r="P7" s="53">
        <v>52717.969999999994</v>
      </c>
      <c r="Q7" t="e">
        <f ca="1">VLOOKUP(A7,OFFSET(SVOD!$A$4,1,0,2000,3),2,0)</f>
        <v>#N/A</v>
      </c>
      <c r="R7" t="e">
        <f ca="1">VLOOKUP(A7,OFFSET(SVOD!$A$4,1,0,2000,3),3,0)</f>
        <v>#N/A</v>
      </c>
      <c r="S7" t="str">
        <f t="shared" si="6"/>
        <v/>
      </c>
      <c r="T7" s="160" t="e">
        <f ca="1">VLOOKUP(A7,OFFSET(SVOD!$A$4,1,0,2000,5),5,0)</f>
        <v>#N/A</v>
      </c>
      <c r="AA7" t="e">
        <f ca="1">VLOOKUP(A7,OFFSET(SVOD!$A$4,1,0,2000,4),4,0)</f>
        <v>#N/A</v>
      </c>
    </row>
    <row r="8" spans="1:31" x14ac:dyDescent="0.2">
      <c r="C8" s="10"/>
      <c r="D8" s="10"/>
      <c r="E8" s="9"/>
      <c r="F8" s="9"/>
      <c r="J8" s="160"/>
      <c r="K8" s="47"/>
      <c r="L8" s="47"/>
      <c r="M8" s="46"/>
      <c r="N8" s="45"/>
      <c r="P8" s="53"/>
      <c r="T8" s="160"/>
    </row>
    <row r="9" spans="1:31" x14ac:dyDescent="0.2">
      <c r="C9" s="10"/>
      <c r="D9" s="10"/>
      <c r="E9" s="9"/>
      <c r="F9" s="9"/>
      <c r="J9" s="160"/>
      <c r="K9" s="47"/>
      <c r="L9" s="47"/>
      <c r="M9" s="46"/>
      <c r="N9" s="45"/>
      <c r="P9" s="53"/>
      <c r="T9" s="160"/>
    </row>
    <row r="10" spans="1:31" x14ac:dyDescent="0.2">
      <c r="C10" s="10"/>
      <c r="D10" s="10"/>
      <c r="E10" s="9"/>
      <c r="F10" s="9"/>
      <c r="J10" s="160"/>
      <c r="K10" s="47"/>
      <c r="L10" s="47"/>
      <c r="M10" s="46"/>
      <c r="N10" s="45"/>
      <c r="P10" s="53"/>
      <c r="T10" s="160"/>
    </row>
    <row r="11" spans="1:31" x14ac:dyDescent="0.2">
      <c r="C11" s="10"/>
      <c r="D11" s="10"/>
      <c r="E11" s="9"/>
      <c r="F11" s="9"/>
      <c r="J11" s="160"/>
      <c r="K11" s="47"/>
      <c r="L11" s="47"/>
      <c r="M11" s="46"/>
      <c r="N11" s="45"/>
      <c r="P11" s="53"/>
      <c r="T11" s="160"/>
    </row>
    <row r="12" spans="1:31" x14ac:dyDescent="0.2">
      <c r="C12" s="10"/>
      <c r="D12" s="10"/>
      <c r="E12" s="9"/>
      <c r="F12" s="9"/>
      <c r="J12" s="160"/>
      <c r="K12" s="47"/>
      <c r="L12" s="47"/>
      <c r="M12" s="46"/>
      <c r="N12" s="45"/>
      <c r="P12" s="53"/>
      <c r="T12" s="160"/>
    </row>
    <row r="13" spans="1:31" x14ac:dyDescent="0.2">
      <c r="C13" s="10"/>
      <c r="D13" s="10"/>
      <c r="E13" s="9"/>
      <c r="F13" s="9"/>
      <c r="J13" s="160"/>
      <c r="K13" s="47"/>
      <c r="L13" s="47"/>
      <c r="M13" s="46"/>
      <c r="N13" s="45"/>
      <c r="P13" s="53"/>
      <c r="T13" s="160"/>
    </row>
    <row r="14" spans="1:31" x14ac:dyDescent="0.2">
      <c r="C14" s="10"/>
      <c r="D14" s="10"/>
      <c r="E14" s="9"/>
      <c r="F14" s="9"/>
      <c r="J14" s="160"/>
      <c r="K14" s="47"/>
      <c r="L14" s="47"/>
      <c r="M14" s="46"/>
      <c r="N14" s="45"/>
      <c r="P14" s="53"/>
      <c r="T14" s="160"/>
    </row>
    <row r="15" spans="1:31" x14ac:dyDescent="0.2">
      <c r="C15" s="10"/>
      <c r="D15" s="10"/>
      <c r="E15" s="9"/>
      <c r="F15" s="9"/>
      <c r="J15" s="160"/>
      <c r="K15" s="47"/>
      <c r="L15" s="47"/>
      <c r="M15" s="46"/>
      <c r="N15" s="45"/>
      <c r="P15" s="53"/>
      <c r="T15" s="160"/>
    </row>
    <row r="16" spans="1:31" x14ac:dyDescent="0.2">
      <c r="C16" s="10"/>
      <c r="D16" s="10"/>
      <c r="E16" s="9"/>
      <c r="F16" s="9"/>
      <c r="J16" s="160"/>
      <c r="K16" s="47"/>
      <c r="L16" s="47"/>
      <c r="M16" s="46"/>
      <c r="N16" s="45"/>
      <c r="P16" s="53"/>
      <c r="T16" s="160"/>
    </row>
    <row r="17" spans="3:20" x14ac:dyDescent="0.2">
      <c r="C17" s="10"/>
      <c r="D17" s="10"/>
      <c r="E17" s="9"/>
      <c r="F17" s="9"/>
      <c r="J17" s="160"/>
      <c r="K17" s="47"/>
      <c r="L17" s="47"/>
      <c r="M17" s="46"/>
      <c r="N17" s="45"/>
      <c r="P17" s="53"/>
      <c r="T17" s="160"/>
    </row>
    <row r="18" spans="3:20" x14ac:dyDescent="0.2">
      <c r="C18" s="10"/>
      <c r="D18" s="10"/>
      <c r="E18" s="9"/>
      <c r="F18" s="9"/>
      <c r="J18" s="160"/>
      <c r="K18" s="47"/>
      <c r="L18" s="47"/>
      <c r="M18" s="46"/>
      <c r="N18" s="45"/>
      <c r="P18" s="53"/>
      <c r="T18" s="160"/>
    </row>
    <row r="19" spans="3:20" x14ac:dyDescent="0.2">
      <c r="C19" s="10"/>
      <c r="D19" s="10"/>
      <c r="E19" s="9"/>
      <c r="F19" s="9"/>
      <c r="J19" s="160"/>
      <c r="K19" s="47"/>
      <c r="L19" s="47"/>
      <c r="M19" s="46"/>
      <c r="N19" s="45"/>
      <c r="P19" s="53"/>
      <c r="T19" s="160"/>
    </row>
    <row r="20" spans="3:20" x14ac:dyDescent="0.2">
      <c r="C20" s="10"/>
      <c r="D20" s="10"/>
      <c r="E20" s="9"/>
      <c r="F20" s="9"/>
      <c r="J20" s="160"/>
      <c r="K20" s="47"/>
      <c r="L20" s="47"/>
      <c r="M20" s="46"/>
      <c r="N20" s="45"/>
      <c r="P20" s="53"/>
      <c r="T20" s="160"/>
    </row>
    <row r="21" spans="3:20" x14ac:dyDescent="0.2">
      <c r="C21" s="10"/>
      <c r="D21" s="10"/>
      <c r="E21" s="9"/>
      <c r="F21" s="9"/>
      <c r="J21" s="160"/>
      <c r="K21" s="47"/>
      <c r="L21" s="47"/>
      <c r="M21" s="46"/>
      <c r="N21" s="45"/>
      <c r="P21" s="53"/>
      <c r="T21" s="160"/>
    </row>
    <row r="22" spans="3:20" x14ac:dyDescent="0.2">
      <c r="C22" s="10"/>
      <c r="D22" s="10"/>
      <c r="E22" s="9"/>
      <c r="F22" s="9"/>
      <c r="J22" s="160"/>
      <c r="K22" s="47"/>
      <c r="L22" s="47"/>
      <c r="M22" s="46"/>
      <c r="N22" s="45"/>
      <c r="P22" s="53"/>
      <c r="T22" s="160"/>
    </row>
    <row r="23" spans="3:20" x14ac:dyDescent="0.2">
      <c r="C23" s="10"/>
      <c r="D23" s="10"/>
      <c r="E23" s="9"/>
      <c r="F23" s="9"/>
      <c r="J23" s="160"/>
      <c r="K23" s="47"/>
      <c r="L23" s="47"/>
      <c r="M23" s="46"/>
      <c r="N23" s="45"/>
      <c r="P23" s="53"/>
      <c r="T23" s="160"/>
    </row>
    <row r="24" spans="3:20" x14ac:dyDescent="0.2">
      <c r="C24" s="10"/>
      <c r="D24" s="10"/>
      <c r="E24" s="9"/>
      <c r="F24" s="9"/>
      <c r="J24" s="160"/>
      <c r="K24" s="47"/>
      <c r="L24" s="47"/>
      <c r="M24" s="46"/>
      <c r="N24" s="45"/>
      <c r="P24" s="53"/>
      <c r="T24" s="160"/>
    </row>
    <row r="25" spans="3:20" x14ac:dyDescent="0.2">
      <c r="C25" s="10"/>
      <c r="D25" s="10"/>
      <c r="E25" s="9"/>
      <c r="F25" s="9"/>
      <c r="J25" s="160"/>
      <c r="K25" s="47"/>
      <c r="L25" s="47"/>
      <c r="M25" s="46"/>
      <c r="N25" s="45"/>
      <c r="P25" s="53"/>
      <c r="T25" s="160"/>
    </row>
    <row r="26" spans="3:20" x14ac:dyDescent="0.2">
      <c r="C26" s="10"/>
      <c r="D26" s="10"/>
      <c r="E26" s="9"/>
      <c r="F26" s="9"/>
      <c r="J26" s="160"/>
      <c r="K26" s="47"/>
      <c r="L26" s="47"/>
      <c r="M26" s="46"/>
      <c r="N26" s="45"/>
      <c r="P26" s="53"/>
      <c r="T26" s="160"/>
    </row>
    <row r="27" spans="3:20" x14ac:dyDescent="0.2">
      <c r="C27" s="10"/>
      <c r="D27" s="10"/>
      <c r="E27" s="9"/>
      <c r="F27" s="9"/>
      <c r="J27" s="160"/>
      <c r="K27" s="47"/>
      <c r="L27" s="47"/>
      <c r="M27" s="46"/>
      <c r="N27" s="45"/>
      <c r="P27" s="53"/>
      <c r="T27" s="160"/>
    </row>
    <row r="28" spans="3:20" x14ac:dyDescent="0.2">
      <c r="C28" s="10"/>
      <c r="D28" s="10"/>
      <c r="E28" s="9"/>
      <c r="F28" s="9"/>
      <c r="J28" s="160"/>
      <c r="K28" s="47"/>
      <c r="L28" s="47"/>
      <c r="M28" s="46"/>
      <c r="N28" s="45"/>
      <c r="P28" s="53"/>
      <c r="T28" s="160"/>
    </row>
    <row r="29" spans="3:20" x14ac:dyDescent="0.2">
      <c r="C29" s="10"/>
      <c r="D29" s="10"/>
      <c r="E29" s="9"/>
      <c r="F29" s="9"/>
      <c r="J29" s="160"/>
      <c r="K29" s="47"/>
      <c r="L29" s="47"/>
      <c r="M29" s="46"/>
      <c r="N29" s="45"/>
      <c r="P29" s="53"/>
      <c r="T29" s="160"/>
    </row>
    <row r="30" spans="3:20" x14ac:dyDescent="0.2">
      <c r="C30" s="10"/>
      <c r="D30" s="10"/>
      <c r="E30" s="9"/>
      <c r="F30" s="9"/>
      <c r="J30" s="160"/>
      <c r="K30" s="47"/>
      <c r="L30" s="47"/>
      <c r="M30" s="46"/>
      <c r="N30" s="45"/>
      <c r="P30" s="53"/>
      <c r="T30" s="160"/>
    </row>
    <row r="31" spans="3:20" x14ac:dyDescent="0.2">
      <c r="C31" s="10"/>
      <c r="D31" s="10"/>
      <c r="E31" s="9"/>
      <c r="F31" s="9"/>
      <c r="J31" s="160"/>
      <c r="K31" s="47"/>
      <c r="L31" s="47"/>
      <c r="M31" s="46"/>
      <c r="N31" s="45"/>
      <c r="P31" s="53"/>
      <c r="T31" s="160"/>
    </row>
    <row r="32" spans="3:20" x14ac:dyDescent="0.2">
      <c r="C32" s="10"/>
      <c r="D32" s="10"/>
      <c r="E32" s="9"/>
      <c r="F32" s="9"/>
      <c r="J32" s="160"/>
      <c r="K32" s="47"/>
      <c r="L32" s="47"/>
      <c r="M32" s="46"/>
      <c r="N32" s="45"/>
      <c r="P32" s="53"/>
      <c r="T32" s="160"/>
    </row>
    <row r="33" spans="3:20" x14ac:dyDescent="0.2">
      <c r="C33" s="10"/>
      <c r="D33" s="10"/>
      <c r="E33" s="9"/>
      <c r="F33" s="9"/>
      <c r="J33" s="160"/>
      <c r="K33" s="47"/>
      <c r="L33" s="47"/>
      <c r="M33" s="46"/>
      <c r="N33" s="45"/>
      <c r="P33" s="53"/>
      <c r="T33" s="160"/>
    </row>
    <row r="34" spans="3:20" x14ac:dyDescent="0.2">
      <c r="C34" s="10"/>
      <c r="D34" s="10"/>
      <c r="E34" s="9"/>
      <c r="F34" s="9"/>
      <c r="J34" s="160"/>
      <c r="K34" s="47"/>
      <c r="L34" s="47"/>
      <c r="M34" s="46"/>
      <c r="N34" s="45"/>
      <c r="P34" s="53"/>
      <c r="T34" s="160"/>
    </row>
    <row r="35" spans="3:20" x14ac:dyDescent="0.2">
      <c r="C35" s="10"/>
      <c r="D35" s="10"/>
      <c r="E35" s="9"/>
      <c r="F35" s="9"/>
      <c r="J35" s="160"/>
      <c r="K35" s="47"/>
      <c r="L35" s="47"/>
      <c r="M35" s="46"/>
      <c r="N35" s="45"/>
      <c r="P35" s="53"/>
      <c r="T35" s="160"/>
    </row>
    <row r="36" spans="3:20" x14ac:dyDescent="0.2">
      <c r="C36" s="10"/>
      <c r="D36" s="10"/>
      <c r="E36" s="9"/>
      <c r="F36" s="9"/>
      <c r="J36" s="160"/>
      <c r="K36" s="47"/>
      <c r="L36" s="47"/>
      <c r="M36" s="46"/>
      <c r="N36" s="45"/>
      <c r="P36" s="53"/>
      <c r="T36" s="160"/>
    </row>
    <row r="37" spans="3:20" x14ac:dyDescent="0.2">
      <c r="C37" s="10"/>
      <c r="D37" s="10"/>
      <c r="E37" s="9"/>
      <c r="F37" s="9"/>
      <c r="J37" s="160"/>
      <c r="K37" s="47"/>
      <c r="L37" s="47"/>
      <c r="M37" s="46"/>
      <c r="N37" s="45"/>
      <c r="P37" s="53"/>
      <c r="T37" s="160"/>
    </row>
    <row r="38" spans="3:20" x14ac:dyDescent="0.2">
      <c r="C38" s="10"/>
      <c r="D38" s="10"/>
      <c r="E38" s="9"/>
      <c r="F38" s="9"/>
      <c r="J38" s="160"/>
      <c r="K38" s="47"/>
      <c r="L38" s="47"/>
      <c r="M38" s="46"/>
      <c r="N38" s="45"/>
      <c r="P38" s="53"/>
      <c r="T38" s="160"/>
    </row>
    <row r="39" spans="3:20" x14ac:dyDescent="0.2">
      <c r="C39" s="10"/>
      <c r="D39" s="10"/>
      <c r="E39" s="9"/>
      <c r="F39" s="9"/>
      <c r="J39" s="160"/>
      <c r="K39" s="47"/>
      <c r="L39" s="47"/>
      <c r="M39" s="46"/>
      <c r="N39" s="45"/>
      <c r="P39" s="53"/>
      <c r="T39" s="160"/>
    </row>
    <row r="40" spans="3:20" x14ac:dyDescent="0.2">
      <c r="C40" s="10"/>
      <c r="D40" s="10"/>
      <c r="E40" s="9"/>
      <c r="F40" s="9"/>
      <c r="J40" s="160"/>
      <c r="K40" s="47"/>
      <c r="L40" s="47"/>
      <c r="M40" s="46"/>
      <c r="N40" s="45"/>
      <c r="P40" s="53"/>
      <c r="T40" s="160"/>
    </row>
    <row r="41" spans="3:20" x14ac:dyDescent="0.2">
      <c r="C41" s="10"/>
      <c r="D41" s="10"/>
      <c r="E41" s="9"/>
      <c r="F41" s="9"/>
      <c r="J41" s="160"/>
      <c r="K41" s="47"/>
      <c r="L41" s="47"/>
      <c r="M41" s="46"/>
      <c r="N41" s="45"/>
      <c r="P41" s="53"/>
      <c r="T41" s="160"/>
    </row>
    <row r="42" spans="3:20" x14ac:dyDescent="0.2">
      <c r="C42" s="10"/>
      <c r="D42" s="10"/>
      <c r="E42" s="9"/>
      <c r="F42" s="9"/>
      <c r="J42" s="160"/>
      <c r="K42" s="47"/>
      <c r="L42" s="47"/>
      <c r="M42" s="46"/>
      <c r="N42" s="45"/>
      <c r="P42" s="53"/>
      <c r="T42" s="160"/>
    </row>
    <row r="43" spans="3:20" x14ac:dyDescent="0.2">
      <c r="C43" s="10"/>
      <c r="D43" s="10"/>
      <c r="E43" s="9"/>
      <c r="F43" s="9"/>
      <c r="J43" s="160"/>
      <c r="K43" s="47"/>
      <c r="L43" s="47"/>
      <c r="M43" s="46"/>
      <c r="N43" s="45"/>
      <c r="P43" s="53"/>
      <c r="T43" s="160"/>
    </row>
    <row r="44" spans="3:20" x14ac:dyDescent="0.2">
      <c r="C44" s="10"/>
      <c r="D44" s="10"/>
      <c r="E44" s="9"/>
      <c r="F44" s="9"/>
      <c r="J44" s="160"/>
      <c r="K44" s="47"/>
      <c r="L44" s="47"/>
      <c r="M44" s="46"/>
      <c r="N44" s="45"/>
      <c r="P44" s="53"/>
      <c r="T44" s="160"/>
    </row>
    <row r="45" spans="3:20" x14ac:dyDescent="0.2">
      <c r="C45" s="10"/>
      <c r="D45" s="10"/>
      <c r="E45" s="9"/>
      <c r="F45" s="9"/>
      <c r="J45" s="160"/>
      <c r="K45" s="47"/>
      <c r="L45" s="47"/>
      <c r="M45" s="46"/>
      <c r="N45" s="45"/>
      <c r="P45" s="53"/>
      <c r="T45" s="160"/>
    </row>
    <row r="46" spans="3:20" x14ac:dyDescent="0.2">
      <c r="C46" s="10"/>
      <c r="D46" s="10"/>
      <c r="E46" s="9"/>
      <c r="F46" s="9"/>
      <c r="J46" s="160"/>
      <c r="K46" s="47"/>
      <c r="L46" s="47"/>
      <c r="M46" s="46"/>
      <c r="N46" s="45"/>
      <c r="P46" s="53"/>
      <c r="T46" s="160"/>
    </row>
    <row r="47" spans="3:20" x14ac:dyDescent="0.2">
      <c r="C47" s="10"/>
      <c r="D47" s="10"/>
      <c r="E47" s="9"/>
      <c r="F47" s="9"/>
      <c r="J47" s="160"/>
      <c r="K47" s="47"/>
      <c r="L47" s="47"/>
      <c r="M47" s="46"/>
      <c r="N47" s="45"/>
      <c r="P47" s="53"/>
      <c r="T47" s="160"/>
    </row>
    <row r="48" spans="3:20" x14ac:dyDescent="0.2">
      <c r="C48" s="10"/>
      <c r="D48" s="10"/>
      <c r="E48" s="9"/>
      <c r="F48" s="9"/>
      <c r="J48" s="160"/>
      <c r="K48" s="47"/>
      <c r="L48" s="47"/>
      <c r="M48" s="46"/>
      <c r="N48" s="45"/>
      <c r="P48" s="53"/>
      <c r="T48" s="160"/>
    </row>
    <row r="49" spans="3:20" x14ac:dyDescent="0.2">
      <c r="C49" s="10"/>
      <c r="D49" s="10"/>
      <c r="E49" s="9"/>
      <c r="F49" s="9"/>
      <c r="J49" s="160"/>
      <c r="K49" s="47"/>
      <c r="L49" s="47"/>
      <c r="M49" s="46"/>
      <c r="N49" s="45"/>
      <c r="P49" s="53"/>
      <c r="T49" s="160"/>
    </row>
    <row r="50" spans="3:20" x14ac:dyDescent="0.2">
      <c r="C50" s="10"/>
      <c r="D50" s="10"/>
      <c r="E50" s="9"/>
      <c r="F50" s="9"/>
      <c r="J50" s="160"/>
      <c r="K50" s="47"/>
      <c r="L50" s="47"/>
      <c r="M50" s="46"/>
      <c r="N50" s="45"/>
      <c r="P50" s="53"/>
      <c r="T50" s="160"/>
    </row>
    <row r="51" spans="3:20" x14ac:dyDescent="0.2">
      <c r="C51" s="10"/>
      <c r="D51" s="10"/>
      <c r="E51" s="9"/>
      <c r="F51" s="9"/>
      <c r="J51" s="160"/>
      <c r="K51" s="47"/>
      <c r="L51" s="47"/>
      <c r="M51" s="46"/>
      <c r="N51" s="45"/>
      <c r="P51" s="53"/>
      <c r="T51" s="160"/>
    </row>
    <row r="52" spans="3:20" x14ac:dyDescent="0.2">
      <c r="C52" s="10"/>
      <c r="D52" s="10"/>
      <c r="E52" s="9"/>
      <c r="F52" s="9"/>
      <c r="J52" s="160"/>
      <c r="K52" s="47"/>
      <c r="L52" s="47"/>
      <c r="M52" s="46"/>
      <c r="N52" s="45"/>
      <c r="P52" s="53"/>
      <c r="T52" s="160"/>
    </row>
    <row r="53" spans="3:20" x14ac:dyDescent="0.2">
      <c r="C53" s="10"/>
      <c r="D53" s="10"/>
      <c r="E53" s="9"/>
      <c r="F53" s="9"/>
      <c r="J53" s="160"/>
      <c r="K53" s="47"/>
      <c r="L53" s="47"/>
      <c r="M53" s="46"/>
      <c r="N53" s="45"/>
      <c r="P53" s="53"/>
      <c r="T53" s="160"/>
    </row>
    <row r="54" spans="3:20" x14ac:dyDescent="0.2">
      <c r="C54" s="10"/>
      <c r="D54" s="10"/>
      <c r="E54" s="9"/>
      <c r="F54" s="9"/>
      <c r="J54" s="160"/>
      <c r="K54" s="47"/>
      <c r="L54" s="47"/>
      <c r="M54" s="46"/>
      <c r="N54" s="45"/>
      <c r="P54" s="53"/>
      <c r="T54" s="160"/>
    </row>
    <row r="55" spans="3:20" x14ac:dyDescent="0.2">
      <c r="C55" s="10"/>
      <c r="D55" s="10"/>
      <c r="E55" s="9"/>
      <c r="F55" s="9"/>
      <c r="J55" s="160"/>
      <c r="K55" s="47"/>
      <c r="L55" s="47"/>
      <c r="M55" s="46"/>
      <c r="N55" s="45"/>
      <c r="P55" s="53"/>
      <c r="T55" s="160"/>
    </row>
    <row r="56" spans="3:20" x14ac:dyDescent="0.2">
      <c r="C56" s="10"/>
      <c r="D56" s="10"/>
      <c r="E56" s="9"/>
      <c r="F56" s="9"/>
      <c r="J56" s="160"/>
      <c r="K56" s="47"/>
      <c r="L56" s="47"/>
      <c r="M56" s="46"/>
      <c r="N56" s="45"/>
      <c r="P56" s="53"/>
      <c r="T56" s="160"/>
    </row>
    <row r="57" spans="3:20" x14ac:dyDescent="0.2">
      <c r="C57" s="10"/>
      <c r="D57" s="10"/>
      <c r="E57" s="9"/>
      <c r="F57" s="9"/>
      <c r="J57" s="160"/>
      <c r="K57" s="47"/>
      <c r="L57" s="47"/>
      <c r="M57" s="46"/>
      <c r="N57" s="45"/>
      <c r="P57" s="53"/>
      <c r="T57" s="160"/>
    </row>
    <row r="58" spans="3:20" x14ac:dyDescent="0.2">
      <c r="C58" s="10"/>
      <c r="D58" s="10"/>
      <c r="E58" s="9"/>
      <c r="F58" s="9"/>
      <c r="J58" s="160"/>
      <c r="K58" s="47"/>
      <c r="L58" s="47"/>
      <c r="M58" s="46"/>
      <c r="N58" s="45"/>
      <c r="P58" s="53"/>
      <c r="T58" s="160"/>
    </row>
    <row r="59" spans="3:20" x14ac:dyDescent="0.2">
      <c r="C59" s="10"/>
      <c r="D59" s="10"/>
      <c r="E59" s="9"/>
      <c r="F59" s="9"/>
      <c r="J59" s="160"/>
      <c r="K59" s="47"/>
      <c r="L59" s="47"/>
      <c r="M59" s="46"/>
      <c r="N59" s="45"/>
      <c r="P59" s="53"/>
      <c r="T59" s="160"/>
    </row>
    <row r="60" spans="3:20" x14ac:dyDescent="0.2">
      <c r="C60" s="10"/>
      <c r="D60" s="10"/>
      <c r="E60" s="9"/>
      <c r="F60" s="9"/>
      <c r="J60" s="160"/>
      <c r="K60" s="47"/>
      <c r="L60" s="47"/>
      <c r="M60" s="46"/>
      <c r="N60" s="45"/>
      <c r="P60" s="53"/>
      <c r="T60" s="160"/>
    </row>
    <row r="61" spans="3:20" x14ac:dyDescent="0.2">
      <c r="C61" s="10"/>
      <c r="D61" s="10"/>
      <c r="E61" s="9"/>
      <c r="F61" s="9"/>
      <c r="J61" s="160"/>
      <c r="K61" s="47"/>
      <c r="L61" s="47"/>
      <c r="M61" s="46"/>
      <c r="N61" s="45"/>
      <c r="P61" s="53"/>
      <c r="T61" s="160"/>
    </row>
    <row r="62" spans="3:20" x14ac:dyDescent="0.2">
      <c r="C62" s="10"/>
      <c r="D62" s="10"/>
      <c r="E62" s="9"/>
      <c r="F62" s="9"/>
      <c r="J62" s="160"/>
      <c r="K62" s="47"/>
      <c r="L62" s="47"/>
      <c r="M62" s="46"/>
      <c r="N62" s="45"/>
      <c r="P62" s="53"/>
      <c r="T62" s="160"/>
    </row>
    <row r="63" spans="3:20" x14ac:dyDescent="0.2">
      <c r="C63" s="10"/>
      <c r="D63" s="10"/>
      <c r="E63" s="9"/>
      <c r="F63" s="9"/>
      <c r="J63" s="160"/>
      <c r="K63" s="47"/>
      <c r="L63" s="47"/>
      <c r="M63" s="46"/>
      <c r="N63" s="45"/>
      <c r="P63" s="53"/>
      <c r="T63" s="160"/>
    </row>
    <row r="64" spans="3:20" x14ac:dyDescent="0.2">
      <c r="C64" s="10"/>
      <c r="D64" s="10"/>
      <c r="E64" s="9"/>
      <c r="F64" s="9"/>
      <c r="J64" s="160"/>
      <c r="K64" s="47"/>
      <c r="L64" s="47"/>
      <c r="M64" s="46"/>
      <c r="N64" s="45"/>
      <c r="P64" s="53"/>
      <c r="T64" s="160"/>
    </row>
    <row r="65" spans="3:20" x14ac:dyDescent="0.2">
      <c r="C65" s="10"/>
      <c r="D65" s="10"/>
      <c r="E65" s="9"/>
      <c r="F65" s="9"/>
      <c r="J65" s="160"/>
      <c r="K65" s="47"/>
      <c r="L65" s="47"/>
      <c r="M65" s="46"/>
      <c r="N65" s="45"/>
      <c r="P65" s="53"/>
      <c r="T65" s="160"/>
    </row>
    <row r="66" spans="3:20" x14ac:dyDescent="0.2">
      <c r="C66" s="10"/>
      <c r="D66" s="10"/>
      <c r="E66" s="9"/>
      <c r="F66" s="9"/>
      <c r="J66" s="160"/>
      <c r="K66" s="47"/>
      <c r="L66" s="47"/>
      <c r="M66" s="46"/>
      <c r="N66" s="45"/>
      <c r="P66" s="53"/>
      <c r="T66" s="160"/>
    </row>
    <row r="67" spans="3:20" x14ac:dyDescent="0.2">
      <c r="C67" s="10"/>
      <c r="D67" s="10"/>
      <c r="E67" s="9"/>
      <c r="F67" s="9"/>
      <c r="J67" s="160"/>
      <c r="K67" s="47"/>
      <c r="L67" s="47"/>
      <c r="M67" s="46"/>
      <c r="N67" s="45"/>
      <c r="P67" s="53"/>
      <c r="T67" s="160"/>
    </row>
    <row r="68" spans="3:20" x14ac:dyDescent="0.2">
      <c r="C68" s="10"/>
      <c r="D68" s="10"/>
      <c r="E68" s="9"/>
      <c r="F68" s="9"/>
      <c r="J68" s="160"/>
      <c r="K68" s="47"/>
      <c r="L68" s="47"/>
      <c r="M68" s="46"/>
      <c r="N68" s="45"/>
      <c r="P68" s="53"/>
      <c r="T68" s="160"/>
    </row>
    <row r="69" spans="3:20" x14ac:dyDescent="0.2">
      <c r="C69" s="10"/>
      <c r="D69" s="10"/>
      <c r="E69" s="9"/>
      <c r="F69" s="9"/>
      <c r="J69" s="160"/>
      <c r="K69" s="47"/>
      <c r="L69" s="47"/>
      <c r="M69" s="46"/>
      <c r="N69" s="45"/>
      <c r="P69" s="53"/>
      <c r="T69" s="160"/>
    </row>
    <row r="70" spans="3:20" x14ac:dyDescent="0.2">
      <c r="C70" s="10"/>
      <c r="D70" s="10"/>
      <c r="E70" s="9"/>
      <c r="F70" s="9"/>
      <c r="J70" s="160"/>
      <c r="K70" s="47"/>
      <c r="L70" s="47"/>
      <c r="M70" s="46"/>
      <c r="N70" s="45"/>
      <c r="P70" s="53"/>
      <c r="T70" s="160"/>
    </row>
    <row r="71" spans="3:20" x14ac:dyDescent="0.2">
      <c r="C71" s="10"/>
      <c r="D71" s="10"/>
      <c r="E71" s="9"/>
      <c r="F71" s="9"/>
      <c r="J71" s="160"/>
      <c r="K71" s="47"/>
      <c r="L71" s="47"/>
      <c r="M71" s="46"/>
      <c r="N71" s="45"/>
      <c r="P71" s="53"/>
      <c r="T71" s="160"/>
    </row>
    <row r="72" spans="3:20" x14ac:dyDescent="0.2">
      <c r="C72" s="10"/>
      <c r="D72" s="10"/>
      <c r="E72" s="9"/>
      <c r="F72" s="9"/>
      <c r="J72" s="160"/>
      <c r="K72" s="47"/>
      <c r="L72" s="47"/>
      <c r="M72" s="46"/>
      <c r="N72" s="45"/>
      <c r="P72" s="53"/>
      <c r="T72" s="160"/>
    </row>
    <row r="73" spans="3:20" x14ac:dyDescent="0.2">
      <c r="C73" s="10"/>
      <c r="D73" s="10"/>
      <c r="E73" s="9"/>
      <c r="F73" s="9"/>
      <c r="J73" s="160"/>
      <c r="K73" s="47"/>
      <c r="L73" s="47"/>
      <c r="M73" s="46"/>
      <c r="N73" s="45"/>
      <c r="P73" s="53"/>
      <c r="T73" s="160"/>
    </row>
    <row r="74" spans="3:20" x14ac:dyDescent="0.2">
      <c r="C74" s="10"/>
      <c r="D74" s="10"/>
      <c r="E74" s="9"/>
      <c r="F74" s="9"/>
      <c r="J74" s="160"/>
      <c r="K74" s="47"/>
      <c r="L74" s="47"/>
      <c r="M74" s="46"/>
      <c r="N74" s="45"/>
      <c r="P74" s="53"/>
      <c r="T74" s="160"/>
    </row>
    <row r="75" spans="3:20" x14ac:dyDescent="0.2">
      <c r="C75" s="10"/>
      <c r="D75" s="10"/>
      <c r="E75" s="9"/>
      <c r="F75" s="9"/>
      <c r="J75" s="160"/>
      <c r="K75" s="47"/>
      <c r="L75" s="47"/>
      <c r="M75" s="46"/>
      <c r="N75" s="45"/>
      <c r="P75" s="53"/>
      <c r="T75" s="160"/>
    </row>
    <row r="76" spans="3:20" x14ac:dyDescent="0.2">
      <c r="C76" s="10"/>
      <c r="D76" s="10"/>
      <c r="E76" s="9"/>
      <c r="F76" s="9"/>
      <c r="J76" s="160"/>
      <c r="K76" s="47"/>
      <c r="L76" s="47"/>
      <c r="M76" s="46"/>
      <c r="N76" s="45"/>
      <c r="P76" s="53"/>
      <c r="T76" s="160"/>
    </row>
    <row r="77" spans="3:20" x14ac:dyDescent="0.2">
      <c r="C77" s="10"/>
      <c r="D77" s="10"/>
      <c r="E77" s="9"/>
      <c r="F77" s="9"/>
      <c r="J77" s="160"/>
      <c r="K77" s="47"/>
      <c r="L77" s="47"/>
      <c r="M77" s="46"/>
      <c r="N77" s="45"/>
      <c r="P77" s="53"/>
      <c r="T77" s="160"/>
    </row>
    <row r="78" spans="3:20" x14ac:dyDescent="0.2">
      <c r="C78" s="10"/>
      <c r="D78" s="10"/>
      <c r="E78" s="9"/>
      <c r="F78" s="9"/>
      <c r="J78" s="160"/>
      <c r="K78" s="47"/>
      <c r="L78" s="47"/>
      <c r="M78" s="46"/>
      <c r="N78" s="45"/>
      <c r="P78" s="53"/>
      <c r="T78" s="160"/>
    </row>
    <row r="79" spans="3:20" x14ac:dyDescent="0.2">
      <c r="C79" s="10"/>
      <c r="D79" s="10"/>
      <c r="E79" s="9"/>
      <c r="F79" s="9"/>
      <c r="J79" s="160"/>
      <c r="K79" s="47"/>
      <c r="L79" s="47"/>
      <c r="M79" s="46"/>
      <c r="N79" s="45"/>
      <c r="P79" s="53"/>
      <c r="T79" s="160"/>
    </row>
    <row r="80" spans="3:20" x14ac:dyDescent="0.2">
      <c r="C80" s="10"/>
      <c r="D80" s="10"/>
      <c r="E80" s="9"/>
      <c r="F80" s="9"/>
      <c r="J80" s="160"/>
      <c r="K80" s="47"/>
      <c r="L80" s="47"/>
      <c r="M80" s="46"/>
      <c r="N80" s="45"/>
      <c r="P80" s="53"/>
      <c r="T80" s="160"/>
    </row>
    <row r="81" spans="3:20" x14ac:dyDescent="0.2">
      <c r="C81" s="10"/>
      <c r="D81" s="10"/>
      <c r="E81" s="9"/>
      <c r="F81" s="9"/>
      <c r="J81" s="160"/>
      <c r="K81" s="47"/>
      <c r="L81" s="47"/>
      <c r="M81" s="46"/>
      <c r="N81" s="45"/>
      <c r="P81" s="53"/>
      <c r="T81" s="160"/>
    </row>
    <row r="82" spans="3:20" x14ac:dyDescent="0.2">
      <c r="C82" s="10"/>
      <c r="D82" s="10"/>
      <c r="E82" s="9"/>
      <c r="F82" s="9"/>
      <c r="J82" s="160"/>
      <c r="K82" s="47"/>
      <c r="L82" s="47"/>
      <c r="M82" s="46"/>
      <c r="N82" s="45"/>
      <c r="P82" s="53"/>
      <c r="T82" s="160"/>
    </row>
    <row r="83" spans="3:20" x14ac:dyDescent="0.2">
      <c r="C83" s="10"/>
      <c r="D83" s="10"/>
      <c r="E83" s="9"/>
      <c r="F83" s="9"/>
      <c r="J83" s="160"/>
      <c r="K83" s="47"/>
      <c r="L83" s="47"/>
      <c r="M83" s="46"/>
      <c r="N83" s="45"/>
      <c r="P83" s="53"/>
      <c r="T83" s="160"/>
    </row>
    <row r="84" spans="3:20" x14ac:dyDescent="0.2">
      <c r="C84" s="10"/>
      <c r="D84" s="10"/>
      <c r="E84" s="9"/>
      <c r="F84" s="9"/>
      <c r="J84" s="160"/>
      <c r="K84" s="47"/>
      <c r="L84" s="47"/>
      <c r="M84" s="46"/>
      <c r="N84" s="45"/>
      <c r="P84" s="53"/>
      <c r="T84" s="160"/>
    </row>
    <row r="85" spans="3:20" x14ac:dyDescent="0.2">
      <c r="C85" s="10"/>
      <c r="D85" s="10"/>
      <c r="E85" s="9"/>
      <c r="F85" s="9"/>
      <c r="J85" s="160"/>
      <c r="K85" s="47"/>
      <c r="L85" s="47"/>
      <c r="M85" s="46"/>
      <c r="N85" s="45"/>
      <c r="P85" s="53"/>
      <c r="T85" s="160"/>
    </row>
    <row r="86" spans="3:20" x14ac:dyDescent="0.2">
      <c r="C86" s="10"/>
      <c r="D86" s="10"/>
      <c r="E86" s="9"/>
      <c r="F86" s="9"/>
      <c r="J86" s="160"/>
      <c r="K86" s="47"/>
      <c r="L86" s="47"/>
      <c r="M86" s="46"/>
      <c r="N86" s="45"/>
      <c r="P86" s="53"/>
      <c r="T86" s="160"/>
    </row>
    <row r="87" spans="3:20" x14ac:dyDescent="0.2">
      <c r="C87" s="10"/>
      <c r="D87" s="10"/>
      <c r="E87" s="9"/>
      <c r="F87" s="9"/>
      <c r="J87" s="160"/>
      <c r="K87" s="47"/>
      <c r="L87" s="47"/>
      <c r="M87" s="46"/>
      <c r="N87" s="45"/>
      <c r="P87" s="53"/>
      <c r="T87" s="160"/>
    </row>
    <row r="88" spans="3:20" x14ac:dyDescent="0.2">
      <c r="C88" s="10"/>
      <c r="D88" s="10"/>
      <c r="E88" s="9"/>
      <c r="F88" s="9"/>
      <c r="J88" s="160"/>
      <c r="K88" s="47"/>
      <c r="L88" s="47"/>
      <c r="M88" s="46"/>
      <c r="N88" s="45"/>
      <c r="P88" s="53"/>
      <c r="T88" s="160"/>
    </row>
    <row r="89" spans="3:20" x14ac:dyDescent="0.2">
      <c r="C89" s="10"/>
      <c r="D89" s="10"/>
      <c r="E89" s="9"/>
      <c r="F89" s="9"/>
      <c r="J89" s="160"/>
      <c r="K89" s="47"/>
      <c r="L89" s="47"/>
      <c r="M89" s="46"/>
      <c r="N89" s="45"/>
      <c r="P89" s="53"/>
      <c r="T89" s="160"/>
    </row>
    <row r="90" spans="3:20" x14ac:dyDescent="0.2">
      <c r="C90" s="10"/>
      <c r="D90" s="10"/>
      <c r="E90" s="9"/>
      <c r="F90" s="9"/>
      <c r="J90" s="160"/>
      <c r="K90" s="47"/>
      <c r="L90" s="47"/>
      <c r="M90" s="46"/>
      <c r="N90" s="45"/>
      <c r="P90" s="53"/>
      <c r="T90" s="160"/>
    </row>
    <row r="91" spans="3:20" x14ac:dyDescent="0.2">
      <c r="C91" s="10"/>
      <c r="D91" s="10"/>
      <c r="E91" s="9"/>
      <c r="F91" s="9"/>
      <c r="J91" s="160"/>
      <c r="K91" s="47"/>
      <c r="L91" s="47"/>
      <c r="M91" s="46"/>
      <c r="N91" s="45"/>
      <c r="P91" s="53"/>
      <c r="T91" s="160"/>
    </row>
    <row r="92" spans="3:20" x14ac:dyDescent="0.2">
      <c r="C92" s="10"/>
      <c r="D92" s="10"/>
      <c r="E92" s="9"/>
      <c r="F92" s="9"/>
      <c r="J92" s="160"/>
      <c r="K92" s="47"/>
      <c r="L92" s="47"/>
      <c r="M92" s="46"/>
      <c r="N92" s="45"/>
      <c r="P92" s="53"/>
      <c r="T92" s="160"/>
    </row>
    <row r="93" spans="3:20" x14ac:dyDescent="0.2">
      <c r="C93" s="10"/>
      <c r="D93" s="10"/>
      <c r="E93" s="9"/>
      <c r="F93" s="9"/>
      <c r="J93" s="160"/>
      <c r="K93" s="47"/>
      <c r="L93" s="47"/>
      <c r="M93" s="46"/>
      <c r="N93" s="45"/>
      <c r="P93" s="53"/>
      <c r="T93" s="160"/>
    </row>
    <row r="94" spans="3:20" x14ac:dyDescent="0.2">
      <c r="C94" s="10"/>
      <c r="D94" s="10"/>
      <c r="E94" s="9"/>
      <c r="F94" s="9"/>
      <c r="J94" s="160"/>
      <c r="K94" s="47"/>
      <c r="L94" s="47"/>
      <c r="M94" s="46"/>
      <c r="N94" s="45"/>
      <c r="P94" s="53"/>
      <c r="T94" s="160"/>
    </row>
    <row r="95" spans="3:20" x14ac:dyDescent="0.2">
      <c r="C95" s="10"/>
      <c r="D95" s="10"/>
      <c r="E95" s="9"/>
      <c r="F95" s="9"/>
      <c r="J95" s="160"/>
      <c r="K95" s="47"/>
      <c r="L95" s="47"/>
      <c r="M95" s="46"/>
      <c r="N95" s="45"/>
      <c r="P95" s="53"/>
      <c r="T95" s="160"/>
    </row>
    <row r="96" spans="3:20" x14ac:dyDescent="0.2">
      <c r="C96" s="10"/>
      <c r="D96" s="10"/>
      <c r="E96" s="9"/>
      <c r="F96" s="9"/>
      <c r="J96" s="160"/>
      <c r="K96" s="47"/>
      <c r="L96" s="47"/>
      <c r="M96" s="46"/>
      <c r="N96" s="45"/>
      <c r="P96" s="53"/>
      <c r="T96" s="160"/>
    </row>
    <row r="97" spans="3:20" x14ac:dyDescent="0.2">
      <c r="C97" s="10"/>
      <c r="D97" s="10"/>
      <c r="E97" s="9"/>
      <c r="F97" s="9"/>
      <c r="J97" s="160"/>
      <c r="K97" s="47"/>
      <c r="L97" s="47"/>
      <c r="M97" s="46"/>
      <c r="N97" s="45"/>
      <c r="P97" s="53"/>
      <c r="T97" s="160"/>
    </row>
    <row r="98" spans="3:20" x14ac:dyDescent="0.2">
      <c r="C98" s="10"/>
      <c r="D98" s="10"/>
      <c r="E98" s="9"/>
      <c r="F98" s="9"/>
      <c r="J98" s="160"/>
      <c r="K98" s="47"/>
      <c r="L98" s="47"/>
      <c r="M98" s="46"/>
      <c r="N98" s="45"/>
      <c r="P98" s="53"/>
      <c r="T98" s="160"/>
    </row>
    <row r="99" spans="3:20" x14ac:dyDescent="0.2">
      <c r="C99" s="10"/>
      <c r="D99" s="10"/>
      <c r="E99" s="9"/>
      <c r="F99" s="9"/>
      <c r="J99" s="160"/>
      <c r="K99" s="47"/>
      <c r="L99" s="47"/>
      <c r="M99" s="46"/>
      <c r="N99" s="45"/>
      <c r="P99" s="53"/>
      <c r="T99" s="160"/>
    </row>
    <row r="100" spans="3:20" x14ac:dyDescent="0.2">
      <c r="C100" s="10"/>
      <c r="D100" s="10"/>
      <c r="E100" s="9"/>
      <c r="F100" s="9"/>
      <c r="J100" s="160"/>
      <c r="K100" s="47"/>
      <c r="L100" s="47"/>
      <c r="M100" s="46"/>
      <c r="N100" s="45"/>
      <c r="P100" s="53"/>
      <c r="T100" s="160"/>
    </row>
    <row r="101" spans="3:20" x14ac:dyDescent="0.2">
      <c r="C101" s="10"/>
      <c r="D101" s="10"/>
      <c r="E101" s="9"/>
      <c r="F101" s="9"/>
      <c r="J101" s="160"/>
      <c r="K101" s="47"/>
      <c r="L101" s="47"/>
      <c r="M101" s="46"/>
      <c r="N101" s="45"/>
      <c r="P101" s="53"/>
      <c r="T101" s="160"/>
    </row>
    <row r="102" spans="3:20" x14ac:dyDescent="0.2">
      <c r="C102" s="10"/>
      <c r="D102" s="10"/>
      <c r="E102" s="9"/>
      <c r="F102" s="9"/>
      <c r="J102" s="160"/>
      <c r="K102" s="47"/>
      <c r="L102" s="47"/>
      <c r="M102" s="46"/>
      <c r="N102" s="45"/>
      <c r="P102" s="53"/>
      <c r="T102" s="160"/>
    </row>
    <row r="103" spans="3:20" x14ac:dyDescent="0.2">
      <c r="C103" s="10"/>
      <c r="D103" s="10"/>
      <c r="E103" s="9"/>
      <c r="F103" s="9"/>
      <c r="J103" s="160"/>
      <c r="K103" s="47"/>
      <c r="L103" s="47"/>
      <c r="M103" s="46"/>
      <c r="N103" s="45"/>
      <c r="P103" s="53"/>
      <c r="T103" s="160"/>
    </row>
    <row r="104" spans="3:20" x14ac:dyDescent="0.2">
      <c r="C104" s="10"/>
      <c r="D104" s="10"/>
      <c r="E104" s="9"/>
      <c r="F104" s="9"/>
      <c r="J104" s="160"/>
      <c r="K104" s="47"/>
      <c r="L104" s="47"/>
      <c r="M104" s="46"/>
      <c r="N104" s="45"/>
      <c r="P104" s="53"/>
      <c r="T104" s="160"/>
    </row>
    <row r="105" spans="3:20" x14ac:dyDescent="0.2">
      <c r="C105" s="10"/>
      <c r="D105" s="10"/>
      <c r="E105" s="9"/>
      <c r="F105" s="9"/>
      <c r="J105" s="160"/>
      <c r="K105" s="47"/>
      <c r="L105" s="47"/>
      <c r="M105" s="46"/>
      <c r="N105" s="45"/>
      <c r="P105" s="53"/>
      <c r="T105" s="160"/>
    </row>
    <row r="106" spans="3:20" x14ac:dyDescent="0.2">
      <c r="C106" s="10"/>
      <c r="D106" s="10"/>
      <c r="E106" s="9"/>
      <c r="F106" s="9"/>
      <c r="J106" s="160"/>
      <c r="K106" s="47"/>
      <c r="L106" s="47"/>
      <c r="M106" s="46"/>
      <c r="N106" s="45"/>
      <c r="P106" s="53"/>
      <c r="T106" s="160"/>
    </row>
    <row r="107" spans="3:20" x14ac:dyDescent="0.2">
      <c r="C107" s="10"/>
      <c r="D107" s="10"/>
      <c r="E107" s="9"/>
      <c r="F107" s="9"/>
      <c r="J107" s="160"/>
      <c r="K107" s="47"/>
      <c r="L107" s="47"/>
      <c r="M107" s="46"/>
      <c r="N107" s="45"/>
      <c r="P107" s="53"/>
      <c r="T107" s="160"/>
    </row>
    <row r="108" spans="3:20" x14ac:dyDescent="0.2">
      <c r="C108" s="10"/>
      <c r="D108" s="10"/>
      <c r="E108" s="9"/>
      <c r="F108" s="9"/>
      <c r="J108" s="160"/>
      <c r="K108" s="47"/>
      <c r="L108" s="47"/>
      <c r="M108" s="46"/>
      <c r="N108" s="45"/>
      <c r="P108" s="53"/>
      <c r="T108" s="160"/>
    </row>
    <row r="109" spans="3:20" x14ac:dyDescent="0.2">
      <c r="C109" s="10"/>
      <c r="D109" s="10"/>
      <c r="E109" s="9"/>
      <c r="F109" s="9"/>
      <c r="J109" s="160"/>
      <c r="K109" s="47"/>
      <c r="L109" s="47"/>
      <c r="M109" s="46"/>
      <c r="N109" s="45"/>
      <c r="P109" s="53"/>
      <c r="T109" s="160"/>
    </row>
    <row r="110" spans="3:20" x14ac:dyDescent="0.2">
      <c r="C110" s="10"/>
      <c r="D110" s="10"/>
      <c r="E110" s="9"/>
      <c r="F110" s="9"/>
      <c r="J110" s="160"/>
      <c r="K110" s="47"/>
      <c r="L110" s="47"/>
      <c r="M110" s="46"/>
      <c r="N110" s="45"/>
      <c r="P110" s="53"/>
      <c r="T110" s="160"/>
    </row>
    <row r="111" spans="3:20" x14ac:dyDescent="0.2">
      <c r="C111" s="10"/>
      <c r="D111" s="10"/>
      <c r="E111" s="9"/>
      <c r="F111" s="9"/>
      <c r="J111" s="160"/>
      <c r="K111" s="47"/>
      <c r="L111" s="47"/>
      <c r="M111" s="46"/>
      <c r="N111" s="45"/>
      <c r="P111" s="53"/>
      <c r="T111" s="160"/>
    </row>
    <row r="112" spans="3:20" x14ac:dyDescent="0.2">
      <c r="C112" s="10"/>
      <c r="D112" s="10"/>
      <c r="E112" s="9"/>
      <c r="F112" s="9"/>
      <c r="J112" s="160"/>
      <c r="K112" s="47"/>
      <c r="L112" s="47"/>
      <c r="M112" s="46"/>
      <c r="N112" s="45"/>
      <c r="P112" s="53"/>
      <c r="T112" s="160"/>
    </row>
    <row r="113" spans="3:20" x14ac:dyDescent="0.2">
      <c r="C113" s="10"/>
      <c r="D113" s="10"/>
      <c r="E113" s="9"/>
      <c r="F113" s="9"/>
      <c r="J113" s="160"/>
      <c r="K113" s="47"/>
      <c r="L113" s="47"/>
      <c r="M113" s="46"/>
      <c r="N113" s="45"/>
      <c r="P113" s="53"/>
      <c r="T113" s="160"/>
    </row>
    <row r="114" spans="3:20" x14ac:dyDescent="0.2">
      <c r="C114" s="10"/>
      <c r="D114" s="10"/>
      <c r="E114" s="9"/>
      <c r="F114" s="9"/>
      <c r="J114" s="160"/>
      <c r="K114" s="47"/>
      <c r="L114" s="47"/>
      <c r="M114" s="46"/>
      <c r="N114" s="45"/>
      <c r="P114" s="53"/>
      <c r="T114" s="160"/>
    </row>
    <row r="115" spans="3:20" x14ac:dyDescent="0.2">
      <c r="C115" s="10"/>
      <c r="D115" s="10"/>
      <c r="E115" s="9"/>
      <c r="F115" s="9"/>
      <c r="J115" s="160"/>
      <c r="K115" s="47"/>
      <c r="L115" s="47"/>
      <c r="M115" s="46"/>
      <c r="N115" s="45"/>
      <c r="P115" s="53"/>
      <c r="T115" s="160"/>
    </row>
    <row r="116" spans="3:20" x14ac:dyDescent="0.2">
      <c r="C116" s="10"/>
      <c r="D116" s="10"/>
      <c r="E116" s="9"/>
      <c r="F116" s="9"/>
      <c r="J116" s="160"/>
      <c r="K116" s="47"/>
      <c r="L116" s="47"/>
      <c r="M116" s="46"/>
      <c r="N116" s="45"/>
      <c r="P116" s="53"/>
      <c r="T116" s="160"/>
    </row>
    <row r="117" spans="3:20" x14ac:dyDescent="0.2">
      <c r="C117" s="10"/>
      <c r="D117" s="10"/>
      <c r="E117" s="9"/>
      <c r="F117" s="9"/>
      <c r="J117" s="160"/>
      <c r="K117" s="47"/>
      <c r="L117" s="47"/>
      <c r="M117" s="46"/>
      <c r="N117" s="45"/>
      <c r="P117" s="53"/>
      <c r="T117" s="160"/>
    </row>
    <row r="118" spans="3:20" x14ac:dyDescent="0.2">
      <c r="C118" s="10"/>
      <c r="D118" s="10"/>
      <c r="E118" s="9"/>
      <c r="F118" s="9"/>
      <c r="J118" s="160"/>
      <c r="K118" s="47"/>
      <c r="L118" s="47"/>
      <c r="M118" s="46"/>
      <c r="N118" s="45"/>
      <c r="P118" s="53"/>
      <c r="T118" s="160"/>
    </row>
    <row r="119" spans="3:20" x14ac:dyDescent="0.2">
      <c r="C119" s="10"/>
      <c r="D119" s="10"/>
      <c r="E119" s="9"/>
      <c r="F119" s="9"/>
      <c r="J119" s="160"/>
      <c r="K119" s="47"/>
      <c r="L119" s="47"/>
      <c r="M119" s="46"/>
      <c r="N119" s="45"/>
      <c r="P119" s="53"/>
      <c r="T119" s="160"/>
    </row>
    <row r="120" spans="3:20" x14ac:dyDescent="0.2">
      <c r="C120" s="10"/>
      <c r="D120" s="10"/>
      <c r="E120" s="9"/>
      <c r="F120" s="9"/>
      <c r="J120" s="160"/>
      <c r="K120" s="47"/>
      <c r="L120" s="47"/>
      <c r="M120" s="46"/>
      <c r="N120" s="45"/>
      <c r="P120" s="53"/>
      <c r="T120" s="160"/>
    </row>
    <row r="121" spans="3:20" x14ac:dyDescent="0.2">
      <c r="C121" s="10"/>
      <c r="D121" s="10"/>
      <c r="E121" s="9"/>
      <c r="F121" s="9"/>
      <c r="J121" s="160"/>
      <c r="K121" s="47"/>
      <c r="L121" s="47"/>
      <c r="M121" s="46"/>
      <c r="N121" s="45"/>
      <c r="P121" s="53"/>
      <c r="T121" s="160"/>
    </row>
    <row r="122" spans="3:20" x14ac:dyDescent="0.2">
      <c r="C122" s="10"/>
      <c r="D122" s="10"/>
      <c r="E122" s="9"/>
      <c r="F122" s="9"/>
      <c r="J122" s="160"/>
      <c r="K122" s="47"/>
      <c r="L122" s="47"/>
      <c r="M122" s="46"/>
      <c r="N122" s="45"/>
      <c r="P122" s="53"/>
      <c r="T122" s="160"/>
    </row>
    <row r="123" spans="3:20" x14ac:dyDescent="0.2">
      <c r="C123" s="10"/>
      <c r="D123" s="10"/>
      <c r="E123" s="9"/>
      <c r="F123" s="9"/>
      <c r="J123" s="160"/>
      <c r="K123" s="47"/>
      <c r="L123" s="47"/>
      <c r="M123" s="46"/>
      <c r="N123" s="45"/>
      <c r="P123" s="53"/>
      <c r="T123" s="160"/>
    </row>
    <row r="124" spans="3:20" x14ac:dyDescent="0.2">
      <c r="C124" s="10"/>
      <c r="D124" s="10"/>
      <c r="E124" s="9"/>
      <c r="F124" s="9"/>
      <c r="J124" s="160"/>
      <c r="K124" s="47"/>
      <c r="L124" s="47"/>
      <c r="M124" s="46"/>
      <c r="N124" s="45"/>
      <c r="P124" s="53"/>
      <c r="T124" s="160"/>
    </row>
    <row r="125" spans="3:20" x14ac:dyDescent="0.2">
      <c r="C125" s="10"/>
      <c r="D125" s="10"/>
      <c r="E125" s="9"/>
      <c r="F125" s="9"/>
      <c r="J125" s="160"/>
      <c r="K125" s="47"/>
      <c r="L125" s="47"/>
      <c r="M125" s="46"/>
      <c r="N125" s="45"/>
      <c r="P125" s="53"/>
      <c r="T125" s="160"/>
    </row>
    <row r="126" spans="3:20" x14ac:dyDescent="0.2">
      <c r="C126" s="10"/>
      <c r="D126" s="10"/>
      <c r="E126" s="9"/>
      <c r="F126" s="9"/>
      <c r="J126" s="160"/>
      <c r="K126" s="47"/>
      <c r="L126" s="47"/>
      <c r="M126" s="46"/>
      <c r="N126" s="45"/>
      <c r="P126" s="53"/>
      <c r="T126" s="160"/>
    </row>
    <row r="127" spans="3:20" x14ac:dyDescent="0.2">
      <c r="C127" s="10"/>
      <c r="D127" s="10"/>
      <c r="E127" s="9"/>
      <c r="F127" s="9"/>
      <c r="J127" s="160"/>
      <c r="K127" s="47"/>
      <c r="L127" s="47"/>
      <c r="M127" s="46"/>
      <c r="N127" s="45"/>
      <c r="P127" s="53"/>
      <c r="T127" s="160"/>
    </row>
    <row r="128" spans="3:20" x14ac:dyDescent="0.2">
      <c r="C128" s="10"/>
      <c r="D128" s="10"/>
      <c r="E128" s="9"/>
      <c r="F128" s="9"/>
      <c r="J128" s="160"/>
      <c r="K128" s="47"/>
      <c r="L128" s="47"/>
      <c r="M128" s="46"/>
      <c r="N128" s="45"/>
      <c r="P128" s="53"/>
      <c r="T128" s="160"/>
    </row>
    <row r="129" spans="3:20" x14ac:dyDescent="0.2">
      <c r="C129" s="10"/>
      <c r="D129" s="10"/>
      <c r="E129" s="9"/>
      <c r="F129" s="9"/>
      <c r="J129" s="160"/>
      <c r="K129" s="47"/>
      <c r="L129" s="47"/>
      <c r="M129" s="46"/>
      <c r="N129" s="45"/>
      <c r="P129" s="53"/>
      <c r="T129" s="160"/>
    </row>
    <row r="130" spans="3:20" x14ac:dyDescent="0.2">
      <c r="C130" s="10"/>
      <c r="D130" s="10"/>
      <c r="E130" s="9"/>
      <c r="F130" s="9"/>
      <c r="J130" s="160"/>
      <c r="K130" s="47"/>
      <c r="L130" s="47"/>
      <c r="M130" s="46"/>
      <c r="N130" s="45"/>
      <c r="P130" s="53"/>
      <c r="T130" s="160"/>
    </row>
    <row r="131" spans="3:20" x14ac:dyDescent="0.2">
      <c r="C131" s="10"/>
      <c r="D131" s="10"/>
      <c r="E131" s="9"/>
      <c r="F131" s="9"/>
      <c r="J131" s="160"/>
      <c r="K131" s="47"/>
      <c r="L131" s="47"/>
      <c r="M131" s="46"/>
      <c r="N131" s="45"/>
      <c r="P131" s="53"/>
      <c r="T131" s="160"/>
    </row>
    <row r="132" spans="3:20" x14ac:dyDescent="0.2">
      <c r="C132" s="10"/>
      <c r="D132" s="10"/>
      <c r="E132" s="9"/>
      <c r="F132" s="9"/>
      <c r="J132" s="160"/>
      <c r="K132" s="47"/>
      <c r="L132" s="47"/>
      <c r="M132" s="46"/>
      <c r="N132" s="45"/>
      <c r="P132" s="53"/>
      <c r="T132" s="160"/>
    </row>
    <row r="133" spans="3:20" x14ac:dyDescent="0.2">
      <c r="C133" s="10"/>
      <c r="D133" s="10"/>
      <c r="E133" s="9"/>
      <c r="F133" s="9"/>
      <c r="J133" s="160"/>
      <c r="K133" s="47"/>
      <c r="L133" s="47"/>
      <c r="M133" s="46"/>
      <c r="N133" s="45"/>
      <c r="P133" s="53"/>
      <c r="T133" s="160"/>
    </row>
    <row r="134" spans="3:20" x14ac:dyDescent="0.2">
      <c r="C134" s="10"/>
      <c r="D134" s="10"/>
      <c r="E134" s="9"/>
      <c r="F134" s="9"/>
      <c r="J134" s="160"/>
      <c r="K134" s="47"/>
      <c r="L134" s="47"/>
      <c r="M134" s="46"/>
      <c r="N134" s="45"/>
      <c r="P134" s="53"/>
      <c r="T134" s="160"/>
    </row>
    <row r="135" spans="3:20" x14ac:dyDescent="0.2">
      <c r="C135" s="10"/>
      <c r="D135" s="10"/>
      <c r="E135" s="9"/>
      <c r="F135" s="9"/>
      <c r="J135" s="160"/>
      <c r="K135" s="47"/>
      <c r="L135" s="47"/>
      <c r="M135" s="46"/>
      <c r="N135" s="45"/>
      <c r="P135" s="53"/>
      <c r="T135" s="160"/>
    </row>
    <row r="136" spans="3:20" x14ac:dyDescent="0.2">
      <c r="C136" s="10"/>
      <c r="D136" s="10"/>
      <c r="E136" s="9"/>
      <c r="F136" s="9"/>
      <c r="J136" s="160"/>
      <c r="K136" s="47"/>
      <c r="L136" s="47"/>
      <c r="M136" s="46"/>
      <c r="N136" s="45"/>
      <c r="P136" s="53"/>
      <c r="T136" s="160"/>
    </row>
    <row r="137" spans="3:20" x14ac:dyDescent="0.2">
      <c r="C137" s="10"/>
      <c r="D137" s="10"/>
      <c r="E137" s="9"/>
      <c r="F137" s="9"/>
      <c r="J137" s="160"/>
      <c r="K137" s="47"/>
      <c r="L137" s="47"/>
      <c r="M137" s="46"/>
      <c r="N137" s="45"/>
      <c r="P137" s="53"/>
      <c r="T137" s="160"/>
    </row>
    <row r="138" spans="3:20" x14ac:dyDescent="0.2">
      <c r="C138" s="10"/>
      <c r="D138" s="10"/>
      <c r="E138" s="9"/>
      <c r="F138" s="9"/>
      <c r="J138" s="160"/>
      <c r="K138" s="47"/>
      <c r="L138" s="47"/>
      <c r="M138" s="46"/>
      <c r="N138" s="45"/>
      <c r="P138" s="53"/>
      <c r="T138" s="160"/>
    </row>
    <row r="139" spans="3:20" x14ac:dyDescent="0.2">
      <c r="C139" s="10"/>
      <c r="D139" s="10"/>
      <c r="E139" s="9"/>
      <c r="F139" s="9"/>
      <c r="J139" s="160"/>
      <c r="K139" s="47"/>
      <c r="L139" s="47"/>
      <c r="M139" s="46"/>
      <c r="N139" s="45"/>
      <c r="P139" s="53"/>
      <c r="T139" s="160"/>
    </row>
    <row r="140" spans="3:20" x14ac:dyDescent="0.2">
      <c r="C140" s="10"/>
      <c r="D140" s="10"/>
      <c r="E140" s="9"/>
      <c r="F140" s="9"/>
      <c r="J140" s="160"/>
      <c r="K140" s="47"/>
      <c r="L140" s="47"/>
      <c r="M140" s="46"/>
      <c r="N140" s="45"/>
      <c r="P140" s="53"/>
      <c r="T140" s="160"/>
    </row>
    <row r="141" spans="3:20" x14ac:dyDescent="0.2">
      <c r="C141" s="10"/>
      <c r="D141" s="10"/>
      <c r="E141" s="9"/>
      <c r="F141" s="9"/>
      <c r="J141" s="160"/>
      <c r="K141" s="47"/>
      <c r="L141" s="47"/>
      <c r="M141" s="46"/>
      <c r="N141" s="45"/>
      <c r="P141" s="53"/>
      <c r="T141" s="160"/>
    </row>
    <row r="142" spans="3:20" x14ac:dyDescent="0.2">
      <c r="C142" s="10"/>
      <c r="D142" s="10"/>
      <c r="E142" s="9"/>
      <c r="F142" s="9"/>
      <c r="J142" s="160"/>
      <c r="K142" s="47"/>
      <c r="L142" s="47"/>
      <c r="M142" s="46"/>
      <c r="N142" s="45"/>
      <c r="P142" s="53"/>
      <c r="T142" s="160"/>
    </row>
    <row r="143" spans="3:20" x14ac:dyDescent="0.2">
      <c r="C143" s="10"/>
      <c r="D143" s="10"/>
      <c r="E143" s="9"/>
      <c r="F143" s="9"/>
      <c r="J143" s="160"/>
      <c r="K143" s="47"/>
      <c r="L143" s="47"/>
      <c r="M143" s="46"/>
      <c r="N143" s="45"/>
      <c r="P143" s="53"/>
      <c r="T143" s="160"/>
    </row>
    <row r="144" spans="3:20" x14ac:dyDescent="0.2">
      <c r="C144" s="10"/>
      <c r="D144" s="10"/>
      <c r="E144" s="9"/>
      <c r="F144" s="9"/>
      <c r="J144" s="160"/>
      <c r="K144" s="47"/>
      <c r="L144" s="47"/>
      <c r="M144" s="46"/>
      <c r="N144" s="45"/>
      <c r="P144" s="53"/>
      <c r="T144" s="160"/>
    </row>
    <row r="145" spans="3:20" x14ac:dyDescent="0.2">
      <c r="C145" s="10"/>
      <c r="D145" s="10"/>
      <c r="E145" s="9"/>
      <c r="F145" s="9"/>
      <c r="J145" s="160"/>
      <c r="K145" s="47"/>
      <c r="L145" s="47"/>
      <c r="M145" s="46"/>
      <c r="N145" s="45"/>
      <c r="P145" s="53"/>
      <c r="T145" s="160"/>
    </row>
    <row r="146" spans="3:20" x14ac:dyDescent="0.2">
      <c r="C146" s="10"/>
      <c r="D146" s="10"/>
      <c r="E146" s="9"/>
      <c r="F146" s="9"/>
      <c r="J146" s="160"/>
      <c r="K146" s="47"/>
      <c r="L146" s="47"/>
      <c r="M146" s="46"/>
      <c r="N146" s="45"/>
      <c r="P146" s="53"/>
      <c r="T146" s="160"/>
    </row>
    <row r="147" spans="3:20" x14ac:dyDescent="0.2">
      <c r="C147" s="10"/>
      <c r="D147" s="10"/>
      <c r="E147" s="9"/>
      <c r="F147" s="9"/>
      <c r="J147" s="160"/>
      <c r="K147" s="47"/>
      <c r="L147" s="47"/>
      <c r="M147" s="46"/>
      <c r="N147" s="45"/>
      <c r="P147" s="53"/>
      <c r="T147" s="160"/>
    </row>
    <row r="148" spans="3:20" x14ac:dyDescent="0.2">
      <c r="C148" s="10"/>
      <c r="D148" s="10"/>
      <c r="E148" s="9"/>
      <c r="F148" s="9"/>
      <c r="J148" s="160"/>
      <c r="K148" s="47"/>
      <c r="L148" s="47"/>
      <c r="M148" s="46"/>
      <c r="N148" s="45"/>
      <c r="P148" s="53"/>
      <c r="T148" s="160"/>
    </row>
    <row r="149" spans="3:20" x14ac:dyDescent="0.2">
      <c r="C149" s="10"/>
      <c r="D149" s="10"/>
      <c r="E149" s="9"/>
      <c r="F149" s="9"/>
      <c r="J149" s="160"/>
      <c r="K149" s="47"/>
      <c r="L149" s="47"/>
      <c r="M149" s="46"/>
      <c r="N149" s="45"/>
      <c r="P149" s="53"/>
      <c r="T149" s="160"/>
    </row>
    <row r="150" spans="3:20" x14ac:dyDescent="0.2">
      <c r="C150" s="10"/>
      <c r="D150" s="10"/>
      <c r="E150" s="9"/>
      <c r="F150" s="9"/>
      <c r="J150" s="160"/>
      <c r="K150" s="47"/>
      <c r="L150" s="47"/>
      <c r="M150" s="46"/>
      <c r="N150" s="45"/>
      <c r="P150" s="53"/>
      <c r="T150" s="160"/>
    </row>
    <row r="151" spans="3:20" x14ac:dyDescent="0.2">
      <c r="C151" s="10"/>
      <c r="D151" s="10"/>
      <c r="E151" s="9"/>
      <c r="F151" s="9"/>
      <c r="J151" s="160"/>
      <c r="K151" s="47"/>
      <c r="L151" s="47"/>
      <c r="M151" s="46"/>
      <c r="N151" s="45"/>
      <c r="P151" s="53"/>
      <c r="T151" s="160"/>
    </row>
    <row r="152" spans="3:20" x14ac:dyDescent="0.2">
      <c r="C152" s="10"/>
      <c r="D152" s="10"/>
      <c r="E152" s="9"/>
      <c r="F152" s="9"/>
      <c r="J152" s="160"/>
      <c r="K152" s="47"/>
      <c r="L152" s="47"/>
      <c r="M152" s="46"/>
      <c r="N152" s="45"/>
      <c r="P152" s="53"/>
      <c r="T152" s="160"/>
    </row>
    <row r="153" spans="3:20" x14ac:dyDescent="0.2">
      <c r="C153" s="10"/>
      <c r="D153" s="10"/>
      <c r="E153" s="9"/>
      <c r="F153" s="9"/>
      <c r="J153" s="160"/>
      <c r="K153" s="47"/>
      <c r="L153" s="47"/>
      <c r="M153" s="46"/>
      <c r="N153" s="45"/>
      <c r="P153" s="53"/>
      <c r="T153" s="160"/>
    </row>
    <row r="154" spans="3:20" x14ac:dyDescent="0.2">
      <c r="C154" s="10"/>
      <c r="D154" s="10"/>
      <c r="E154" s="9"/>
      <c r="F154" s="9"/>
      <c r="J154" s="160"/>
      <c r="K154" s="47"/>
      <c r="L154" s="47"/>
      <c r="M154" s="46"/>
      <c r="N154" s="45"/>
      <c r="P154" s="53"/>
      <c r="T154" s="160"/>
    </row>
    <row r="155" spans="3:20" x14ac:dyDescent="0.2">
      <c r="C155" s="10"/>
      <c r="D155" s="10"/>
      <c r="E155" s="9"/>
      <c r="F155" s="9"/>
      <c r="J155" s="160"/>
      <c r="K155" s="47"/>
      <c r="L155" s="47"/>
      <c r="M155" s="46"/>
      <c r="N155" s="45"/>
      <c r="P155" s="53"/>
      <c r="T155" s="160"/>
    </row>
    <row r="156" spans="3:20" x14ac:dyDescent="0.2">
      <c r="C156" s="10"/>
      <c r="D156" s="10"/>
      <c r="E156" s="9"/>
      <c r="F156" s="9"/>
      <c r="J156" s="160"/>
      <c r="K156" s="47"/>
      <c r="L156" s="47"/>
      <c r="M156" s="46"/>
      <c r="N156" s="45"/>
      <c r="P156" s="53"/>
      <c r="T156" s="160"/>
    </row>
    <row r="157" spans="3:20" x14ac:dyDescent="0.2">
      <c r="C157" s="10"/>
      <c r="D157" s="10"/>
      <c r="E157" s="9"/>
      <c r="F157" s="9"/>
      <c r="J157" s="160"/>
      <c r="K157" s="47"/>
      <c r="L157" s="47"/>
      <c r="M157" s="46"/>
      <c r="N157" s="45"/>
      <c r="P157" s="53"/>
      <c r="T157" s="160"/>
    </row>
    <row r="158" spans="3:20" x14ac:dyDescent="0.2">
      <c r="C158" s="10"/>
      <c r="D158" s="10"/>
      <c r="E158" s="9"/>
      <c r="F158" s="9"/>
      <c r="J158" s="160"/>
      <c r="K158" s="47"/>
      <c r="L158" s="47"/>
      <c r="M158" s="46"/>
      <c r="N158" s="45"/>
      <c r="P158" s="53"/>
      <c r="T158" s="160"/>
    </row>
    <row r="159" spans="3:20" x14ac:dyDescent="0.2">
      <c r="C159" s="10"/>
      <c r="D159" s="10"/>
      <c r="E159" s="9"/>
      <c r="F159" s="9"/>
      <c r="J159" s="160"/>
      <c r="K159" s="47"/>
      <c r="L159" s="47"/>
      <c r="M159" s="46"/>
      <c r="N159" s="45"/>
      <c r="P159" s="53"/>
      <c r="T159" s="160"/>
    </row>
    <row r="160" spans="3:20" x14ac:dyDescent="0.2">
      <c r="C160" s="10"/>
      <c r="D160" s="10"/>
      <c r="E160" s="9"/>
      <c r="F160" s="9"/>
      <c r="J160" s="160"/>
      <c r="K160" s="47"/>
      <c r="L160" s="47"/>
      <c r="M160" s="46"/>
      <c r="N160" s="45"/>
      <c r="P160" s="53"/>
      <c r="T160" s="160"/>
    </row>
    <row r="161" spans="3:20" x14ac:dyDescent="0.2">
      <c r="C161" s="10"/>
      <c r="D161" s="10"/>
      <c r="E161" s="9"/>
      <c r="F161" s="9"/>
      <c r="J161" s="160"/>
      <c r="K161" s="47"/>
      <c r="L161" s="47"/>
      <c r="M161" s="46"/>
      <c r="N161" s="45"/>
      <c r="P161" s="53"/>
      <c r="T161" s="160"/>
    </row>
    <row r="162" spans="3:20" x14ac:dyDescent="0.2">
      <c r="C162" s="10"/>
      <c r="D162" s="10"/>
      <c r="E162" s="9"/>
      <c r="F162" s="9"/>
      <c r="J162" s="160"/>
      <c r="K162" s="47"/>
      <c r="L162" s="47"/>
      <c r="M162" s="46"/>
      <c r="N162" s="45"/>
      <c r="P162" s="53"/>
      <c r="T162" s="160"/>
    </row>
    <row r="163" spans="3:20" x14ac:dyDescent="0.2">
      <c r="C163" s="10"/>
      <c r="D163" s="10"/>
      <c r="E163" s="9"/>
      <c r="F163" s="9"/>
      <c r="J163" s="160"/>
      <c r="K163" s="47"/>
      <c r="L163" s="47"/>
      <c r="M163" s="46"/>
      <c r="N163" s="45"/>
      <c r="P163" s="53"/>
      <c r="T163" s="160"/>
    </row>
    <row r="164" spans="3:20" x14ac:dyDescent="0.2">
      <c r="C164" s="10"/>
      <c r="D164" s="10"/>
      <c r="E164" s="9"/>
      <c r="F164" s="9"/>
      <c r="J164" s="160"/>
      <c r="K164" s="47"/>
      <c r="L164" s="47"/>
      <c r="M164" s="46"/>
      <c r="N164" s="45"/>
      <c r="P164" s="53"/>
      <c r="T164" s="160"/>
    </row>
    <row r="165" spans="3:20" x14ac:dyDescent="0.2">
      <c r="C165" s="10"/>
      <c r="D165" s="10"/>
      <c r="E165" s="9"/>
      <c r="F165" s="9"/>
      <c r="J165" s="160"/>
      <c r="K165" s="47"/>
      <c r="L165" s="47"/>
      <c r="M165" s="46"/>
      <c r="N165" s="45"/>
      <c r="P165" s="53"/>
      <c r="T165" s="160"/>
    </row>
    <row r="166" spans="3:20" x14ac:dyDescent="0.2">
      <c r="C166" s="10"/>
      <c r="D166" s="10"/>
      <c r="E166" s="9"/>
      <c r="F166" s="9"/>
      <c r="J166" s="160"/>
      <c r="K166" s="47"/>
      <c r="L166" s="47"/>
      <c r="M166" s="46"/>
      <c r="N166" s="45"/>
      <c r="P166" s="53"/>
      <c r="T166" s="160"/>
    </row>
    <row r="167" spans="3:20" x14ac:dyDescent="0.2">
      <c r="C167" s="10"/>
      <c r="D167" s="10"/>
      <c r="E167" s="9"/>
      <c r="F167" s="9"/>
      <c r="J167" s="160"/>
      <c r="K167" s="47"/>
      <c r="L167" s="47"/>
      <c r="M167" s="46"/>
      <c r="N167" s="45"/>
      <c r="P167" s="53"/>
      <c r="T167" s="160"/>
    </row>
    <row r="168" spans="3:20" x14ac:dyDescent="0.2">
      <c r="C168" s="10"/>
      <c r="D168" s="10"/>
      <c r="E168" s="9"/>
      <c r="F168" s="9"/>
      <c r="J168" s="160"/>
      <c r="K168" s="47"/>
      <c r="L168" s="47"/>
      <c r="M168" s="46"/>
      <c r="N168" s="45"/>
      <c r="P168" s="53"/>
      <c r="T168" s="160"/>
    </row>
    <row r="169" spans="3:20" x14ac:dyDescent="0.2">
      <c r="C169" s="10"/>
      <c r="D169" s="10"/>
      <c r="E169" s="9"/>
      <c r="F169" s="9"/>
      <c r="J169" s="160"/>
      <c r="K169" s="47"/>
      <c r="L169" s="47"/>
      <c r="M169" s="46"/>
      <c r="N169" s="45"/>
      <c r="P169" s="53"/>
      <c r="T169" s="160"/>
    </row>
    <row r="170" spans="3:20" x14ac:dyDescent="0.2">
      <c r="C170" s="10"/>
      <c r="D170" s="10"/>
      <c r="E170" s="9"/>
      <c r="F170" s="9"/>
      <c r="J170" s="160"/>
      <c r="K170" s="47"/>
      <c r="L170" s="47"/>
      <c r="M170" s="46"/>
      <c r="N170" s="45"/>
      <c r="P170" s="53"/>
      <c r="T170" s="160"/>
    </row>
    <row r="171" spans="3:20" x14ac:dyDescent="0.2">
      <c r="C171" s="10"/>
      <c r="D171" s="10"/>
      <c r="E171" s="9"/>
      <c r="F171" s="9"/>
      <c r="J171" s="160"/>
      <c r="K171" s="47"/>
      <c r="L171" s="47"/>
      <c r="M171" s="46"/>
      <c r="N171" s="45"/>
      <c r="P171" s="53"/>
      <c r="T171" s="160"/>
    </row>
    <row r="172" spans="3:20" x14ac:dyDescent="0.2">
      <c r="C172" s="10"/>
      <c r="D172" s="10"/>
      <c r="E172" s="9"/>
      <c r="F172" s="9"/>
      <c r="J172" s="160"/>
      <c r="K172" s="47"/>
      <c r="L172" s="47"/>
      <c r="M172" s="46"/>
      <c r="N172" s="45"/>
      <c r="P172" s="53"/>
      <c r="T172" s="160"/>
    </row>
    <row r="173" spans="3:20" x14ac:dyDescent="0.2">
      <c r="C173" s="10"/>
      <c r="D173" s="10"/>
      <c r="E173" s="9"/>
      <c r="F173" s="9"/>
      <c r="J173" s="160"/>
      <c r="K173" s="47"/>
      <c r="L173" s="47"/>
      <c r="M173" s="46"/>
      <c r="N173" s="45"/>
      <c r="P173" s="53"/>
      <c r="T173" s="160"/>
    </row>
    <row r="174" spans="3:20" x14ac:dyDescent="0.2">
      <c r="C174" s="10"/>
      <c r="D174" s="10"/>
      <c r="E174" s="9"/>
      <c r="F174" s="9"/>
      <c r="J174" s="160"/>
      <c r="K174" s="47"/>
      <c r="L174" s="47"/>
      <c r="M174" s="46"/>
      <c r="N174" s="45"/>
      <c r="P174" s="53"/>
      <c r="T174" s="160"/>
    </row>
    <row r="175" spans="3:20" x14ac:dyDescent="0.2">
      <c r="C175" s="10"/>
      <c r="D175" s="10"/>
      <c r="E175" s="9"/>
      <c r="F175" s="9"/>
      <c r="J175" s="160"/>
      <c r="K175" s="47"/>
      <c r="L175" s="47"/>
      <c r="M175" s="46"/>
      <c r="N175" s="45"/>
      <c r="P175" s="53"/>
      <c r="T175" s="160"/>
    </row>
    <row r="176" spans="3:20" x14ac:dyDescent="0.2">
      <c r="C176" s="10"/>
      <c r="D176" s="10"/>
      <c r="E176" s="9"/>
      <c r="F176" s="9"/>
      <c r="J176" s="160"/>
      <c r="K176" s="47"/>
      <c r="L176" s="47"/>
      <c r="M176" s="46"/>
      <c r="N176" s="45"/>
      <c r="P176" s="53"/>
      <c r="T176" s="160"/>
    </row>
    <row r="177" spans="3:20" x14ac:dyDescent="0.2">
      <c r="C177" s="10"/>
      <c r="D177" s="10"/>
      <c r="E177" s="9"/>
      <c r="F177" s="9"/>
      <c r="J177" s="160"/>
      <c r="K177" s="47"/>
      <c r="L177" s="47"/>
      <c r="M177" s="46"/>
      <c r="N177" s="45"/>
      <c r="P177" s="53"/>
      <c r="T177" s="160"/>
    </row>
    <row r="178" spans="3:20" x14ac:dyDescent="0.2">
      <c r="C178" s="10"/>
      <c r="D178" s="10"/>
      <c r="E178" s="9"/>
      <c r="F178" s="9"/>
      <c r="J178" s="160"/>
      <c r="K178" s="47"/>
      <c r="L178" s="47"/>
      <c r="M178" s="46"/>
      <c r="N178" s="45"/>
      <c r="P178" s="53"/>
      <c r="T178" s="160"/>
    </row>
    <row r="179" spans="3:20" x14ac:dyDescent="0.2">
      <c r="C179" s="10"/>
      <c r="D179" s="10"/>
      <c r="E179" s="9"/>
      <c r="F179" s="9"/>
      <c r="J179" s="160"/>
      <c r="K179" s="47"/>
      <c r="L179" s="47"/>
      <c r="M179" s="46"/>
      <c r="N179" s="45"/>
      <c r="P179" s="53"/>
      <c r="T179" s="160"/>
    </row>
    <row r="180" spans="3:20" x14ac:dyDescent="0.2">
      <c r="C180" s="10"/>
      <c r="D180" s="10"/>
      <c r="E180" s="9"/>
      <c r="F180" s="9"/>
      <c r="J180" s="160"/>
      <c r="K180" s="47"/>
      <c r="L180" s="47"/>
      <c r="M180" s="46"/>
      <c r="N180" s="45"/>
      <c r="P180" s="53"/>
      <c r="T180" s="160"/>
    </row>
    <row r="181" spans="3:20" x14ac:dyDescent="0.2">
      <c r="C181" s="10"/>
      <c r="D181" s="10"/>
      <c r="E181" s="9"/>
      <c r="F181" s="9"/>
      <c r="J181" s="160"/>
      <c r="K181" s="47"/>
      <c r="L181" s="47"/>
      <c r="M181" s="46"/>
      <c r="N181" s="45"/>
      <c r="P181" s="53"/>
      <c r="T181" s="160"/>
    </row>
    <row r="182" spans="3:20" x14ac:dyDescent="0.2">
      <c r="C182" s="10"/>
      <c r="D182" s="10"/>
      <c r="E182" s="9"/>
      <c r="F182" s="9"/>
      <c r="J182" s="160"/>
      <c r="K182" s="47"/>
      <c r="L182" s="47"/>
      <c r="M182" s="46"/>
      <c r="N182" s="45"/>
      <c r="P182" s="53"/>
      <c r="T182" s="160"/>
    </row>
    <row r="183" spans="3:20" x14ac:dyDescent="0.2">
      <c r="C183" s="10"/>
      <c r="D183" s="10"/>
      <c r="E183" s="9"/>
      <c r="F183" s="9"/>
      <c r="J183" s="160"/>
      <c r="K183" s="47"/>
      <c r="L183" s="47"/>
      <c r="M183" s="46"/>
      <c r="N183" s="45"/>
      <c r="P183" s="53"/>
      <c r="T183" s="160"/>
    </row>
    <row r="184" spans="3:20" x14ac:dyDescent="0.2">
      <c r="C184" s="10"/>
      <c r="D184" s="10"/>
      <c r="E184" s="9"/>
      <c r="F184" s="9"/>
      <c r="J184" s="160"/>
      <c r="K184" s="47"/>
      <c r="L184" s="47"/>
      <c r="M184" s="46"/>
      <c r="N184" s="45"/>
      <c r="P184" s="53"/>
      <c r="T184" s="160"/>
    </row>
    <row r="185" spans="3:20" x14ac:dyDescent="0.2">
      <c r="C185" s="10"/>
      <c r="D185" s="10"/>
      <c r="E185" s="9"/>
      <c r="F185" s="9"/>
      <c r="J185" s="160"/>
      <c r="K185" s="47"/>
      <c r="L185" s="47"/>
      <c r="M185" s="46"/>
      <c r="N185" s="45"/>
      <c r="P185" s="53"/>
      <c r="T185" s="160"/>
    </row>
    <row r="186" spans="3:20" x14ac:dyDescent="0.2">
      <c r="C186" s="10"/>
      <c r="D186" s="10"/>
      <c r="E186" s="9"/>
      <c r="F186" s="9"/>
      <c r="J186" s="160"/>
      <c r="K186" s="47"/>
      <c r="L186" s="47"/>
      <c r="M186" s="46"/>
      <c r="N186" s="45"/>
      <c r="P186" s="53"/>
      <c r="T186" s="160"/>
    </row>
    <row r="187" spans="3:20" x14ac:dyDescent="0.2">
      <c r="C187" s="10"/>
      <c r="D187" s="10"/>
      <c r="E187" s="9"/>
      <c r="F187" s="9"/>
      <c r="J187" s="160"/>
      <c r="K187" s="47"/>
      <c r="L187" s="47"/>
      <c r="M187" s="46"/>
      <c r="N187" s="45"/>
      <c r="P187" s="53"/>
      <c r="T187" s="160"/>
    </row>
    <row r="188" spans="3:20" x14ac:dyDescent="0.2">
      <c r="C188" s="10"/>
      <c r="D188" s="10"/>
      <c r="E188" s="9"/>
      <c r="F188" s="9"/>
      <c r="J188" s="160"/>
      <c r="K188" s="47"/>
      <c r="L188" s="47"/>
      <c r="M188" s="46"/>
      <c r="N188" s="45"/>
      <c r="P188" s="53"/>
      <c r="T188" s="160"/>
    </row>
    <row r="189" spans="3:20" x14ac:dyDescent="0.2">
      <c r="C189" s="10"/>
      <c r="D189" s="10"/>
      <c r="E189" s="9"/>
      <c r="F189" s="9"/>
      <c r="J189" s="160"/>
      <c r="K189" s="47"/>
      <c r="L189" s="47"/>
      <c r="M189" s="46"/>
      <c r="N189" s="45"/>
      <c r="P189" s="53"/>
      <c r="T189" s="160"/>
    </row>
    <row r="190" spans="3:20" x14ac:dyDescent="0.2">
      <c r="C190" s="10"/>
      <c r="D190" s="10"/>
      <c r="E190" s="9"/>
      <c r="F190" s="9"/>
      <c r="J190" s="160"/>
      <c r="K190" s="47"/>
      <c r="L190" s="47"/>
      <c r="M190" s="46"/>
      <c r="N190" s="45"/>
      <c r="P190" s="53"/>
      <c r="T190" s="160"/>
    </row>
    <row r="191" spans="3:20" x14ac:dyDescent="0.2">
      <c r="C191" s="10"/>
      <c r="D191" s="10"/>
      <c r="E191" s="9"/>
      <c r="F191" s="9"/>
      <c r="J191" s="160"/>
      <c r="K191" s="47"/>
      <c r="L191" s="47"/>
      <c r="M191" s="46"/>
      <c r="N191" s="45"/>
      <c r="P191" s="53"/>
      <c r="T191" s="160"/>
    </row>
    <row r="192" spans="3:20" x14ac:dyDescent="0.2">
      <c r="C192" s="10"/>
      <c r="D192" s="10"/>
      <c r="E192" s="9"/>
      <c r="F192" s="9"/>
      <c r="J192" s="160"/>
      <c r="K192" s="47"/>
      <c r="L192" s="47"/>
      <c r="M192" s="46"/>
      <c r="N192" s="45"/>
      <c r="P192" s="53"/>
      <c r="T192" s="160"/>
    </row>
    <row r="193" spans="3:20" x14ac:dyDescent="0.2">
      <c r="C193" s="10"/>
      <c r="D193" s="10"/>
      <c r="E193" s="9"/>
      <c r="F193" s="9"/>
      <c r="J193" s="160"/>
      <c r="K193" s="47"/>
      <c r="L193" s="47"/>
      <c r="M193" s="46"/>
      <c r="N193" s="45"/>
      <c r="P193" s="53"/>
      <c r="T193" s="160"/>
    </row>
    <row r="194" spans="3:20" x14ac:dyDescent="0.2">
      <c r="C194" s="10"/>
      <c r="D194" s="10"/>
      <c r="E194" s="9"/>
      <c r="F194" s="9"/>
      <c r="J194" s="160"/>
      <c r="K194" s="47"/>
      <c r="L194" s="47"/>
      <c r="M194" s="46"/>
      <c r="N194" s="45"/>
      <c r="P194" s="53"/>
      <c r="T194" s="160"/>
    </row>
    <row r="195" spans="3:20" x14ac:dyDescent="0.2">
      <c r="C195" s="10"/>
      <c r="D195" s="10"/>
      <c r="E195" s="9"/>
      <c r="F195" s="9"/>
      <c r="J195" s="160"/>
      <c r="K195" s="47"/>
      <c r="L195" s="47"/>
      <c r="M195" s="46"/>
      <c r="N195" s="45"/>
      <c r="P195" s="53"/>
      <c r="T195" s="160"/>
    </row>
    <row r="196" spans="3:20" x14ac:dyDescent="0.2">
      <c r="C196" s="10"/>
      <c r="D196" s="10"/>
      <c r="E196" s="9"/>
      <c r="F196" s="9"/>
      <c r="J196" s="160"/>
      <c r="K196" s="47"/>
      <c r="L196" s="47"/>
      <c r="M196" s="46"/>
      <c r="N196" s="45"/>
      <c r="P196" s="53"/>
      <c r="T196" s="160"/>
    </row>
    <row r="197" spans="3:20" x14ac:dyDescent="0.2">
      <c r="C197" s="10"/>
      <c r="D197" s="10"/>
      <c r="E197" s="9"/>
      <c r="F197" s="9"/>
      <c r="J197" s="160"/>
      <c r="K197" s="47"/>
      <c r="L197" s="47"/>
      <c r="M197" s="46"/>
      <c r="N197" s="45"/>
      <c r="P197" s="53"/>
      <c r="T197" s="160"/>
    </row>
    <row r="198" spans="3:20" x14ac:dyDescent="0.2">
      <c r="C198" s="10"/>
      <c r="D198" s="10"/>
      <c r="E198" s="9"/>
      <c r="F198" s="9"/>
      <c r="J198" s="160"/>
      <c r="K198" s="47"/>
      <c r="L198" s="47"/>
      <c r="M198" s="46"/>
      <c r="N198" s="45"/>
      <c r="P198" s="53"/>
      <c r="T198" s="160"/>
    </row>
    <row r="199" spans="3:20" x14ac:dyDescent="0.2">
      <c r="C199" s="10"/>
      <c r="D199" s="10"/>
      <c r="E199" s="9"/>
      <c r="F199" s="9"/>
      <c r="J199" s="160"/>
      <c r="K199" s="47"/>
      <c r="L199" s="47"/>
      <c r="M199" s="46"/>
      <c r="N199" s="45"/>
      <c r="P199" s="53"/>
      <c r="T199" s="160"/>
    </row>
    <row r="200" spans="3:20" x14ac:dyDescent="0.2">
      <c r="C200" s="10"/>
      <c r="D200" s="10"/>
      <c r="E200" s="9"/>
      <c r="F200" s="9"/>
      <c r="J200" s="160"/>
      <c r="K200" s="47"/>
      <c r="L200" s="47"/>
      <c r="M200" s="46"/>
      <c r="N200" s="45"/>
      <c r="P200" s="53"/>
      <c r="T200" s="160"/>
    </row>
    <row r="201" spans="3:20" x14ac:dyDescent="0.2">
      <c r="C201" s="10"/>
      <c r="D201" s="10"/>
      <c r="E201" s="9"/>
      <c r="F201" s="9"/>
      <c r="J201" s="160"/>
      <c r="K201" s="47"/>
      <c r="L201" s="47"/>
      <c r="M201" s="46"/>
      <c r="N201" s="45"/>
      <c r="P201" s="53"/>
      <c r="T201" s="160"/>
    </row>
    <row r="202" spans="3:20" x14ac:dyDescent="0.2">
      <c r="C202" s="10"/>
      <c r="D202" s="10"/>
      <c r="E202" s="9"/>
      <c r="F202" s="9"/>
      <c r="J202" s="160"/>
      <c r="K202" s="47"/>
      <c r="L202" s="47"/>
      <c r="M202" s="46"/>
      <c r="N202" s="45"/>
      <c r="P202" s="53"/>
      <c r="T202" s="160"/>
    </row>
    <row r="203" spans="3:20" x14ac:dyDescent="0.2">
      <c r="C203" s="10"/>
      <c r="D203" s="10"/>
      <c r="E203" s="9"/>
      <c r="F203" s="9"/>
      <c r="J203" s="160"/>
      <c r="K203" s="47"/>
      <c r="L203" s="47"/>
      <c r="M203" s="46"/>
      <c r="N203" s="45"/>
      <c r="P203" s="53"/>
      <c r="T203" s="160"/>
    </row>
    <row r="204" spans="3:20" x14ac:dyDescent="0.2">
      <c r="C204" s="10"/>
      <c r="D204" s="10"/>
      <c r="E204" s="9"/>
      <c r="F204" s="9"/>
      <c r="J204" s="160"/>
      <c r="K204" s="47"/>
      <c r="L204" s="47"/>
      <c r="M204" s="46"/>
      <c r="N204" s="45"/>
      <c r="P204" s="53"/>
      <c r="T204" s="160"/>
    </row>
    <row r="205" spans="3:20" x14ac:dyDescent="0.2">
      <c r="C205" s="10"/>
      <c r="D205" s="10"/>
      <c r="E205" s="9"/>
      <c r="F205" s="9"/>
      <c r="J205" s="160"/>
      <c r="K205" s="47"/>
      <c r="L205" s="47"/>
      <c r="M205" s="46"/>
      <c r="N205" s="45"/>
      <c r="P205" s="53"/>
      <c r="T205" s="160"/>
    </row>
    <row r="206" spans="3:20" x14ac:dyDescent="0.2">
      <c r="C206" s="10"/>
      <c r="D206" s="10"/>
      <c r="E206" s="9"/>
      <c r="F206" s="9"/>
      <c r="J206" s="160"/>
      <c r="K206" s="47"/>
      <c r="L206" s="47"/>
      <c r="M206" s="46"/>
      <c r="N206" s="45"/>
      <c r="P206" s="53"/>
      <c r="T206" s="160"/>
    </row>
    <row r="207" spans="3:20" x14ac:dyDescent="0.2">
      <c r="C207" s="10"/>
      <c r="D207" s="10"/>
      <c r="E207" s="9"/>
      <c r="F207" s="9"/>
      <c r="J207" s="160"/>
      <c r="K207" s="47"/>
      <c r="L207" s="47"/>
      <c r="M207" s="46"/>
      <c r="N207" s="45"/>
      <c r="P207" s="53"/>
      <c r="T207" s="160"/>
    </row>
    <row r="208" spans="3:20" x14ac:dyDescent="0.2">
      <c r="C208" s="10"/>
      <c r="D208" s="10"/>
      <c r="E208" s="9"/>
      <c r="F208" s="9"/>
      <c r="J208" s="160"/>
      <c r="K208" s="47"/>
      <c r="L208" s="47"/>
      <c r="M208" s="46"/>
      <c r="N208" s="45"/>
      <c r="P208" s="53"/>
      <c r="T208" s="160"/>
    </row>
    <row r="209" spans="3:20" x14ac:dyDescent="0.2">
      <c r="C209" s="10"/>
      <c r="D209" s="10"/>
      <c r="E209" s="9"/>
      <c r="F209" s="9"/>
      <c r="J209" s="160"/>
      <c r="K209" s="47"/>
      <c r="L209" s="47"/>
      <c r="M209" s="46"/>
      <c r="N209" s="45"/>
      <c r="P209" s="53"/>
      <c r="T209" s="160"/>
    </row>
    <row r="210" spans="3:20" x14ac:dyDescent="0.2">
      <c r="C210" s="10"/>
      <c r="D210" s="10"/>
      <c r="E210" s="9"/>
      <c r="F210" s="9"/>
      <c r="J210" s="160"/>
      <c r="K210" s="47"/>
      <c r="L210" s="47"/>
      <c r="M210" s="46"/>
      <c r="N210" s="45"/>
      <c r="P210" s="53"/>
      <c r="T210" s="160"/>
    </row>
    <row r="211" spans="3:20" x14ac:dyDescent="0.2">
      <c r="C211" s="10"/>
      <c r="D211" s="10"/>
      <c r="E211" s="9"/>
      <c r="F211" s="9"/>
      <c r="J211" s="160"/>
      <c r="K211" s="47"/>
      <c r="L211" s="47"/>
      <c r="M211" s="46"/>
      <c r="N211" s="45"/>
      <c r="P211" s="53"/>
      <c r="T211" s="160"/>
    </row>
    <row r="212" spans="3:20" x14ac:dyDescent="0.2">
      <c r="C212" s="10"/>
      <c r="D212" s="10"/>
      <c r="E212" s="9"/>
      <c r="F212" s="9"/>
      <c r="J212" s="160"/>
      <c r="K212" s="47"/>
      <c r="L212" s="47"/>
      <c r="M212" s="46"/>
      <c r="N212" s="45"/>
      <c r="P212" s="53"/>
      <c r="T212" s="160"/>
    </row>
    <row r="213" spans="3:20" x14ac:dyDescent="0.2">
      <c r="C213" s="10"/>
      <c r="D213" s="10"/>
      <c r="E213" s="9"/>
      <c r="F213" s="9"/>
      <c r="J213" s="160"/>
      <c r="K213" s="47"/>
      <c r="L213" s="47"/>
      <c r="M213" s="46"/>
      <c r="N213" s="45"/>
      <c r="P213" s="53"/>
      <c r="T213" s="160"/>
    </row>
    <row r="214" spans="3:20" x14ac:dyDescent="0.2">
      <c r="C214" s="10"/>
      <c r="D214" s="10"/>
      <c r="E214" s="9"/>
      <c r="F214" s="9"/>
      <c r="J214" s="160"/>
      <c r="K214" s="47"/>
      <c r="L214" s="47"/>
      <c r="M214" s="46"/>
      <c r="N214" s="45"/>
      <c r="P214" s="53"/>
      <c r="T214" s="160"/>
    </row>
    <row r="215" spans="3:20" x14ac:dyDescent="0.2">
      <c r="C215" s="10"/>
      <c r="D215" s="10"/>
      <c r="E215" s="9"/>
      <c r="F215" s="9"/>
      <c r="J215" s="160"/>
      <c r="K215" s="47"/>
      <c r="L215" s="47"/>
      <c r="M215" s="46"/>
      <c r="N215" s="45"/>
      <c r="P215" s="53"/>
      <c r="T215" s="160"/>
    </row>
    <row r="216" spans="3:20" x14ac:dyDescent="0.2">
      <c r="C216" s="10"/>
      <c r="D216" s="10"/>
      <c r="E216" s="9"/>
      <c r="F216" s="9"/>
      <c r="J216" s="160"/>
      <c r="K216" s="47"/>
      <c r="L216" s="47"/>
      <c r="M216" s="46"/>
      <c r="N216" s="45"/>
      <c r="P216" s="53"/>
      <c r="T216" s="160"/>
    </row>
    <row r="217" spans="3:20" x14ac:dyDescent="0.2">
      <c r="C217" s="10"/>
      <c r="D217" s="10"/>
      <c r="E217" s="9"/>
      <c r="F217" s="9"/>
      <c r="J217" s="160"/>
      <c r="K217" s="47"/>
      <c r="L217" s="47"/>
      <c r="M217" s="46"/>
      <c r="N217" s="45"/>
      <c r="P217" s="53"/>
      <c r="T217" s="160"/>
    </row>
    <row r="218" spans="3:20" x14ac:dyDescent="0.2">
      <c r="C218" s="10"/>
      <c r="D218" s="10"/>
      <c r="E218" s="9"/>
      <c r="F218" s="9"/>
      <c r="J218" s="160"/>
      <c r="K218" s="47"/>
      <c r="L218" s="47"/>
      <c r="M218" s="46"/>
      <c r="N218" s="45"/>
      <c r="P218" s="53"/>
      <c r="T218" s="160"/>
    </row>
    <row r="219" spans="3:20" x14ac:dyDescent="0.2">
      <c r="C219" s="10"/>
      <c r="D219" s="10"/>
      <c r="E219" s="9"/>
      <c r="F219" s="9"/>
      <c r="J219" s="160"/>
      <c r="K219" s="47"/>
      <c r="L219" s="47"/>
      <c r="M219" s="46"/>
      <c r="N219" s="45"/>
      <c r="P219" s="53"/>
      <c r="T219" s="160"/>
    </row>
    <row r="220" spans="3:20" x14ac:dyDescent="0.2">
      <c r="C220" s="10"/>
      <c r="D220" s="10"/>
      <c r="E220" s="9"/>
      <c r="F220" s="9"/>
      <c r="J220" s="160"/>
      <c r="K220" s="47"/>
      <c r="L220" s="47"/>
      <c r="M220" s="46"/>
      <c r="N220" s="45"/>
      <c r="P220" s="53"/>
      <c r="T220" s="160"/>
    </row>
    <row r="221" spans="3:20" x14ac:dyDescent="0.2">
      <c r="C221" s="10"/>
      <c r="D221" s="10"/>
      <c r="E221" s="9"/>
      <c r="F221" s="9"/>
      <c r="J221" s="160"/>
      <c r="K221" s="47"/>
      <c r="L221" s="47"/>
      <c r="M221" s="46"/>
      <c r="N221" s="45"/>
      <c r="P221" s="53"/>
      <c r="T221" s="160"/>
    </row>
    <row r="222" spans="3:20" x14ac:dyDescent="0.2">
      <c r="C222" s="10"/>
      <c r="D222" s="10"/>
      <c r="E222" s="9"/>
      <c r="F222" s="9"/>
      <c r="J222" s="160"/>
      <c r="K222" s="47"/>
      <c r="L222" s="47"/>
      <c r="M222" s="46"/>
      <c r="N222" s="45"/>
      <c r="P222" s="53"/>
      <c r="T222" s="160"/>
    </row>
    <row r="223" spans="3:20" x14ac:dyDescent="0.2">
      <c r="C223" s="10"/>
      <c r="D223" s="10"/>
      <c r="E223" s="9"/>
      <c r="F223" s="9"/>
      <c r="J223" s="160"/>
      <c r="K223" s="47"/>
      <c r="L223" s="47"/>
      <c r="M223" s="46"/>
      <c r="N223" s="45"/>
      <c r="P223" s="53"/>
      <c r="T223" s="160"/>
    </row>
    <row r="224" spans="3:20" x14ac:dyDescent="0.2">
      <c r="C224" s="10"/>
      <c r="D224" s="10"/>
      <c r="E224" s="9"/>
      <c r="F224" s="9"/>
      <c r="J224" s="160"/>
      <c r="K224" s="47"/>
      <c r="L224" s="47"/>
      <c r="M224" s="46"/>
      <c r="N224" s="45"/>
      <c r="P224" s="53"/>
      <c r="T224" s="160"/>
    </row>
    <row r="225" spans="3:20" x14ac:dyDescent="0.2">
      <c r="C225" s="10"/>
      <c r="D225" s="10"/>
      <c r="E225" s="9"/>
      <c r="F225" s="9"/>
      <c r="J225" s="160"/>
      <c r="K225" s="47"/>
      <c r="L225" s="47"/>
      <c r="M225" s="46"/>
      <c r="N225" s="45"/>
      <c r="P225" s="53"/>
      <c r="T225" s="160"/>
    </row>
    <row r="226" spans="3:20" x14ac:dyDescent="0.2">
      <c r="C226" s="10"/>
      <c r="D226" s="10"/>
      <c r="E226" s="9"/>
      <c r="F226" s="9"/>
      <c r="J226" s="160"/>
      <c r="K226" s="47"/>
      <c r="L226" s="47"/>
      <c r="M226" s="46"/>
      <c r="N226" s="45"/>
      <c r="P226" s="53"/>
      <c r="T226" s="160"/>
    </row>
    <row r="227" spans="3:20" x14ac:dyDescent="0.2">
      <c r="C227" s="10"/>
      <c r="D227" s="10"/>
      <c r="E227" s="9"/>
      <c r="F227" s="9"/>
      <c r="J227" s="160"/>
      <c r="K227" s="47"/>
      <c r="L227" s="47"/>
      <c r="M227" s="46"/>
      <c r="N227" s="45"/>
      <c r="P227" s="53"/>
      <c r="T227" s="160"/>
    </row>
    <row r="228" spans="3:20" x14ac:dyDescent="0.2">
      <c r="C228" s="10"/>
      <c r="D228" s="10"/>
      <c r="E228" s="9"/>
      <c r="F228" s="9"/>
      <c r="J228" s="160"/>
      <c r="K228" s="47"/>
      <c r="L228" s="47"/>
      <c r="M228" s="46"/>
      <c r="N228" s="45"/>
      <c r="P228" s="53"/>
      <c r="T228" s="160"/>
    </row>
    <row r="229" spans="3:20" x14ac:dyDescent="0.2">
      <c r="C229" s="10"/>
      <c r="D229" s="10"/>
      <c r="E229" s="9"/>
      <c r="F229" s="9"/>
      <c r="J229" s="160"/>
      <c r="K229" s="47"/>
      <c r="L229" s="47"/>
      <c r="M229" s="46"/>
      <c r="N229" s="45"/>
      <c r="P229" s="53"/>
      <c r="T229" s="160"/>
    </row>
    <row r="230" spans="3:20" x14ac:dyDescent="0.2">
      <c r="C230" s="10"/>
      <c r="D230" s="10"/>
      <c r="E230" s="9"/>
      <c r="F230" s="9"/>
      <c r="J230" s="160"/>
      <c r="K230" s="47"/>
      <c r="L230" s="47"/>
      <c r="M230" s="46"/>
      <c r="N230" s="45"/>
      <c r="P230" s="53"/>
      <c r="T230" s="160"/>
    </row>
    <row r="231" spans="3:20" x14ac:dyDescent="0.2">
      <c r="C231" s="10"/>
      <c r="D231" s="10"/>
      <c r="E231" s="9"/>
      <c r="F231" s="9"/>
      <c r="J231" s="160"/>
      <c r="K231" s="47"/>
      <c r="L231" s="47"/>
      <c r="M231" s="46"/>
      <c r="N231" s="45"/>
      <c r="P231" s="53"/>
      <c r="T231" s="160"/>
    </row>
    <row r="232" spans="3:20" x14ac:dyDescent="0.2">
      <c r="C232" s="10"/>
      <c r="D232" s="10"/>
      <c r="E232" s="9"/>
      <c r="F232" s="9"/>
      <c r="J232" s="160"/>
      <c r="K232" s="47"/>
      <c r="L232" s="47"/>
      <c r="M232" s="46"/>
      <c r="N232" s="45"/>
      <c r="P232" s="53"/>
      <c r="T232" s="160"/>
    </row>
    <row r="233" spans="3:20" x14ac:dyDescent="0.2">
      <c r="C233" s="10"/>
      <c r="D233" s="10"/>
      <c r="E233" s="9"/>
      <c r="F233" s="9"/>
      <c r="J233" s="160"/>
      <c r="K233" s="47"/>
      <c r="L233" s="47"/>
      <c r="M233" s="46"/>
      <c r="N233" s="45"/>
      <c r="P233" s="53"/>
      <c r="T233" s="160"/>
    </row>
    <row r="234" spans="3:20" x14ac:dyDescent="0.2">
      <c r="C234" s="10"/>
      <c r="D234" s="10"/>
      <c r="E234" s="9"/>
      <c r="F234" s="9"/>
      <c r="J234" s="160"/>
      <c r="K234" s="47"/>
      <c r="L234" s="47"/>
      <c r="M234" s="46"/>
      <c r="N234" s="45"/>
      <c r="P234" s="53"/>
      <c r="T234" s="160"/>
    </row>
    <row r="235" spans="3:20" x14ac:dyDescent="0.2">
      <c r="C235" s="10"/>
      <c r="D235" s="10"/>
      <c r="E235" s="9"/>
      <c r="F235" s="9"/>
      <c r="J235" s="160"/>
      <c r="K235" s="47"/>
      <c r="L235" s="47"/>
      <c r="M235" s="46"/>
      <c r="N235" s="45"/>
      <c r="P235" s="53"/>
      <c r="T235" s="160"/>
    </row>
    <row r="236" spans="3:20" x14ac:dyDescent="0.2">
      <c r="C236" s="10"/>
      <c r="D236" s="10"/>
      <c r="E236" s="9"/>
      <c r="F236" s="9"/>
      <c r="J236" s="160"/>
      <c r="K236" s="47"/>
      <c r="L236" s="47"/>
      <c r="M236" s="46"/>
      <c r="N236" s="45"/>
      <c r="P236" s="53"/>
      <c r="T236" s="160"/>
    </row>
    <row r="237" spans="3:20" x14ac:dyDescent="0.2">
      <c r="C237" s="10"/>
      <c r="D237" s="10"/>
      <c r="E237" s="9"/>
      <c r="F237" s="9"/>
      <c r="J237" s="160"/>
      <c r="K237" s="47"/>
      <c r="L237" s="47"/>
      <c r="M237" s="46"/>
      <c r="N237" s="45"/>
      <c r="P237" s="53"/>
      <c r="T237" s="160"/>
    </row>
    <row r="238" spans="3:20" x14ac:dyDescent="0.2">
      <c r="C238" s="10"/>
      <c r="D238" s="10"/>
      <c r="E238" s="9"/>
      <c r="F238" s="9"/>
      <c r="J238" s="160"/>
      <c r="K238" s="47"/>
      <c r="L238" s="47"/>
      <c r="M238" s="46"/>
      <c r="N238" s="45"/>
      <c r="P238" s="53"/>
      <c r="T238" s="160"/>
    </row>
    <row r="239" spans="3:20" x14ac:dyDescent="0.2">
      <c r="C239" s="10"/>
      <c r="D239" s="10"/>
      <c r="E239" s="9"/>
      <c r="F239" s="9"/>
      <c r="J239" s="160"/>
      <c r="K239" s="47"/>
      <c r="L239" s="47"/>
      <c r="M239" s="46"/>
      <c r="N239" s="45"/>
      <c r="P239" s="53"/>
      <c r="T239" s="160"/>
    </row>
    <row r="240" spans="3:20" x14ac:dyDescent="0.2">
      <c r="C240" s="10"/>
      <c r="D240" s="10"/>
      <c r="E240" s="9"/>
      <c r="F240" s="9"/>
      <c r="J240" s="160"/>
      <c r="K240" s="47"/>
      <c r="L240" s="47"/>
      <c r="M240" s="46"/>
      <c r="N240" s="45"/>
      <c r="P240" s="53"/>
      <c r="T240" s="160"/>
    </row>
    <row r="241" spans="3:20" x14ac:dyDescent="0.2">
      <c r="C241" s="10"/>
      <c r="D241" s="10"/>
      <c r="E241" s="9"/>
      <c r="F241" s="9"/>
      <c r="J241" s="160"/>
      <c r="K241" s="47"/>
      <c r="L241" s="47"/>
      <c r="M241" s="46"/>
      <c r="N241" s="45"/>
      <c r="P241" s="53"/>
      <c r="T241" s="160"/>
    </row>
    <row r="242" spans="3:20" x14ac:dyDescent="0.2">
      <c r="C242" s="10"/>
      <c r="D242" s="10"/>
      <c r="E242" s="9"/>
      <c r="F242" s="9"/>
      <c r="J242" s="160"/>
      <c r="K242" s="47"/>
      <c r="L242" s="47"/>
      <c r="M242" s="46"/>
      <c r="N242" s="45"/>
      <c r="P242" s="53"/>
      <c r="T242" s="160"/>
    </row>
    <row r="243" spans="3:20" x14ac:dyDescent="0.2">
      <c r="C243" s="10"/>
      <c r="D243" s="10"/>
      <c r="E243" s="9"/>
      <c r="F243" s="9"/>
      <c r="J243" s="160"/>
      <c r="K243" s="47"/>
      <c r="L243" s="47"/>
      <c r="M243" s="46"/>
      <c r="N243" s="45"/>
      <c r="P243" s="53"/>
      <c r="T243" s="160"/>
    </row>
    <row r="244" spans="3:20" x14ac:dyDescent="0.2">
      <c r="C244" s="10"/>
      <c r="D244" s="10"/>
      <c r="E244" s="9"/>
      <c r="F244" s="9"/>
      <c r="J244" s="160"/>
      <c r="K244" s="47"/>
      <c r="L244" s="47"/>
      <c r="M244" s="46"/>
      <c r="N244" s="45"/>
      <c r="P244" s="53"/>
      <c r="T244" s="160"/>
    </row>
    <row r="245" spans="3:20" x14ac:dyDescent="0.2">
      <c r="C245" s="10"/>
      <c r="D245" s="10"/>
      <c r="E245" s="9"/>
      <c r="F245" s="9"/>
      <c r="J245" s="160"/>
      <c r="K245" s="47"/>
      <c r="L245" s="47"/>
      <c r="M245" s="46"/>
      <c r="N245" s="45"/>
      <c r="P245" s="53"/>
      <c r="T245" s="160"/>
    </row>
    <row r="246" spans="3:20" x14ac:dyDescent="0.2">
      <c r="C246" s="10"/>
      <c r="D246" s="10"/>
      <c r="E246" s="9"/>
      <c r="F246" s="9"/>
      <c r="J246" s="160"/>
      <c r="K246" s="47"/>
      <c r="L246" s="47"/>
      <c r="M246" s="46"/>
      <c r="N246" s="45"/>
      <c r="P246" s="53"/>
      <c r="T246" s="160"/>
    </row>
    <row r="247" spans="3:20" x14ac:dyDescent="0.2">
      <c r="C247" s="10"/>
      <c r="D247" s="10"/>
      <c r="E247" s="9"/>
      <c r="F247" s="9"/>
      <c r="J247" s="160"/>
      <c r="K247" s="47"/>
      <c r="L247" s="47"/>
      <c r="M247" s="46"/>
      <c r="N247" s="45"/>
      <c r="P247" s="53"/>
      <c r="T247" s="160"/>
    </row>
    <row r="248" spans="3:20" x14ac:dyDescent="0.2">
      <c r="C248" s="10"/>
      <c r="D248" s="10"/>
      <c r="E248" s="9"/>
      <c r="F248" s="9"/>
      <c r="J248" s="160"/>
      <c r="K248" s="47"/>
      <c r="L248" s="47"/>
      <c r="M248" s="46"/>
      <c r="N248" s="45"/>
      <c r="P248" s="53"/>
      <c r="T248" s="160"/>
    </row>
    <row r="249" spans="3:20" x14ac:dyDescent="0.2">
      <c r="C249" s="10"/>
      <c r="D249" s="10"/>
      <c r="E249" s="9"/>
      <c r="F249" s="9"/>
      <c r="J249" s="160"/>
      <c r="K249" s="47"/>
      <c r="L249" s="47"/>
      <c r="M249" s="46"/>
      <c r="N249" s="45"/>
      <c r="P249" s="53"/>
      <c r="T249" s="160"/>
    </row>
    <row r="250" spans="3:20" x14ac:dyDescent="0.2">
      <c r="C250" s="10"/>
      <c r="D250" s="10"/>
      <c r="E250" s="9"/>
      <c r="F250" s="9"/>
      <c r="J250" s="160"/>
      <c r="K250" s="47"/>
      <c r="L250" s="47"/>
      <c r="M250" s="46"/>
      <c r="N250" s="45"/>
      <c r="P250" s="53"/>
      <c r="T250" s="160"/>
    </row>
    <row r="251" spans="3:20" x14ac:dyDescent="0.2">
      <c r="C251" s="10"/>
      <c r="D251" s="10"/>
      <c r="E251" s="9"/>
      <c r="F251" s="9"/>
      <c r="J251" s="160"/>
      <c r="K251" s="47"/>
      <c r="L251" s="47"/>
      <c r="M251" s="46"/>
      <c r="N251" s="45"/>
      <c r="P251" s="53"/>
      <c r="T251" s="160"/>
    </row>
    <row r="252" spans="3:20" x14ac:dyDescent="0.2">
      <c r="C252" s="10"/>
      <c r="D252" s="10"/>
      <c r="E252" s="9"/>
      <c r="F252" s="9"/>
      <c r="J252" s="160"/>
      <c r="K252" s="47"/>
      <c r="L252" s="47"/>
      <c r="M252" s="46"/>
      <c r="N252" s="45"/>
      <c r="P252" s="53"/>
      <c r="T252" s="160"/>
    </row>
    <row r="253" spans="3:20" x14ac:dyDescent="0.2">
      <c r="C253" s="10"/>
      <c r="D253" s="10"/>
      <c r="E253" s="9"/>
      <c r="F253" s="9"/>
      <c r="J253" s="160"/>
      <c r="K253" s="47"/>
      <c r="L253" s="47"/>
      <c r="M253" s="46"/>
      <c r="N253" s="45"/>
      <c r="P253" s="53"/>
      <c r="T253" s="160"/>
    </row>
    <row r="254" spans="3:20" x14ac:dyDescent="0.2">
      <c r="C254" s="10"/>
      <c r="D254" s="10"/>
      <c r="E254" s="9"/>
      <c r="F254" s="9"/>
      <c r="J254" s="160"/>
      <c r="K254" s="47"/>
      <c r="L254" s="47"/>
      <c r="M254" s="46"/>
      <c r="N254" s="45"/>
      <c r="P254" s="53"/>
      <c r="T254" s="160"/>
    </row>
    <row r="255" spans="3:20" x14ac:dyDescent="0.2">
      <c r="C255" s="10"/>
      <c r="D255" s="10"/>
      <c r="E255" s="9"/>
      <c r="F255" s="9"/>
      <c r="J255" s="160"/>
      <c r="K255" s="47"/>
      <c r="L255" s="47"/>
      <c r="M255" s="46"/>
      <c r="N255" s="45"/>
      <c r="P255" s="53"/>
      <c r="T255" s="160"/>
    </row>
    <row r="256" spans="3:20" x14ac:dyDescent="0.2">
      <c r="C256" s="10"/>
      <c r="D256" s="10"/>
      <c r="E256" s="9"/>
      <c r="F256" s="9"/>
      <c r="J256" s="160"/>
      <c r="K256" s="47"/>
      <c r="L256" s="47"/>
      <c r="M256" s="46"/>
      <c r="N256" s="45"/>
      <c r="P256" s="53"/>
      <c r="T256" s="160"/>
    </row>
    <row r="257" spans="3:20" x14ac:dyDescent="0.2">
      <c r="C257" s="10"/>
      <c r="D257" s="10"/>
      <c r="E257" s="9"/>
      <c r="F257" s="9"/>
      <c r="J257" s="160"/>
      <c r="K257" s="47"/>
      <c r="L257" s="47"/>
      <c r="M257" s="46"/>
      <c r="N257" s="45"/>
      <c r="P257" s="53"/>
      <c r="T257" s="160"/>
    </row>
    <row r="258" spans="3:20" x14ac:dyDescent="0.2">
      <c r="C258" s="10"/>
      <c r="D258" s="10"/>
      <c r="E258" s="9"/>
      <c r="F258" s="9"/>
      <c r="J258" s="160"/>
      <c r="K258" s="47"/>
      <c r="L258" s="47"/>
      <c r="M258" s="46"/>
      <c r="N258" s="45"/>
      <c r="P258" s="53"/>
      <c r="T258" s="160"/>
    </row>
    <row r="259" spans="3:20" x14ac:dyDescent="0.2">
      <c r="C259" s="10"/>
      <c r="D259" s="10"/>
      <c r="E259" s="9"/>
      <c r="F259" s="9"/>
      <c r="J259" s="160"/>
      <c r="K259" s="47"/>
      <c r="L259" s="47"/>
      <c r="M259" s="46"/>
      <c r="N259" s="45"/>
      <c r="P259" s="53"/>
      <c r="T259" s="160"/>
    </row>
    <row r="260" spans="3:20" x14ac:dyDescent="0.2">
      <c r="C260" s="10"/>
      <c r="D260" s="10"/>
      <c r="E260" s="9"/>
      <c r="F260" s="9"/>
      <c r="J260" s="160"/>
      <c r="K260" s="47"/>
      <c r="L260" s="47"/>
      <c r="M260" s="46"/>
      <c r="N260" s="45"/>
      <c r="P260" s="53"/>
      <c r="T260" s="160"/>
    </row>
    <row r="261" spans="3:20" x14ac:dyDescent="0.2">
      <c r="C261" s="10"/>
      <c r="D261" s="10"/>
      <c r="E261" s="9"/>
      <c r="F261" s="9"/>
      <c r="J261" s="160"/>
      <c r="K261" s="47"/>
      <c r="L261" s="47"/>
      <c r="M261" s="46"/>
      <c r="N261" s="45"/>
      <c r="P261" s="53"/>
      <c r="T261" s="160"/>
    </row>
    <row r="262" spans="3:20" x14ac:dyDescent="0.2">
      <c r="C262" s="10"/>
      <c r="D262" s="10"/>
      <c r="E262" s="9"/>
      <c r="F262" s="9"/>
      <c r="J262" s="160"/>
      <c r="K262" s="47"/>
      <c r="L262" s="47"/>
      <c r="M262" s="46"/>
      <c r="N262" s="45"/>
      <c r="P262" s="53"/>
      <c r="T262" s="160"/>
    </row>
    <row r="263" spans="3:20" x14ac:dyDescent="0.2">
      <c r="C263" s="10"/>
      <c r="D263" s="10"/>
      <c r="E263" s="9"/>
      <c r="F263" s="9"/>
      <c r="J263" s="160"/>
      <c r="K263" s="47"/>
      <c r="L263" s="47"/>
      <c r="M263" s="46"/>
      <c r="N263" s="45"/>
      <c r="P263" s="53"/>
      <c r="T263" s="160"/>
    </row>
    <row r="264" spans="3:20" x14ac:dyDescent="0.2">
      <c r="C264" s="10"/>
      <c r="D264" s="10"/>
      <c r="E264" s="9"/>
      <c r="F264" s="9"/>
      <c r="J264" s="160"/>
      <c r="K264" s="47"/>
      <c r="L264" s="47"/>
      <c r="M264" s="46"/>
      <c r="N264" s="45"/>
      <c r="P264" s="53"/>
      <c r="T264" s="160"/>
    </row>
    <row r="265" spans="3:20" x14ac:dyDescent="0.2">
      <c r="C265" s="10"/>
      <c r="D265" s="10"/>
      <c r="E265" s="9"/>
      <c r="F265" s="9"/>
      <c r="J265" s="160"/>
      <c r="K265" s="47"/>
      <c r="L265" s="47"/>
      <c r="M265" s="46"/>
      <c r="N265" s="45"/>
      <c r="P265" s="53"/>
      <c r="T265" s="160"/>
    </row>
    <row r="266" spans="3:20" x14ac:dyDescent="0.2">
      <c r="C266" s="10"/>
      <c r="D266" s="10"/>
      <c r="E266" s="9"/>
      <c r="F266" s="9"/>
      <c r="J266" s="160"/>
      <c r="K266" s="47"/>
      <c r="L266" s="47"/>
      <c r="M266" s="46"/>
      <c r="N266" s="45"/>
      <c r="P266" s="53"/>
      <c r="T266" s="160"/>
    </row>
    <row r="267" spans="3:20" x14ac:dyDescent="0.2">
      <c r="C267" s="10"/>
      <c r="D267" s="10"/>
      <c r="E267" s="9"/>
      <c r="F267" s="9"/>
      <c r="J267" s="160"/>
      <c r="K267" s="47"/>
      <c r="L267" s="47"/>
      <c r="M267" s="46"/>
      <c r="N267" s="45"/>
      <c r="P267" s="53"/>
      <c r="T267" s="160"/>
    </row>
    <row r="268" spans="3:20" x14ac:dyDescent="0.2">
      <c r="C268" s="10"/>
      <c r="D268" s="10"/>
      <c r="E268" s="9"/>
      <c r="F268" s="9"/>
      <c r="J268" s="160"/>
      <c r="K268" s="47"/>
      <c r="L268" s="47"/>
      <c r="M268" s="46"/>
      <c r="N268" s="45"/>
      <c r="P268" s="53"/>
      <c r="T268" s="160"/>
    </row>
    <row r="269" spans="3:20" x14ac:dyDescent="0.2">
      <c r="C269" s="10"/>
      <c r="D269" s="10"/>
      <c r="E269" s="9"/>
      <c r="F269" s="9"/>
      <c r="J269" s="160"/>
      <c r="K269" s="47"/>
      <c r="L269" s="47"/>
      <c r="M269" s="46"/>
      <c r="N269" s="45"/>
      <c r="P269" s="53"/>
      <c r="T269" s="160"/>
    </row>
    <row r="270" spans="3:20" x14ac:dyDescent="0.2">
      <c r="C270" s="10"/>
      <c r="D270" s="10"/>
      <c r="E270" s="9"/>
      <c r="F270" s="9"/>
      <c r="J270" s="160"/>
      <c r="K270" s="47"/>
      <c r="L270" s="47"/>
      <c r="M270" s="46"/>
      <c r="N270" s="45"/>
      <c r="P270" s="53"/>
      <c r="T270" s="160"/>
    </row>
    <row r="271" spans="3:20" x14ac:dyDescent="0.2">
      <c r="C271" s="10"/>
      <c r="D271" s="10"/>
      <c r="E271" s="9"/>
      <c r="F271" s="9"/>
      <c r="J271" s="160"/>
      <c r="K271" s="47"/>
      <c r="L271" s="47"/>
      <c r="M271" s="46"/>
      <c r="N271" s="45"/>
      <c r="P271" s="53"/>
      <c r="T271" s="160"/>
    </row>
    <row r="272" spans="3:20" x14ac:dyDescent="0.2">
      <c r="C272" s="10"/>
      <c r="D272" s="10"/>
      <c r="E272" s="9"/>
      <c r="F272" s="9"/>
      <c r="J272" s="160"/>
      <c r="K272" s="47"/>
      <c r="L272" s="47"/>
      <c r="M272" s="46"/>
      <c r="N272" s="45"/>
      <c r="P272" s="53"/>
      <c r="T272" s="160"/>
    </row>
    <row r="273" spans="3:20" x14ac:dyDescent="0.2">
      <c r="C273" s="10"/>
      <c r="D273" s="10"/>
      <c r="E273" s="9"/>
      <c r="F273" s="9"/>
      <c r="J273" s="160"/>
      <c r="K273" s="47"/>
      <c r="L273" s="47"/>
      <c r="M273" s="46"/>
      <c r="N273" s="45"/>
      <c r="P273" s="53"/>
      <c r="T273" s="160"/>
    </row>
    <row r="274" spans="3:20" x14ac:dyDescent="0.2">
      <c r="C274" s="10"/>
      <c r="D274" s="10"/>
      <c r="E274" s="9"/>
      <c r="F274" s="9"/>
      <c r="J274" s="160"/>
      <c r="K274" s="47"/>
      <c r="L274" s="47"/>
      <c r="M274" s="46"/>
      <c r="N274" s="45"/>
      <c r="P274" s="53"/>
      <c r="T274" s="160"/>
    </row>
    <row r="275" spans="3:20" x14ac:dyDescent="0.2">
      <c r="C275" s="10"/>
      <c r="D275" s="10"/>
      <c r="E275" s="9"/>
      <c r="F275" s="9"/>
      <c r="J275" s="160"/>
      <c r="K275" s="47"/>
      <c r="L275" s="47"/>
      <c r="M275" s="46"/>
      <c r="N275" s="45"/>
      <c r="P275" s="53"/>
      <c r="T275" s="160"/>
    </row>
    <row r="276" spans="3:20" x14ac:dyDescent="0.2">
      <c r="C276" s="10"/>
      <c r="D276" s="10"/>
      <c r="E276" s="9"/>
      <c r="F276" s="9"/>
      <c r="J276" s="160"/>
      <c r="K276" s="47"/>
      <c r="L276" s="47"/>
      <c r="M276" s="46"/>
      <c r="N276" s="45"/>
      <c r="P276" s="53"/>
      <c r="T276" s="160"/>
    </row>
    <row r="277" spans="3:20" x14ac:dyDescent="0.2">
      <c r="C277" s="10"/>
      <c r="D277" s="10"/>
      <c r="E277" s="9"/>
      <c r="F277" s="9"/>
      <c r="J277" s="160"/>
      <c r="K277" s="47"/>
      <c r="L277" s="47"/>
      <c r="M277" s="46"/>
      <c r="N277" s="45"/>
      <c r="P277" s="53"/>
      <c r="T277" s="160"/>
    </row>
    <row r="278" spans="3:20" x14ac:dyDescent="0.2">
      <c r="C278" s="10"/>
      <c r="D278" s="10"/>
      <c r="E278" s="9"/>
      <c r="F278" s="9"/>
      <c r="J278" s="160"/>
      <c r="K278" s="47"/>
      <c r="L278" s="47"/>
      <c r="M278" s="46"/>
      <c r="N278" s="45"/>
      <c r="P278" s="53"/>
      <c r="T278" s="160"/>
    </row>
    <row r="279" spans="3:20" x14ac:dyDescent="0.2">
      <c r="C279" s="10"/>
      <c r="D279" s="10"/>
      <c r="E279" s="9"/>
      <c r="F279" s="9"/>
      <c r="J279" s="160"/>
      <c r="K279" s="47"/>
      <c r="L279" s="47"/>
      <c r="M279" s="46"/>
      <c r="N279" s="45"/>
      <c r="P279" s="53"/>
      <c r="T279" s="160"/>
    </row>
    <row r="280" spans="3:20" x14ac:dyDescent="0.2">
      <c r="C280" s="10"/>
      <c r="D280" s="10"/>
      <c r="E280" s="9"/>
      <c r="F280" s="9"/>
      <c r="J280" s="160"/>
      <c r="K280" s="47"/>
      <c r="L280" s="47"/>
      <c r="M280" s="46"/>
      <c r="N280" s="45"/>
      <c r="P280" s="53"/>
      <c r="T280" s="160"/>
    </row>
    <row r="281" spans="3:20" x14ac:dyDescent="0.2">
      <c r="C281" s="10"/>
      <c r="D281" s="10"/>
      <c r="E281" s="9"/>
      <c r="F281" s="9"/>
      <c r="J281" s="160"/>
      <c r="K281" s="47"/>
      <c r="L281" s="47"/>
      <c r="M281" s="46"/>
      <c r="N281" s="45"/>
      <c r="P281" s="53"/>
      <c r="T281" s="160"/>
    </row>
    <row r="282" spans="3:20" x14ac:dyDescent="0.2">
      <c r="C282" s="10"/>
      <c r="D282" s="10"/>
      <c r="E282" s="9"/>
      <c r="F282" s="9"/>
      <c r="J282" s="160"/>
      <c r="K282" s="47"/>
      <c r="L282" s="47"/>
      <c r="M282" s="46"/>
      <c r="N282" s="45"/>
      <c r="P282" s="53"/>
      <c r="T282" s="160"/>
    </row>
    <row r="283" spans="3:20" x14ac:dyDescent="0.2">
      <c r="C283" s="10"/>
      <c r="D283" s="10"/>
      <c r="E283" s="9"/>
      <c r="F283" s="9"/>
      <c r="J283" s="160"/>
      <c r="K283" s="47"/>
      <c r="L283" s="47"/>
      <c r="M283" s="46"/>
      <c r="N283" s="45"/>
      <c r="P283" s="53"/>
      <c r="T283" s="160"/>
    </row>
    <row r="284" spans="3:20" x14ac:dyDescent="0.2">
      <c r="C284" s="10"/>
      <c r="D284" s="10"/>
      <c r="E284" s="9"/>
      <c r="F284" s="9"/>
      <c r="J284" s="160"/>
      <c r="K284" s="47"/>
      <c r="L284" s="47"/>
      <c r="M284" s="46"/>
      <c r="N284" s="45"/>
      <c r="P284" s="53"/>
      <c r="T284" s="160"/>
    </row>
    <row r="285" spans="3:20" x14ac:dyDescent="0.2">
      <c r="C285" s="10"/>
      <c r="D285" s="10"/>
      <c r="E285" s="9"/>
      <c r="F285" s="9"/>
      <c r="J285" s="160"/>
      <c r="K285" s="47"/>
      <c r="L285" s="47"/>
      <c r="M285" s="46"/>
      <c r="N285" s="45"/>
      <c r="P285" s="53"/>
      <c r="T285" s="160"/>
    </row>
    <row r="286" spans="3:20" x14ac:dyDescent="0.2">
      <c r="C286" s="10"/>
      <c r="D286" s="10"/>
      <c r="E286" s="9"/>
      <c r="F286" s="9"/>
      <c r="J286" s="160"/>
      <c r="K286" s="47"/>
      <c r="L286" s="47"/>
      <c r="M286" s="46"/>
      <c r="N286" s="45"/>
      <c r="P286" s="53"/>
      <c r="T286" s="160"/>
    </row>
    <row r="287" spans="3:20" x14ac:dyDescent="0.2">
      <c r="C287" s="10"/>
      <c r="D287" s="10"/>
      <c r="E287" s="9"/>
      <c r="F287" s="9"/>
      <c r="J287" s="160"/>
      <c r="K287" s="47"/>
      <c r="L287" s="47"/>
      <c r="M287" s="46"/>
      <c r="N287" s="45"/>
      <c r="P287" s="53"/>
      <c r="T287" s="160"/>
    </row>
    <row r="288" spans="3:20" x14ac:dyDescent="0.2">
      <c r="C288" s="10"/>
      <c r="D288" s="10"/>
      <c r="E288" s="9"/>
      <c r="F288" s="9"/>
      <c r="J288" s="160"/>
      <c r="K288" s="47"/>
      <c r="L288" s="47"/>
      <c r="M288" s="46"/>
      <c r="N288" s="45"/>
      <c r="P288" s="53"/>
      <c r="T288" s="160"/>
    </row>
    <row r="289" spans="3:20" x14ac:dyDescent="0.2">
      <c r="C289" s="10"/>
      <c r="D289" s="10"/>
      <c r="E289" s="9"/>
      <c r="F289" s="9"/>
      <c r="J289" s="160"/>
      <c r="K289" s="47"/>
      <c r="L289" s="47"/>
      <c r="M289" s="46"/>
      <c r="N289" s="45"/>
      <c r="P289" s="53"/>
      <c r="T289" s="160"/>
    </row>
    <row r="290" spans="3:20" x14ac:dyDescent="0.2">
      <c r="C290" s="10"/>
      <c r="D290" s="10"/>
      <c r="E290" s="9"/>
      <c r="F290" s="9"/>
      <c r="J290" s="160"/>
      <c r="K290" s="47"/>
      <c r="L290" s="47"/>
      <c r="M290" s="46"/>
      <c r="N290" s="45"/>
      <c r="P290" s="53"/>
      <c r="T290" s="160"/>
    </row>
    <row r="291" spans="3:20" x14ac:dyDescent="0.2">
      <c r="C291" s="10"/>
      <c r="D291" s="10"/>
      <c r="E291" s="9"/>
      <c r="F291" s="9"/>
      <c r="J291" s="160"/>
      <c r="K291" s="47"/>
      <c r="L291" s="47"/>
      <c r="M291" s="46"/>
      <c r="N291" s="45"/>
      <c r="P291" s="53"/>
      <c r="T291" s="160"/>
    </row>
    <row r="292" spans="3:20" x14ac:dyDescent="0.2">
      <c r="C292" s="10"/>
      <c r="D292" s="10"/>
      <c r="E292" s="9"/>
      <c r="F292" s="9"/>
      <c r="J292" s="160"/>
      <c r="K292" s="47"/>
      <c r="L292" s="47"/>
      <c r="M292" s="46"/>
      <c r="N292" s="45"/>
      <c r="P292" s="53"/>
      <c r="T292" s="160"/>
    </row>
    <row r="293" spans="3:20" x14ac:dyDescent="0.2">
      <c r="C293" s="10"/>
      <c r="D293" s="10"/>
      <c r="E293" s="9"/>
      <c r="F293" s="9"/>
      <c r="J293" s="160"/>
      <c r="K293" s="47"/>
      <c r="L293" s="47"/>
      <c r="M293" s="46"/>
      <c r="N293" s="45"/>
      <c r="P293" s="53"/>
      <c r="T293" s="160"/>
    </row>
    <row r="294" spans="3:20" x14ac:dyDescent="0.2">
      <c r="C294" s="10"/>
      <c r="D294" s="10"/>
      <c r="E294" s="9"/>
      <c r="F294" s="9"/>
      <c r="J294" s="160"/>
      <c r="K294" s="47"/>
      <c r="L294" s="47"/>
      <c r="M294" s="46"/>
      <c r="N294" s="45"/>
      <c r="P294" s="53"/>
      <c r="T294" s="160"/>
    </row>
    <row r="295" spans="3:20" x14ac:dyDescent="0.2">
      <c r="C295" s="10"/>
      <c r="D295" s="10"/>
      <c r="E295" s="9"/>
      <c r="F295" s="9"/>
      <c r="J295" s="160"/>
      <c r="K295" s="47"/>
      <c r="L295" s="47"/>
      <c r="M295" s="46"/>
      <c r="N295" s="45"/>
      <c r="P295" s="53"/>
      <c r="T295" s="160"/>
    </row>
    <row r="296" spans="3:20" x14ac:dyDescent="0.2">
      <c r="C296" s="10"/>
      <c r="D296" s="10"/>
      <c r="E296" s="9"/>
      <c r="F296" s="9"/>
      <c r="J296" s="160"/>
      <c r="K296" s="47"/>
      <c r="L296" s="47"/>
      <c r="M296" s="46"/>
      <c r="N296" s="45"/>
      <c r="P296" s="53"/>
      <c r="T296" s="160"/>
    </row>
    <row r="297" spans="3:20" x14ac:dyDescent="0.2">
      <c r="C297" s="10"/>
      <c r="D297" s="10"/>
      <c r="E297" s="9"/>
      <c r="F297" s="9"/>
      <c r="J297" s="160"/>
      <c r="K297" s="47"/>
      <c r="L297" s="47"/>
      <c r="M297" s="46"/>
      <c r="N297" s="45"/>
      <c r="P297" s="53"/>
      <c r="T297" s="160"/>
    </row>
    <row r="298" spans="3:20" x14ac:dyDescent="0.2">
      <c r="C298" s="10"/>
      <c r="D298" s="10"/>
      <c r="E298" s="9"/>
      <c r="F298" s="9"/>
      <c r="J298" s="160"/>
      <c r="K298" s="47"/>
      <c r="L298" s="47"/>
      <c r="M298" s="46"/>
      <c r="N298" s="45"/>
      <c r="P298" s="53"/>
      <c r="T298" s="160"/>
    </row>
    <row r="299" spans="3:20" x14ac:dyDescent="0.2">
      <c r="C299" s="10"/>
      <c r="D299" s="10"/>
      <c r="E299" s="9"/>
      <c r="F299" s="9"/>
      <c r="J299" s="160"/>
      <c r="K299" s="47"/>
      <c r="L299" s="47"/>
      <c r="M299" s="46"/>
      <c r="N299" s="45"/>
      <c r="P299" s="53"/>
      <c r="T299" s="160"/>
    </row>
    <row r="300" spans="3:20" x14ac:dyDescent="0.2">
      <c r="C300" s="10"/>
      <c r="D300" s="10"/>
      <c r="E300" s="9"/>
      <c r="F300" s="9"/>
      <c r="J300" s="160"/>
      <c r="K300" s="47"/>
      <c r="L300" s="47"/>
      <c r="M300" s="46"/>
      <c r="N300" s="45"/>
      <c r="P300" s="53"/>
      <c r="T300" s="160"/>
    </row>
    <row r="301" spans="3:20" x14ac:dyDescent="0.2">
      <c r="C301" s="10"/>
      <c r="D301" s="10"/>
      <c r="E301" s="9"/>
      <c r="F301" s="9"/>
      <c r="J301" s="160"/>
      <c r="K301" s="47"/>
      <c r="L301" s="47"/>
      <c r="M301" s="46"/>
      <c r="N301" s="45"/>
      <c r="P301" s="53"/>
      <c r="T301" s="160"/>
    </row>
    <row r="302" spans="3:20" x14ac:dyDescent="0.2">
      <c r="C302" s="10"/>
      <c r="D302" s="10"/>
      <c r="E302" s="9"/>
      <c r="F302" s="9"/>
      <c r="J302" s="160"/>
      <c r="K302" s="47"/>
      <c r="L302" s="47"/>
      <c r="M302" s="46"/>
      <c r="N302" s="45"/>
      <c r="P302" s="53"/>
      <c r="T302" s="160"/>
    </row>
    <row r="303" spans="3:20" x14ac:dyDescent="0.2">
      <c r="C303" s="10"/>
      <c r="D303" s="10"/>
      <c r="E303" s="9"/>
      <c r="F303" s="9"/>
      <c r="J303" s="160"/>
      <c r="K303" s="47"/>
      <c r="L303" s="47"/>
      <c r="M303" s="46"/>
      <c r="N303" s="45"/>
      <c r="P303" s="53"/>
      <c r="T303" s="160"/>
    </row>
    <row r="304" spans="3:20" x14ac:dyDescent="0.2">
      <c r="C304" s="10"/>
      <c r="D304" s="10"/>
      <c r="E304" s="9"/>
      <c r="F304" s="9"/>
      <c r="J304" s="160"/>
      <c r="K304" s="47"/>
      <c r="L304" s="47"/>
      <c r="M304" s="46"/>
      <c r="N304" s="45"/>
      <c r="P304" s="53"/>
      <c r="T304" s="160"/>
    </row>
    <row r="305" spans="3:20" x14ac:dyDescent="0.2">
      <c r="C305" s="10"/>
      <c r="D305" s="10"/>
      <c r="E305" s="9"/>
      <c r="F305" s="9"/>
      <c r="J305" s="160"/>
      <c r="K305" s="47"/>
      <c r="L305" s="47"/>
      <c r="M305" s="46"/>
      <c r="N305" s="45"/>
      <c r="P305" s="53"/>
      <c r="T305" s="160"/>
    </row>
    <row r="306" spans="3:20" x14ac:dyDescent="0.2">
      <c r="C306" s="10"/>
      <c r="D306" s="10"/>
      <c r="E306" s="9"/>
      <c r="F306" s="9"/>
      <c r="J306" s="160"/>
      <c r="K306" s="47"/>
      <c r="L306" s="47"/>
      <c r="M306" s="46"/>
      <c r="N306" s="45"/>
      <c r="P306" s="53"/>
      <c r="T306" s="160"/>
    </row>
    <row r="307" spans="3:20" x14ac:dyDescent="0.2">
      <c r="C307" s="10"/>
      <c r="D307" s="10"/>
      <c r="E307" s="9"/>
      <c r="F307" s="9"/>
      <c r="J307" s="160"/>
      <c r="K307" s="47"/>
      <c r="L307" s="47"/>
      <c r="M307" s="46"/>
      <c r="N307" s="45"/>
      <c r="P307" s="53"/>
      <c r="T307" s="160"/>
    </row>
    <row r="308" spans="3:20" x14ac:dyDescent="0.2">
      <c r="C308" s="10"/>
      <c r="D308" s="10"/>
      <c r="E308" s="9"/>
      <c r="F308" s="9"/>
      <c r="J308" s="160"/>
      <c r="K308" s="47"/>
      <c r="L308" s="47"/>
      <c r="M308" s="46"/>
      <c r="N308" s="45"/>
      <c r="P308" s="53"/>
      <c r="T308" s="160"/>
    </row>
    <row r="309" spans="3:20" x14ac:dyDescent="0.2">
      <c r="C309" s="10"/>
      <c r="D309" s="10"/>
      <c r="E309" s="9"/>
      <c r="F309" s="9"/>
      <c r="J309" s="160"/>
      <c r="K309" s="47"/>
      <c r="L309" s="47"/>
      <c r="M309" s="46"/>
      <c r="N309" s="45"/>
      <c r="P309" s="53"/>
      <c r="T309" s="160"/>
    </row>
    <row r="310" spans="3:20" x14ac:dyDescent="0.2">
      <c r="C310" s="10"/>
      <c r="D310" s="10"/>
      <c r="E310" s="9"/>
      <c r="F310" s="9"/>
      <c r="J310" s="160"/>
      <c r="K310" s="47"/>
      <c r="L310" s="47"/>
      <c r="M310" s="46"/>
      <c r="N310" s="45"/>
      <c r="P310" s="53"/>
      <c r="T310" s="160"/>
    </row>
    <row r="311" spans="3:20" x14ac:dyDescent="0.2">
      <c r="C311" s="10"/>
      <c r="D311" s="10"/>
      <c r="E311" s="9"/>
      <c r="F311" s="9"/>
      <c r="J311" s="160"/>
      <c r="K311" s="47"/>
      <c r="L311" s="47"/>
      <c r="M311" s="46"/>
      <c r="N311" s="45"/>
      <c r="P311" s="53"/>
      <c r="T311" s="160"/>
    </row>
    <row r="312" spans="3:20" x14ac:dyDescent="0.2">
      <c r="C312" s="10"/>
      <c r="D312" s="10"/>
      <c r="E312" s="9"/>
      <c r="F312" s="9"/>
      <c r="J312" s="160"/>
      <c r="K312" s="47"/>
      <c r="L312" s="47"/>
      <c r="M312" s="46"/>
      <c r="N312" s="45"/>
      <c r="P312" s="53"/>
      <c r="T312" s="160"/>
    </row>
    <row r="313" spans="3:20" x14ac:dyDescent="0.2">
      <c r="C313" s="10"/>
      <c r="D313" s="10"/>
      <c r="E313" s="9"/>
      <c r="F313" s="9"/>
      <c r="J313" s="160"/>
      <c r="K313" s="47"/>
      <c r="L313" s="47"/>
      <c r="M313" s="46"/>
      <c r="N313" s="45"/>
      <c r="P313" s="53"/>
      <c r="T313" s="160"/>
    </row>
    <row r="314" spans="3:20" x14ac:dyDescent="0.2">
      <c r="C314" s="10"/>
      <c r="D314" s="10"/>
      <c r="E314" s="9"/>
      <c r="F314" s="9"/>
      <c r="J314" s="160"/>
      <c r="K314" s="47"/>
      <c r="L314" s="47"/>
      <c r="M314" s="46"/>
      <c r="N314" s="45"/>
      <c r="P314" s="53"/>
      <c r="T314" s="160"/>
    </row>
    <row r="315" spans="3:20" x14ac:dyDescent="0.2">
      <c r="C315" s="10"/>
      <c r="D315" s="10"/>
      <c r="E315" s="9"/>
      <c r="F315" s="9"/>
      <c r="J315" s="160"/>
      <c r="K315" s="47"/>
      <c r="L315" s="47"/>
      <c r="M315" s="46"/>
      <c r="N315" s="45"/>
      <c r="P315" s="53"/>
      <c r="T315" s="160"/>
    </row>
    <row r="316" spans="3:20" x14ac:dyDescent="0.2">
      <c r="C316" s="10"/>
      <c r="D316" s="10"/>
      <c r="E316" s="9"/>
      <c r="F316" s="9"/>
      <c r="J316" s="160"/>
      <c r="K316" s="47"/>
      <c r="L316" s="47"/>
      <c r="M316" s="46"/>
      <c r="N316" s="45"/>
      <c r="P316" s="53"/>
      <c r="T316" s="160"/>
    </row>
    <row r="317" spans="3:20" x14ac:dyDescent="0.2">
      <c r="C317" s="10"/>
      <c r="D317" s="10"/>
      <c r="E317" s="9"/>
      <c r="F317" s="9"/>
      <c r="J317" s="160"/>
      <c r="K317" s="47"/>
      <c r="L317" s="47"/>
      <c r="M317" s="46"/>
      <c r="N317" s="45"/>
      <c r="P317" s="53"/>
      <c r="T317" s="160"/>
    </row>
    <row r="318" spans="3:20" x14ac:dyDescent="0.2">
      <c r="C318" s="10"/>
      <c r="D318" s="10"/>
      <c r="E318" s="9"/>
      <c r="F318" s="9"/>
      <c r="J318" s="160"/>
      <c r="K318" s="47"/>
      <c r="L318" s="47"/>
      <c r="M318" s="46"/>
      <c r="N318" s="45"/>
      <c r="P318" s="53"/>
      <c r="T318" s="160"/>
    </row>
    <row r="319" spans="3:20" x14ac:dyDescent="0.2">
      <c r="C319" s="10"/>
      <c r="D319" s="10"/>
      <c r="E319" s="9"/>
      <c r="F319" s="9"/>
      <c r="J319" s="160"/>
      <c r="K319" s="47"/>
      <c r="L319" s="47"/>
      <c r="M319" s="46"/>
      <c r="N319" s="45"/>
      <c r="P319" s="53"/>
      <c r="T319" s="160"/>
    </row>
    <row r="320" spans="3:20" x14ac:dyDescent="0.2">
      <c r="C320" s="10"/>
      <c r="D320" s="10"/>
      <c r="E320" s="9"/>
      <c r="F320" s="9"/>
      <c r="J320" s="160"/>
      <c r="K320" s="47"/>
      <c r="L320" s="47"/>
      <c r="M320" s="46"/>
      <c r="N320" s="45"/>
      <c r="P320" s="53"/>
      <c r="T320" s="160"/>
    </row>
    <row r="321" spans="3:20" x14ac:dyDescent="0.2">
      <c r="C321" s="10"/>
      <c r="D321" s="10"/>
      <c r="E321" s="9"/>
      <c r="F321" s="9"/>
      <c r="J321" s="160"/>
      <c r="K321" s="47"/>
      <c r="L321" s="47"/>
      <c r="M321" s="46"/>
      <c r="N321" s="45"/>
      <c r="P321" s="53"/>
      <c r="T321" s="160"/>
    </row>
    <row r="322" spans="3:20" x14ac:dyDescent="0.2">
      <c r="C322" s="10"/>
      <c r="D322" s="10"/>
      <c r="E322" s="9"/>
      <c r="F322" s="9"/>
      <c r="J322" s="160"/>
      <c r="K322" s="47"/>
      <c r="L322" s="47"/>
      <c r="M322" s="46"/>
      <c r="N322" s="45"/>
      <c r="P322" s="53"/>
      <c r="T322" s="160"/>
    </row>
    <row r="323" spans="3:20" x14ac:dyDescent="0.2">
      <c r="C323" s="10"/>
      <c r="D323" s="10"/>
      <c r="E323" s="9"/>
      <c r="F323" s="9"/>
      <c r="J323" s="160"/>
      <c r="K323" s="47"/>
      <c r="L323" s="47"/>
      <c r="M323" s="46"/>
      <c r="N323" s="45"/>
      <c r="P323" s="53"/>
      <c r="T323" s="160"/>
    </row>
    <row r="324" spans="3:20" x14ac:dyDescent="0.2">
      <c r="C324" s="10"/>
      <c r="D324" s="10"/>
      <c r="E324" s="9"/>
      <c r="F324" s="9"/>
      <c r="J324" s="160"/>
      <c r="K324" s="47"/>
      <c r="L324" s="47"/>
      <c r="M324" s="46"/>
      <c r="N324" s="45"/>
      <c r="P324" s="53"/>
      <c r="T324" s="160"/>
    </row>
    <row r="325" spans="3:20" x14ac:dyDescent="0.2">
      <c r="C325" s="10"/>
      <c r="D325" s="10"/>
      <c r="E325" s="9"/>
      <c r="F325" s="9"/>
      <c r="J325" s="160"/>
      <c r="K325" s="47"/>
      <c r="L325" s="47"/>
      <c r="M325" s="46"/>
      <c r="N325" s="45"/>
      <c r="P325" s="53"/>
      <c r="T325" s="160"/>
    </row>
    <row r="326" spans="3:20" x14ac:dyDescent="0.2">
      <c r="C326" s="10"/>
      <c r="D326" s="10"/>
      <c r="E326" s="9"/>
      <c r="F326" s="9"/>
      <c r="J326" s="160"/>
      <c r="K326" s="47"/>
      <c r="L326" s="47"/>
      <c r="M326" s="46"/>
      <c r="N326" s="45"/>
      <c r="P326" s="53"/>
      <c r="T326" s="160"/>
    </row>
    <row r="327" spans="3:20" x14ac:dyDescent="0.2">
      <c r="C327" s="10"/>
      <c r="D327" s="10"/>
      <c r="E327" s="9"/>
      <c r="F327" s="9"/>
      <c r="J327" s="160"/>
      <c r="K327" s="47"/>
      <c r="L327" s="47"/>
      <c r="M327" s="46"/>
      <c r="N327" s="45"/>
      <c r="P327" s="53"/>
      <c r="T327" s="160"/>
    </row>
    <row r="328" spans="3:20" x14ac:dyDescent="0.2">
      <c r="C328" s="10"/>
      <c r="D328" s="10"/>
      <c r="E328" s="9"/>
      <c r="F328" s="9"/>
      <c r="J328" s="160"/>
      <c r="K328" s="47"/>
      <c r="L328" s="47"/>
      <c r="M328" s="46"/>
      <c r="N328" s="45"/>
      <c r="P328" s="53"/>
      <c r="T328" s="160"/>
    </row>
    <row r="329" spans="3:20" x14ac:dyDescent="0.2">
      <c r="C329" s="10"/>
      <c r="D329" s="10"/>
      <c r="E329" s="9"/>
      <c r="F329" s="9"/>
      <c r="J329" s="160"/>
      <c r="K329" s="47"/>
      <c r="L329" s="47"/>
      <c r="M329" s="46"/>
      <c r="N329" s="45"/>
      <c r="P329" s="53"/>
      <c r="T329" s="160"/>
    </row>
    <row r="330" spans="3:20" x14ac:dyDescent="0.2">
      <c r="C330" s="10"/>
      <c r="D330" s="10"/>
      <c r="E330" s="9"/>
      <c r="F330" s="9"/>
      <c r="J330" s="160"/>
      <c r="K330" s="47"/>
      <c r="L330" s="47"/>
      <c r="M330" s="46"/>
      <c r="N330" s="45"/>
      <c r="P330" s="53"/>
      <c r="T330" s="160"/>
    </row>
    <row r="331" spans="3:20" x14ac:dyDescent="0.2">
      <c r="C331" s="10"/>
      <c r="D331" s="10"/>
      <c r="E331" s="9"/>
      <c r="F331" s="9"/>
      <c r="J331" s="160"/>
      <c r="K331" s="47"/>
      <c r="L331" s="47"/>
      <c r="M331" s="46"/>
      <c r="N331" s="45"/>
      <c r="P331" s="53"/>
      <c r="T331" s="160"/>
    </row>
    <row r="332" spans="3:20" x14ac:dyDescent="0.2">
      <c r="C332" s="10"/>
      <c r="D332" s="10"/>
      <c r="E332" s="9"/>
      <c r="F332" s="9"/>
      <c r="J332" s="160"/>
      <c r="K332" s="47"/>
      <c r="L332" s="47"/>
      <c r="M332" s="46"/>
      <c r="N332" s="45"/>
      <c r="P332" s="53"/>
      <c r="T332" s="160"/>
    </row>
    <row r="333" spans="3:20" x14ac:dyDescent="0.2">
      <c r="C333" s="10"/>
      <c r="D333" s="10"/>
      <c r="E333" s="9"/>
      <c r="F333" s="9"/>
      <c r="J333" s="160"/>
      <c r="K333" s="47"/>
      <c r="L333" s="47"/>
      <c r="M333" s="46"/>
      <c r="N333" s="45"/>
      <c r="P333" s="53"/>
      <c r="T333" s="160"/>
    </row>
    <row r="334" spans="3:20" x14ac:dyDescent="0.2">
      <c r="C334" s="10"/>
      <c r="D334" s="10"/>
      <c r="E334" s="9"/>
      <c r="F334" s="9"/>
      <c r="J334" s="160"/>
      <c r="K334" s="47"/>
      <c r="L334" s="47"/>
      <c r="M334" s="46"/>
      <c r="N334" s="45"/>
      <c r="P334" s="53"/>
      <c r="T334" s="160"/>
    </row>
    <row r="335" spans="3:20" x14ac:dyDescent="0.2">
      <c r="C335" s="10"/>
      <c r="D335" s="10"/>
      <c r="E335" s="9"/>
      <c r="F335" s="9"/>
      <c r="J335" s="160"/>
      <c r="K335" s="47"/>
      <c r="L335" s="47"/>
      <c r="M335" s="46"/>
      <c r="N335" s="45"/>
      <c r="P335" s="53"/>
      <c r="T335" s="160"/>
    </row>
    <row r="336" spans="3:20" x14ac:dyDescent="0.2">
      <c r="C336" s="10"/>
      <c r="D336" s="10"/>
      <c r="E336" s="9"/>
      <c r="F336" s="9"/>
      <c r="J336" s="160"/>
      <c r="K336" s="47"/>
      <c r="L336" s="47"/>
      <c r="M336" s="46"/>
      <c r="N336" s="45"/>
      <c r="P336" s="53"/>
      <c r="T336" s="160"/>
    </row>
    <row r="337" spans="3:20" x14ac:dyDescent="0.2">
      <c r="C337" s="10"/>
      <c r="D337" s="10"/>
      <c r="E337" s="9"/>
      <c r="F337" s="9"/>
      <c r="J337" s="160"/>
      <c r="K337" s="47"/>
      <c r="L337" s="47"/>
      <c r="M337" s="46"/>
      <c r="N337" s="45"/>
      <c r="P337" s="53"/>
      <c r="T337" s="160"/>
    </row>
    <row r="338" spans="3:20" x14ac:dyDescent="0.2">
      <c r="C338" s="10"/>
      <c r="D338" s="10"/>
      <c r="E338" s="9"/>
      <c r="F338" s="9"/>
      <c r="J338" s="160"/>
      <c r="K338" s="47"/>
      <c r="L338" s="47"/>
      <c r="M338" s="46"/>
      <c r="N338" s="45"/>
      <c r="P338" s="53"/>
      <c r="T338" s="160"/>
    </row>
    <row r="339" spans="3:20" x14ac:dyDescent="0.2">
      <c r="C339" s="10"/>
      <c r="D339" s="10"/>
      <c r="E339" s="9"/>
      <c r="F339" s="9"/>
      <c r="J339" s="160"/>
      <c r="K339" s="47"/>
      <c r="L339" s="47"/>
      <c r="M339" s="46"/>
      <c r="N339" s="45"/>
      <c r="P339" s="53"/>
      <c r="T339" s="160"/>
    </row>
    <row r="340" spans="3:20" x14ac:dyDescent="0.2">
      <c r="C340" s="10"/>
      <c r="D340" s="10"/>
      <c r="E340" s="9"/>
      <c r="F340" s="9"/>
      <c r="J340" s="160"/>
      <c r="K340" s="47"/>
      <c r="L340" s="47"/>
      <c r="M340" s="46"/>
      <c r="N340" s="45"/>
      <c r="P340" s="53"/>
      <c r="T340" s="160"/>
    </row>
    <row r="341" spans="3:20" x14ac:dyDescent="0.2">
      <c r="C341" s="10"/>
      <c r="D341" s="10"/>
      <c r="E341" s="9"/>
      <c r="F341" s="9"/>
      <c r="J341" s="160"/>
      <c r="K341" s="47"/>
      <c r="L341" s="47"/>
      <c r="M341" s="46"/>
      <c r="N341" s="45"/>
      <c r="P341" s="53"/>
      <c r="T341" s="160"/>
    </row>
    <row r="342" spans="3:20" x14ac:dyDescent="0.2">
      <c r="C342" s="10"/>
      <c r="D342" s="10"/>
      <c r="E342" s="9"/>
      <c r="F342" s="9"/>
      <c r="J342" s="160"/>
      <c r="K342" s="47"/>
      <c r="L342" s="47"/>
      <c r="M342" s="46"/>
      <c r="N342" s="45"/>
      <c r="P342" s="53"/>
      <c r="T342" s="160"/>
    </row>
    <row r="343" spans="3:20" x14ac:dyDescent="0.2">
      <c r="C343" s="10"/>
      <c r="D343" s="10"/>
      <c r="E343" s="9"/>
      <c r="F343" s="9"/>
      <c r="J343" s="160"/>
      <c r="K343" s="47"/>
      <c r="L343" s="47"/>
      <c r="M343" s="46"/>
      <c r="N343" s="45"/>
      <c r="P343" s="53"/>
      <c r="T343" s="160"/>
    </row>
    <row r="344" spans="3:20" x14ac:dyDescent="0.2">
      <c r="C344" s="10"/>
      <c r="D344" s="10"/>
      <c r="E344" s="9"/>
      <c r="F344" s="9"/>
      <c r="J344" s="160"/>
      <c r="K344" s="47"/>
      <c r="L344" s="47"/>
      <c r="M344" s="46"/>
      <c r="N344" s="45"/>
      <c r="P344" s="53"/>
      <c r="T344" s="160"/>
    </row>
    <row r="345" spans="3:20" x14ac:dyDescent="0.2">
      <c r="C345" s="10"/>
      <c r="D345" s="10"/>
      <c r="E345" s="9"/>
      <c r="F345" s="9"/>
      <c r="J345" s="160"/>
      <c r="K345" s="47"/>
      <c r="L345" s="47"/>
      <c r="M345" s="46"/>
      <c r="N345" s="45"/>
      <c r="P345" s="53"/>
      <c r="T345" s="160"/>
    </row>
    <row r="346" spans="3:20" x14ac:dyDescent="0.2">
      <c r="C346" s="10"/>
      <c r="D346" s="10"/>
      <c r="E346" s="9"/>
      <c r="F346" s="9"/>
      <c r="J346" s="160"/>
      <c r="K346" s="47"/>
      <c r="L346" s="47"/>
      <c r="M346" s="46"/>
      <c r="N346" s="45"/>
      <c r="P346" s="53"/>
      <c r="T346" s="160"/>
    </row>
    <row r="347" spans="3:20" x14ac:dyDescent="0.2">
      <c r="C347" s="10"/>
      <c r="D347" s="10"/>
      <c r="E347" s="9"/>
      <c r="F347" s="9"/>
      <c r="J347" s="160"/>
      <c r="K347" s="47"/>
      <c r="L347" s="47"/>
      <c r="M347" s="46"/>
      <c r="N347" s="45"/>
      <c r="P347" s="53"/>
      <c r="T347" s="160"/>
    </row>
    <row r="348" spans="3:20" x14ac:dyDescent="0.2">
      <c r="C348" s="10"/>
      <c r="D348" s="10"/>
      <c r="E348" s="9"/>
      <c r="F348" s="9"/>
      <c r="J348" s="160"/>
      <c r="K348" s="47"/>
      <c r="L348" s="47"/>
      <c r="M348" s="46"/>
      <c r="N348" s="45"/>
      <c r="P348" s="53"/>
      <c r="T348" s="160"/>
    </row>
    <row r="349" spans="3:20" x14ac:dyDescent="0.2">
      <c r="C349" s="10"/>
      <c r="D349" s="10"/>
      <c r="E349" s="9"/>
      <c r="F349" s="9"/>
      <c r="J349" s="160"/>
      <c r="K349" s="47"/>
      <c r="L349" s="47"/>
      <c r="M349" s="46"/>
      <c r="N349" s="45"/>
      <c r="P349" s="53"/>
      <c r="T349" s="160"/>
    </row>
    <row r="350" spans="3:20" x14ac:dyDescent="0.2">
      <c r="C350" s="10"/>
      <c r="D350" s="10"/>
      <c r="E350" s="9"/>
      <c r="F350" s="9"/>
      <c r="J350" s="160"/>
      <c r="K350" s="47"/>
      <c r="L350" s="47"/>
      <c r="M350" s="46"/>
      <c r="N350" s="45"/>
      <c r="P350" s="53"/>
      <c r="T350" s="160"/>
    </row>
    <row r="351" spans="3:20" x14ac:dyDescent="0.2">
      <c r="C351" s="10"/>
      <c r="D351" s="10"/>
      <c r="E351" s="9"/>
      <c r="F351" s="9"/>
      <c r="J351" s="160"/>
      <c r="K351" s="47"/>
      <c r="L351" s="47"/>
      <c r="M351" s="46"/>
      <c r="N351" s="45"/>
      <c r="P351" s="53"/>
      <c r="T351" s="160"/>
    </row>
    <row r="352" spans="3:20" x14ac:dyDescent="0.2">
      <c r="C352" s="10"/>
      <c r="D352" s="10"/>
      <c r="E352" s="9"/>
      <c r="F352" s="9"/>
      <c r="J352" s="160"/>
      <c r="K352" s="47"/>
      <c r="L352" s="47"/>
      <c r="M352" s="46"/>
      <c r="N352" s="45"/>
      <c r="P352" s="53"/>
      <c r="T352" s="160"/>
    </row>
    <row r="353" spans="3:20" x14ac:dyDescent="0.2">
      <c r="C353" s="10"/>
      <c r="D353" s="10"/>
      <c r="E353" s="9"/>
      <c r="F353" s="9"/>
      <c r="J353" s="160"/>
      <c r="K353" s="47"/>
      <c r="L353" s="47"/>
      <c r="M353" s="46"/>
      <c r="N353" s="45"/>
      <c r="P353" s="53"/>
      <c r="T353" s="160"/>
    </row>
    <row r="354" spans="3:20" x14ac:dyDescent="0.2">
      <c r="C354" s="10"/>
      <c r="D354" s="10"/>
      <c r="E354" s="9"/>
      <c r="F354" s="9"/>
      <c r="J354" s="160"/>
      <c r="K354" s="47"/>
      <c r="L354" s="47"/>
      <c r="M354" s="46"/>
      <c r="N354" s="45"/>
      <c r="P354" s="53"/>
      <c r="T354" s="160"/>
    </row>
    <row r="355" spans="3:20" x14ac:dyDescent="0.2">
      <c r="C355" s="10"/>
      <c r="D355" s="10"/>
      <c r="E355" s="9"/>
      <c r="F355" s="9"/>
      <c r="J355" s="160"/>
      <c r="K355" s="47"/>
      <c r="L355" s="47"/>
      <c r="M355" s="46"/>
      <c r="N355" s="45"/>
      <c r="P355" s="53"/>
      <c r="T355" s="160"/>
    </row>
    <row r="356" spans="3:20" x14ac:dyDescent="0.2">
      <c r="C356" s="10"/>
      <c r="D356" s="10"/>
      <c r="E356" s="9"/>
      <c r="F356" s="9"/>
      <c r="J356" s="160"/>
      <c r="K356" s="47"/>
      <c r="L356" s="47"/>
      <c r="M356" s="46"/>
      <c r="N356" s="45"/>
      <c r="P356" s="53"/>
      <c r="T356" s="160"/>
    </row>
    <row r="357" spans="3:20" x14ac:dyDescent="0.2">
      <c r="C357" s="10"/>
      <c r="D357" s="10"/>
      <c r="E357" s="9"/>
      <c r="F357" s="9"/>
      <c r="J357" s="160"/>
      <c r="K357" s="47"/>
      <c r="L357" s="47"/>
      <c r="M357" s="46"/>
      <c r="N357" s="45"/>
      <c r="P357" s="53"/>
      <c r="T357" s="160"/>
    </row>
    <row r="358" spans="3:20" x14ac:dyDescent="0.2">
      <c r="C358" s="10"/>
      <c r="D358" s="10"/>
      <c r="E358" s="9"/>
      <c r="F358" s="9"/>
      <c r="J358" s="160"/>
      <c r="K358" s="47"/>
      <c r="L358" s="47"/>
      <c r="M358" s="46"/>
      <c r="N358" s="45"/>
      <c r="P358" s="53"/>
      <c r="T358" s="160"/>
    </row>
    <row r="359" spans="3:20" x14ac:dyDescent="0.2">
      <c r="C359" s="10"/>
      <c r="D359" s="10"/>
      <c r="E359" s="9"/>
      <c r="F359" s="9"/>
      <c r="J359" s="160"/>
      <c r="K359" s="47"/>
      <c r="L359" s="47"/>
      <c r="M359" s="46"/>
      <c r="N359" s="45"/>
      <c r="P359" s="53"/>
      <c r="T359" s="160"/>
    </row>
    <row r="360" spans="3:20" x14ac:dyDescent="0.2">
      <c r="C360" s="10"/>
      <c r="D360" s="10"/>
      <c r="E360" s="9"/>
      <c r="F360" s="9"/>
      <c r="J360" s="160"/>
      <c r="K360" s="47"/>
      <c r="L360" s="47"/>
      <c r="M360" s="46"/>
      <c r="N360" s="45"/>
      <c r="P360" s="53"/>
      <c r="T360" s="160"/>
    </row>
    <row r="361" spans="3:20" x14ac:dyDescent="0.2">
      <c r="C361" s="10"/>
      <c r="D361" s="10"/>
      <c r="E361" s="9"/>
      <c r="F361" s="9"/>
      <c r="J361" s="160"/>
      <c r="K361" s="47"/>
      <c r="L361" s="47"/>
      <c r="M361" s="46"/>
      <c r="N361" s="45"/>
      <c r="P361" s="53"/>
      <c r="T361" s="160"/>
    </row>
    <row r="362" spans="3:20" x14ac:dyDescent="0.2">
      <c r="C362" s="10"/>
      <c r="D362" s="10"/>
      <c r="E362" s="9"/>
      <c r="F362" s="9"/>
      <c r="J362" s="160"/>
      <c r="K362" s="47"/>
      <c r="L362" s="47"/>
      <c r="M362" s="46"/>
      <c r="N362" s="45"/>
      <c r="P362" s="53"/>
      <c r="T362" s="160"/>
    </row>
    <row r="363" spans="3:20" x14ac:dyDescent="0.2">
      <c r="C363" s="10"/>
      <c r="D363" s="10"/>
      <c r="E363" s="9"/>
      <c r="F363" s="9"/>
      <c r="J363" s="160"/>
      <c r="K363" s="47"/>
      <c r="L363" s="47"/>
      <c r="M363" s="46"/>
      <c r="N363" s="45"/>
      <c r="P363" s="53"/>
      <c r="T363" s="160"/>
    </row>
    <row r="364" spans="3:20" x14ac:dyDescent="0.2">
      <c r="C364" s="10"/>
      <c r="D364" s="10"/>
      <c r="E364" s="9"/>
      <c r="F364" s="9"/>
      <c r="J364" s="160"/>
      <c r="K364" s="47"/>
      <c r="L364" s="47"/>
      <c r="M364" s="46"/>
      <c r="N364" s="45"/>
      <c r="P364" s="53"/>
      <c r="T364" s="160"/>
    </row>
    <row r="365" spans="3:20" x14ac:dyDescent="0.2">
      <c r="C365" s="10"/>
      <c r="D365" s="10"/>
      <c r="E365" s="9"/>
      <c r="F365" s="9"/>
      <c r="J365" s="160"/>
      <c r="K365" s="47"/>
      <c r="L365" s="47"/>
      <c r="M365" s="46"/>
      <c r="N365" s="45"/>
      <c r="P365" s="53"/>
      <c r="T365" s="160"/>
    </row>
    <row r="366" spans="3:20" x14ac:dyDescent="0.2">
      <c r="C366" s="10"/>
      <c r="D366" s="10"/>
      <c r="E366" s="9"/>
      <c r="F366" s="9"/>
      <c r="J366" s="160"/>
      <c r="K366" s="47"/>
      <c r="L366" s="47"/>
      <c r="M366" s="46"/>
      <c r="N366" s="45"/>
      <c r="P366" s="53"/>
      <c r="T366" s="160"/>
    </row>
    <row r="367" spans="3:20" x14ac:dyDescent="0.2">
      <c r="C367" s="10"/>
      <c r="D367" s="10"/>
      <c r="E367" s="9"/>
      <c r="F367" s="9"/>
      <c r="J367" s="160"/>
      <c r="K367" s="47"/>
      <c r="L367" s="47"/>
      <c r="M367" s="46"/>
      <c r="N367" s="45"/>
      <c r="P367" s="53"/>
      <c r="T367" s="160"/>
    </row>
    <row r="368" spans="3:20" x14ac:dyDescent="0.2">
      <c r="C368" s="10"/>
      <c r="D368" s="10"/>
      <c r="E368" s="9"/>
      <c r="F368" s="9"/>
      <c r="J368" s="160"/>
      <c r="K368" s="47"/>
      <c r="L368" s="47"/>
      <c r="M368" s="46"/>
      <c r="N368" s="45"/>
      <c r="P368" s="53"/>
      <c r="T368" s="160"/>
    </row>
    <row r="369" spans="3:20" x14ac:dyDescent="0.2">
      <c r="C369" s="10"/>
      <c r="D369" s="10"/>
      <c r="E369" s="9"/>
      <c r="F369" s="9"/>
      <c r="J369" s="160"/>
      <c r="K369" s="47"/>
      <c r="L369" s="47"/>
      <c r="M369" s="46"/>
      <c r="N369" s="45"/>
      <c r="P369" s="53"/>
      <c r="T369" s="160"/>
    </row>
    <row r="370" spans="3:20" x14ac:dyDescent="0.2">
      <c r="C370" s="10"/>
      <c r="D370" s="10"/>
      <c r="E370" s="9"/>
      <c r="F370" s="9"/>
      <c r="J370" s="160"/>
      <c r="K370" s="47"/>
      <c r="L370" s="47"/>
      <c r="M370" s="46"/>
      <c r="N370" s="45"/>
      <c r="P370" s="53"/>
      <c r="T370" s="160"/>
    </row>
    <row r="371" spans="3:20" x14ac:dyDescent="0.2">
      <c r="C371" s="10"/>
      <c r="D371" s="10"/>
      <c r="E371" s="9"/>
      <c r="F371" s="9"/>
      <c r="J371" s="160"/>
      <c r="K371" s="47"/>
      <c r="L371" s="47"/>
      <c r="M371" s="46"/>
      <c r="N371" s="45"/>
      <c r="P371" s="53"/>
      <c r="T371" s="160"/>
    </row>
    <row r="372" spans="3:20" x14ac:dyDescent="0.2">
      <c r="C372" s="10"/>
      <c r="D372" s="10"/>
      <c r="E372" s="9"/>
      <c r="F372" s="9"/>
      <c r="J372" s="160"/>
      <c r="K372" s="47"/>
      <c r="L372" s="47"/>
      <c r="M372" s="46"/>
      <c r="N372" s="45"/>
      <c r="P372" s="53"/>
      <c r="T372" s="160"/>
    </row>
    <row r="373" spans="3:20" x14ac:dyDescent="0.2">
      <c r="C373" s="10"/>
      <c r="D373" s="10"/>
      <c r="E373" s="9"/>
      <c r="F373" s="9"/>
      <c r="J373" s="160"/>
      <c r="K373" s="47"/>
      <c r="L373" s="47"/>
      <c r="M373" s="46"/>
      <c r="N373" s="45"/>
      <c r="P373" s="53"/>
      <c r="T373" s="160"/>
    </row>
    <row r="374" spans="3:20" x14ac:dyDescent="0.2">
      <c r="C374" s="10"/>
      <c r="D374" s="10"/>
      <c r="E374" s="9"/>
      <c r="F374" s="9"/>
      <c r="J374" s="160"/>
      <c r="K374" s="47"/>
      <c r="L374" s="47"/>
      <c r="M374" s="46"/>
      <c r="N374" s="45"/>
      <c r="P374" s="53"/>
      <c r="T374" s="160"/>
    </row>
    <row r="375" spans="3:20" x14ac:dyDescent="0.2">
      <c r="C375" s="10"/>
      <c r="D375" s="10"/>
      <c r="E375" s="9"/>
      <c r="F375" s="9"/>
      <c r="J375" s="160"/>
      <c r="K375" s="47"/>
      <c r="L375" s="47"/>
      <c r="M375" s="46"/>
      <c r="N375" s="45"/>
      <c r="P375" s="53"/>
      <c r="T375" s="160"/>
    </row>
    <row r="376" spans="3:20" x14ac:dyDescent="0.2">
      <c r="C376" s="10"/>
      <c r="D376" s="10"/>
      <c r="E376" s="9"/>
      <c r="F376" s="9"/>
      <c r="J376" s="160"/>
      <c r="K376" s="47"/>
      <c r="L376" s="47"/>
      <c r="M376" s="46"/>
      <c r="N376" s="45"/>
      <c r="P376" s="53"/>
      <c r="T376" s="160"/>
    </row>
    <row r="377" spans="3:20" x14ac:dyDescent="0.2">
      <c r="C377" s="10"/>
      <c r="D377" s="10"/>
      <c r="E377" s="9"/>
      <c r="F377" s="9"/>
      <c r="J377" s="160"/>
      <c r="K377" s="47"/>
      <c r="L377" s="47"/>
      <c r="M377" s="46"/>
      <c r="N377" s="45"/>
      <c r="P377" s="53"/>
      <c r="T377" s="160"/>
    </row>
    <row r="378" spans="3:20" x14ac:dyDescent="0.2">
      <c r="C378" s="10"/>
      <c r="D378" s="10"/>
      <c r="E378" s="9"/>
      <c r="F378" s="9"/>
      <c r="J378" s="160"/>
      <c r="K378" s="47"/>
      <c r="L378" s="47"/>
      <c r="M378" s="46"/>
      <c r="N378" s="45"/>
      <c r="P378" s="53"/>
      <c r="T378" s="160"/>
    </row>
    <row r="379" spans="3:20" x14ac:dyDescent="0.2">
      <c r="C379" s="10"/>
      <c r="D379" s="10"/>
      <c r="E379" s="9"/>
      <c r="F379" s="9"/>
      <c r="J379" s="160"/>
      <c r="K379" s="47"/>
      <c r="L379" s="47"/>
      <c r="M379" s="46"/>
      <c r="N379" s="45"/>
      <c r="P379" s="53"/>
      <c r="T379" s="160"/>
    </row>
    <row r="380" spans="3:20" x14ac:dyDescent="0.2">
      <c r="C380" s="10"/>
      <c r="D380" s="10"/>
      <c r="E380" s="9"/>
      <c r="F380" s="9"/>
      <c r="J380" s="160"/>
      <c r="K380" s="47"/>
      <c r="L380" s="47"/>
      <c r="M380" s="46"/>
      <c r="N380" s="45"/>
      <c r="P380" s="53"/>
      <c r="T380" s="160"/>
    </row>
    <row r="381" spans="3:20" x14ac:dyDescent="0.2">
      <c r="C381" s="10"/>
      <c r="D381" s="10"/>
      <c r="E381" s="9"/>
      <c r="F381" s="9"/>
      <c r="J381" s="160"/>
      <c r="K381" s="47"/>
      <c r="L381" s="47"/>
      <c r="M381" s="46"/>
      <c r="N381" s="45"/>
      <c r="P381" s="53"/>
      <c r="T381" s="160"/>
    </row>
    <row r="382" spans="3:20" x14ac:dyDescent="0.2">
      <c r="C382" s="10"/>
      <c r="D382" s="10"/>
      <c r="E382" s="9"/>
      <c r="F382" s="9"/>
      <c r="J382" s="160"/>
      <c r="K382" s="47"/>
      <c r="L382" s="47"/>
      <c r="M382" s="46"/>
      <c r="N382" s="45"/>
      <c r="P382" s="53"/>
      <c r="T382" s="160"/>
    </row>
    <row r="383" spans="3:20" x14ac:dyDescent="0.2">
      <c r="C383" s="10"/>
      <c r="D383" s="10"/>
      <c r="E383" s="9"/>
      <c r="F383" s="9"/>
      <c r="J383" s="160"/>
      <c r="K383" s="47"/>
      <c r="L383" s="47"/>
      <c r="M383" s="46"/>
      <c r="N383" s="45"/>
      <c r="P383" s="53"/>
      <c r="T383" s="160"/>
    </row>
    <row r="384" spans="3:20" x14ac:dyDescent="0.2">
      <c r="C384" s="10"/>
      <c r="D384" s="10"/>
      <c r="E384" s="9"/>
      <c r="F384" s="9"/>
      <c r="J384" s="160"/>
      <c r="K384" s="47"/>
      <c r="L384" s="47"/>
      <c r="M384" s="46"/>
      <c r="N384" s="45"/>
      <c r="P384" s="53"/>
      <c r="T384" s="160"/>
    </row>
    <row r="385" spans="3:20" x14ac:dyDescent="0.2">
      <c r="C385" s="10"/>
      <c r="D385" s="10"/>
      <c r="E385" s="9"/>
      <c r="F385" s="9"/>
      <c r="J385" s="160"/>
      <c r="K385" s="47"/>
      <c r="L385" s="47"/>
      <c r="M385" s="46"/>
      <c r="N385" s="45"/>
      <c r="P385" s="53"/>
      <c r="T385" s="160"/>
    </row>
    <row r="386" spans="3:20" x14ac:dyDescent="0.2">
      <c r="C386" s="10"/>
      <c r="D386" s="10"/>
      <c r="E386" s="9"/>
      <c r="F386" s="9"/>
      <c r="J386" s="160"/>
      <c r="K386" s="47"/>
      <c r="L386" s="47"/>
      <c r="M386" s="46"/>
      <c r="N386" s="45"/>
      <c r="P386" s="53"/>
      <c r="T386" s="160"/>
    </row>
    <row r="387" spans="3:20" x14ac:dyDescent="0.2">
      <c r="C387" s="10"/>
      <c r="D387" s="10"/>
      <c r="E387" s="9"/>
      <c r="F387" s="9"/>
      <c r="J387" s="160"/>
      <c r="K387" s="47"/>
      <c r="L387" s="47"/>
      <c r="M387" s="46"/>
      <c r="N387" s="45"/>
      <c r="P387" s="53"/>
      <c r="T387" s="160"/>
    </row>
    <row r="388" spans="3:20" x14ac:dyDescent="0.2">
      <c r="C388" s="10"/>
      <c r="D388" s="10"/>
      <c r="E388" s="9"/>
      <c r="F388" s="9"/>
      <c r="J388" s="160"/>
      <c r="K388" s="47"/>
      <c r="L388" s="47"/>
      <c r="M388" s="46"/>
      <c r="N388" s="45"/>
      <c r="P388" s="53"/>
      <c r="T388" s="160"/>
    </row>
    <row r="389" spans="3:20" x14ac:dyDescent="0.2">
      <c r="C389" s="10"/>
      <c r="D389" s="10"/>
      <c r="E389" s="9"/>
      <c r="F389" s="9"/>
      <c r="J389" s="160"/>
      <c r="K389" s="47"/>
      <c r="L389" s="47"/>
      <c r="M389" s="46"/>
      <c r="N389" s="45"/>
      <c r="P389" s="53"/>
      <c r="T389" s="160"/>
    </row>
    <row r="390" spans="3:20" x14ac:dyDescent="0.2">
      <c r="C390" s="10"/>
      <c r="D390" s="10"/>
      <c r="E390" s="9"/>
      <c r="F390" s="9"/>
      <c r="J390" s="160"/>
      <c r="K390" s="47"/>
      <c r="L390" s="47"/>
      <c r="M390" s="46"/>
      <c r="N390" s="45"/>
      <c r="P390" s="53"/>
      <c r="T390" s="160"/>
    </row>
    <row r="391" spans="3:20" x14ac:dyDescent="0.2">
      <c r="C391" s="10"/>
      <c r="D391" s="10"/>
      <c r="E391" s="9"/>
      <c r="F391" s="9"/>
      <c r="J391" s="160"/>
      <c r="K391" s="47"/>
      <c r="L391" s="47"/>
      <c r="M391" s="46"/>
      <c r="N391" s="45"/>
      <c r="P391" s="53"/>
      <c r="T391" s="160"/>
    </row>
    <row r="392" spans="3:20" x14ac:dyDescent="0.2">
      <c r="C392" s="10"/>
      <c r="D392" s="10"/>
      <c r="E392" s="9"/>
      <c r="F392" s="9"/>
      <c r="J392" s="160"/>
      <c r="K392" s="47"/>
      <c r="L392" s="47"/>
      <c r="M392" s="46"/>
      <c r="N392" s="45"/>
      <c r="P392" s="53"/>
      <c r="T392" s="160"/>
    </row>
    <row r="393" spans="3:20" x14ac:dyDescent="0.2">
      <c r="C393" s="10"/>
      <c r="D393" s="10"/>
      <c r="E393" s="9"/>
      <c r="F393" s="9"/>
      <c r="J393" s="160"/>
      <c r="K393" s="47"/>
      <c r="L393" s="47"/>
      <c r="M393" s="46"/>
      <c r="N393" s="45"/>
      <c r="P393" s="53"/>
      <c r="T393" s="160"/>
    </row>
    <row r="394" spans="3:20" x14ac:dyDescent="0.2">
      <c r="C394" s="10"/>
      <c r="D394" s="10"/>
      <c r="E394" s="9"/>
      <c r="F394" s="9"/>
      <c r="J394" s="160"/>
      <c r="K394" s="47"/>
      <c r="L394" s="47"/>
      <c r="M394" s="46"/>
      <c r="N394" s="45"/>
      <c r="P394" s="53"/>
      <c r="T394" s="160"/>
    </row>
    <row r="395" spans="3:20" x14ac:dyDescent="0.2">
      <c r="C395" s="10"/>
      <c r="D395" s="10"/>
      <c r="E395" s="9"/>
      <c r="F395" s="9"/>
      <c r="J395" s="160"/>
      <c r="K395" s="47"/>
      <c r="L395" s="47"/>
      <c r="M395" s="46"/>
      <c r="N395" s="45"/>
      <c r="P395" s="53"/>
      <c r="T395" s="160"/>
    </row>
    <row r="396" spans="3:20" x14ac:dyDescent="0.2">
      <c r="C396" s="10"/>
      <c r="D396" s="10"/>
      <c r="E396" s="9"/>
      <c r="F396" s="9"/>
      <c r="J396" s="160"/>
      <c r="K396" s="47"/>
      <c r="L396" s="47"/>
      <c r="M396" s="46"/>
      <c r="N396" s="45"/>
      <c r="P396" s="53"/>
      <c r="T396" s="160"/>
    </row>
    <row r="397" spans="3:20" x14ac:dyDescent="0.2">
      <c r="C397" s="10"/>
      <c r="D397" s="10"/>
      <c r="E397" s="9"/>
      <c r="F397" s="9"/>
      <c r="J397" s="160"/>
      <c r="K397" s="47"/>
      <c r="L397" s="47"/>
      <c r="M397" s="46"/>
      <c r="N397" s="45"/>
      <c r="P397" s="53"/>
      <c r="T397" s="160"/>
    </row>
    <row r="398" spans="3:20" x14ac:dyDescent="0.2">
      <c r="C398" s="10"/>
      <c r="D398" s="10"/>
      <c r="E398" s="9"/>
      <c r="F398" s="9"/>
      <c r="J398" s="160"/>
      <c r="K398" s="47"/>
      <c r="L398" s="47"/>
      <c r="M398" s="46"/>
      <c r="N398" s="45"/>
      <c r="P398" s="53"/>
      <c r="T398" s="160"/>
    </row>
    <row r="399" spans="3:20" x14ac:dyDescent="0.2">
      <c r="C399" s="10"/>
      <c r="D399" s="10"/>
      <c r="E399" s="9"/>
      <c r="F399" s="9"/>
      <c r="J399" s="160"/>
      <c r="K399" s="47"/>
      <c r="L399" s="47"/>
      <c r="M399" s="46"/>
      <c r="N399" s="45"/>
      <c r="P399" s="53"/>
      <c r="T399" s="160"/>
    </row>
    <row r="400" spans="3:20" x14ac:dyDescent="0.2">
      <c r="C400" s="10"/>
      <c r="D400" s="10"/>
      <c r="E400" s="9"/>
      <c r="F400" s="9"/>
      <c r="J400" s="160"/>
      <c r="K400" s="47"/>
      <c r="L400" s="47"/>
      <c r="M400" s="46"/>
      <c r="N400" s="45"/>
      <c r="P400" s="53"/>
      <c r="T400" s="160"/>
    </row>
    <row r="401" spans="3:20" x14ac:dyDescent="0.2">
      <c r="C401" s="10"/>
      <c r="D401" s="10"/>
      <c r="E401" s="9"/>
      <c r="F401" s="9"/>
      <c r="J401" s="160"/>
      <c r="K401" s="47"/>
      <c r="L401" s="47"/>
      <c r="M401" s="46"/>
      <c r="N401" s="45"/>
      <c r="P401" s="53"/>
      <c r="T401" s="160"/>
    </row>
    <row r="402" spans="3:20" x14ac:dyDescent="0.2">
      <c r="C402" s="10"/>
      <c r="D402" s="10"/>
      <c r="E402" s="9"/>
      <c r="F402" s="9"/>
      <c r="J402" s="160"/>
      <c r="K402" s="47"/>
      <c r="L402" s="47"/>
      <c r="M402" s="46"/>
      <c r="N402" s="45"/>
      <c r="P402" s="53"/>
      <c r="T402" s="160"/>
    </row>
    <row r="403" spans="3:20" x14ac:dyDescent="0.2">
      <c r="C403" s="10"/>
      <c r="D403" s="10"/>
      <c r="E403" s="9"/>
      <c r="F403" s="9"/>
      <c r="J403" s="160"/>
      <c r="K403" s="47"/>
      <c r="L403" s="47"/>
      <c r="M403" s="46"/>
      <c r="N403" s="45"/>
      <c r="P403" s="53"/>
      <c r="T403" s="160"/>
    </row>
    <row r="404" spans="3:20" x14ac:dyDescent="0.2">
      <c r="C404" s="10"/>
      <c r="D404" s="10"/>
      <c r="E404" s="9"/>
      <c r="F404" s="9"/>
      <c r="J404" s="160"/>
      <c r="K404" s="47"/>
      <c r="L404" s="47"/>
      <c r="M404" s="46"/>
      <c r="N404" s="45"/>
      <c r="P404" s="53"/>
      <c r="T404" s="160"/>
    </row>
    <row r="405" spans="3:20" x14ac:dyDescent="0.2">
      <c r="C405" s="10"/>
      <c r="D405" s="10"/>
      <c r="E405" s="9"/>
      <c r="F405" s="9"/>
      <c r="J405" s="160"/>
      <c r="K405" s="47"/>
      <c r="L405" s="47"/>
      <c r="M405" s="46"/>
      <c r="N405" s="45"/>
      <c r="P405" s="53"/>
      <c r="T405" s="160"/>
    </row>
    <row r="406" spans="3:20" x14ac:dyDescent="0.2">
      <c r="C406" s="10"/>
      <c r="D406" s="10"/>
      <c r="E406" s="9"/>
      <c r="F406" s="9"/>
      <c r="J406" s="160"/>
      <c r="K406" s="47"/>
      <c r="L406" s="47"/>
      <c r="M406" s="46"/>
      <c r="N406" s="45"/>
      <c r="P406" s="53"/>
      <c r="T406" s="160"/>
    </row>
    <row r="407" spans="3:20" x14ac:dyDescent="0.2">
      <c r="C407" s="10"/>
      <c r="D407" s="10"/>
      <c r="E407" s="9"/>
      <c r="F407" s="9"/>
      <c r="J407" s="160"/>
      <c r="K407" s="47"/>
      <c r="L407" s="47"/>
      <c r="M407" s="46"/>
      <c r="N407" s="45"/>
      <c r="P407" s="53"/>
      <c r="T407" s="160"/>
    </row>
    <row r="408" spans="3:20" x14ac:dyDescent="0.2">
      <c r="C408" s="10"/>
      <c r="D408" s="10"/>
      <c r="E408" s="9"/>
      <c r="F408" s="9"/>
      <c r="J408" s="160"/>
      <c r="K408" s="47"/>
      <c r="L408" s="47"/>
      <c r="M408" s="46"/>
      <c r="N408" s="45"/>
      <c r="P408" s="53"/>
      <c r="T408" s="160"/>
    </row>
    <row r="409" spans="3:20" x14ac:dyDescent="0.2">
      <c r="C409" s="10"/>
      <c r="D409" s="10"/>
      <c r="E409" s="9"/>
      <c r="F409" s="9"/>
      <c r="J409" s="160"/>
      <c r="K409" s="47"/>
      <c r="L409" s="47"/>
      <c r="M409" s="46"/>
      <c r="N409" s="45"/>
      <c r="P409" s="53"/>
      <c r="T409" s="160"/>
    </row>
    <row r="410" spans="3:20" x14ac:dyDescent="0.2">
      <c r="C410" s="10"/>
      <c r="D410" s="10"/>
      <c r="E410" s="9"/>
      <c r="F410" s="9"/>
      <c r="J410" s="160"/>
      <c r="K410" s="47"/>
      <c r="L410" s="47"/>
      <c r="M410" s="46"/>
      <c r="N410" s="45"/>
      <c r="P410" s="53"/>
      <c r="T410" s="160"/>
    </row>
    <row r="411" spans="3:20" x14ac:dyDescent="0.2">
      <c r="C411" s="10"/>
      <c r="D411" s="10"/>
      <c r="E411" s="9"/>
      <c r="F411" s="9"/>
      <c r="J411" s="160"/>
      <c r="K411" s="47"/>
      <c r="L411" s="47"/>
      <c r="M411" s="46"/>
      <c r="N411" s="45"/>
      <c r="P411" s="53"/>
      <c r="T411" s="160"/>
    </row>
    <row r="412" spans="3:20" x14ac:dyDescent="0.2">
      <c r="C412" s="10"/>
      <c r="D412" s="10"/>
      <c r="E412" s="9"/>
      <c r="F412" s="9"/>
      <c r="J412" s="160"/>
      <c r="K412" s="47"/>
      <c r="L412" s="47"/>
      <c r="M412" s="46"/>
      <c r="N412" s="45"/>
      <c r="P412" s="53"/>
      <c r="T412" s="160"/>
    </row>
    <row r="413" spans="3:20" x14ac:dyDescent="0.2">
      <c r="C413" s="10"/>
      <c r="D413" s="10"/>
      <c r="E413" s="9"/>
      <c r="F413" s="9"/>
      <c r="J413" s="160"/>
      <c r="K413" s="47"/>
      <c r="L413" s="47"/>
      <c r="M413" s="46"/>
      <c r="N413" s="45"/>
      <c r="P413" s="53"/>
      <c r="T413" s="160"/>
    </row>
    <row r="414" spans="3:20" x14ac:dyDescent="0.2">
      <c r="C414" s="10"/>
      <c r="D414" s="10"/>
      <c r="E414" s="9"/>
      <c r="F414" s="9"/>
      <c r="J414" s="160"/>
      <c r="K414" s="47"/>
      <c r="L414" s="47"/>
      <c r="M414" s="46"/>
      <c r="N414" s="45"/>
      <c r="P414" s="53"/>
      <c r="T414" s="160"/>
    </row>
    <row r="415" spans="3:20" x14ac:dyDescent="0.2">
      <c r="C415" s="10"/>
      <c r="D415" s="10"/>
      <c r="E415" s="9"/>
      <c r="F415" s="9"/>
      <c r="J415" s="160"/>
      <c r="K415" s="47"/>
      <c r="L415" s="47"/>
      <c r="M415" s="46"/>
      <c r="N415" s="45"/>
      <c r="P415" s="53"/>
      <c r="T415" s="160"/>
    </row>
    <row r="416" spans="3:20" x14ac:dyDescent="0.2">
      <c r="C416" s="10"/>
      <c r="D416" s="10"/>
      <c r="E416" s="9"/>
      <c r="F416" s="9"/>
      <c r="J416" s="160"/>
      <c r="K416" s="47"/>
      <c r="L416" s="47"/>
      <c r="M416" s="46"/>
      <c r="N416" s="45"/>
      <c r="P416" s="53"/>
      <c r="T416" s="160"/>
    </row>
    <row r="417" spans="3:20" x14ac:dyDescent="0.2">
      <c r="C417" s="10"/>
      <c r="D417" s="10"/>
      <c r="E417" s="9"/>
      <c r="F417" s="9"/>
      <c r="J417" s="160"/>
      <c r="K417" s="47"/>
      <c r="L417" s="47"/>
      <c r="M417" s="46"/>
      <c r="N417" s="45"/>
      <c r="P417" s="53"/>
      <c r="T417" s="160"/>
    </row>
    <row r="418" spans="3:20" x14ac:dyDescent="0.2">
      <c r="C418" s="10"/>
      <c r="D418" s="10"/>
      <c r="E418" s="9"/>
      <c r="F418" s="9"/>
      <c r="J418" s="160"/>
      <c r="K418" s="47"/>
      <c r="L418" s="47"/>
      <c r="M418" s="46"/>
      <c r="N418" s="45"/>
      <c r="P418" s="53"/>
      <c r="T418" s="160"/>
    </row>
    <row r="419" spans="3:20" x14ac:dyDescent="0.2">
      <c r="C419" s="10"/>
      <c r="D419" s="10"/>
      <c r="E419" s="9"/>
      <c r="F419" s="9"/>
      <c r="J419" s="160"/>
      <c r="K419" s="47"/>
      <c r="L419" s="47"/>
      <c r="M419" s="46"/>
      <c r="N419" s="45"/>
      <c r="P419" s="53"/>
      <c r="T419" s="160"/>
    </row>
    <row r="420" spans="3:20" x14ac:dyDescent="0.2">
      <c r="C420" s="10"/>
      <c r="D420" s="10"/>
      <c r="E420" s="9"/>
      <c r="F420" s="9"/>
      <c r="J420" s="160"/>
      <c r="K420" s="47"/>
      <c r="L420" s="47"/>
      <c r="M420" s="46"/>
      <c r="N420" s="45"/>
      <c r="P420" s="53"/>
      <c r="T420" s="160"/>
    </row>
    <row r="421" spans="3:20" x14ac:dyDescent="0.2">
      <c r="C421" s="10"/>
      <c r="D421" s="10"/>
      <c r="E421" s="9"/>
      <c r="F421" s="9"/>
      <c r="J421" s="160"/>
      <c r="K421" s="47"/>
      <c r="L421" s="47"/>
      <c r="M421" s="46"/>
      <c r="N421" s="45"/>
      <c r="P421" s="53"/>
      <c r="T421" s="160"/>
    </row>
    <row r="422" spans="3:20" x14ac:dyDescent="0.2">
      <c r="C422" s="10"/>
      <c r="D422" s="10"/>
      <c r="E422" s="9"/>
      <c r="F422" s="9"/>
      <c r="J422" s="160"/>
      <c r="K422" s="47"/>
      <c r="L422" s="47"/>
      <c r="M422" s="46"/>
      <c r="N422" s="45"/>
      <c r="P422" s="53"/>
      <c r="T422" s="160"/>
    </row>
    <row r="423" spans="3:20" x14ac:dyDescent="0.2">
      <c r="C423" s="10"/>
      <c r="D423" s="10"/>
      <c r="E423" s="9"/>
      <c r="F423" s="9"/>
      <c r="J423" s="160"/>
      <c r="K423" s="47"/>
      <c r="L423" s="47"/>
      <c r="M423" s="46"/>
      <c r="N423" s="45"/>
      <c r="P423" s="53"/>
      <c r="T423" s="160"/>
    </row>
    <row r="424" spans="3:20" x14ac:dyDescent="0.2">
      <c r="C424" s="10"/>
      <c r="D424" s="10"/>
      <c r="E424" s="9"/>
      <c r="F424" s="9"/>
      <c r="J424" s="160"/>
      <c r="K424" s="47"/>
      <c r="L424" s="47"/>
      <c r="M424" s="46"/>
      <c r="N424" s="45"/>
      <c r="P424" s="53"/>
      <c r="T424" s="160"/>
    </row>
    <row r="425" spans="3:20" x14ac:dyDescent="0.2">
      <c r="C425" s="10"/>
      <c r="D425" s="10"/>
      <c r="E425" s="9"/>
      <c r="F425" s="9"/>
      <c r="J425" s="160"/>
      <c r="K425" s="47"/>
      <c r="L425" s="47"/>
      <c r="M425" s="46"/>
      <c r="N425" s="45"/>
      <c r="P425" s="53"/>
      <c r="T425" s="160"/>
    </row>
    <row r="426" spans="3:20" x14ac:dyDescent="0.2">
      <c r="C426" s="10"/>
      <c r="D426" s="10"/>
      <c r="E426" s="9"/>
      <c r="F426" s="9"/>
      <c r="J426" s="160"/>
      <c r="K426" s="47"/>
      <c r="L426" s="47"/>
      <c r="M426" s="46"/>
      <c r="N426" s="45"/>
      <c r="P426" s="53"/>
      <c r="T426" s="160"/>
    </row>
    <row r="427" spans="3:20" x14ac:dyDescent="0.2">
      <c r="C427" s="10"/>
      <c r="D427" s="10"/>
      <c r="E427" s="9"/>
      <c r="F427" s="9"/>
      <c r="J427" s="160"/>
      <c r="K427" s="47"/>
      <c r="L427" s="47"/>
      <c r="M427" s="46"/>
      <c r="N427" s="45"/>
      <c r="P427" s="53"/>
      <c r="T427" s="160"/>
    </row>
    <row r="428" spans="3:20" x14ac:dyDescent="0.2">
      <c r="C428" s="10"/>
      <c r="D428" s="10"/>
      <c r="E428" s="9"/>
      <c r="F428" s="9"/>
      <c r="J428" s="160"/>
      <c r="K428" s="47"/>
      <c r="L428" s="47"/>
      <c r="M428" s="46"/>
      <c r="N428" s="45"/>
      <c r="P428" s="53"/>
      <c r="T428" s="160"/>
    </row>
    <row r="429" spans="3:20" x14ac:dyDescent="0.2">
      <c r="C429" s="10"/>
      <c r="D429" s="10"/>
      <c r="E429" s="9"/>
      <c r="F429" s="9"/>
      <c r="J429" s="160"/>
      <c r="K429" s="47"/>
      <c r="L429" s="47"/>
      <c r="M429" s="46"/>
      <c r="N429" s="45"/>
      <c r="P429" s="53"/>
      <c r="T429" s="160"/>
    </row>
    <row r="430" spans="3:20" x14ac:dyDescent="0.2">
      <c r="C430" s="10"/>
      <c r="D430" s="10"/>
      <c r="E430" s="9"/>
      <c r="F430" s="9"/>
      <c r="J430" s="160"/>
      <c r="K430" s="47"/>
      <c r="L430" s="47"/>
      <c r="M430" s="46"/>
      <c r="N430" s="45"/>
      <c r="P430" s="53"/>
      <c r="T430" s="160"/>
    </row>
    <row r="431" spans="3:20" x14ac:dyDescent="0.2">
      <c r="C431" s="10"/>
      <c r="D431" s="10"/>
      <c r="E431" s="9"/>
      <c r="F431" s="9"/>
      <c r="J431" s="160"/>
      <c r="K431" s="47"/>
      <c r="L431" s="47"/>
      <c r="M431" s="46"/>
      <c r="N431" s="45"/>
      <c r="P431" s="53"/>
      <c r="T431" s="160"/>
    </row>
    <row r="432" spans="3:20" x14ac:dyDescent="0.2">
      <c r="C432" s="10"/>
      <c r="D432" s="10"/>
      <c r="E432" s="9"/>
      <c r="F432" s="9"/>
      <c r="J432" s="160"/>
      <c r="K432" s="47"/>
      <c r="L432" s="47"/>
      <c r="M432" s="46"/>
      <c r="N432" s="45"/>
      <c r="P432" s="53"/>
      <c r="T432" s="160"/>
    </row>
    <row r="433" spans="3:20" x14ac:dyDescent="0.2">
      <c r="C433" s="10"/>
      <c r="D433" s="10"/>
      <c r="E433" s="9"/>
      <c r="F433" s="9"/>
      <c r="J433" s="160"/>
      <c r="K433" s="47"/>
      <c r="L433" s="47"/>
      <c r="M433" s="46"/>
      <c r="N433" s="45"/>
      <c r="P433" s="53"/>
      <c r="T433" s="160"/>
    </row>
    <row r="434" spans="3:20" x14ac:dyDescent="0.2">
      <c r="C434" s="10"/>
      <c r="D434" s="10"/>
      <c r="E434" s="9"/>
      <c r="F434" s="9"/>
      <c r="J434" s="160"/>
      <c r="K434" s="47"/>
      <c r="L434" s="47"/>
      <c r="M434" s="46"/>
      <c r="N434" s="45"/>
      <c r="P434" s="53"/>
      <c r="T434" s="160"/>
    </row>
    <row r="435" spans="3:20" x14ac:dyDescent="0.2">
      <c r="C435" s="10"/>
      <c r="D435" s="10"/>
      <c r="E435" s="9"/>
      <c r="F435" s="9"/>
      <c r="J435" s="160"/>
      <c r="K435" s="47"/>
      <c r="L435" s="47"/>
      <c r="M435" s="46"/>
      <c r="N435" s="45"/>
      <c r="P435" s="53"/>
      <c r="T435" s="160"/>
    </row>
    <row r="436" spans="3:20" x14ac:dyDescent="0.2">
      <c r="C436" s="10"/>
      <c r="D436" s="10"/>
      <c r="E436" s="9"/>
      <c r="F436" s="9"/>
      <c r="J436" s="160"/>
      <c r="K436" s="47"/>
      <c r="L436" s="47"/>
      <c r="M436" s="46"/>
      <c r="N436" s="45"/>
      <c r="P436" s="53"/>
      <c r="T436" s="160"/>
    </row>
    <row r="437" spans="3:20" x14ac:dyDescent="0.2">
      <c r="C437" s="10"/>
      <c r="D437" s="10"/>
      <c r="E437" s="9"/>
      <c r="F437" s="9"/>
      <c r="J437" s="160"/>
      <c r="K437" s="47"/>
      <c r="L437" s="47"/>
      <c r="M437" s="46"/>
      <c r="N437" s="45"/>
      <c r="P437" s="53"/>
      <c r="T437" s="160"/>
    </row>
    <row r="438" spans="3:20" x14ac:dyDescent="0.2">
      <c r="C438" s="10"/>
      <c r="D438" s="10"/>
      <c r="E438" s="9"/>
      <c r="F438" s="9"/>
      <c r="J438" s="160"/>
      <c r="K438" s="47"/>
      <c r="L438" s="47"/>
      <c r="M438" s="46"/>
      <c r="N438" s="45"/>
      <c r="P438" s="53"/>
      <c r="T438" s="160"/>
    </row>
    <row r="439" spans="3:20" x14ac:dyDescent="0.2">
      <c r="C439" s="10"/>
      <c r="D439" s="10"/>
      <c r="E439" s="9"/>
      <c r="F439" s="9"/>
      <c r="J439" s="160"/>
      <c r="K439" s="47"/>
      <c r="L439" s="47"/>
      <c r="M439" s="46"/>
      <c r="N439" s="45"/>
      <c r="P439" s="53"/>
      <c r="T439" s="160"/>
    </row>
    <row r="440" spans="3:20" x14ac:dyDescent="0.2">
      <c r="C440" s="10"/>
      <c r="D440" s="10"/>
      <c r="E440" s="9"/>
      <c r="F440" s="9"/>
      <c r="J440" s="160"/>
      <c r="K440" s="47"/>
      <c r="L440" s="47"/>
      <c r="M440" s="46"/>
      <c r="N440" s="45"/>
      <c r="P440" s="53"/>
      <c r="T440" s="160"/>
    </row>
    <row r="441" spans="3:20" x14ac:dyDescent="0.2">
      <c r="C441" s="10"/>
      <c r="D441" s="10"/>
      <c r="E441" s="9"/>
      <c r="F441" s="9"/>
      <c r="J441" s="160"/>
      <c r="K441" s="47"/>
      <c r="L441" s="47"/>
      <c r="M441" s="46"/>
      <c r="N441" s="45"/>
      <c r="P441" s="53"/>
      <c r="T441" s="160"/>
    </row>
    <row r="442" spans="3:20" x14ac:dyDescent="0.2">
      <c r="C442" s="10"/>
      <c r="D442" s="10"/>
      <c r="E442" s="9"/>
      <c r="F442" s="9"/>
      <c r="J442" s="160"/>
      <c r="K442" s="47"/>
      <c r="L442" s="47"/>
      <c r="M442" s="46"/>
      <c r="N442" s="45"/>
      <c r="P442" s="53"/>
      <c r="T442" s="160"/>
    </row>
    <row r="443" spans="3:20" x14ac:dyDescent="0.2">
      <c r="C443" s="10"/>
      <c r="D443" s="10"/>
      <c r="E443" s="9"/>
      <c r="F443" s="9"/>
      <c r="J443" s="160"/>
      <c r="K443" s="47"/>
      <c r="L443" s="47"/>
      <c r="M443" s="46"/>
      <c r="N443" s="45"/>
      <c r="P443" s="53"/>
      <c r="T443" s="160"/>
    </row>
    <row r="444" spans="3:20" x14ac:dyDescent="0.2">
      <c r="C444" s="10"/>
      <c r="D444" s="10"/>
      <c r="E444" s="9"/>
      <c r="F444" s="9"/>
      <c r="J444" s="160"/>
      <c r="K444" s="47"/>
      <c r="L444" s="47"/>
      <c r="M444" s="46"/>
      <c r="N444" s="45"/>
      <c r="P444" s="53"/>
      <c r="T444" s="160"/>
    </row>
    <row r="445" spans="3:20" x14ac:dyDescent="0.2">
      <c r="C445" s="10"/>
      <c r="D445" s="10"/>
      <c r="E445" s="9"/>
      <c r="F445" s="9"/>
      <c r="J445" s="160"/>
      <c r="K445" s="47"/>
      <c r="L445" s="47"/>
      <c r="M445" s="46"/>
      <c r="N445" s="45"/>
      <c r="P445" s="53"/>
      <c r="T445" s="160"/>
    </row>
    <row r="446" spans="3:20" x14ac:dyDescent="0.2">
      <c r="C446" s="10"/>
      <c r="D446" s="10"/>
      <c r="E446" s="9"/>
      <c r="F446" s="9"/>
      <c r="J446" s="160"/>
      <c r="K446" s="47"/>
      <c r="L446" s="47"/>
      <c r="M446" s="46"/>
      <c r="N446" s="45"/>
      <c r="P446" s="53"/>
      <c r="T446" s="160"/>
    </row>
    <row r="447" spans="3:20" x14ac:dyDescent="0.2">
      <c r="C447" s="10"/>
      <c r="D447" s="10"/>
      <c r="E447" s="9"/>
      <c r="F447" s="9"/>
      <c r="J447" s="160"/>
      <c r="K447" s="47"/>
      <c r="L447" s="47"/>
      <c r="M447" s="46"/>
      <c r="N447" s="45"/>
      <c r="P447" s="53"/>
      <c r="T447" s="160"/>
    </row>
    <row r="448" spans="3:20" x14ac:dyDescent="0.2">
      <c r="C448" s="10"/>
      <c r="D448" s="10"/>
      <c r="E448" s="9"/>
      <c r="F448" s="9"/>
      <c r="J448" s="160"/>
      <c r="K448" s="47"/>
      <c r="L448" s="47"/>
      <c r="M448" s="46"/>
      <c r="N448" s="45"/>
      <c r="P448" s="53"/>
      <c r="T448" s="160"/>
    </row>
    <row r="449" spans="3:20" x14ac:dyDescent="0.2">
      <c r="C449" s="10"/>
      <c r="D449" s="10"/>
      <c r="E449" s="9"/>
      <c r="F449" s="9"/>
      <c r="J449" s="160"/>
      <c r="K449" s="47"/>
      <c r="L449" s="47"/>
      <c r="M449" s="46"/>
      <c r="N449" s="45"/>
      <c r="P449" s="53"/>
      <c r="T449" s="160"/>
    </row>
    <row r="450" spans="3:20" x14ac:dyDescent="0.2">
      <c r="C450" s="10"/>
      <c r="D450" s="10"/>
      <c r="E450" s="9"/>
      <c r="F450" s="9"/>
      <c r="J450" s="160"/>
      <c r="K450" s="47"/>
      <c r="L450" s="47"/>
      <c r="M450" s="46"/>
      <c r="N450" s="45"/>
      <c r="P450" s="53"/>
      <c r="T450" s="160"/>
    </row>
    <row r="451" spans="3:20" x14ac:dyDescent="0.2">
      <c r="C451" s="10"/>
      <c r="D451" s="10"/>
      <c r="E451" s="9"/>
      <c r="F451" s="9"/>
      <c r="J451" s="160"/>
      <c r="K451" s="47"/>
      <c r="L451" s="47"/>
      <c r="M451" s="46"/>
      <c r="N451" s="45"/>
      <c r="P451" s="53"/>
      <c r="T451" s="160"/>
    </row>
    <row r="452" spans="3:20" x14ac:dyDescent="0.2">
      <c r="C452" s="10"/>
      <c r="D452" s="10"/>
      <c r="E452" s="9"/>
      <c r="F452" s="9"/>
      <c r="J452" s="160"/>
      <c r="K452" s="47"/>
      <c r="L452" s="47"/>
      <c r="M452" s="46"/>
      <c r="N452" s="45"/>
      <c r="P452" s="53"/>
      <c r="T452" s="160"/>
    </row>
    <row r="453" spans="3:20" x14ac:dyDescent="0.2">
      <c r="C453" s="10"/>
      <c r="D453" s="10"/>
      <c r="E453" s="9"/>
      <c r="F453" s="9"/>
      <c r="J453" s="160"/>
      <c r="K453" s="47"/>
      <c r="L453" s="47"/>
      <c r="M453" s="46"/>
      <c r="N453" s="45"/>
      <c r="P453" s="53"/>
      <c r="T453" s="160"/>
    </row>
    <row r="454" spans="3:20" x14ac:dyDescent="0.2">
      <c r="C454" s="10"/>
      <c r="D454" s="10"/>
      <c r="E454" s="9"/>
      <c r="F454" s="9"/>
      <c r="J454" s="160"/>
      <c r="K454" s="47"/>
      <c r="L454" s="47"/>
      <c r="M454" s="46"/>
      <c r="N454" s="45"/>
      <c r="P454" s="53"/>
      <c r="T454" s="160"/>
    </row>
    <row r="455" spans="3:20" x14ac:dyDescent="0.2">
      <c r="C455" s="10"/>
      <c r="D455" s="10"/>
      <c r="E455" s="9"/>
      <c r="F455" s="9"/>
      <c r="J455" s="160"/>
      <c r="K455" s="47"/>
      <c r="L455" s="47"/>
      <c r="M455" s="46"/>
      <c r="N455" s="45"/>
      <c r="P455" s="53"/>
      <c r="T455" s="160"/>
    </row>
    <row r="456" spans="3:20" x14ac:dyDescent="0.2">
      <c r="C456" s="10"/>
      <c r="D456" s="10"/>
      <c r="E456" s="9"/>
      <c r="F456" s="9"/>
      <c r="J456" s="160"/>
      <c r="K456" s="47"/>
      <c r="L456" s="47"/>
      <c r="M456" s="46"/>
      <c r="N456" s="45"/>
      <c r="P456" s="53"/>
      <c r="T456" s="160"/>
    </row>
    <row r="457" spans="3:20" x14ac:dyDescent="0.2">
      <c r="C457" s="10"/>
      <c r="D457" s="10"/>
      <c r="E457" s="9"/>
      <c r="F457" s="9"/>
      <c r="J457" s="160"/>
      <c r="K457" s="47"/>
      <c r="L457" s="47"/>
      <c r="M457" s="46"/>
      <c r="N457" s="45"/>
      <c r="P457" s="53"/>
      <c r="T457" s="160"/>
    </row>
    <row r="458" spans="3:20" x14ac:dyDescent="0.2">
      <c r="C458" s="10"/>
      <c r="D458" s="10"/>
      <c r="E458" s="9"/>
      <c r="F458" s="9"/>
      <c r="J458" s="160"/>
      <c r="K458" s="47"/>
      <c r="L458" s="47"/>
      <c r="M458" s="46"/>
      <c r="N458" s="45"/>
      <c r="P458" s="53"/>
      <c r="T458" s="160"/>
    </row>
    <row r="459" spans="3:20" x14ac:dyDescent="0.2">
      <c r="C459" s="10"/>
      <c r="D459" s="10"/>
      <c r="E459" s="9"/>
      <c r="F459" s="9"/>
      <c r="J459" s="160"/>
      <c r="K459" s="47"/>
      <c r="L459" s="47"/>
      <c r="M459" s="46"/>
      <c r="N459" s="45"/>
      <c r="P459" s="53"/>
      <c r="T459" s="160"/>
    </row>
    <row r="460" spans="3:20" x14ac:dyDescent="0.2">
      <c r="C460" s="10"/>
      <c r="D460" s="10"/>
      <c r="E460" s="9"/>
      <c r="F460" s="9"/>
      <c r="J460" s="160"/>
      <c r="K460" s="47"/>
      <c r="L460" s="47"/>
      <c r="M460" s="46"/>
      <c r="N460" s="45"/>
      <c r="P460" s="53"/>
      <c r="T460" s="160"/>
    </row>
    <row r="461" spans="3:20" x14ac:dyDescent="0.2">
      <c r="C461" s="10"/>
      <c r="D461" s="10"/>
      <c r="E461" s="9"/>
      <c r="F461" s="9"/>
      <c r="J461" s="160"/>
      <c r="K461" s="47"/>
      <c r="L461" s="47"/>
      <c r="M461" s="46"/>
      <c r="N461" s="45"/>
      <c r="P461" s="53"/>
      <c r="T461" s="160"/>
    </row>
    <row r="462" spans="3:20" x14ac:dyDescent="0.2">
      <c r="C462" s="10"/>
      <c r="D462" s="10"/>
      <c r="E462" s="9"/>
      <c r="F462" s="9"/>
      <c r="J462" s="160"/>
      <c r="K462" s="47"/>
      <c r="L462" s="47"/>
      <c r="M462" s="46"/>
      <c r="N462" s="45"/>
      <c r="P462" s="53"/>
      <c r="T462" s="160"/>
    </row>
    <row r="463" spans="3:20" x14ac:dyDescent="0.2">
      <c r="C463" s="10"/>
      <c r="D463" s="10"/>
      <c r="E463" s="9"/>
      <c r="F463" s="9"/>
      <c r="J463" s="160"/>
      <c r="K463" s="47"/>
      <c r="L463" s="47"/>
      <c r="M463" s="46"/>
      <c r="N463" s="45"/>
      <c r="P463" s="53"/>
      <c r="T463" s="160"/>
    </row>
    <row r="464" spans="3:20" x14ac:dyDescent="0.2">
      <c r="C464" s="10"/>
      <c r="D464" s="10"/>
      <c r="E464" s="9"/>
      <c r="F464" s="9"/>
      <c r="J464" s="160"/>
      <c r="K464" s="47"/>
      <c r="L464" s="47"/>
      <c r="M464" s="46"/>
      <c r="N464" s="45"/>
      <c r="P464" s="53"/>
      <c r="T464" s="160"/>
    </row>
    <row r="465" spans="3:20" x14ac:dyDescent="0.2">
      <c r="C465" s="10"/>
      <c r="D465" s="10"/>
      <c r="E465" s="9"/>
      <c r="F465" s="9"/>
      <c r="J465" s="160"/>
      <c r="K465" s="47"/>
      <c r="L465" s="47"/>
      <c r="M465" s="46"/>
      <c r="N465" s="45"/>
      <c r="P465" s="53"/>
      <c r="T465" s="160"/>
    </row>
    <row r="466" spans="3:20" x14ac:dyDescent="0.2">
      <c r="C466" s="10"/>
      <c r="D466" s="10"/>
      <c r="E466" s="9"/>
      <c r="F466" s="9"/>
      <c r="J466" s="160"/>
      <c r="K466" s="47"/>
      <c r="L466" s="47"/>
      <c r="M466" s="46"/>
      <c r="N466" s="45"/>
      <c r="P466" s="53"/>
      <c r="T466" s="160"/>
    </row>
    <row r="467" spans="3:20" x14ac:dyDescent="0.2">
      <c r="C467" s="10"/>
      <c r="D467" s="10"/>
      <c r="E467" s="9"/>
      <c r="F467" s="9"/>
      <c r="J467" s="160"/>
      <c r="K467" s="47"/>
      <c r="L467" s="47"/>
      <c r="M467" s="46"/>
      <c r="N467" s="45"/>
      <c r="P467" s="53"/>
      <c r="T467" s="160"/>
    </row>
    <row r="468" spans="3:20" x14ac:dyDescent="0.2">
      <c r="C468" s="10"/>
      <c r="D468" s="10"/>
      <c r="E468" s="9"/>
      <c r="F468" s="9"/>
      <c r="J468" s="160"/>
      <c r="K468" s="47"/>
      <c r="L468" s="47"/>
      <c r="M468" s="46"/>
      <c r="N468" s="45"/>
      <c r="P468" s="53"/>
      <c r="T468" s="160"/>
    </row>
    <row r="469" spans="3:20" x14ac:dyDescent="0.2">
      <c r="C469" s="10"/>
      <c r="D469" s="10"/>
      <c r="E469" s="9"/>
      <c r="F469" s="9"/>
      <c r="J469" s="160"/>
      <c r="K469" s="47"/>
      <c r="L469" s="47"/>
      <c r="M469" s="46"/>
      <c r="N469" s="45"/>
      <c r="P469" s="53"/>
      <c r="T469" s="160"/>
    </row>
    <row r="470" spans="3:20" x14ac:dyDescent="0.2">
      <c r="C470" s="10"/>
      <c r="D470" s="10"/>
      <c r="E470" s="9"/>
      <c r="F470" s="9"/>
      <c r="J470" s="160"/>
      <c r="K470" s="47"/>
      <c r="L470" s="47"/>
      <c r="M470" s="46"/>
      <c r="N470" s="45"/>
      <c r="P470" s="53"/>
      <c r="T470" s="160"/>
    </row>
    <row r="471" spans="3:20" x14ac:dyDescent="0.2">
      <c r="C471" s="10"/>
      <c r="D471" s="10"/>
      <c r="E471" s="9"/>
      <c r="F471" s="9"/>
      <c r="J471" s="160"/>
      <c r="K471" s="47"/>
      <c r="L471" s="47"/>
      <c r="M471" s="46"/>
      <c r="N471" s="45"/>
      <c r="P471" s="53"/>
      <c r="T471" s="160"/>
    </row>
    <row r="472" spans="3:20" x14ac:dyDescent="0.2">
      <c r="C472" s="10"/>
      <c r="D472" s="10"/>
      <c r="E472" s="9"/>
      <c r="F472" s="9"/>
      <c r="J472" s="160"/>
      <c r="K472" s="47"/>
      <c r="L472" s="47"/>
      <c r="M472" s="46"/>
      <c r="N472" s="45"/>
      <c r="P472" s="53"/>
      <c r="T472" s="160"/>
    </row>
    <row r="473" spans="3:20" x14ac:dyDescent="0.2">
      <c r="C473" s="10"/>
      <c r="D473" s="10"/>
      <c r="E473" s="9"/>
      <c r="F473" s="9"/>
      <c r="J473" s="160"/>
      <c r="K473" s="47"/>
      <c r="L473" s="47"/>
      <c r="M473" s="46"/>
      <c r="N473" s="45"/>
      <c r="P473" s="53"/>
      <c r="T473" s="160"/>
    </row>
    <row r="474" spans="3:20" x14ac:dyDescent="0.2">
      <c r="C474" s="10"/>
      <c r="D474" s="10"/>
      <c r="E474" s="9"/>
      <c r="F474" s="9"/>
      <c r="J474" s="160"/>
      <c r="K474" s="47"/>
      <c r="L474" s="47"/>
      <c r="M474" s="46"/>
      <c r="N474" s="45"/>
      <c r="P474" s="53"/>
      <c r="T474" s="160"/>
    </row>
    <row r="475" spans="3:20" x14ac:dyDescent="0.2">
      <c r="C475" s="10"/>
      <c r="D475" s="10"/>
      <c r="E475" s="9"/>
      <c r="F475" s="9"/>
      <c r="J475" s="160"/>
      <c r="K475" s="47"/>
      <c r="L475" s="47"/>
      <c r="M475" s="46"/>
      <c r="N475" s="45"/>
      <c r="P475" s="53"/>
      <c r="T475" s="160"/>
    </row>
    <row r="476" spans="3:20" x14ac:dyDescent="0.2">
      <c r="C476" s="10"/>
      <c r="D476" s="10"/>
      <c r="E476" s="9"/>
      <c r="F476" s="9"/>
      <c r="J476" s="160"/>
      <c r="K476" s="47"/>
      <c r="L476" s="47"/>
      <c r="M476" s="46"/>
      <c r="N476" s="45"/>
      <c r="P476" s="53"/>
      <c r="T476" s="160"/>
    </row>
    <row r="477" spans="3:20" x14ac:dyDescent="0.2">
      <c r="C477" s="10"/>
      <c r="D477" s="10"/>
      <c r="E477" s="9"/>
      <c r="F477" s="9"/>
      <c r="J477" s="160"/>
      <c r="K477" s="47"/>
      <c r="L477" s="47"/>
      <c r="M477" s="46"/>
      <c r="N477" s="45"/>
      <c r="P477" s="53"/>
      <c r="T477" s="160"/>
    </row>
    <row r="478" spans="3:20" x14ac:dyDescent="0.2">
      <c r="C478" s="10"/>
      <c r="D478" s="10"/>
      <c r="E478" s="9"/>
      <c r="F478" s="9"/>
      <c r="J478" s="160"/>
      <c r="K478" s="47"/>
      <c r="L478" s="47"/>
      <c r="M478" s="46"/>
      <c r="N478" s="45"/>
      <c r="P478" s="53"/>
      <c r="T478" s="160"/>
    </row>
    <row r="479" spans="3:20" x14ac:dyDescent="0.2">
      <c r="C479" s="10"/>
      <c r="D479" s="10"/>
      <c r="E479" s="9"/>
      <c r="F479" s="9"/>
      <c r="J479" s="160"/>
      <c r="K479" s="47"/>
      <c r="L479" s="47"/>
      <c r="M479" s="46"/>
      <c r="N479" s="45"/>
      <c r="P479" s="53"/>
      <c r="T479" s="160"/>
    </row>
    <row r="480" spans="3:20" x14ac:dyDescent="0.2">
      <c r="C480" s="10"/>
      <c r="D480" s="10"/>
      <c r="E480" s="9"/>
      <c r="F480" s="9"/>
      <c r="J480" s="160"/>
      <c r="K480" s="47"/>
      <c r="L480" s="47"/>
      <c r="M480" s="46"/>
      <c r="N480" s="45"/>
      <c r="P480" s="53"/>
      <c r="T480" s="160"/>
    </row>
    <row r="481" spans="3:20" x14ac:dyDescent="0.2">
      <c r="C481" s="10"/>
      <c r="D481" s="10"/>
      <c r="E481" s="9"/>
      <c r="F481" s="9"/>
      <c r="J481" s="160"/>
      <c r="K481" s="47"/>
      <c r="L481" s="47"/>
      <c r="M481" s="46"/>
      <c r="N481" s="45"/>
      <c r="P481" s="53"/>
      <c r="T481" s="160"/>
    </row>
    <row r="482" spans="3:20" x14ac:dyDescent="0.2">
      <c r="C482" s="10"/>
      <c r="D482" s="10"/>
      <c r="E482" s="9"/>
      <c r="F482" s="9"/>
      <c r="J482" s="160"/>
      <c r="K482" s="47"/>
      <c r="L482" s="47"/>
      <c r="M482" s="46"/>
      <c r="N482" s="45"/>
      <c r="P482" s="53"/>
      <c r="T482" s="160"/>
    </row>
    <row r="483" spans="3:20" x14ac:dyDescent="0.2">
      <c r="C483" s="10"/>
      <c r="D483" s="10"/>
      <c r="E483" s="9"/>
      <c r="F483" s="9"/>
      <c r="J483" s="160"/>
      <c r="K483" s="47"/>
      <c r="L483" s="47"/>
      <c r="M483" s="46"/>
      <c r="N483" s="45"/>
      <c r="P483" s="53"/>
      <c r="T483" s="160"/>
    </row>
    <row r="484" spans="3:20" x14ac:dyDescent="0.2">
      <c r="C484" s="10"/>
      <c r="D484" s="10"/>
      <c r="E484" s="9"/>
      <c r="F484" s="9"/>
      <c r="J484" s="160"/>
      <c r="K484" s="47"/>
      <c r="L484" s="47"/>
      <c r="M484" s="46"/>
      <c r="N484" s="45"/>
      <c r="P484" s="53"/>
      <c r="T484" s="160"/>
    </row>
    <row r="485" spans="3:20" x14ac:dyDescent="0.2">
      <c r="C485" s="10"/>
      <c r="D485" s="10"/>
      <c r="E485" s="9"/>
      <c r="F485" s="9"/>
      <c r="J485" s="160"/>
      <c r="K485" s="47"/>
      <c r="L485" s="47"/>
      <c r="M485" s="46"/>
      <c r="N485" s="45"/>
      <c r="P485" s="53"/>
      <c r="T485" s="160"/>
    </row>
    <row r="486" spans="3:20" x14ac:dyDescent="0.2">
      <c r="C486" s="10"/>
      <c r="D486" s="10"/>
      <c r="E486" s="9"/>
      <c r="F486" s="9"/>
      <c r="J486" s="160"/>
      <c r="K486" s="47"/>
      <c r="L486" s="47"/>
      <c r="M486" s="46"/>
      <c r="N486" s="45"/>
      <c r="P486" s="53"/>
      <c r="T486" s="160"/>
    </row>
    <row r="487" spans="3:20" x14ac:dyDescent="0.2">
      <c r="C487" s="10"/>
      <c r="D487" s="10"/>
      <c r="E487" s="9"/>
      <c r="F487" s="9"/>
      <c r="J487" s="160"/>
      <c r="K487" s="47"/>
      <c r="L487" s="47"/>
      <c r="M487" s="46"/>
      <c r="N487" s="45"/>
      <c r="P487" s="53"/>
      <c r="T487" s="160"/>
    </row>
    <row r="488" spans="3:20" x14ac:dyDescent="0.2">
      <c r="C488" s="10"/>
      <c r="D488" s="10"/>
      <c r="E488" s="9"/>
      <c r="F488" s="9"/>
      <c r="J488" s="160"/>
      <c r="K488" s="47"/>
      <c r="L488" s="47"/>
      <c r="M488" s="46"/>
      <c r="N488" s="45"/>
      <c r="P488" s="53"/>
      <c r="T488" s="160"/>
    </row>
    <row r="489" spans="3:20" x14ac:dyDescent="0.2">
      <c r="C489" s="10"/>
      <c r="D489" s="10"/>
      <c r="E489" s="9"/>
      <c r="F489" s="9"/>
      <c r="J489" s="160"/>
      <c r="K489" s="47"/>
      <c r="L489" s="47"/>
      <c r="M489" s="46"/>
      <c r="N489" s="45"/>
      <c r="P489" s="53"/>
      <c r="T489" s="160"/>
    </row>
    <row r="490" spans="3:20" x14ac:dyDescent="0.2">
      <c r="C490" s="10"/>
      <c r="D490" s="10"/>
      <c r="E490" s="9"/>
      <c r="F490" s="9"/>
      <c r="J490" s="160"/>
      <c r="K490" s="47"/>
      <c r="L490" s="47"/>
      <c r="M490" s="46"/>
      <c r="N490" s="45"/>
      <c r="P490" s="53"/>
      <c r="T490" s="160"/>
    </row>
    <row r="491" spans="3:20" x14ac:dyDescent="0.2">
      <c r="C491" s="10"/>
      <c r="D491" s="10"/>
      <c r="E491" s="9"/>
      <c r="F491" s="9"/>
      <c r="J491" s="160"/>
      <c r="K491" s="47"/>
      <c r="L491" s="47"/>
      <c r="M491" s="46"/>
      <c r="N491" s="45"/>
      <c r="P491" s="53"/>
      <c r="T491" s="160"/>
    </row>
    <row r="492" spans="3:20" x14ac:dyDescent="0.2">
      <c r="C492" s="10"/>
      <c r="D492" s="10"/>
      <c r="E492" s="9"/>
      <c r="F492" s="9"/>
      <c r="J492" s="160"/>
      <c r="K492" s="47"/>
      <c r="L492" s="47"/>
      <c r="M492" s="46"/>
      <c r="N492" s="45"/>
      <c r="P492" s="53"/>
      <c r="T492" s="160"/>
    </row>
    <row r="493" spans="3:20" x14ac:dyDescent="0.2">
      <c r="C493" s="10"/>
      <c r="D493" s="10"/>
      <c r="E493" s="9"/>
      <c r="F493" s="9"/>
      <c r="J493" s="160"/>
      <c r="K493" s="47"/>
      <c r="L493" s="47"/>
      <c r="M493" s="46"/>
      <c r="N493" s="45"/>
      <c r="P493" s="53"/>
      <c r="T493" s="160"/>
    </row>
    <row r="494" spans="3:20" x14ac:dyDescent="0.2">
      <c r="C494" s="10"/>
      <c r="D494" s="10"/>
      <c r="E494" s="9"/>
      <c r="F494" s="9"/>
      <c r="J494" s="160"/>
      <c r="K494" s="47"/>
      <c r="L494" s="47"/>
      <c r="M494" s="46"/>
      <c r="N494" s="45"/>
      <c r="P494" s="53"/>
      <c r="T494" s="160"/>
    </row>
    <row r="495" spans="3:20" x14ac:dyDescent="0.2">
      <c r="C495" s="10"/>
      <c r="D495" s="10"/>
      <c r="E495" s="9"/>
      <c r="F495" s="9"/>
      <c r="J495" s="160"/>
      <c r="K495" s="47"/>
      <c r="L495" s="47"/>
      <c r="M495" s="46"/>
      <c r="N495" s="45"/>
      <c r="P495" s="53"/>
      <c r="T495" s="160"/>
    </row>
    <row r="496" spans="3:20" x14ac:dyDescent="0.2">
      <c r="C496" s="10"/>
      <c r="D496" s="10"/>
      <c r="E496" s="9"/>
      <c r="F496" s="9"/>
      <c r="J496" s="160"/>
      <c r="K496" s="47"/>
      <c r="L496" s="47"/>
      <c r="M496" s="46"/>
      <c r="N496" s="45"/>
      <c r="P496" s="53"/>
      <c r="T496" s="160"/>
    </row>
    <row r="497" spans="3:20" x14ac:dyDescent="0.2">
      <c r="C497" s="10"/>
      <c r="D497" s="10"/>
      <c r="E497" s="9"/>
      <c r="F497" s="9"/>
      <c r="J497" s="160"/>
      <c r="K497" s="47"/>
      <c r="L497" s="47"/>
      <c r="M497" s="46"/>
      <c r="N497" s="45"/>
      <c r="P497" s="53"/>
      <c r="T497" s="160"/>
    </row>
    <row r="498" spans="3:20" x14ac:dyDescent="0.2">
      <c r="C498" s="10"/>
      <c r="D498" s="10"/>
      <c r="E498" s="9"/>
      <c r="F498" s="9"/>
      <c r="J498" s="160"/>
      <c r="K498" s="47"/>
      <c r="L498" s="47"/>
      <c r="M498" s="46"/>
      <c r="N498" s="45"/>
      <c r="P498" s="53"/>
      <c r="T498" s="160"/>
    </row>
    <row r="499" spans="3:20" x14ac:dyDescent="0.2">
      <c r="C499" s="10"/>
      <c r="D499" s="10"/>
      <c r="E499" s="9"/>
      <c r="F499" s="9"/>
      <c r="J499" s="160"/>
      <c r="K499" s="47"/>
      <c r="L499" s="47"/>
      <c r="M499" s="46"/>
      <c r="N499" s="45"/>
      <c r="P499" s="53"/>
      <c r="T499" s="160"/>
    </row>
    <row r="500" spans="3:20" x14ac:dyDescent="0.2">
      <c r="C500" s="10"/>
      <c r="D500" s="10"/>
      <c r="E500" s="9"/>
      <c r="F500" s="9"/>
      <c r="J500" s="160"/>
      <c r="K500" s="47"/>
      <c r="L500" s="47"/>
      <c r="M500" s="46"/>
      <c r="N500" s="45"/>
      <c r="P500" s="53"/>
      <c r="T500" s="160"/>
    </row>
    <row r="501" spans="3:20" x14ac:dyDescent="0.2">
      <c r="C501" s="10"/>
      <c r="D501" s="10"/>
      <c r="E501" s="9"/>
      <c r="F501" s="9"/>
      <c r="J501" s="160"/>
      <c r="K501" s="47"/>
      <c r="L501" s="47"/>
      <c r="M501" s="46"/>
      <c r="N501" s="45"/>
      <c r="P501" s="53"/>
      <c r="T501" s="160"/>
    </row>
    <row r="502" spans="3:20" x14ac:dyDescent="0.2">
      <c r="C502" s="10"/>
      <c r="D502" s="10"/>
      <c r="E502" s="9"/>
      <c r="F502" s="9"/>
      <c r="J502" s="160"/>
      <c r="K502" s="47"/>
      <c r="L502" s="47"/>
      <c r="M502" s="46"/>
      <c r="N502" s="45"/>
      <c r="P502" s="53"/>
      <c r="T502" s="160"/>
    </row>
    <row r="503" spans="3:20" x14ac:dyDescent="0.2">
      <c r="C503" s="10"/>
      <c r="D503" s="10"/>
      <c r="E503" s="9"/>
      <c r="F503" s="9"/>
      <c r="J503" s="160"/>
      <c r="K503" s="47"/>
      <c r="L503" s="47"/>
      <c r="M503" s="46"/>
      <c r="N503" s="45"/>
      <c r="P503" s="53"/>
      <c r="T503" s="160"/>
    </row>
    <row r="504" spans="3:20" x14ac:dyDescent="0.2">
      <c r="C504" s="10"/>
      <c r="D504" s="10"/>
      <c r="E504" s="9"/>
      <c r="F504" s="9"/>
      <c r="J504" s="160"/>
      <c r="K504" s="47"/>
      <c r="L504" s="47"/>
      <c r="M504" s="46"/>
      <c r="N504" s="45"/>
      <c r="P504" s="53"/>
      <c r="T504" s="160"/>
    </row>
    <row r="505" spans="3:20" x14ac:dyDescent="0.2">
      <c r="C505" s="10"/>
      <c r="D505" s="10"/>
      <c r="E505" s="9"/>
      <c r="F505" s="9"/>
      <c r="J505" s="160"/>
      <c r="K505" s="47"/>
      <c r="L505" s="47"/>
      <c r="M505" s="46"/>
      <c r="N505" s="45"/>
      <c r="P505" s="53"/>
      <c r="T505" s="160"/>
    </row>
    <row r="506" spans="3:20" x14ac:dyDescent="0.2">
      <c r="C506" s="10"/>
      <c r="D506" s="10"/>
      <c r="E506" s="9"/>
      <c r="F506" s="9"/>
      <c r="J506" s="160"/>
      <c r="K506" s="47"/>
      <c r="L506" s="47"/>
      <c r="M506" s="46"/>
      <c r="N506" s="45"/>
      <c r="P506" s="53"/>
      <c r="T506" s="160"/>
    </row>
    <row r="507" spans="3:20" x14ac:dyDescent="0.2">
      <c r="C507" s="10"/>
      <c r="D507" s="10"/>
      <c r="E507" s="9"/>
      <c r="F507" s="9"/>
      <c r="J507" s="160"/>
      <c r="K507" s="47"/>
      <c r="L507" s="47"/>
      <c r="M507" s="46"/>
      <c r="N507" s="45"/>
      <c r="P507" s="53"/>
      <c r="T507" s="160"/>
    </row>
    <row r="508" spans="3:20" x14ac:dyDescent="0.2">
      <c r="C508" s="10"/>
      <c r="D508" s="10"/>
      <c r="E508" s="9"/>
      <c r="F508" s="9"/>
      <c r="J508" s="160"/>
      <c r="K508" s="47"/>
      <c r="L508" s="47"/>
      <c r="M508" s="46"/>
      <c r="N508" s="45"/>
      <c r="P508" s="53"/>
      <c r="T508" s="160"/>
    </row>
    <row r="509" spans="3:20" x14ac:dyDescent="0.2">
      <c r="C509" s="10"/>
      <c r="D509" s="10"/>
      <c r="E509" s="9"/>
      <c r="F509" s="9"/>
      <c r="J509" s="160"/>
      <c r="K509" s="47"/>
      <c r="L509" s="47"/>
      <c r="M509" s="46"/>
      <c r="N509" s="45"/>
      <c r="P509" s="53"/>
      <c r="T509" s="160"/>
    </row>
    <row r="510" spans="3:20" x14ac:dyDescent="0.2">
      <c r="C510" s="10"/>
      <c r="D510" s="10"/>
      <c r="E510" s="9"/>
      <c r="F510" s="9"/>
      <c r="J510" s="160"/>
      <c r="K510" s="47"/>
      <c r="L510" s="47"/>
      <c r="M510" s="46"/>
      <c r="N510" s="45"/>
      <c r="P510" s="53"/>
      <c r="T510" s="160"/>
    </row>
    <row r="511" spans="3:20" x14ac:dyDescent="0.2">
      <c r="C511" s="10"/>
      <c r="D511" s="10"/>
      <c r="E511" s="9"/>
      <c r="F511" s="9"/>
      <c r="J511" s="160"/>
      <c r="K511" s="47"/>
      <c r="L511" s="47"/>
      <c r="M511" s="46"/>
      <c r="N511" s="45"/>
      <c r="P511" s="53"/>
      <c r="T511" s="160"/>
    </row>
    <row r="512" spans="3:20" x14ac:dyDescent="0.2">
      <c r="C512" s="10"/>
      <c r="D512" s="10"/>
      <c r="E512" s="9"/>
      <c r="F512" s="9"/>
      <c r="J512" s="160"/>
      <c r="K512" s="47"/>
      <c r="L512" s="47"/>
      <c r="M512" s="46"/>
      <c r="N512" s="45"/>
      <c r="P512" s="53"/>
      <c r="T512" s="160"/>
    </row>
    <row r="513" spans="3:20" x14ac:dyDescent="0.2">
      <c r="C513" s="10"/>
      <c r="D513" s="10"/>
      <c r="E513" s="9"/>
      <c r="F513" s="9"/>
      <c r="J513" s="160"/>
      <c r="K513" s="47"/>
      <c r="L513" s="47"/>
      <c r="M513" s="46"/>
      <c r="N513" s="45"/>
      <c r="P513" s="53"/>
      <c r="T513" s="160"/>
    </row>
    <row r="514" spans="3:20" x14ac:dyDescent="0.2">
      <c r="C514" s="10"/>
      <c r="D514" s="10"/>
      <c r="E514" s="9"/>
      <c r="F514" s="9"/>
      <c r="J514" s="160"/>
      <c r="K514" s="47"/>
      <c r="L514" s="47"/>
      <c r="M514" s="46"/>
      <c r="N514" s="45"/>
      <c r="P514" s="53"/>
      <c r="T514" s="160"/>
    </row>
    <row r="515" spans="3:20" x14ac:dyDescent="0.2">
      <c r="C515" s="10"/>
      <c r="D515" s="10"/>
      <c r="E515" s="9"/>
      <c r="F515" s="9"/>
      <c r="J515" s="160"/>
      <c r="K515" s="47"/>
      <c r="L515" s="47"/>
      <c r="M515" s="46"/>
      <c r="N515" s="45"/>
      <c r="P515" s="53"/>
      <c r="T515" s="160"/>
    </row>
    <row r="516" spans="3:20" x14ac:dyDescent="0.2">
      <c r="C516" s="10"/>
      <c r="D516" s="10"/>
      <c r="E516" s="9"/>
      <c r="F516" s="9"/>
      <c r="J516" s="160"/>
      <c r="K516" s="47"/>
      <c r="L516" s="47"/>
      <c r="M516" s="46"/>
      <c r="N516" s="45"/>
      <c r="P516" s="53"/>
      <c r="T516" s="160"/>
    </row>
    <row r="517" spans="3:20" x14ac:dyDescent="0.2">
      <c r="C517" s="10"/>
      <c r="D517" s="10"/>
      <c r="E517" s="9"/>
      <c r="F517" s="9"/>
      <c r="J517" s="160"/>
      <c r="K517" s="47"/>
      <c r="L517" s="47"/>
      <c r="M517" s="46"/>
      <c r="N517" s="45"/>
      <c r="P517" s="53"/>
      <c r="T517" s="160"/>
    </row>
    <row r="518" spans="3:20" x14ac:dyDescent="0.2">
      <c r="C518" s="10"/>
      <c r="D518" s="10"/>
      <c r="E518" s="9"/>
      <c r="F518" s="9"/>
      <c r="J518" s="160"/>
      <c r="K518" s="47"/>
      <c r="L518" s="47"/>
      <c r="M518" s="46"/>
      <c r="N518" s="45"/>
      <c r="P518" s="53"/>
      <c r="T518" s="160"/>
    </row>
    <row r="519" spans="3:20" x14ac:dyDescent="0.2">
      <c r="C519" s="10"/>
      <c r="D519" s="10"/>
      <c r="E519" s="9"/>
      <c r="F519" s="9"/>
      <c r="J519" s="160"/>
      <c r="K519" s="47"/>
      <c r="L519" s="47"/>
      <c r="M519" s="46"/>
      <c r="N519" s="45"/>
      <c r="P519" s="53"/>
      <c r="T519" s="160"/>
    </row>
    <row r="520" spans="3:20" x14ac:dyDescent="0.2">
      <c r="C520" s="10"/>
      <c r="D520" s="10"/>
      <c r="E520" s="9"/>
      <c r="F520" s="9"/>
      <c r="J520" s="160"/>
      <c r="K520" s="47"/>
      <c r="L520" s="47"/>
      <c r="M520" s="46"/>
      <c r="N520" s="45"/>
      <c r="P520" s="53"/>
      <c r="T520" s="160"/>
    </row>
    <row r="521" spans="3:20" x14ac:dyDescent="0.2">
      <c r="C521" s="10"/>
      <c r="D521" s="10"/>
      <c r="E521" s="9"/>
      <c r="F521" s="9"/>
      <c r="J521" s="160"/>
      <c r="K521" s="47"/>
      <c r="L521" s="47"/>
      <c r="M521" s="46"/>
      <c r="N521" s="45"/>
      <c r="P521" s="53"/>
      <c r="T521" s="160"/>
    </row>
    <row r="522" spans="3:20" x14ac:dyDescent="0.2">
      <c r="C522" s="10"/>
      <c r="D522" s="10"/>
      <c r="E522" s="9"/>
      <c r="F522" s="9"/>
      <c r="J522" s="160"/>
      <c r="K522" s="47"/>
      <c r="L522" s="47"/>
      <c r="M522" s="46"/>
      <c r="N522" s="45"/>
      <c r="P522" s="53"/>
      <c r="T522" s="160"/>
    </row>
    <row r="523" spans="3:20" x14ac:dyDescent="0.2">
      <c r="C523" s="10"/>
      <c r="D523" s="10"/>
      <c r="E523" s="9"/>
      <c r="F523" s="9"/>
      <c r="J523" s="160"/>
      <c r="K523" s="47"/>
      <c r="L523" s="47"/>
      <c r="M523" s="46"/>
      <c r="N523" s="45"/>
      <c r="P523" s="53"/>
      <c r="T523" s="160"/>
    </row>
    <row r="524" spans="3:20" x14ac:dyDescent="0.2">
      <c r="C524" s="10"/>
      <c r="D524" s="10"/>
      <c r="E524" s="9"/>
      <c r="F524" s="9"/>
      <c r="J524" s="160"/>
      <c r="K524" s="47"/>
      <c r="L524" s="47"/>
      <c r="M524" s="46"/>
      <c r="N524" s="45"/>
      <c r="P524" s="53"/>
      <c r="T524" s="160"/>
    </row>
    <row r="525" spans="3:20" x14ac:dyDescent="0.2">
      <c r="C525" s="10"/>
      <c r="D525" s="10"/>
      <c r="E525" s="9"/>
      <c r="F525" s="9"/>
      <c r="J525" s="160"/>
      <c r="K525" s="47"/>
      <c r="L525" s="47"/>
      <c r="M525" s="46"/>
      <c r="N525" s="45"/>
      <c r="P525" s="53"/>
      <c r="T525" s="160"/>
    </row>
    <row r="526" spans="3:20" x14ac:dyDescent="0.2">
      <c r="C526" s="10"/>
      <c r="D526" s="10"/>
      <c r="E526" s="9"/>
      <c r="F526" s="9"/>
      <c r="J526" s="160"/>
      <c r="K526" s="47"/>
      <c r="L526" s="47"/>
      <c r="M526" s="46"/>
      <c r="N526" s="45"/>
      <c r="P526" s="53"/>
      <c r="T526" s="160"/>
    </row>
    <row r="527" spans="3:20" x14ac:dyDescent="0.2">
      <c r="C527" s="10"/>
      <c r="D527" s="10"/>
      <c r="E527" s="9"/>
      <c r="F527" s="9"/>
      <c r="J527" s="160"/>
      <c r="K527" s="47"/>
      <c r="L527" s="47"/>
      <c r="M527" s="46"/>
      <c r="N527" s="45"/>
      <c r="P527" s="53"/>
      <c r="T527" s="160"/>
    </row>
    <row r="528" spans="3:20" x14ac:dyDescent="0.2">
      <c r="C528" s="10"/>
      <c r="D528" s="10"/>
      <c r="E528" s="9"/>
      <c r="F528" s="9"/>
      <c r="J528" s="160"/>
      <c r="K528" s="47"/>
      <c r="L528" s="47"/>
      <c r="M528" s="46"/>
      <c r="N528" s="45"/>
      <c r="P528" s="53"/>
      <c r="T528" s="160"/>
    </row>
    <row r="529" spans="3:20" x14ac:dyDescent="0.2">
      <c r="C529" s="10"/>
      <c r="D529" s="10"/>
      <c r="E529" s="9"/>
      <c r="F529" s="9"/>
      <c r="J529" s="160"/>
      <c r="K529" s="47"/>
      <c r="L529" s="47"/>
      <c r="M529" s="46"/>
      <c r="N529" s="45"/>
      <c r="P529" s="53"/>
      <c r="T529" s="160"/>
    </row>
    <row r="530" spans="3:20" x14ac:dyDescent="0.2">
      <c r="C530" s="10"/>
      <c r="D530" s="10"/>
      <c r="E530" s="9"/>
      <c r="F530" s="9"/>
      <c r="J530" s="160"/>
      <c r="K530" s="47"/>
      <c r="L530" s="47"/>
      <c r="M530" s="46"/>
      <c r="N530" s="45"/>
      <c r="P530" s="53"/>
      <c r="T530" s="160"/>
    </row>
    <row r="531" spans="3:20" x14ac:dyDescent="0.2">
      <c r="C531" s="10"/>
      <c r="D531" s="10"/>
      <c r="E531" s="9"/>
      <c r="F531" s="9"/>
      <c r="J531" s="160"/>
      <c r="K531" s="47"/>
      <c r="L531" s="47"/>
      <c r="M531" s="46"/>
      <c r="N531" s="45"/>
      <c r="P531" s="53"/>
      <c r="T531" s="160"/>
    </row>
    <row r="532" spans="3:20" x14ac:dyDescent="0.2">
      <c r="C532" s="10"/>
      <c r="D532" s="10"/>
      <c r="E532" s="9"/>
      <c r="F532" s="9"/>
      <c r="J532" s="160"/>
      <c r="K532" s="47"/>
      <c r="L532" s="47"/>
      <c r="M532" s="46"/>
      <c r="N532" s="45"/>
      <c r="P532" s="53"/>
      <c r="T532" s="160"/>
    </row>
    <row r="533" spans="3:20" x14ac:dyDescent="0.2">
      <c r="C533" s="10"/>
      <c r="D533" s="10"/>
      <c r="E533" s="9"/>
      <c r="F533" s="9"/>
      <c r="J533" s="160"/>
      <c r="K533" s="47"/>
      <c r="L533" s="47"/>
      <c r="M533" s="46"/>
      <c r="N533" s="45"/>
      <c r="P533" s="53"/>
      <c r="T533" s="160"/>
    </row>
    <row r="534" spans="3:20" x14ac:dyDescent="0.2">
      <c r="C534" s="10"/>
      <c r="D534" s="10"/>
      <c r="E534" s="9"/>
      <c r="F534" s="9"/>
      <c r="J534" s="160"/>
      <c r="K534" s="47"/>
      <c r="L534" s="47"/>
      <c r="M534" s="46"/>
      <c r="N534" s="45"/>
      <c r="P534" s="53"/>
      <c r="T534" s="160"/>
    </row>
    <row r="535" spans="3:20" x14ac:dyDescent="0.2">
      <c r="C535" s="10"/>
      <c r="D535" s="10"/>
      <c r="E535" s="9"/>
      <c r="F535" s="9"/>
      <c r="J535" s="160"/>
      <c r="K535" s="47"/>
      <c r="L535" s="47"/>
      <c r="M535" s="46"/>
      <c r="N535" s="45"/>
      <c r="P535" s="53"/>
      <c r="T535" s="160"/>
    </row>
    <row r="536" spans="3:20" x14ac:dyDescent="0.2">
      <c r="C536" s="10"/>
      <c r="D536" s="10"/>
      <c r="E536" s="9"/>
      <c r="F536" s="9"/>
      <c r="J536" s="160"/>
      <c r="K536" s="47"/>
      <c r="L536" s="47"/>
      <c r="M536" s="46"/>
      <c r="N536" s="45"/>
      <c r="P536" s="53"/>
      <c r="T536" s="160"/>
    </row>
    <row r="537" spans="3:20" x14ac:dyDescent="0.2">
      <c r="C537" s="10"/>
      <c r="D537" s="10"/>
      <c r="E537" s="9"/>
      <c r="F537" s="9"/>
      <c r="J537" s="160"/>
      <c r="K537" s="47"/>
      <c r="L537" s="47"/>
      <c r="M537" s="46"/>
      <c r="N537" s="45"/>
      <c r="P537" s="53"/>
      <c r="T537" s="160"/>
    </row>
    <row r="538" spans="3:20" x14ac:dyDescent="0.2">
      <c r="C538" s="10"/>
      <c r="D538" s="10"/>
      <c r="E538" s="9"/>
      <c r="F538" s="9"/>
      <c r="J538" s="160"/>
      <c r="K538" s="47"/>
      <c r="L538" s="47"/>
      <c r="M538" s="46"/>
      <c r="N538" s="45"/>
      <c r="P538" s="53"/>
      <c r="T538" s="160"/>
    </row>
    <row r="539" spans="3:20" x14ac:dyDescent="0.2">
      <c r="C539" s="10"/>
      <c r="D539" s="10"/>
      <c r="E539" s="9"/>
      <c r="F539" s="9"/>
      <c r="J539" s="160"/>
      <c r="K539" s="47"/>
      <c r="L539" s="47"/>
      <c r="M539" s="46"/>
      <c r="N539" s="45"/>
      <c r="P539" s="53"/>
      <c r="T539" s="160"/>
    </row>
    <row r="540" spans="3:20" x14ac:dyDescent="0.2">
      <c r="C540" s="10"/>
      <c r="D540" s="10"/>
      <c r="E540" s="9"/>
      <c r="F540" s="9"/>
      <c r="J540" s="160"/>
      <c r="K540" s="47"/>
      <c r="L540" s="47"/>
      <c r="M540" s="46"/>
      <c r="N540" s="45"/>
      <c r="P540" s="53"/>
      <c r="T540" s="160"/>
    </row>
    <row r="541" spans="3:20" x14ac:dyDescent="0.2">
      <c r="C541" s="10"/>
      <c r="D541" s="10"/>
      <c r="E541" s="9"/>
      <c r="F541" s="9"/>
      <c r="J541" s="160"/>
      <c r="K541" s="47"/>
      <c r="L541" s="47"/>
      <c r="M541" s="46"/>
      <c r="N541" s="45"/>
      <c r="P541" s="53"/>
      <c r="T541" s="160"/>
    </row>
    <row r="542" spans="3:20" x14ac:dyDescent="0.2">
      <c r="C542" s="10"/>
      <c r="D542" s="10"/>
      <c r="E542" s="9"/>
      <c r="F542" s="9"/>
      <c r="J542" s="160"/>
      <c r="K542" s="47"/>
      <c r="L542" s="47"/>
      <c r="M542" s="46"/>
      <c r="N542" s="45"/>
      <c r="P542" s="53"/>
      <c r="T542" s="160"/>
    </row>
    <row r="543" spans="3:20" x14ac:dyDescent="0.2">
      <c r="C543" s="10"/>
      <c r="D543" s="10"/>
      <c r="E543" s="9"/>
      <c r="F543" s="9"/>
      <c r="J543" s="160"/>
      <c r="K543" s="47"/>
      <c r="L543" s="47"/>
      <c r="M543" s="46"/>
      <c r="N543" s="45"/>
      <c r="P543" s="53"/>
      <c r="T543" s="160"/>
    </row>
    <row r="544" spans="3:20" x14ac:dyDescent="0.2">
      <c r="C544" s="10"/>
      <c r="D544" s="10"/>
      <c r="E544" s="9"/>
      <c r="F544" s="9"/>
      <c r="J544" s="160"/>
      <c r="K544" s="47"/>
      <c r="L544" s="47"/>
      <c r="M544" s="46"/>
      <c r="N544" s="45"/>
      <c r="P544" s="53"/>
      <c r="T544" s="160"/>
    </row>
    <row r="545" spans="3:20" x14ac:dyDescent="0.2">
      <c r="C545" s="10"/>
      <c r="D545" s="10"/>
      <c r="E545" s="9"/>
      <c r="F545" s="9"/>
      <c r="J545" s="160"/>
      <c r="K545" s="47"/>
      <c r="L545" s="47"/>
      <c r="M545" s="46"/>
      <c r="N545" s="45"/>
      <c r="P545" s="53"/>
      <c r="T545" s="160"/>
    </row>
    <row r="546" spans="3:20" x14ac:dyDescent="0.2">
      <c r="C546" s="10"/>
      <c r="D546" s="10"/>
      <c r="E546" s="9"/>
      <c r="F546" s="9"/>
      <c r="J546" s="160"/>
      <c r="K546" s="47"/>
      <c r="L546" s="47"/>
      <c r="M546" s="46"/>
      <c r="N546" s="45"/>
      <c r="P546" s="53"/>
      <c r="T546" s="160"/>
    </row>
    <row r="547" spans="3:20" x14ac:dyDescent="0.2">
      <c r="C547" s="10"/>
      <c r="D547" s="10"/>
      <c r="E547" s="9"/>
      <c r="F547" s="9"/>
      <c r="J547" s="160"/>
      <c r="K547" s="47"/>
      <c r="L547" s="47"/>
      <c r="M547" s="46"/>
      <c r="N547" s="45"/>
      <c r="P547" s="53"/>
      <c r="T547" s="160"/>
    </row>
    <row r="548" spans="3:20" x14ac:dyDescent="0.2">
      <c r="C548" s="10"/>
      <c r="D548" s="10"/>
      <c r="E548" s="9"/>
      <c r="F548" s="9"/>
      <c r="J548" s="160"/>
      <c r="K548" s="47"/>
      <c r="L548" s="47"/>
      <c r="M548" s="46"/>
      <c r="N548" s="45"/>
      <c r="P548" s="53"/>
      <c r="T548" s="160"/>
    </row>
    <row r="549" spans="3:20" x14ac:dyDescent="0.2">
      <c r="C549" s="10"/>
      <c r="D549" s="10"/>
      <c r="E549" s="9"/>
      <c r="F549" s="9"/>
      <c r="J549" s="160"/>
      <c r="K549" s="47"/>
      <c r="L549" s="47"/>
      <c r="M549" s="46"/>
      <c r="N549" s="45"/>
      <c r="P549" s="53"/>
      <c r="T549" s="160"/>
    </row>
    <row r="550" spans="3:20" x14ac:dyDescent="0.2">
      <c r="C550" s="10"/>
      <c r="D550" s="10"/>
      <c r="E550" s="9"/>
      <c r="F550" s="9"/>
      <c r="J550" s="160"/>
      <c r="K550" s="47"/>
      <c r="L550" s="47"/>
      <c r="M550" s="46"/>
      <c r="N550" s="45"/>
      <c r="P550" s="53"/>
      <c r="T550" s="160"/>
    </row>
    <row r="551" spans="3:20" x14ac:dyDescent="0.2">
      <c r="C551" s="10"/>
      <c r="D551" s="10"/>
      <c r="E551" s="9"/>
      <c r="F551" s="9"/>
      <c r="J551" s="160"/>
      <c r="K551" s="47"/>
      <c r="L551" s="47"/>
      <c r="M551" s="46"/>
      <c r="N551" s="45"/>
      <c r="P551" s="53"/>
      <c r="T551" s="160"/>
    </row>
    <row r="552" spans="3:20" x14ac:dyDescent="0.2">
      <c r="C552" s="10"/>
      <c r="D552" s="10"/>
      <c r="E552" s="9"/>
      <c r="F552" s="9"/>
      <c r="J552" s="160"/>
      <c r="K552" s="47"/>
      <c r="L552" s="47"/>
      <c r="M552" s="46"/>
      <c r="N552" s="45"/>
      <c r="P552" s="53"/>
      <c r="T552" s="160"/>
    </row>
    <row r="553" spans="3:20" x14ac:dyDescent="0.2">
      <c r="C553" s="10"/>
      <c r="D553" s="10"/>
      <c r="E553" s="9"/>
      <c r="F553" s="9"/>
      <c r="J553" s="160"/>
      <c r="K553" s="47"/>
      <c r="L553" s="47"/>
      <c r="M553" s="46"/>
      <c r="N553" s="45"/>
      <c r="P553" s="53"/>
      <c r="T553" s="160"/>
    </row>
    <row r="554" spans="3:20" x14ac:dyDescent="0.2">
      <c r="C554" s="10"/>
      <c r="D554" s="10"/>
      <c r="E554" s="9"/>
      <c r="F554" s="9"/>
      <c r="J554" s="160"/>
      <c r="K554" s="47"/>
      <c r="L554" s="47"/>
      <c r="M554" s="46"/>
      <c r="N554" s="45"/>
      <c r="P554" s="53"/>
      <c r="T554" s="160"/>
    </row>
    <row r="555" spans="3:20" x14ac:dyDescent="0.2">
      <c r="C555" s="10"/>
      <c r="D555" s="10"/>
      <c r="E555" s="9"/>
      <c r="F555" s="9"/>
      <c r="J555" s="160"/>
      <c r="K555" s="47"/>
      <c r="L555" s="47"/>
      <c r="M555" s="46"/>
      <c r="N555" s="45"/>
      <c r="P555" s="53"/>
      <c r="T555" s="160"/>
    </row>
    <row r="556" spans="3:20" x14ac:dyDescent="0.2">
      <c r="C556" s="10"/>
      <c r="D556" s="10"/>
      <c r="E556" s="9"/>
      <c r="F556" s="9"/>
      <c r="J556" s="160"/>
      <c r="K556" s="47"/>
      <c r="L556" s="47"/>
      <c r="M556" s="46"/>
      <c r="N556" s="45"/>
      <c r="P556" s="53"/>
      <c r="T556" s="160"/>
    </row>
    <row r="557" spans="3:20" x14ac:dyDescent="0.2">
      <c r="C557" s="10"/>
      <c r="D557" s="10"/>
      <c r="E557" s="9"/>
      <c r="F557" s="9"/>
      <c r="J557" s="160"/>
      <c r="K557" s="47"/>
      <c r="L557" s="47"/>
      <c r="M557" s="46"/>
      <c r="N557" s="45"/>
      <c r="P557" s="53"/>
      <c r="T557" s="160"/>
    </row>
    <row r="558" spans="3:20" x14ac:dyDescent="0.2">
      <c r="C558" s="10"/>
      <c r="D558" s="10"/>
      <c r="E558" s="9"/>
      <c r="F558" s="9"/>
      <c r="J558" s="160"/>
      <c r="K558" s="47"/>
      <c r="L558" s="47"/>
      <c r="M558" s="46"/>
      <c r="N558" s="45"/>
      <c r="P558" s="53"/>
      <c r="T558" s="160"/>
    </row>
    <row r="559" spans="3:20" x14ac:dyDescent="0.2">
      <c r="C559" s="10"/>
      <c r="D559" s="10"/>
      <c r="E559" s="9"/>
      <c r="F559" s="9"/>
      <c r="J559" s="160"/>
      <c r="K559" s="47"/>
      <c r="L559" s="47"/>
      <c r="M559" s="46"/>
      <c r="N559" s="45"/>
      <c r="P559" s="53"/>
      <c r="T559" s="160"/>
    </row>
    <row r="560" spans="3:20" x14ac:dyDescent="0.2">
      <c r="C560" s="10"/>
      <c r="D560" s="10"/>
      <c r="E560" s="9"/>
      <c r="F560" s="9"/>
      <c r="J560" s="160"/>
      <c r="K560" s="47"/>
      <c r="L560" s="47"/>
      <c r="M560" s="46"/>
      <c r="N560" s="45"/>
      <c r="P560" s="53"/>
      <c r="T560" s="160"/>
    </row>
    <row r="561" spans="3:20" x14ac:dyDescent="0.2">
      <c r="C561" s="10"/>
      <c r="D561" s="10"/>
      <c r="E561" s="9"/>
      <c r="F561" s="9"/>
      <c r="J561" s="160"/>
      <c r="K561" s="47"/>
      <c r="L561" s="47"/>
      <c r="M561" s="46"/>
      <c r="N561" s="45"/>
      <c r="P561" s="53"/>
      <c r="T561" s="160"/>
    </row>
    <row r="562" spans="3:20" x14ac:dyDescent="0.2">
      <c r="C562" s="10"/>
      <c r="D562" s="10"/>
      <c r="E562" s="9"/>
      <c r="F562" s="9"/>
      <c r="J562" s="160"/>
      <c r="K562" s="47"/>
      <c r="L562" s="47"/>
      <c r="M562" s="46"/>
      <c r="N562" s="45"/>
      <c r="P562" s="53"/>
      <c r="T562" s="160"/>
    </row>
    <row r="563" spans="3:20" x14ac:dyDescent="0.2">
      <c r="C563" s="10"/>
      <c r="D563" s="10"/>
      <c r="E563" s="9"/>
      <c r="F563" s="9"/>
      <c r="J563" s="160"/>
      <c r="K563" s="47"/>
      <c r="L563" s="47"/>
      <c r="M563" s="46"/>
      <c r="N563" s="45"/>
      <c r="P563" s="53"/>
      <c r="T563" s="160"/>
    </row>
    <row r="564" spans="3:20" x14ac:dyDescent="0.2">
      <c r="C564" s="10"/>
      <c r="D564" s="10"/>
      <c r="E564" s="9"/>
      <c r="F564" s="9"/>
      <c r="J564" s="160"/>
      <c r="K564" s="47"/>
      <c r="L564" s="47"/>
      <c r="M564" s="46"/>
      <c r="N564" s="45"/>
      <c r="P564" s="53"/>
      <c r="T564" s="160"/>
    </row>
    <row r="565" spans="3:20" x14ac:dyDescent="0.2">
      <c r="C565" s="10"/>
      <c r="D565" s="10"/>
      <c r="E565" s="9"/>
      <c r="F565" s="9"/>
      <c r="J565" s="160"/>
      <c r="K565" s="47"/>
      <c r="L565" s="47"/>
      <c r="M565" s="46"/>
      <c r="N565" s="45"/>
      <c r="P565" s="53"/>
      <c r="T565" s="160"/>
    </row>
    <row r="566" spans="3:20" x14ac:dyDescent="0.2">
      <c r="C566" s="10"/>
      <c r="D566" s="10"/>
      <c r="E566" s="9"/>
      <c r="F566" s="9"/>
      <c r="J566" s="160"/>
      <c r="K566" s="47"/>
      <c r="L566" s="47"/>
      <c r="M566" s="46"/>
      <c r="N566" s="45"/>
      <c r="P566" s="53"/>
      <c r="T566" s="160"/>
    </row>
    <row r="567" spans="3:20" x14ac:dyDescent="0.2">
      <c r="C567" s="10"/>
      <c r="D567" s="10"/>
      <c r="E567" s="9"/>
      <c r="F567" s="9"/>
      <c r="J567" s="160"/>
      <c r="K567" s="47"/>
      <c r="L567" s="47"/>
      <c r="M567" s="46"/>
      <c r="N567" s="45"/>
      <c r="P567" s="53"/>
      <c r="T567" s="160"/>
    </row>
    <row r="568" spans="3:20" x14ac:dyDescent="0.2">
      <c r="C568" s="10"/>
      <c r="D568" s="10"/>
      <c r="E568" s="9"/>
      <c r="F568" s="9"/>
      <c r="J568" s="160"/>
      <c r="K568" s="47"/>
      <c r="L568" s="47"/>
      <c r="M568" s="46"/>
      <c r="N568" s="45"/>
      <c r="P568" s="53"/>
      <c r="T568" s="160"/>
    </row>
    <row r="569" spans="3:20" x14ac:dyDescent="0.2">
      <c r="C569" s="10"/>
      <c r="D569" s="10"/>
      <c r="E569" s="9"/>
      <c r="F569" s="9"/>
      <c r="J569" s="160"/>
      <c r="K569" s="47"/>
      <c r="L569" s="47"/>
      <c r="M569" s="46"/>
      <c r="N569" s="45"/>
      <c r="P569" s="53"/>
      <c r="T569" s="160"/>
    </row>
    <row r="570" spans="3:20" x14ac:dyDescent="0.2">
      <c r="C570" s="10"/>
      <c r="D570" s="10"/>
      <c r="E570" s="9"/>
      <c r="F570" s="9"/>
      <c r="J570" s="160"/>
      <c r="K570" s="47"/>
      <c r="L570" s="47"/>
      <c r="M570" s="46"/>
      <c r="N570" s="45"/>
      <c r="P570" s="53"/>
      <c r="T570" s="160"/>
    </row>
    <row r="571" spans="3:20" x14ac:dyDescent="0.2">
      <c r="C571" s="10"/>
      <c r="D571" s="10"/>
      <c r="E571" s="9"/>
      <c r="F571" s="9"/>
      <c r="J571" s="160"/>
      <c r="K571" s="47"/>
      <c r="L571" s="47"/>
      <c r="M571" s="46"/>
      <c r="N571" s="45"/>
      <c r="P571" s="53"/>
      <c r="T571" s="160"/>
    </row>
    <row r="572" spans="3:20" x14ac:dyDescent="0.2">
      <c r="C572" s="10"/>
      <c r="D572" s="10"/>
      <c r="E572" s="9"/>
      <c r="F572" s="9"/>
      <c r="J572" s="160"/>
      <c r="K572" s="47"/>
      <c r="L572" s="47"/>
      <c r="M572" s="46"/>
      <c r="N572" s="45"/>
      <c r="P572" s="53"/>
      <c r="T572" s="160"/>
    </row>
    <row r="573" spans="3:20" x14ac:dyDescent="0.2">
      <c r="C573" s="10"/>
      <c r="D573" s="10"/>
      <c r="E573" s="9"/>
      <c r="F573" s="9"/>
      <c r="J573" s="160"/>
      <c r="K573" s="47"/>
      <c r="L573" s="47"/>
      <c r="M573" s="46"/>
      <c r="N573" s="45"/>
      <c r="P573" s="53"/>
      <c r="T573" s="160"/>
    </row>
    <row r="574" spans="3:20" x14ac:dyDescent="0.2">
      <c r="C574" s="10"/>
      <c r="D574" s="10"/>
      <c r="E574" s="9"/>
      <c r="F574" s="9"/>
      <c r="J574" s="160"/>
      <c r="K574" s="47"/>
      <c r="L574" s="47"/>
      <c r="M574" s="46"/>
      <c r="N574" s="45"/>
      <c r="P574" s="53"/>
      <c r="T574" s="160"/>
    </row>
    <row r="575" spans="3:20" x14ac:dyDescent="0.2">
      <c r="C575" s="10"/>
      <c r="D575" s="10"/>
      <c r="E575" s="9"/>
      <c r="F575" s="9"/>
      <c r="J575" s="160"/>
      <c r="K575" s="47"/>
      <c r="L575" s="47"/>
      <c r="M575" s="46"/>
      <c r="N575" s="45"/>
      <c r="P575" s="53"/>
      <c r="T575" s="160"/>
    </row>
    <row r="576" spans="3:20" x14ac:dyDescent="0.2">
      <c r="C576" s="10"/>
      <c r="D576" s="10"/>
      <c r="E576" s="9"/>
      <c r="F576" s="9"/>
      <c r="J576" s="160"/>
      <c r="K576" s="47"/>
      <c r="L576" s="47"/>
      <c r="M576" s="46"/>
      <c r="N576" s="45"/>
      <c r="P576" s="53"/>
      <c r="T576" s="160"/>
    </row>
    <row r="577" spans="3:20" x14ac:dyDescent="0.2">
      <c r="C577" s="10"/>
      <c r="D577" s="10"/>
      <c r="E577" s="9"/>
      <c r="F577" s="9"/>
      <c r="J577" s="160"/>
      <c r="K577" s="47"/>
      <c r="L577" s="47"/>
      <c r="M577" s="46"/>
      <c r="N577" s="45"/>
      <c r="P577" s="53"/>
      <c r="T577" s="160"/>
    </row>
    <row r="578" spans="3:20" x14ac:dyDescent="0.2">
      <c r="C578" s="10"/>
      <c r="D578" s="10"/>
      <c r="E578" s="9"/>
      <c r="F578" s="9"/>
      <c r="J578" s="160"/>
      <c r="K578" s="47"/>
      <c r="L578" s="47"/>
      <c r="M578" s="46"/>
      <c r="N578" s="45"/>
      <c r="P578" s="53"/>
      <c r="T578" s="160"/>
    </row>
    <row r="579" spans="3:20" x14ac:dyDescent="0.2">
      <c r="C579" s="10"/>
      <c r="D579" s="10"/>
      <c r="E579" s="9"/>
      <c r="F579" s="9"/>
      <c r="J579" s="160"/>
      <c r="K579" s="47"/>
      <c r="L579" s="47"/>
      <c r="M579" s="46"/>
      <c r="N579" s="45"/>
      <c r="P579" s="53"/>
      <c r="T579" s="160"/>
    </row>
    <row r="580" spans="3:20" x14ac:dyDescent="0.2">
      <c r="C580" s="10"/>
      <c r="D580" s="10"/>
      <c r="E580" s="9"/>
      <c r="F580" s="9"/>
      <c r="J580" s="160"/>
      <c r="K580" s="47"/>
      <c r="L580" s="47"/>
      <c r="M580" s="46"/>
      <c r="N580" s="45"/>
      <c r="P580" s="53"/>
      <c r="T580" s="160"/>
    </row>
    <row r="581" spans="3:20" x14ac:dyDescent="0.2">
      <c r="C581" s="10"/>
      <c r="D581" s="10"/>
      <c r="E581" s="9"/>
      <c r="F581" s="9"/>
      <c r="J581" s="160"/>
      <c r="K581" s="47"/>
      <c r="L581" s="47"/>
      <c r="M581" s="46"/>
      <c r="N581" s="45"/>
      <c r="P581" s="53"/>
      <c r="T581" s="160"/>
    </row>
    <row r="582" spans="3:20" x14ac:dyDescent="0.2">
      <c r="C582" s="10"/>
      <c r="D582" s="10"/>
      <c r="E582" s="9"/>
      <c r="F582" s="9"/>
      <c r="J582" s="160"/>
      <c r="K582" s="47"/>
      <c r="L582" s="47"/>
      <c r="M582" s="46"/>
      <c r="N582" s="45"/>
      <c r="P582" s="53"/>
      <c r="T582" s="160"/>
    </row>
    <row r="583" spans="3:20" x14ac:dyDescent="0.2">
      <c r="C583" s="10"/>
      <c r="D583" s="10"/>
      <c r="E583" s="9"/>
      <c r="F583" s="9"/>
      <c r="J583" s="160"/>
      <c r="K583" s="47"/>
      <c r="L583" s="47"/>
      <c r="M583" s="46"/>
      <c r="N583" s="45"/>
      <c r="P583" s="53"/>
      <c r="T583" s="160"/>
    </row>
    <row r="584" spans="3:20" x14ac:dyDescent="0.2">
      <c r="C584" s="10"/>
      <c r="D584" s="10"/>
      <c r="E584" s="9"/>
      <c r="F584" s="9"/>
      <c r="J584" s="160"/>
      <c r="K584" s="47"/>
      <c r="L584" s="47"/>
      <c r="M584" s="46"/>
      <c r="N584" s="45"/>
      <c r="P584" s="53"/>
      <c r="T584" s="160"/>
    </row>
    <row r="585" spans="3:20" x14ac:dyDescent="0.2">
      <c r="C585" s="10"/>
      <c r="D585" s="10"/>
      <c r="E585" s="9"/>
      <c r="F585" s="9"/>
      <c r="J585" s="160"/>
      <c r="K585" s="47"/>
      <c r="L585" s="47"/>
      <c r="M585" s="46"/>
      <c r="N585" s="45"/>
      <c r="P585" s="53"/>
      <c r="T585" s="160"/>
    </row>
    <row r="586" spans="3:20" x14ac:dyDescent="0.2">
      <c r="C586" s="10"/>
      <c r="D586" s="10"/>
      <c r="E586" s="9"/>
      <c r="F586" s="9"/>
      <c r="J586" s="160"/>
      <c r="K586" s="47"/>
      <c r="L586" s="47"/>
      <c r="M586" s="46"/>
      <c r="N586" s="45"/>
      <c r="P586" s="53"/>
      <c r="T586" s="160"/>
    </row>
    <row r="587" spans="3:20" x14ac:dyDescent="0.2">
      <c r="C587" s="10"/>
      <c r="D587" s="10"/>
      <c r="E587" s="9"/>
      <c r="F587" s="9"/>
      <c r="J587" s="160"/>
      <c r="K587" s="47"/>
      <c r="L587" s="47"/>
      <c r="M587" s="46"/>
      <c r="N587" s="45"/>
      <c r="P587" s="53"/>
      <c r="T587" s="160"/>
    </row>
    <row r="588" spans="3:20" x14ac:dyDescent="0.2">
      <c r="C588" s="10"/>
      <c r="D588" s="10"/>
      <c r="E588" s="9"/>
      <c r="F588" s="9"/>
      <c r="J588" s="160"/>
      <c r="K588" s="47"/>
      <c r="L588" s="47"/>
      <c r="M588" s="46"/>
      <c r="N588" s="45"/>
      <c r="P588" s="53"/>
      <c r="T588" s="160"/>
    </row>
    <row r="589" spans="3:20" x14ac:dyDescent="0.2">
      <c r="C589" s="10"/>
      <c r="D589" s="10"/>
      <c r="E589" s="9"/>
      <c r="F589" s="9"/>
      <c r="J589" s="160"/>
      <c r="K589" s="47"/>
      <c r="L589" s="47"/>
      <c r="M589" s="46"/>
      <c r="N589" s="45"/>
      <c r="P589" s="53"/>
      <c r="T589" s="160"/>
    </row>
    <row r="590" spans="3:20" x14ac:dyDescent="0.2">
      <c r="C590" s="10"/>
      <c r="D590" s="10"/>
      <c r="E590" s="9"/>
      <c r="F590" s="9"/>
      <c r="J590" s="160"/>
      <c r="K590" s="47"/>
      <c r="L590" s="47"/>
      <c r="M590" s="46"/>
      <c r="N590" s="45"/>
      <c r="P590" s="53"/>
      <c r="T590" s="160"/>
    </row>
    <row r="591" spans="3:20" x14ac:dyDescent="0.2">
      <c r="C591" s="10"/>
      <c r="D591" s="10"/>
      <c r="E591" s="9"/>
      <c r="F591" s="9"/>
      <c r="J591" s="160"/>
      <c r="K591" s="47"/>
      <c r="L591" s="47"/>
      <c r="M591" s="46"/>
      <c r="N591" s="45"/>
      <c r="P591" s="53"/>
      <c r="T591" s="160"/>
    </row>
    <row r="592" spans="3:20" x14ac:dyDescent="0.2">
      <c r="C592" s="10"/>
      <c r="D592" s="10"/>
      <c r="E592" s="9"/>
      <c r="F592" s="9"/>
      <c r="J592" s="160"/>
      <c r="K592" s="47"/>
      <c r="L592" s="47"/>
      <c r="M592" s="46"/>
      <c r="N592" s="45"/>
      <c r="P592" s="53"/>
      <c r="T592" s="160"/>
    </row>
    <row r="593" spans="3:20" x14ac:dyDescent="0.2">
      <c r="C593" s="10"/>
      <c r="D593" s="10"/>
      <c r="E593" s="9"/>
      <c r="F593" s="9"/>
      <c r="J593" s="160"/>
      <c r="K593" s="47"/>
      <c r="L593" s="47"/>
      <c r="M593" s="46"/>
      <c r="N593" s="45"/>
      <c r="P593" s="53"/>
      <c r="T593" s="160"/>
    </row>
    <row r="594" spans="3:20" x14ac:dyDescent="0.2">
      <c r="C594" s="10"/>
      <c r="D594" s="10"/>
      <c r="E594" s="9"/>
      <c r="F594" s="9"/>
      <c r="J594" s="160"/>
      <c r="K594" s="47"/>
      <c r="L594" s="47"/>
      <c r="M594" s="46"/>
      <c r="N594" s="45"/>
      <c r="P594" s="53"/>
      <c r="T594" s="160"/>
    </row>
    <row r="595" spans="3:20" x14ac:dyDescent="0.2">
      <c r="C595" s="10"/>
      <c r="D595" s="10"/>
      <c r="E595" s="9"/>
      <c r="F595" s="9"/>
      <c r="J595" s="160"/>
      <c r="K595" s="47"/>
      <c r="L595" s="47"/>
      <c r="M595" s="46"/>
      <c r="N595" s="45"/>
      <c r="P595" s="53"/>
      <c r="T595" s="160"/>
    </row>
    <row r="596" spans="3:20" x14ac:dyDescent="0.2">
      <c r="C596" s="10"/>
      <c r="D596" s="10"/>
      <c r="E596" s="9"/>
      <c r="F596" s="9"/>
      <c r="J596" s="160"/>
      <c r="K596" s="47"/>
      <c r="L596" s="47"/>
      <c r="M596" s="46"/>
      <c r="N596" s="45"/>
      <c r="P596" s="53"/>
      <c r="T596" s="160"/>
    </row>
    <row r="597" spans="3:20" x14ac:dyDescent="0.2">
      <c r="C597" s="10"/>
      <c r="D597" s="10"/>
      <c r="E597" s="9"/>
      <c r="F597" s="9"/>
      <c r="J597" s="160"/>
      <c r="K597" s="47"/>
      <c r="L597" s="47"/>
      <c r="M597" s="46"/>
      <c r="N597" s="45"/>
      <c r="P597" s="53"/>
      <c r="T597" s="160"/>
    </row>
    <row r="598" spans="3:20" x14ac:dyDescent="0.2">
      <c r="C598" s="10"/>
      <c r="D598" s="10"/>
      <c r="E598" s="9"/>
      <c r="F598" s="9"/>
      <c r="J598" s="160"/>
      <c r="K598" s="47"/>
      <c r="L598" s="47"/>
      <c r="M598" s="46"/>
      <c r="N598" s="45"/>
      <c r="P598" s="53"/>
      <c r="T598" s="160"/>
    </row>
    <row r="599" spans="3:20" x14ac:dyDescent="0.2">
      <c r="C599" s="10"/>
      <c r="D599" s="10"/>
      <c r="E599" s="9"/>
      <c r="F599" s="9"/>
      <c r="J599" s="160"/>
      <c r="K599" s="47"/>
      <c r="L599" s="47"/>
      <c r="M599" s="46"/>
      <c r="N599" s="45"/>
      <c r="P599" s="53"/>
      <c r="T599" s="160"/>
    </row>
    <row r="600" spans="3:20" x14ac:dyDescent="0.2">
      <c r="C600" s="10"/>
      <c r="D600" s="10"/>
      <c r="E600" s="9"/>
      <c r="F600" s="9"/>
      <c r="J600" s="160"/>
      <c r="K600" s="47"/>
      <c r="L600" s="47"/>
      <c r="M600" s="46"/>
      <c r="N600" s="45"/>
      <c r="P600" s="53"/>
      <c r="T600" s="160"/>
    </row>
    <row r="601" spans="3:20" x14ac:dyDescent="0.2">
      <c r="C601" s="10"/>
      <c r="D601" s="10"/>
      <c r="E601" s="9"/>
      <c r="F601" s="9"/>
      <c r="J601" s="160"/>
      <c r="K601" s="47"/>
      <c r="L601" s="47"/>
      <c r="M601" s="46"/>
      <c r="N601" s="45"/>
      <c r="P601" s="53"/>
      <c r="T601" s="160"/>
    </row>
    <row r="602" spans="3:20" x14ac:dyDescent="0.2">
      <c r="C602" s="10"/>
      <c r="D602" s="10"/>
      <c r="E602" s="9"/>
      <c r="F602" s="9"/>
      <c r="J602" s="160"/>
      <c r="K602" s="47"/>
      <c r="L602" s="47"/>
      <c r="M602" s="46"/>
      <c r="N602" s="45"/>
      <c r="P602" s="53"/>
      <c r="T602" s="160"/>
    </row>
    <row r="603" spans="3:20" x14ac:dyDescent="0.2">
      <c r="C603" s="10"/>
      <c r="D603" s="10"/>
      <c r="E603" s="9"/>
      <c r="F603" s="9"/>
      <c r="J603" s="160"/>
      <c r="K603" s="47"/>
      <c r="L603" s="47"/>
      <c r="M603" s="46"/>
      <c r="N603" s="45"/>
      <c r="P603" s="53"/>
      <c r="T603" s="160"/>
    </row>
    <row r="604" spans="3:20" x14ac:dyDescent="0.2">
      <c r="C604" s="10"/>
      <c r="D604" s="10"/>
      <c r="E604" s="9"/>
      <c r="F604" s="9"/>
      <c r="J604" s="160"/>
      <c r="K604" s="47"/>
      <c r="L604" s="47"/>
      <c r="M604" s="46"/>
      <c r="N604" s="45"/>
      <c r="P604" s="53"/>
      <c r="T604" s="160"/>
    </row>
    <row r="605" spans="3:20" x14ac:dyDescent="0.2">
      <c r="C605" s="10"/>
      <c r="D605" s="10"/>
      <c r="E605" s="9"/>
      <c r="F605" s="9"/>
      <c r="J605" s="160"/>
      <c r="K605" s="47"/>
      <c r="L605" s="47"/>
      <c r="M605" s="46"/>
      <c r="N605" s="45"/>
      <c r="P605" s="53"/>
      <c r="T605" s="160"/>
    </row>
    <row r="606" spans="3:20" x14ac:dyDescent="0.2">
      <c r="C606" s="10"/>
      <c r="D606" s="10"/>
      <c r="E606" s="9"/>
      <c r="F606" s="9"/>
      <c r="J606" s="160"/>
      <c r="K606" s="47"/>
      <c r="L606" s="47"/>
      <c r="M606" s="46"/>
      <c r="N606" s="45"/>
      <c r="P606" s="53"/>
      <c r="T606" s="160"/>
    </row>
    <row r="607" spans="3:20" x14ac:dyDescent="0.2">
      <c r="C607" s="10"/>
      <c r="D607" s="10"/>
      <c r="E607" s="9"/>
      <c r="F607" s="9"/>
      <c r="J607" s="160"/>
      <c r="K607" s="47"/>
      <c r="L607" s="47"/>
      <c r="M607" s="46"/>
      <c r="N607" s="45"/>
      <c r="P607" s="53"/>
      <c r="T607" s="160"/>
    </row>
    <row r="608" spans="3:20" x14ac:dyDescent="0.2">
      <c r="C608" s="10"/>
      <c r="D608" s="10"/>
      <c r="E608" s="9"/>
      <c r="F608" s="9"/>
      <c r="J608" s="160"/>
      <c r="K608" s="47"/>
      <c r="L608" s="47"/>
      <c r="M608" s="46"/>
      <c r="N608" s="45"/>
      <c r="P608" s="53"/>
      <c r="T608" s="160"/>
    </row>
    <row r="609" spans="3:20" x14ac:dyDescent="0.2">
      <c r="C609" s="10"/>
      <c r="D609" s="10"/>
      <c r="E609" s="9"/>
      <c r="F609" s="9"/>
      <c r="J609" s="160"/>
      <c r="K609" s="47"/>
      <c r="L609" s="47"/>
      <c r="M609" s="46"/>
      <c r="N609" s="45"/>
      <c r="P609" s="53"/>
      <c r="T609" s="160"/>
    </row>
    <row r="610" spans="3:20" x14ac:dyDescent="0.2">
      <c r="C610" s="10"/>
      <c r="D610" s="10"/>
      <c r="E610" s="9"/>
      <c r="F610" s="9"/>
      <c r="J610" s="160"/>
      <c r="K610" s="47"/>
      <c r="L610" s="47"/>
      <c r="M610" s="46"/>
      <c r="N610" s="45"/>
      <c r="P610" s="53"/>
      <c r="T610" s="160"/>
    </row>
    <row r="611" spans="3:20" x14ac:dyDescent="0.2">
      <c r="C611" s="10"/>
      <c r="D611" s="10"/>
      <c r="E611" s="9"/>
      <c r="F611" s="9"/>
      <c r="J611" s="160"/>
      <c r="K611" s="47"/>
      <c r="L611" s="47"/>
      <c r="M611" s="46"/>
      <c r="N611" s="45"/>
      <c r="P611" s="53"/>
      <c r="T611" s="160"/>
    </row>
    <row r="612" spans="3:20" x14ac:dyDescent="0.2">
      <c r="C612" s="10"/>
      <c r="D612" s="10"/>
      <c r="E612" s="9"/>
      <c r="F612" s="9"/>
      <c r="J612" s="160"/>
      <c r="K612" s="47"/>
      <c r="L612" s="47"/>
      <c r="M612" s="46"/>
      <c r="N612" s="45"/>
      <c r="P612" s="53"/>
      <c r="T612" s="160"/>
    </row>
    <row r="613" spans="3:20" x14ac:dyDescent="0.2">
      <c r="C613" s="10"/>
      <c r="D613" s="10"/>
      <c r="E613" s="9"/>
      <c r="F613" s="9"/>
      <c r="J613" s="160"/>
      <c r="K613" s="47"/>
      <c r="L613" s="47"/>
      <c r="M613" s="46"/>
      <c r="N613" s="45"/>
      <c r="P613" s="53"/>
      <c r="T613" s="160"/>
    </row>
    <row r="614" spans="3:20" x14ac:dyDescent="0.2">
      <c r="C614" s="10"/>
      <c r="D614" s="10"/>
      <c r="E614" s="9"/>
      <c r="F614" s="9"/>
      <c r="J614" s="160"/>
      <c r="K614" s="47"/>
      <c r="L614" s="47"/>
      <c r="M614" s="46"/>
      <c r="N614" s="45"/>
      <c r="P614" s="53"/>
      <c r="T614" s="160"/>
    </row>
    <row r="615" spans="3:20" x14ac:dyDescent="0.2">
      <c r="C615" s="10"/>
      <c r="D615" s="10"/>
      <c r="E615" s="9"/>
      <c r="F615" s="9"/>
      <c r="J615" s="160"/>
      <c r="K615" s="47"/>
      <c r="L615" s="47"/>
      <c r="M615" s="46"/>
      <c r="N615" s="45"/>
      <c r="P615" s="53"/>
      <c r="T615" s="160"/>
    </row>
    <row r="616" spans="3:20" x14ac:dyDescent="0.2">
      <c r="C616" s="10"/>
      <c r="D616" s="10"/>
      <c r="E616" s="9"/>
      <c r="F616" s="9"/>
      <c r="J616" s="160"/>
      <c r="K616" s="47"/>
      <c r="L616" s="47"/>
      <c r="M616" s="46"/>
      <c r="N616" s="45"/>
      <c r="P616" s="53"/>
      <c r="T616" s="160"/>
    </row>
    <row r="617" spans="3:20" x14ac:dyDescent="0.2">
      <c r="C617" s="10"/>
      <c r="D617" s="10"/>
      <c r="E617" s="9"/>
      <c r="F617" s="9"/>
      <c r="J617" s="160"/>
      <c r="K617" s="47"/>
      <c r="L617" s="47"/>
      <c r="M617" s="46"/>
      <c r="N617" s="45"/>
      <c r="P617" s="53"/>
      <c r="T617" s="160"/>
    </row>
    <row r="618" spans="3:20" x14ac:dyDescent="0.2">
      <c r="C618" s="10"/>
      <c r="D618" s="10"/>
      <c r="E618" s="9"/>
      <c r="F618" s="9"/>
      <c r="J618" s="160"/>
      <c r="K618" s="47"/>
      <c r="L618" s="47"/>
      <c r="M618" s="46"/>
      <c r="N618" s="45"/>
      <c r="P618" s="53"/>
      <c r="T618" s="160"/>
    </row>
    <row r="619" spans="3:20" x14ac:dyDescent="0.2">
      <c r="C619" s="10"/>
      <c r="D619" s="10"/>
      <c r="E619" s="9"/>
      <c r="F619" s="9"/>
      <c r="J619" s="160"/>
      <c r="K619" s="47"/>
      <c r="L619" s="47"/>
      <c r="M619" s="46"/>
      <c r="N619" s="45"/>
      <c r="P619" s="53"/>
      <c r="T619" s="160"/>
    </row>
    <row r="620" spans="3:20" x14ac:dyDescent="0.2">
      <c r="C620" s="10"/>
      <c r="D620" s="10"/>
      <c r="E620" s="9"/>
      <c r="F620" s="9"/>
      <c r="J620" s="160"/>
      <c r="K620" s="47"/>
      <c r="L620" s="47"/>
      <c r="M620" s="46"/>
      <c r="N620" s="45"/>
      <c r="P620" s="53"/>
      <c r="T620" s="160"/>
    </row>
    <row r="621" spans="3:20" x14ac:dyDescent="0.2">
      <c r="C621" s="10"/>
      <c r="D621" s="10"/>
      <c r="E621" s="9"/>
      <c r="F621" s="9"/>
      <c r="J621" s="160"/>
      <c r="K621" s="47"/>
      <c r="L621" s="47"/>
      <c r="M621" s="46"/>
      <c r="N621" s="45"/>
      <c r="P621" s="53"/>
      <c r="T621" s="160"/>
    </row>
    <row r="622" spans="3:20" x14ac:dyDescent="0.2">
      <c r="C622" s="10"/>
      <c r="D622" s="10"/>
      <c r="E622" s="9"/>
      <c r="F622" s="9"/>
      <c r="J622" s="160"/>
      <c r="K622" s="47"/>
      <c r="L622" s="47"/>
      <c r="M622" s="46"/>
      <c r="N622" s="45"/>
      <c r="P622" s="53"/>
      <c r="T622" s="160"/>
    </row>
    <row r="623" spans="3:20" x14ac:dyDescent="0.2">
      <c r="C623" s="10"/>
      <c r="D623" s="10"/>
      <c r="E623" s="9"/>
      <c r="F623" s="9"/>
      <c r="J623" s="160"/>
      <c r="K623" s="47"/>
      <c r="L623" s="47"/>
      <c r="M623" s="46"/>
      <c r="N623" s="45"/>
      <c r="P623" s="53"/>
      <c r="T623" s="160"/>
    </row>
    <row r="624" spans="3:20" x14ac:dyDescent="0.2">
      <c r="C624" s="10"/>
      <c r="D624" s="10"/>
      <c r="E624" s="9"/>
      <c r="F624" s="9"/>
      <c r="J624" s="160"/>
      <c r="K624" s="47"/>
      <c r="L624" s="47"/>
      <c r="M624" s="46"/>
      <c r="N624" s="45"/>
      <c r="P624" s="53"/>
      <c r="T624" s="160"/>
    </row>
    <row r="625" spans="3:20" x14ac:dyDescent="0.2">
      <c r="C625" s="10"/>
      <c r="D625" s="10"/>
      <c r="E625" s="9"/>
      <c r="F625" s="9"/>
      <c r="J625" s="160"/>
      <c r="K625" s="47"/>
      <c r="L625" s="47"/>
      <c r="M625" s="46"/>
      <c r="N625" s="45"/>
      <c r="P625" s="53"/>
      <c r="T625" s="160"/>
    </row>
    <row r="626" spans="3:20" x14ac:dyDescent="0.2">
      <c r="C626" s="10"/>
      <c r="D626" s="10"/>
      <c r="E626" s="9"/>
      <c r="F626" s="9"/>
      <c r="J626" s="160"/>
      <c r="K626" s="47"/>
      <c r="L626" s="47"/>
      <c r="M626" s="46"/>
      <c r="N626" s="45"/>
      <c r="P626" s="53"/>
      <c r="T626" s="160"/>
    </row>
    <row r="627" spans="3:20" x14ac:dyDescent="0.2">
      <c r="C627" s="10"/>
      <c r="D627" s="10"/>
      <c r="E627" s="9"/>
      <c r="F627" s="9"/>
      <c r="J627" s="160"/>
      <c r="K627" s="47"/>
      <c r="L627" s="47"/>
      <c r="M627" s="46"/>
      <c r="N627" s="45"/>
      <c r="P627" s="53"/>
      <c r="T627" s="160"/>
    </row>
    <row r="628" spans="3:20" x14ac:dyDescent="0.2">
      <c r="C628" s="10"/>
      <c r="D628" s="10"/>
      <c r="E628" s="9"/>
      <c r="F628" s="9"/>
      <c r="J628" s="160"/>
      <c r="K628" s="47"/>
      <c r="L628" s="47"/>
      <c r="M628" s="46"/>
      <c r="N628" s="45"/>
      <c r="P628" s="53"/>
      <c r="T628" s="160"/>
    </row>
    <row r="629" spans="3:20" x14ac:dyDescent="0.2">
      <c r="C629" s="10"/>
      <c r="D629" s="10"/>
      <c r="E629" s="9"/>
      <c r="F629" s="9"/>
      <c r="J629" s="160"/>
      <c r="K629" s="47"/>
      <c r="L629" s="47"/>
      <c r="M629" s="46"/>
      <c r="N629" s="45"/>
      <c r="P629" s="53"/>
      <c r="T629" s="160"/>
    </row>
    <row r="630" spans="3:20" x14ac:dyDescent="0.2">
      <c r="C630" s="10"/>
      <c r="D630" s="10"/>
      <c r="E630" s="9"/>
      <c r="F630" s="9"/>
      <c r="J630" s="160"/>
      <c r="K630" s="47"/>
      <c r="L630" s="47"/>
      <c r="M630" s="46"/>
      <c r="N630" s="45"/>
      <c r="P630" s="53"/>
      <c r="T630" s="160"/>
    </row>
    <row r="631" spans="3:20" x14ac:dyDescent="0.2">
      <c r="C631" s="10"/>
      <c r="D631" s="10"/>
      <c r="E631" s="9"/>
      <c r="F631" s="9"/>
      <c r="J631" s="160"/>
      <c r="K631" s="47"/>
      <c r="L631" s="47"/>
      <c r="M631" s="46"/>
      <c r="N631" s="45"/>
      <c r="P631" s="53"/>
      <c r="T631" s="160"/>
    </row>
    <row r="632" spans="3:20" x14ac:dyDescent="0.2">
      <c r="C632" s="10"/>
      <c r="D632" s="10"/>
      <c r="E632" s="9"/>
      <c r="F632" s="9"/>
      <c r="J632" s="160"/>
      <c r="K632" s="47"/>
      <c r="L632" s="47"/>
      <c r="M632" s="46"/>
      <c r="N632" s="45"/>
      <c r="P632" s="53"/>
      <c r="T632" s="160"/>
    </row>
    <row r="633" spans="3:20" x14ac:dyDescent="0.2">
      <c r="C633" s="10"/>
      <c r="D633" s="10"/>
      <c r="E633" s="9"/>
      <c r="F633" s="9"/>
      <c r="J633" s="160"/>
      <c r="K633" s="47"/>
      <c r="L633" s="47"/>
      <c r="M633" s="46"/>
      <c r="N633" s="45"/>
      <c r="P633" s="53"/>
      <c r="T633" s="160"/>
    </row>
    <row r="634" spans="3:20" x14ac:dyDescent="0.2">
      <c r="C634" s="10"/>
      <c r="D634" s="10"/>
      <c r="E634" s="9"/>
      <c r="F634" s="9"/>
      <c r="J634" s="160"/>
      <c r="K634" s="47"/>
      <c r="L634" s="47"/>
      <c r="M634" s="46"/>
      <c r="N634" s="45"/>
      <c r="P634" s="53"/>
      <c r="T634" s="160"/>
    </row>
    <row r="635" spans="3:20" x14ac:dyDescent="0.2">
      <c r="C635" s="10"/>
      <c r="D635" s="10"/>
      <c r="E635" s="9"/>
      <c r="F635" s="9"/>
      <c r="J635" s="160"/>
      <c r="K635" s="47"/>
      <c r="L635" s="47"/>
      <c r="M635" s="46"/>
      <c r="N635" s="45"/>
      <c r="P635" s="53"/>
      <c r="T635" s="160"/>
    </row>
    <row r="636" spans="3:20" x14ac:dyDescent="0.2">
      <c r="C636" s="10"/>
      <c r="D636" s="10"/>
      <c r="E636" s="9"/>
      <c r="F636" s="9"/>
      <c r="J636" s="160"/>
      <c r="K636" s="47"/>
      <c r="L636" s="47"/>
      <c r="M636" s="46"/>
      <c r="N636" s="45"/>
      <c r="P636" s="53"/>
      <c r="T636" s="160"/>
    </row>
    <row r="637" spans="3:20" x14ac:dyDescent="0.2">
      <c r="C637" s="10"/>
      <c r="D637" s="10"/>
      <c r="E637" s="9"/>
      <c r="F637" s="9"/>
      <c r="J637" s="160"/>
      <c r="K637" s="47"/>
      <c r="L637" s="47"/>
      <c r="M637" s="46"/>
      <c r="N637" s="45"/>
      <c r="P637" s="53"/>
      <c r="T637" s="160"/>
    </row>
    <row r="638" spans="3:20" x14ac:dyDescent="0.2">
      <c r="C638" s="10"/>
      <c r="D638" s="10"/>
      <c r="E638" s="9"/>
      <c r="F638" s="9"/>
      <c r="J638" s="160"/>
      <c r="K638" s="47"/>
      <c r="L638" s="47"/>
      <c r="M638" s="46"/>
      <c r="N638" s="45"/>
      <c r="P638" s="53"/>
      <c r="T638" s="160"/>
    </row>
    <row r="639" spans="3:20" x14ac:dyDescent="0.2">
      <c r="C639" s="10"/>
      <c r="D639" s="10"/>
      <c r="E639" s="9"/>
      <c r="F639" s="9"/>
      <c r="J639" s="160"/>
      <c r="K639" s="47"/>
      <c r="L639" s="47"/>
      <c r="M639" s="46"/>
      <c r="N639" s="45"/>
      <c r="P639" s="53"/>
      <c r="T639" s="160"/>
    </row>
    <row r="640" spans="3:20" x14ac:dyDescent="0.2">
      <c r="C640" s="10"/>
      <c r="D640" s="10"/>
      <c r="E640" s="9"/>
      <c r="F640" s="9"/>
      <c r="J640" s="160"/>
      <c r="K640" s="47"/>
      <c r="L640" s="47"/>
      <c r="M640" s="46"/>
      <c r="N640" s="45"/>
      <c r="P640" s="53"/>
      <c r="T640" s="160"/>
    </row>
    <row r="641" spans="3:20" x14ac:dyDescent="0.2">
      <c r="C641" s="10"/>
      <c r="D641" s="10"/>
      <c r="E641" s="9"/>
      <c r="F641" s="9"/>
      <c r="J641" s="160"/>
      <c r="K641" s="47"/>
      <c r="L641" s="47"/>
      <c r="M641" s="46"/>
      <c r="N641" s="45"/>
      <c r="P641" s="53"/>
      <c r="T641" s="160"/>
    </row>
    <row r="642" spans="3:20" x14ac:dyDescent="0.2">
      <c r="C642" s="10"/>
      <c r="D642" s="10"/>
      <c r="E642" s="9"/>
      <c r="F642" s="9"/>
      <c r="J642" s="160"/>
      <c r="K642" s="47"/>
      <c r="L642" s="47"/>
      <c r="M642" s="46"/>
      <c r="N642" s="45"/>
      <c r="P642" s="53"/>
      <c r="T642" s="160"/>
    </row>
    <row r="643" spans="3:20" x14ac:dyDescent="0.2">
      <c r="C643" s="10"/>
      <c r="D643" s="10"/>
      <c r="E643" s="9"/>
      <c r="F643" s="9"/>
      <c r="J643" s="160"/>
      <c r="K643" s="47"/>
      <c r="L643" s="47"/>
      <c r="M643" s="46"/>
      <c r="N643" s="45"/>
      <c r="P643" s="53"/>
      <c r="T643" s="160"/>
    </row>
    <row r="644" spans="3:20" x14ac:dyDescent="0.2">
      <c r="C644" s="10"/>
      <c r="D644" s="10"/>
      <c r="E644" s="9"/>
      <c r="F644" s="9"/>
      <c r="J644" s="160"/>
      <c r="K644" s="47"/>
      <c r="L644" s="47"/>
      <c r="M644" s="46"/>
      <c r="N644" s="45"/>
      <c r="P644" s="53"/>
      <c r="T644" s="160"/>
    </row>
    <row r="645" spans="3:20" x14ac:dyDescent="0.2">
      <c r="C645" s="10"/>
      <c r="D645" s="10"/>
      <c r="E645" s="9"/>
      <c r="F645" s="9"/>
      <c r="J645" s="160"/>
      <c r="K645" s="47"/>
      <c r="L645" s="47"/>
      <c r="M645" s="46"/>
      <c r="N645" s="45"/>
      <c r="P645" s="53"/>
      <c r="T645" s="160"/>
    </row>
  </sheetData>
  <autoFilter ref="A6:AE647"/>
  <mergeCells count="1">
    <mergeCell ref="U3:V3"/>
  </mergeCells>
  <phoneticPr fontId="2" type="noConversion"/>
  <conditionalFormatting sqref="N6:N645">
    <cfRule type="cellIs" dxfId="2" priority="4" stopIfTrue="1" operator="equal">
      <formula>TRUE</formula>
    </cfRule>
  </conditionalFormatting>
  <conditionalFormatting sqref="D3">
    <cfRule type="cellIs" dxfId="1" priority="3" operator="equal">
      <formula>"письма счастья учитываются"</formula>
    </cfRule>
  </conditionalFormatting>
  <conditionalFormatting sqref="N1">
    <cfRule type="expression" dxfId="0" priority="2">
      <formula>$N$1 &gt; 1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4" r:id="rId4" name="Check Box 12">
              <controlPr defaultSize="0" autoFill="0" autoLine="0" autoPict="0">
                <anchor moveWithCells="1">
                  <from>
                    <xdr:col>3</xdr:col>
                    <xdr:colOff>209550</xdr:colOff>
                    <xdr:row>0</xdr:row>
                    <xdr:rowOff>47625</xdr:rowOff>
                  </from>
                  <to>
                    <xdr:col>4</xdr:col>
                    <xdr:colOff>533400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GetData4Analise">
                <anchor moveWithCells="1" sizeWithCells="1">
                  <from>
                    <xdr:col>6</xdr:col>
                    <xdr:colOff>104775</xdr:colOff>
                    <xdr:row>0</xdr:row>
                    <xdr:rowOff>38100</xdr:rowOff>
                  </from>
                  <to>
                    <xdr:col>7</xdr:col>
                    <xdr:colOff>695325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6" name="Button 36">
              <controlPr defaultSize="0" print="0" autoFill="0" autoPict="0" macro="[0]!FormProfConclusion">
                <anchor moveWithCells="1" sizeWithCells="1">
                  <from>
                    <xdr:col>14</xdr:col>
                    <xdr:colOff>47625</xdr:colOff>
                    <xdr:row>0</xdr:row>
                    <xdr:rowOff>47625</xdr:rowOff>
                  </from>
                  <to>
                    <xdr:col>14</xdr:col>
                    <xdr:colOff>2009775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7" name="Button 37">
              <controlPr defaultSize="0" print="0" autoFill="0" autoPict="0" macro="[0]!Form115F">
                <anchor moveWithCells="1" sizeWithCells="1">
                  <from>
                    <xdr:col>15</xdr:col>
                    <xdr:colOff>38100</xdr:colOff>
                    <xdr:row>0</xdr:row>
                    <xdr:rowOff>47625</xdr:rowOff>
                  </from>
                  <to>
                    <xdr:col>15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8" name="Check Box 39">
              <controlPr defaultSize="0" autoFill="0" autoLine="0" autoPict="0">
                <anchor moveWithCells="1">
                  <from>
                    <xdr:col>14</xdr:col>
                    <xdr:colOff>76200</xdr:colOff>
                    <xdr:row>1</xdr:row>
                    <xdr:rowOff>133350</xdr:rowOff>
                  </from>
                  <to>
                    <xdr:col>14</xdr:col>
                    <xdr:colOff>295275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AG4877"/>
  <sheetViews>
    <sheetView zoomScale="85" zoomScaleNormal="85" workbookViewId="0">
      <pane ySplit="6" topLeftCell="A1320" activePane="bottomLeft" state="frozen"/>
      <selection pane="bottomLeft" activeCell="A7" sqref="A7:XFD1367"/>
    </sheetView>
  </sheetViews>
  <sheetFormatPr defaultRowHeight="12.75" outlineLevelCol="1" x14ac:dyDescent="0.2"/>
  <cols>
    <col min="1" max="2" width="10.28515625" bestFit="1" customWidth="1"/>
    <col min="3" max="3" width="26.28515625" style="6" customWidth="1"/>
    <col min="4" max="4" width="16.42578125" bestFit="1" customWidth="1"/>
    <col min="5" max="5" width="35.42578125" customWidth="1" outlineLevel="1"/>
    <col min="6" max="6" width="9.140625" customWidth="1" outlineLevel="1"/>
    <col min="7" max="7" width="9.85546875" customWidth="1" outlineLevel="1"/>
    <col min="8" max="9" width="9.140625" customWidth="1" outlineLevel="1"/>
    <col min="10" max="10" width="15.28515625" customWidth="1"/>
    <col min="11" max="11" width="6.7109375" customWidth="1"/>
    <col min="12" max="12" width="16.140625" customWidth="1"/>
    <col min="13" max="17" width="6.7109375" customWidth="1"/>
    <col min="18" max="18" width="10.28515625" bestFit="1" customWidth="1"/>
    <col min="19" max="19" width="10.28515625" customWidth="1"/>
    <col min="20" max="20" width="11.85546875" customWidth="1"/>
    <col min="22" max="22" width="10.28515625" bestFit="1" customWidth="1"/>
    <col min="23" max="25" width="8.85546875" customWidth="1"/>
    <col min="26" max="27" width="8.7109375" customWidth="1"/>
    <col min="28" max="28" width="10.28515625" bestFit="1" customWidth="1"/>
    <col min="30" max="30" width="6.7109375" customWidth="1"/>
    <col min="32" max="32" width="30.85546875" customWidth="1" outlineLevel="1"/>
    <col min="33" max="33" width="32.85546875" customWidth="1"/>
  </cols>
  <sheetData>
    <row r="1" spans="1:33" ht="13.5" thickBot="1" x14ac:dyDescent="0.25">
      <c r="A1" s="11" t="s">
        <v>195</v>
      </c>
      <c r="B1" s="11"/>
      <c r="C1" s="12">
        <f>DtAn</f>
        <v>42644</v>
      </c>
      <c r="J1" t="s">
        <v>189</v>
      </c>
      <c r="K1" t="s">
        <v>191</v>
      </c>
      <c r="L1" t="s">
        <v>190</v>
      </c>
    </row>
    <row r="2" spans="1:33" x14ac:dyDescent="0.2">
      <c r="A2" s="51">
        <f t="shared" ref="A2:AG2" si="0">COLUMN(A2)</f>
        <v>1</v>
      </c>
      <c r="B2" s="51">
        <f t="shared" si="0"/>
        <v>2</v>
      </c>
      <c r="C2" s="52">
        <f t="shared" si="0"/>
        <v>3</v>
      </c>
      <c r="D2" s="51">
        <f t="shared" si="0"/>
        <v>4</v>
      </c>
      <c r="E2" s="51">
        <f t="shared" si="0"/>
        <v>5</v>
      </c>
      <c r="F2" s="51">
        <f t="shared" si="0"/>
        <v>6</v>
      </c>
      <c r="G2" s="51">
        <f t="shared" si="0"/>
        <v>7</v>
      </c>
      <c r="H2" s="51">
        <f t="shared" si="0"/>
        <v>8</v>
      </c>
      <c r="I2" s="51">
        <f t="shared" si="0"/>
        <v>9</v>
      </c>
      <c r="J2" s="51">
        <f t="shared" si="0"/>
        <v>10</v>
      </c>
      <c r="K2" s="51">
        <f t="shared" si="0"/>
        <v>11</v>
      </c>
      <c r="L2" s="51">
        <f t="shared" si="0"/>
        <v>12</v>
      </c>
      <c r="M2" s="51">
        <f t="shared" si="0"/>
        <v>13</v>
      </c>
      <c r="N2" s="51">
        <f t="shared" si="0"/>
        <v>14</v>
      </c>
      <c r="O2" s="51">
        <f t="shared" si="0"/>
        <v>15</v>
      </c>
      <c r="P2" s="51">
        <f t="shared" si="0"/>
        <v>16</v>
      </c>
      <c r="Q2" s="51">
        <f t="shared" si="0"/>
        <v>17</v>
      </c>
      <c r="R2" s="51">
        <f t="shared" si="0"/>
        <v>18</v>
      </c>
      <c r="S2" s="51">
        <f t="shared" si="0"/>
        <v>19</v>
      </c>
      <c r="T2" s="51">
        <f t="shared" si="0"/>
        <v>20</v>
      </c>
      <c r="U2" s="51">
        <f t="shared" si="0"/>
        <v>21</v>
      </c>
      <c r="V2" s="51">
        <f t="shared" si="0"/>
        <v>22</v>
      </c>
      <c r="W2" s="51">
        <f t="shared" si="0"/>
        <v>23</v>
      </c>
      <c r="X2" s="51">
        <f t="shared" si="0"/>
        <v>24</v>
      </c>
      <c r="Y2" s="51">
        <f t="shared" si="0"/>
        <v>25</v>
      </c>
      <c r="Z2" s="51">
        <f t="shared" si="0"/>
        <v>26</v>
      </c>
      <c r="AA2" s="51">
        <f t="shared" si="0"/>
        <v>27</v>
      </c>
      <c r="AB2" s="51">
        <f t="shared" si="0"/>
        <v>28</v>
      </c>
      <c r="AC2" s="51">
        <f t="shared" si="0"/>
        <v>29</v>
      </c>
      <c r="AD2" s="51">
        <f t="shared" si="0"/>
        <v>30</v>
      </c>
      <c r="AE2" s="51">
        <f t="shared" si="0"/>
        <v>31</v>
      </c>
      <c r="AF2" s="51">
        <f t="shared" si="0"/>
        <v>32</v>
      </c>
      <c r="AG2" s="51">
        <f t="shared" si="0"/>
        <v>33</v>
      </c>
    </row>
    <row r="3" spans="1:33" x14ac:dyDescent="0.2">
      <c r="J3" s="152">
        <f ca="1" xml:space="preserve"> J168 - ROUND(J168,0)</f>
        <v>0</v>
      </c>
      <c r="W3" s="166" t="s">
        <v>241</v>
      </c>
      <c r="X3" s="166"/>
      <c r="Y3" s="166"/>
      <c r="Z3" s="166" t="s">
        <v>292</v>
      </c>
      <c r="AA3" s="166"/>
    </row>
    <row r="4" spans="1:33" ht="25.5" customHeight="1" x14ac:dyDescent="0.2">
      <c r="B4" s="1"/>
      <c r="C4" s="7" t="s">
        <v>343</v>
      </c>
      <c r="D4" s="5" t="s">
        <v>344</v>
      </c>
      <c r="E4" s="168" t="s">
        <v>393</v>
      </c>
      <c r="F4" s="169"/>
      <c r="G4" s="169"/>
      <c r="H4" s="169"/>
      <c r="I4" s="170"/>
      <c r="J4" s="168" t="s">
        <v>392</v>
      </c>
      <c r="K4" s="169"/>
      <c r="L4" s="169"/>
      <c r="M4" s="169"/>
      <c r="N4" s="169"/>
      <c r="O4" s="169"/>
      <c r="P4" s="169"/>
      <c r="Q4" s="170"/>
      <c r="R4" s="171" t="s">
        <v>394</v>
      </c>
      <c r="S4" s="171"/>
      <c r="T4" s="171"/>
      <c r="U4" s="171" t="s">
        <v>165</v>
      </c>
      <c r="V4" s="171"/>
      <c r="W4" s="2" t="s">
        <v>462</v>
      </c>
      <c r="X4" s="2" t="s">
        <v>552</v>
      </c>
      <c r="Y4" s="20" t="s">
        <v>488</v>
      </c>
      <c r="Z4" s="20" t="s">
        <v>553</v>
      </c>
      <c r="AA4" s="2" t="s">
        <v>291</v>
      </c>
      <c r="AB4" s="167" t="s">
        <v>341</v>
      </c>
      <c r="AC4" s="167"/>
      <c r="AD4" s="63" t="s">
        <v>69</v>
      </c>
      <c r="AF4" s="166" t="s">
        <v>242</v>
      </c>
      <c r="AG4" s="166"/>
    </row>
    <row r="5" spans="1:33" x14ac:dyDescent="0.2">
      <c r="A5" s="45" t="s">
        <v>390</v>
      </c>
      <c r="B5" s="55" t="s">
        <v>283</v>
      </c>
      <c r="C5" s="56" t="s">
        <v>342</v>
      </c>
      <c r="D5" s="55" t="s">
        <v>345</v>
      </c>
      <c r="E5" s="3" t="s">
        <v>463</v>
      </c>
      <c r="F5" s="3" t="s">
        <v>340</v>
      </c>
      <c r="G5" s="3" t="s">
        <v>286</v>
      </c>
      <c r="H5" s="3" t="s">
        <v>287</v>
      </c>
      <c r="I5" s="3" t="s">
        <v>339</v>
      </c>
      <c r="J5" s="17" t="s">
        <v>280</v>
      </c>
      <c r="K5" s="17" t="s">
        <v>281</v>
      </c>
      <c r="L5" s="54" t="s">
        <v>298</v>
      </c>
      <c r="M5" s="54" t="s">
        <v>293</v>
      </c>
      <c r="N5" s="49" t="s">
        <v>487</v>
      </c>
      <c r="O5" s="48" t="s">
        <v>188</v>
      </c>
      <c r="P5" s="48" t="s">
        <v>60</v>
      </c>
      <c r="Q5" s="48" t="s">
        <v>59</v>
      </c>
      <c r="R5" s="57" t="s">
        <v>285</v>
      </c>
      <c r="S5" s="57" t="s">
        <v>485</v>
      </c>
      <c r="T5" s="57" t="s">
        <v>284</v>
      </c>
      <c r="U5" s="57" t="s">
        <v>360</v>
      </c>
      <c r="V5" s="57" t="s">
        <v>361</v>
      </c>
      <c r="W5" s="57" t="s">
        <v>387</v>
      </c>
      <c r="X5" s="57" t="s">
        <v>388</v>
      </c>
      <c r="Y5" s="57" t="s">
        <v>488</v>
      </c>
      <c r="Z5" s="57" t="s">
        <v>388</v>
      </c>
      <c r="AA5" s="57" t="s">
        <v>389</v>
      </c>
      <c r="AB5" s="4" t="s">
        <v>464</v>
      </c>
      <c r="AC5" s="4" t="s">
        <v>465</v>
      </c>
      <c r="AD5" s="64" t="s">
        <v>79</v>
      </c>
      <c r="AF5" s="3" t="s">
        <v>120</v>
      </c>
      <c r="AG5" s="3" t="s">
        <v>121</v>
      </c>
    </row>
    <row r="6" spans="1:33" x14ac:dyDescent="0.2">
      <c r="A6" t="s">
        <v>50</v>
      </c>
      <c r="B6" t="s">
        <v>50</v>
      </c>
      <c r="C6" s="6" t="s">
        <v>50</v>
      </c>
      <c r="D6" s="8" t="s">
        <v>50</v>
      </c>
      <c r="E6" s="6"/>
      <c r="G6" s="10"/>
      <c r="I6" t="s">
        <v>282</v>
      </c>
      <c r="J6" s="142" t="e">
        <f ca="1">VLOOKUP(A6,OFFSET('Классификация клиентов'!$A$6,1,0,1000,2),2,0)</f>
        <v>#N/A</v>
      </c>
      <c r="K6" s="15">
        <f t="shared" ref="K6:K69" si="1" xml:space="preserve"> ROUND(MAX( IF(R6 = 0, IF(S6 = 1, 1, J6), 1)*1, IF(U6 &gt; 30, 3, IF(U6 &gt; 5, 2, 1)), IF(W6 &gt; 0, 2, 1), IF(X6 &gt; 0,2,1)), 0)</f>
        <v>3</v>
      </c>
      <c r="L6" s="15">
        <v>0</v>
      </c>
      <c r="M6" s="15"/>
      <c r="N6" s="16" t="e">
        <f ca="1">MAX(1, J6+K6-1 +
            IF(OR( M6*1=0, NOT(ISERR(SEARCH((ROUND(J6,0)+K6-1) &amp; "", IF(L6&lt;&gt;-2, "", LEFT(M6)-1) &amp; M6)) )),
                   IF(L6=-2, -( IF(AND(M6*1&lt;&gt;0,  LEFT(M6)*1 = ROUND(J6,0)+K6), 0, 1 ) + J6 - ROUND(J6,0) ), L6),  0) )</f>
        <v>#N/A</v>
      </c>
      <c r="O6" s="8" t="e">
        <f ca="1">MAX(N6, IF(Y6&gt;0,3,1), IF(Z6&gt;0,3,1), IF(AA6&gt;0,3,1))</f>
        <v>#N/A</v>
      </c>
      <c r="P6" s="8" t="e">
        <f ca="1">IF(Q6=1, N6, IF(Q6=2, 0, O6))</f>
        <v>#N/A</v>
      </c>
      <c r="Q6" s="8">
        <f t="shared" ref="Q6:Q69" si="2">IF(ISNA(VLOOKUP(B6,aid_exc,1,0)), 0, VLOOKUP(B6,aid_exc,2,0))</f>
        <v>0</v>
      </c>
      <c r="R6" s="16" t="s">
        <v>50</v>
      </c>
      <c r="S6" s="16" t="s">
        <v>50</v>
      </c>
      <c r="T6" s="19" t="s">
        <v>50</v>
      </c>
      <c r="U6" s="16" t="s">
        <v>50</v>
      </c>
      <c r="V6" s="19" t="s">
        <v>50</v>
      </c>
      <c r="W6" s="18" t="s">
        <v>50</v>
      </c>
      <c r="X6" s="18" t="s">
        <v>50</v>
      </c>
      <c r="Y6" s="18" t="s">
        <v>50</v>
      </c>
      <c r="Z6" s="18" t="s">
        <v>50</v>
      </c>
      <c r="AA6" s="18" t="s">
        <v>50</v>
      </c>
      <c r="AB6" s="10" t="s">
        <v>50</v>
      </c>
      <c r="AC6" t="s">
        <v>50</v>
      </c>
      <c r="AD6" s="18">
        <f>COUNTA(W6:AA6)</f>
        <v>5</v>
      </c>
      <c r="AF6" t="s">
        <v>50</v>
      </c>
      <c r="AG6" t="str">
        <f>SUBSTITUTE( SUBSTITUTE(AF6,"restr", " - реструктуризация"), "targ", " - цели")</f>
        <v>&lt;&gt;</v>
      </c>
    </row>
    <row r="7" spans="1:33" x14ac:dyDescent="0.2">
      <c r="D7" s="8"/>
      <c r="E7" s="6"/>
      <c r="G7" s="10"/>
      <c r="J7" s="142"/>
      <c r="K7" s="15"/>
      <c r="L7" s="15"/>
      <c r="M7" s="15"/>
      <c r="N7" s="16"/>
      <c r="O7" s="8"/>
      <c r="P7" s="8"/>
      <c r="Q7" s="8"/>
      <c r="R7" s="16"/>
      <c r="S7" s="16"/>
      <c r="T7" s="19"/>
      <c r="U7" s="16"/>
      <c r="V7" s="19"/>
      <c r="W7" s="160"/>
      <c r="X7" s="160"/>
      <c r="Y7" s="160"/>
      <c r="Z7" s="160"/>
      <c r="AA7" s="160"/>
      <c r="AB7" s="10"/>
      <c r="AD7" s="160"/>
    </row>
    <row r="8" spans="1:33" x14ac:dyDescent="0.2">
      <c r="D8" s="8"/>
      <c r="E8" s="6"/>
      <c r="G8" s="10"/>
      <c r="J8" s="142"/>
      <c r="K8" s="15"/>
      <c r="L8" s="15"/>
      <c r="M8" s="15"/>
      <c r="N8" s="16"/>
      <c r="O8" s="8"/>
      <c r="P8" s="8"/>
      <c r="Q8" s="8"/>
      <c r="R8" s="16"/>
      <c r="S8" s="16"/>
      <c r="T8" s="19"/>
      <c r="U8" s="16"/>
      <c r="V8" s="19"/>
      <c r="W8" s="160"/>
      <c r="X8" s="160"/>
      <c r="Y8" s="160"/>
      <c r="Z8" s="160"/>
      <c r="AA8" s="160"/>
      <c r="AB8" s="10"/>
      <c r="AD8" s="160"/>
    </row>
    <row r="9" spans="1:33" x14ac:dyDescent="0.2">
      <c r="D9" s="8"/>
      <c r="E9" s="6"/>
      <c r="G9" s="10"/>
      <c r="J9" s="142"/>
      <c r="K9" s="15"/>
      <c r="L9" s="15"/>
      <c r="M9" s="15"/>
      <c r="N9" s="16"/>
      <c r="O9" s="8"/>
      <c r="P9" s="8"/>
      <c r="Q9" s="8"/>
      <c r="R9" s="16"/>
      <c r="S9" s="16"/>
      <c r="T9" s="19"/>
      <c r="U9" s="16"/>
      <c r="V9" s="19"/>
      <c r="W9" s="160"/>
      <c r="X9" s="160"/>
      <c r="Y9" s="160"/>
      <c r="Z9" s="160"/>
      <c r="AA9" s="160"/>
      <c r="AB9" s="10"/>
      <c r="AD9" s="160"/>
    </row>
    <row r="10" spans="1:33" x14ac:dyDescent="0.2">
      <c r="D10" s="8"/>
      <c r="E10" s="6"/>
      <c r="G10" s="10"/>
      <c r="J10" s="142"/>
      <c r="K10" s="15"/>
      <c r="L10" s="15"/>
      <c r="M10" s="15"/>
      <c r="N10" s="16"/>
      <c r="O10" s="8"/>
      <c r="P10" s="8"/>
      <c r="Q10" s="8"/>
      <c r="R10" s="16"/>
      <c r="S10" s="16"/>
      <c r="T10" s="19"/>
      <c r="U10" s="16"/>
      <c r="V10" s="19"/>
      <c r="W10" s="160"/>
      <c r="X10" s="160"/>
      <c r="Y10" s="160"/>
      <c r="Z10" s="160"/>
      <c r="AA10" s="160"/>
      <c r="AB10" s="10"/>
      <c r="AD10" s="160"/>
    </row>
    <row r="11" spans="1:33" x14ac:dyDescent="0.2">
      <c r="D11" s="8"/>
      <c r="E11" s="6"/>
      <c r="G11" s="10"/>
      <c r="J11" s="142"/>
      <c r="K11" s="15"/>
      <c r="L11" s="15"/>
      <c r="M11" s="15"/>
      <c r="N11" s="16"/>
      <c r="O11" s="8"/>
      <c r="P11" s="8"/>
      <c r="Q11" s="8"/>
      <c r="R11" s="16"/>
      <c r="S11" s="16"/>
      <c r="T11" s="19"/>
      <c r="U11" s="16"/>
      <c r="V11" s="19"/>
      <c r="W11" s="160"/>
      <c r="X11" s="160"/>
      <c r="Y11" s="160"/>
      <c r="Z11" s="160"/>
      <c r="AA11" s="160"/>
      <c r="AB11" s="10"/>
      <c r="AD11" s="160"/>
    </row>
    <row r="12" spans="1:33" x14ac:dyDescent="0.2">
      <c r="D12" s="8"/>
      <c r="E12" s="6"/>
      <c r="G12" s="10"/>
      <c r="J12" s="142"/>
      <c r="K12" s="15"/>
      <c r="L12" s="15"/>
      <c r="M12" s="15"/>
      <c r="N12" s="16"/>
      <c r="O12" s="8"/>
      <c r="P12" s="8"/>
      <c r="Q12" s="8"/>
      <c r="R12" s="16"/>
      <c r="S12" s="16"/>
      <c r="T12" s="19"/>
      <c r="U12" s="16"/>
      <c r="V12" s="19"/>
      <c r="W12" s="160"/>
      <c r="X12" s="160"/>
      <c r="Y12" s="160"/>
      <c r="Z12" s="160"/>
      <c r="AA12" s="160"/>
      <c r="AB12" s="10"/>
      <c r="AD12" s="160"/>
    </row>
    <row r="13" spans="1:33" x14ac:dyDescent="0.2">
      <c r="D13" s="8"/>
      <c r="E13" s="6"/>
      <c r="G13" s="10"/>
      <c r="J13" s="142"/>
      <c r="K13" s="15"/>
      <c r="L13" s="15"/>
      <c r="M13" s="15"/>
      <c r="N13" s="16"/>
      <c r="O13" s="8"/>
      <c r="P13" s="8"/>
      <c r="Q13" s="8"/>
      <c r="R13" s="16"/>
      <c r="S13" s="16"/>
      <c r="T13" s="19"/>
      <c r="U13" s="16"/>
      <c r="V13" s="19"/>
      <c r="W13" s="160"/>
      <c r="X13" s="160"/>
      <c r="Y13" s="160"/>
      <c r="Z13" s="160"/>
      <c r="AA13" s="160"/>
      <c r="AB13" s="10"/>
      <c r="AD13" s="160"/>
    </row>
    <row r="14" spans="1:33" x14ac:dyDescent="0.2">
      <c r="D14" s="8"/>
      <c r="E14" s="6"/>
      <c r="G14" s="10"/>
      <c r="J14" s="142"/>
      <c r="K14" s="15"/>
      <c r="L14" s="15"/>
      <c r="M14" s="15"/>
      <c r="N14" s="16"/>
      <c r="O14" s="8"/>
      <c r="P14" s="8"/>
      <c r="Q14" s="8"/>
      <c r="R14" s="16"/>
      <c r="S14" s="16"/>
      <c r="T14" s="19"/>
      <c r="U14" s="16"/>
      <c r="V14" s="19"/>
      <c r="W14" s="160"/>
      <c r="X14" s="160"/>
      <c r="Y14" s="160"/>
      <c r="Z14" s="160"/>
      <c r="AA14" s="160"/>
      <c r="AB14" s="10"/>
      <c r="AD14" s="160"/>
    </row>
    <row r="15" spans="1:33" x14ac:dyDescent="0.2">
      <c r="D15" s="8"/>
      <c r="E15" s="6"/>
      <c r="G15" s="10"/>
      <c r="J15" s="142"/>
      <c r="K15" s="15"/>
      <c r="L15" s="15"/>
      <c r="M15" s="15"/>
      <c r="N15" s="16"/>
      <c r="O15" s="8"/>
      <c r="P15" s="8"/>
      <c r="Q15" s="8"/>
      <c r="R15" s="16"/>
      <c r="S15" s="16"/>
      <c r="T15" s="19"/>
      <c r="U15" s="16"/>
      <c r="V15" s="19"/>
      <c r="W15" s="160"/>
      <c r="X15" s="160"/>
      <c r="Y15" s="160"/>
      <c r="Z15" s="160"/>
      <c r="AA15" s="160"/>
      <c r="AB15" s="10"/>
      <c r="AD15" s="160"/>
    </row>
    <row r="16" spans="1:33" x14ac:dyDescent="0.2">
      <c r="D16" s="8"/>
      <c r="E16" s="6"/>
      <c r="G16" s="10"/>
      <c r="J16" s="142"/>
      <c r="K16" s="15"/>
      <c r="L16" s="15"/>
      <c r="M16" s="15"/>
      <c r="N16" s="16"/>
      <c r="O16" s="8"/>
      <c r="P16" s="8"/>
      <c r="Q16" s="8"/>
      <c r="R16" s="16"/>
      <c r="S16" s="16"/>
      <c r="T16" s="19"/>
      <c r="U16" s="16"/>
      <c r="V16" s="19"/>
      <c r="W16" s="160"/>
      <c r="X16" s="160"/>
      <c r="Y16" s="160"/>
      <c r="Z16" s="160"/>
      <c r="AA16" s="160"/>
      <c r="AB16" s="10"/>
      <c r="AD16" s="160"/>
    </row>
    <row r="17" spans="4:30" x14ac:dyDescent="0.2">
      <c r="D17" s="8"/>
      <c r="E17" s="6"/>
      <c r="G17" s="10"/>
      <c r="J17" s="142"/>
      <c r="K17" s="15"/>
      <c r="L17" s="15"/>
      <c r="M17" s="15"/>
      <c r="N17" s="16"/>
      <c r="O17" s="8"/>
      <c r="P17" s="8"/>
      <c r="Q17" s="8"/>
      <c r="R17" s="16"/>
      <c r="S17" s="16"/>
      <c r="T17" s="19"/>
      <c r="U17" s="16"/>
      <c r="V17" s="19"/>
      <c r="W17" s="160"/>
      <c r="X17" s="160"/>
      <c r="Y17" s="160"/>
      <c r="Z17" s="160"/>
      <c r="AA17" s="160"/>
      <c r="AB17" s="10"/>
      <c r="AD17" s="160"/>
    </row>
    <row r="18" spans="4:30" x14ac:dyDescent="0.2">
      <c r="D18" s="8"/>
      <c r="E18" s="6"/>
      <c r="G18" s="10"/>
      <c r="J18" s="142"/>
      <c r="K18" s="15"/>
      <c r="L18" s="15"/>
      <c r="M18" s="15"/>
      <c r="N18" s="16"/>
      <c r="O18" s="8"/>
      <c r="P18" s="8"/>
      <c r="Q18" s="8"/>
      <c r="R18" s="16"/>
      <c r="S18" s="16"/>
      <c r="T18" s="19"/>
      <c r="U18" s="16"/>
      <c r="V18" s="19"/>
      <c r="W18" s="160"/>
      <c r="X18" s="160"/>
      <c r="Y18" s="160"/>
      <c r="Z18" s="160"/>
      <c r="AA18" s="160"/>
      <c r="AB18" s="10"/>
      <c r="AD18" s="160"/>
    </row>
    <row r="19" spans="4:30" x14ac:dyDescent="0.2">
      <c r="D19" s="8"/>
      <c r="E19" s="6"/>
      <c r="G19" s="10"/>
      <c r="J19" s="142"/>
      <c r="K19" s="15"/>
      <c r="L19" s="15"/>
      <c r="M19" s="15"/>
      <c r="N19" s="16"/>
      <c r="O19" s="8"/>
      <c r="P19" s="8"/>
      <c r="Q19" s="8"/>
      <c r="R19" s="16"/>
      <c r="S19" s="16"/>
      <c r="T19" s="19"/>
      <c r="U19" s="16"/>
      <c r="V19" s="19"/>
      <c r="W19" s="160"/>
      <c r="X19" s="160"/>
      <c r="Y19" s="160"/>
      <c r="Z19" s="160"/>
      <c r="AA19" s="160"/>
      <c r="AB19" s="10"/>
      <c r="AD19" s="160"/>
    </row>
    <row r="20" spans="4:30" x14ac:dyDescent="0.2">
      <c r="D20" s="8"/>
      <c r="E20" s="6"/>
      <c r="G20" s="10"/>
      <c r="J20" s="142"/>
      <c r="K20" s="15"/>
      <c r="L20" s="15"/>
      <c r="M20" s="15"/>
      <c r="N20" s="16"/>
      <c r="O20" s="8"/>
      <c r="P20" s="8"/>
      <c r="Q20" s="8"/>
      <c r="R20" s="16"/>
      <c r="S20" s="16"/>
      <c r="T20" s="19"/>
      <c r="U20" s="16"/>
      <c r="V20" s="19"/>
      <c r="W20" s="160"/>
      <c r="X20" s="160"/>
      <c r="Y20" s="160"/>
      <c r="Z20" s="160"/>
      <c r="AA20" s="160"/>
      <c r="AB20" s="10"/>
      <c r="AD20" s="160"/>
    </row>
    <row r="21" spans="4:30" x14ac:dyDescent="0.2">
      <c r="D21" s="8"/>
      <c r="E21" s="6"/>
      <c r="G21" s="10"/>
      <c r="J21" s="142"/>
      <c r="K21" s="15"/>
      <c r="L21" s="15"/>
      <c r="M21" s="15"/>
      <c r="N21" s="16"/>
      <c r="O21" s="8"/>
      <c r="P21" s="8"/>
      <c r="Q21" s="8"/>
      <c r="R21" s="16"/>
      <c r="S21" s="16"/>
      <c r="T21" s="19"/>
      <c r="U21" s="16"/>
      <c r="V21" s="19"/>
      <c r="W21" s="160"/>
      <c r="X21" s="160"/>
      <c r="Y21" s="160"/>
      <c r="Z21" s="160"/>
      <c r="AA21" s="160"/>
      <c r="AB21" s="10"/>
      <c r="AD21" s="160"/>
    </row>
    <row r="22" spans="4:30" x14ac:dyDescent="0.2">
      <c r="D22" s="8"/>
      <c r="E22" s="6"/>
      <c r="G22" s="10"/>
      <c r="J22" s="142"/>
      <c r="K22" s="15"/>
      <c r="L22" s="15"/>
      <c r="M22" s="15"/>
      <c r="N22" s="16"/>
      <c r="O22" s="8"/>
      <c r="P22" s="8"/>
      <c r="Q22" s="8"/>
      <c r="R22" s="16"/>
      <c r="S22" s="16"/>
      <c r="T22" s="19"/>
      <c r="U22" s="16"/>
      <c r="V22" s="19"/>
      <c r="W22" s="160"/>
      <c r="X22" s="160"/>
      <c r="Y22" s="160"/>
      <c r="Z22" s="160"/>
      <c r="AA22" s="160"/>
      <c r="AB22" s="10"/>
      <c r="AD22" s="160"/>
    </row>
    <row r="23" spans="4:30" x14ac:dyDescent="0.2">
      <c r="D23" s="8"/>
      <c r="E23" s="6"/>
      <c r="G23" s="10"/>
      <c r="J23" s="142"/>
      <c r="K23" s="15"/>
      <c r="L23" s="15"/>
      <c r="M23" s="15"/>
      <c r="N23" s="16"/>
      <c r="O23" s="8"/>
      <c r="P23" s="8"/>
      <c r="Q23" s="8"/>
      <c r="R23" s="16"/>
      <c r="S23" s="16"/>
      <c r="T23" s="19"/>
      <c r="U23" s="16"/>
      <c r="V23" s="19"/>
      <c r="W23" s="160"/>
      <c r="X23" s="160"/>
      <c r="Y23" s="160"/>
      <c r="Z23" s="160"/>
      <c r="AA23" s="160"/>
      <c r="AB23" s="10"/>
      <c r="AD23" s="160"/>
    </row>
    <row r="24" spans="4:30" x14ac:dyDescent="0.2">
      <c r="D24" s="8"/>
      <c r="E24" s="6"/>
      <c r="G24" s="10"/>
      <c r="J24" s="142"/>
      <c r="K24" s="15"/>
      <c r="L24" s="15"/>
      <c r="M24" s="15"/>
      <c r="N24" s="16"/>
      <c r="O24" s="8"/>
      <c r="P24" s="8"/>
      <c r="Q24" s="8"/>
      <c r="R24" s="16"/>
      <c r="S24" s="16"/>
      <c r="T24" s="19"/>
      <c r="U24" s="16"/>
      <c r="V24" s="19"/>
      <c r="W24" s="160"/>
      <c r="X24" s="160"/>
      <c r="Y24" s="160"/>
      <c r="Z24" s="160"/>
      <c r="AA24" s="160"/>
      <c r="AB24" s="10"/>
      <c r="AD24" s="160"/>
    </row>
    <row r="25" spans="4:30" x14ac:dyDescent="0.2">
      <c r="D25" s="8"/>
      <c r="E25" s="6"/>
      <c r="G25" s="10"/>
      <c r="J25" s="142"/>
      <c r="K25" s="15"/>
      <c r="L25" s="15"/>
      <c r="M25" s="15"/>
      <c r="N25" s="16"/>
      <c r="O25" s="8"/>
      <c r="P25" s="8"/>
      <c r="Q25" s="8"/>
      <c r="R25" s="16"/>
      <c r="S25" s="16"/>
      <c r="T25" s="19"/>
      <c r="U25" s="16"/>
      <c r="V25" s="19"/>
      <c r="W25" s="160"/>
      <c r="X25" s="160"/>
      <c r="Y25" s="160"/>
      <c r="Z25" s="160"/>
      <c r="AA25" s="160"/>
      <c r="AB25" s="10"/>
      <c r="AD25" s="160"/>
    </row>
    <row r="26" spans="4:30" x14ac:dyDescent="0.2">
      <c r="D26" s="8"/>
      <c r="E26" s="6"/>
      <c r="G26" s="10"/>
      <c r="J26" s="142"/>
      <c r="K26" s="15"/>
      <c r="L26" s="15"/>
      <c r="M26" s="15"/>
      <c r="N26" s="16"/>
      <c r="O26" s="8"/>
      <c r="P26" s="8"/>
      <c r="Q26" s="8"/>
      <c r="R26" s="16"/>
      <c r="S26" s="16"/>
      <c r="T26" s="19"/>
      <c r="U26" s="16"/>
      <c r="V26" s="19"/>
      <c r="W26" s="160"/>
      <c r="X26" s="160"/>
      <c r="Y26" s="160"/>
      <c r="Z26" s="160"/>
      <c r="AA26" s="160"/>
      <c r="AB26" s="10"/>
      <c r="AD26" s="160"/>
    </row>
    <row r="27" spans="4:30" x14ac:dyDescent="0.2">
      <c r="D27" s="8"/>
      <c r="E27" s="6"/>
      <c r="G27" s="10"/>
      <c r="J27" s="142"/>
      <c r="K27" s="15"/>
      <c r="L27" s="15"/>
      <c r="M27" s="15"/>
      <c r="N27" s="16"/>
      <c r="O27" s="8"/>
      <c r="P27" s="8"/>
      <c r="Q27" s="8"/>
      <c r="R27" s="16"/>
      <c r="S27" s="16"/>
      <c r="T27" s="19"/>
      <c r="U27" s="16"/>
      <c r="V27" s="19"/>
      <c r="W27" s="160"/>
      <c r="X27" s="160"/>
      <c r="Y27" s="160"/>
      <c r="Z27" s="160"/>
      <c r="AA27" s="160"/>
      <c r="AB27" s="10"/>
      <c r="AD27" s="160"/>
    </row>
    <row r="28" spans="4:30" x14ac:dyDescent="0.2">
      <c r="D28" s="8"/>
      <c r="E28" s="6"/>
      <c r="G28" s="10"/>
      <c r="J28" s="142"/>
      <c r="K28" s="15"/>
      <c r="L28" s="15"/>
      <c r="M28" s="15"/>
      <c r="N28" s="16"/>
      <c r="O28" s="8"/>
      <c r="P28" s="8"/>
      <c r="Q28" s="8"/>
      <c r="R28" s="16"/>
      <c r="S28" s="16"/>
      <c r="T28" s="19"/>
      <c r="U28" s="16"/>
      <c r="V28" s="19"/>
      <c r="W28" s="160"/>
      <c r="X28" s="160"/>
      <c r="Y28" s="160"/>
      <c r="Z28" s="160"/>
      <c r="AA28" s="160"/>
      <c r="AB28" s="10"/>
      <c r="AD28" s="160"/>
    </row>
    <row r="29" spans="4:30" x14ac:dyDescent="0.2">
      <c r="D29" s="8"/>
      <c r="E29" s="6"/>
      <c r="G29" s="10"/>
      <c r="J29" s="142"/>
      <c r="K29" s="15"/>
      <c r="L29" s="15"/>
      <c r="M29" s="15"/>
      <c r="N29" s="16"/>
      <c r="O29" s="8"/>
      <c r="P29" s="8"/>
      <c r="Q29" s="8"/>
      <c r="R29" s="16"/>
      <c r="S29" s="16"/>
      <c r="T29" s="19"/>
      <c r="U29" s="16"/>
      <c r="V29" s="19"/>
      <c r="W29" s="160"/>
      <c r="X29" s="160"/>
      <c r="Y29" s="160"/>
      <c r="Z29" s="160"/>
      <c r="AA29" s="160"/>
      <c r="AB29" s="10"/>
      <c r="AD29" s="160"/>
    </row>
    <row r="30" spans="4:30" x14ac:dyDescent="0.2">
      <c r="D30" s="8"/>
      <c r="E30" s="6"/>
      <c r="G30" s="10"/>
      <c r="J30" s="142"/>
      <c r="K30" s="15"/>
      <c r="L30" s="15"/>
      <c r="M30" s="15"/>
      <c r="N30" s="16"/>
      <c r="O30" s="8"/>
      <c r="P30" s="8"/>
      <c r="Q30" s="8"/>
      <c r="R30" s="16"/>
      <c r="S30" s="16"/>
      <c r="T30" s="19"/>
      <c r="U30" s="16"/>
      <c r="V30" s="19"/>
      <c r="W30" s="160"/>
      <c r="X30" s="160"/>
      <c r="Y30" s="160"/>
      <c r="Z30" s="160"/>
      <c r="AA30" s="160"/>
      <c r="AB30" s="10"/>
      <c r="AD30" s="160"/>
    </row>
    <row r="31" spans="4:30" x14ac:dyDescent="0.2">
      <c r="D31" s="8"/>
      <c r="E31" s="6"/>
      <c r="G31" s="10"/>
      <c r="J31" s="142"/>
      <c r="K31" s="15"/>
      <c r="L31" s="15"/>
      <c r="M31" s="15"/>
      <c r="N31" s="16"/>
      <c r="O31" s="8"/>
      <c r="P31" s="8"/>
      <c r="Q31" s="8"/>
      <c r="R31" s="16"/>
      <c r="S31" s="16"/>
      <c r="T31" s="19"/>
      <c r="U31" s="16"/>
      <c r="V31" s="19"/>
      <c r="W31" s="160"/>
      <c r="X31" s="160"/>
      <c r="Y31" s="160"/>
      <c r="Z31" s="160"/>
      <c r="AA31" s="160"/>
      <c r="AB31" s="10"/>
      <c r="AD31" s="160"/>
    </row>
    <row r="32" spans="4:30" x14ac:dyDescent="0.2">
      <c r="D32" s="8"/>
      <c r="E32" s="6"/>
      <c r="G32" s="10"/>
      <c r="J32" s="142"/>
      <c r="K32" s="15"/>
      <c r="L32" s="15"/>
      <c r="M32" s="15"/>
      <c r="N32" s="16"/>
      <c r="O32" s="8"/>
      <c r="P32" s="8"/>
      <c r="Q32" s="8"/>
      <c r="R32" s="16"/>
      <c r="S32" s="16"/>
      <c r="T32" s="19"/>
      <c r="U32" s="16"/>
      <c r="V32" s="19"/>
      <c r="W32" s="160"/>
      <c r="X32" s="160"/>
      <c r="Y32" s="160"/>
      <c r="Z32" s="160"/>
      <c r="AA32" s="160"/>
      <c r="AB32" s="10"/>
      <c r="AD32" s="160"/>
    </row>
    <row r="33" spans="4:30" x14ac:dyDescent="0.2">
      <c r="D33" s="8"/>
      <c r="E33" s="6"/>
      <c r="G33" s="10"/>
      <c r="J33" s="142"/>
      <c r="K33" s="15"/>
      <c r="L33" s="15"/>
      <c r="M33" s="15"/>
      <c r="N33" s="16"/>
      <c r="O33" s="8"/>
      <c r="P33" s="8"/>
      <c r="Q33" s="8"/>
      <c r="R33" s="16"/>
      <c r="S33" s="16"/>
      <c r="T33" s="19"/>
      <c r="U33" s="16"/>
      <c r="V33" s="19"/>
      <c r="W33" s="160"/>
      <c r="X33" s="160"/>
      <c r="Y33" s="160"/>
      <c r="Z33" s="160"/>
      <c r="AA33" s="160"/>
      <c r="AB33" s="10"/>
      <c r="AD33" s="160"/>
    </row>
    <row r="34" spans="4:30" x14ac:dyDescent="0.2">
      <c r="D34" s="8"/>
      <c r="E34" s="6"/>
      <c r="G34" s="10"/>
      <c r="J34" s="142"/>
      <c r="K34" s="15"/>
      <c r="L34" s="15"/>
      <c r="M34" s="15"/>
      <c r="N34" s="16"/>
      <c r="O34" s="8"/>
      <c r="P34" s="8"/>
      <c r="Q34" s="8"/>
      <c r="R34" s="16"/>
      <c r="S34" s="16"/>
      <c r="T34" s="19"/>
      <c r="U34" s="16"/>
      <c r="V34" s="19"/>
      <c r="W34" s="160"/>
      <c r="X34" s="160"/>
      <c r="Y34" s="160"/>
      <c r="Z34" s="160"/>
      <c r="AA34" s="160"/>
      <c r="AB34" s="10"/>
      <c r="AD34" s="160"/>
    </row>
    <row r="35" spans="4:30" x14ac:dyDescent="0.2">
      <c r="D35" s="8"/>
      <c r="E35" s="6"/>
      <c r="G35" s="10"/>
      <c r="J35" s="142"/>
      <c r="K35" s="15"/>
      <c r="L35" s="15"/>
      <c r="M35" s="15"/>
      <c r="N35" s="16"/>
      <c r="O35" s="8"/>
      <c r="P35" s="8"/>
      <c r="Q35" s="8"/>
      <c r="R35" s="16"/>
      <c r="S35" s="16"/>
      <c r="T35" s="19"/>
      <c r="U35" s="16"/>
      <c r="V35" s="19"/>
      <c r="W35" s="160"/>
      <c r="X35" s="160"/>
      <c r="Y35" s="160"/>
      <c r="Z35" s="160"/>
      <c r="AA35" s="160"/>
      <c r="AB35" s="10"/>
      <c r="AD35" s="160"/>
    </row>
    <row r="36" spans="4:30" x14ac:dyDescent="0.2">
      <c r="D36" s="8"/>
      <c r="E36" s="6"/>
      <c r="G36" s="10"/>
      <c r="J36" s="142"/>
      <c r="K36" s="15"/>
      <c r="L36" s="15"/>
      <c r="M36" s="15"/>
      <c r="N36" s="16"/>
      <c r="O36" s="8"/>
      <c r="P36" s="8"/>
      <c r="Q36" s="8"/>
      <c r="R36" s="16"/>
      <c r="S36" s="16"/>
      <c r="T36" s="19"/>
      <c r="U36" s="16"/>
      <c r="V36" s="19"/>
      <c r="W36" s="160"/>
      <c r="X36" s="160"/>
      <c r="Y36" s="160"/>
      <c r="Z36" s="160"/>
      <c r="AA36" s="160"/>
      <c r="AB36" s="10"/>
      <c r="AD36" s="160"/>
    </row>
    <row r="37" spans="4:30" x14ac:dyDescent="0.2">
      <c r="D37" s="8"/>
      <c r="E37" s="6"/>
      <c r="G37" s="10"/>
      <c r="J37" s="142"/>
      <c r="K37" s="15"/>
      <c r="L37" s="15"/>
      <c r="M37" s="15"/>
      <c r="N37" s="16"/>
      <c r="O37" s="8"/>
      <c r="P37" s="8"/>
      <c r="Q37" s="8"/>
      <c r="R37" s="16"/>
      <c r="S37" s="16"/>
      <c r="T37" s="19"/>
      <c r="U37" s="16"/>
      <c r="V37" s="19"/>
      <c r="W37" s="160"/>
      <c r="X37" s="160"/>
      <c r="Y37" s="160"/>
      <c r="Z37" s="160"/>
      <c r="AA37" s="160"/>
      <c r="AB37" s="10"/>
      <c r="AD37" s="160"/>
    </row>
    <row r="38" spans="4:30" x14ac:dyDescent="0.2">
      <c r="D38" s="8"/>
      <c r="E38" s="6"/>
      <c r="G38" s="10"/>
      <c r="J38" s="142"/>
      <c r="K38" s="15"/>
      <c r="L38" s="15"/>
      <c r="M38" s="15"/>
      <c r="N38" s="16"/>
      <c r="O38" s="8"/>
      <c r="P38" s="8"/>
      <c r="Q38" s="8"/>
      <c r="R38" s="16"/>
      <c r="S38" s="16"/>
      <c r="T38" s="19"/>
      <c r="U38" s="16"/>
      <c r="V38" s="19"/>
      <c r="W38" s="160"/>
      <c r="X38" s="160"/>
      <c r="Y38" s="160"/>
      <c r="Z38" s="160"/>
      <c r="AA38" s="160"/>
      <c r="AB38" s="10"/>
      <c r="AD38" s="160"/>
    </row>
    <row r="39" spans="4:30" x14ac:dyDescent="0.2">
      <c r="D39" s="8"/>
      <c r="E39" s="6"/>
      <c r="G39" s="10"/>
      <c r="J39" s="142"/>
      <c r="K39" s="15"/>
      <c r="L39" s="15"/>
      <c r="M39" s="15"/>
      <c r="N39" s="16"/>
      <c r="O39" s="8"/>
      <c r="P39" s="8"/>
      <c r="Q39" s="8"/>
      <c r="R39" s="16"/>
      <c r="S39" s="16"/>
      <c r="T39" s="19"/>
      <c r="U39" s="16"/>
      <c r="V39" s="19"/>
      <c r="W39" s="160"/>
      <c r="X39" s="160"/>
      <c r="Y39" s="160"/>
      <c r="Z39" s="160"/>
      <c r="AA39" s="160"/>
      <c r="AB39" s="10"/>
      <c r="AD39" s="160"/>
    </row>
    <row r="40" spans="4:30" x14ac:dyDescent="0.2">
      <c r="D40" s="8"/>
      <c r="E40" s="6"/>
      <c r="G40" s="10"/>
      <c r="J40" s="142"/>
      <c r="K40" s="15"/>
      <c r="L40" s="15"/>
      <c r="M40" s="15"/>
      <c r="N40" s="16"/>
      <c r="O40" s="8"/>
      <c r="P40" s="8"/>
      <c r="Q40" s="8"/>
      <c r="R40" s="16"/>
      <c r="S40" s="16"/>
      <c r="T40" s="19"/>
      <c r="U40" s="16"/>
      <c r="V40" s="19"/>
      <c r="W40" s="160"/>
      <c r="X40" s="160"/>
      <c r="Y40" s="160"/>
      <c r="Z40" s="160"/>
      <c r="AA40" s="160"/>
      <c r="AB40" s="10"/>
      <c r="AD40" s="160"/>
    </row>
    <row r="41" spans="4:30" x14ac:dyDescent="0.2">
      <c r="D41" s="8"/>
      <c r="E41" s="6"/>
      <c r="G41" s="10"/>
      <c r="J41" s="142"/>
      <c r="K41" s="15"/>
      <c r="L41" s="15"/>
      <c r="M41" s="15"/>
      <c r="N41" s="16"/>
      <c r="O41" s="8"/>
      <c r="P41" s="8"/>
      <c r="Q41" s="8"/>
      <c r="R41" s="16"/>
      <c r="S41" s="16"/>
      <c r="T41" s="19"/>
      <c r="U41" s="16"/>
      <c r="V41" s="19"/>
      <c r="W41" s="160"/>
      <c r="X41" s="160"/>
      <c r="Y41" s="160"/>
      <c r="Z41" s="160"/>
      <c r="AA41" s="160"/>
      <c r="AB41" s="10"/>
      <c r="AD41" s="160"/>
    </row>
    <row r="42" spans="4:30" x14ac:dyDescent="0.2">
      <c r="D42" s="8"/>
      <c r="E42" s="6"/>
      <c r="G42" s="10"/>
      <c r="J42" s="142"/>
      <c r="K42" s="15"/>
      <c r="L42" s="15"/>
      <c r="M42" s="15"/>
      <c r="N42" s="16"/>
      <c r="O42" s="8"/>
      <c r="P42" s="8"/>
      <c r="Q42" s="8"/>
      <c r="R42" s="16"/>
      <c r="S42" s="16"/>
      <c r="T42" s="19"/>
      <c r="U42" s="16"/>
      <c r="V42" s="19"/>
      <c r="W42" s="160"/>
      <c r="X42" s="160"/>
      <c r="Y42" s="160"/>
      <c r="Z42" s="160"/>
      <c r="AA42" s="160"/>
      <c r="AB42" s="10"/>
      <c r="AD42" s="160"/>
    </row>
    <row r="43" spans="4:30" x14ac:dyDescent="0.2">
      <c r="D43" s="8"/>
      <c r="E43" s="6"/>
      <c r="G43" s="10"/>
      <c r="J43" s="142"/>
      <c r="K43" s="15"/>
      <c r="L43" s="15"/>
      <c r="M43" s="15"/>
      <c r="N43" s="16"/>
      <c r="O43" s="8"/>
      <c r="P43" s="8"/>
      <c r="Q43" s="8"/>
      <c r="R43" s="16"/>
      <c r="S43" s="16"/>
      <c r="T43" s="19"/>
      <c r="U43" s="16"/>
      <c r="V43" s="19"/>
      <c r="W43" s="160"/>
      <c r="X43" s="160"/>
      <c r="Y43" s="160"/>
      <c r="Z43" s="160"/>
      <c r="AA43" s="160"/>
      <c r="AB43" s="10"/>
      <c r="AD43" s="160"/>
    </row>
    <row r="44" spans="4:30" x14ac:dyDescent="0.2">
      <c r="D44" s="8"/>
      <c r="E44" s="6"/>
      <c r="G44" s="10"/>
      <c r="J44" s="142"/>
      <c r="K44" s="15"/>
      <c r="L44" s="15"/>
      <c r="M44" s="15"/>
      <c r="N44" s="16"/>
      <c r="O44" s="8"/>
      <c r="P44" s="8"/>
      <c r="Q44" s="8"/>
      <c r="R44" s="16"/>
      <c r="S44" s="16"/>
      <c r="T44" s="19"/>
      <c r="U44" s="16"/>
      <c r="V44" s="19"/>
      <c r="W44" s="160"/>
      <c r="X44" s="160"/>
      <c r="Y44" s="160"/>
      <c r="Z44" s="160"/>
      <c r="AA44" s="160"/>
      <c r="AB44" s="10"/>
      <c r="AD44" s="160"/>
    </row>
    <row r="45" spans="4:30" x14ac:dyDescent="0.2">
      <c r="D45" s="8"/>
      <c r="E45" s="6"/>
      <c r="G45" s="10"/>
      <c r="J45" s="142"/>
      <c r="K45" s="15"/>
      <c r="L45" s="15"/>
      <c r="M45" s="15"/>
      <c r="N45" s="16"/>
      <c r="O45" s="8"/>
      <c r="P45" s="8"/>
      <c r="Q45" s="8"/>
      <c r="R45" s="16"/>
      <c r="S45" s="16"/>
      <c r="T45" s="19"/>
      <c r="U45" s="16"/>
      <c r="V45" s="19"/>
      <c r="W45" s="160"/>
      <c r="X45" s="160"/>
      <c r="Y45" s="160"/>
      <c r="Z45" s="160"/>
      <c r="AA45" s="160"/>
      <c r="AB45" s="10"/>
      <c r="AD45" s="160"/>
    </row>
    <row r="46" spans="4:30" x14ac:dyDescent="0.2">
      <c r="D46" s="8"/>
      <c r="E46" s="6"/>
      <c r="G46" s="10"/>
      <c r="J46" s="142"/>
      <c r="K46" s="15"/>
      <c r="L46" s="15"/>
      <c r="M46" s="15"/>
      <c r="N46" s="16"/>
      <c r="O46" s="8"/>
      <c r="P46" s="8"/>
      <c r="Q46" s="8"/>
      <c r="R46" s="16"/>
      <c r="S46" s="16"/>
      <c r="T46" s="19"/>
      <c r="U46" s="16"/>
      <c r="V46" s="19"/>
      <c r="W46" s="160"/>
      <c r="X46" s="160"/>
      <c r="Y46" s="160"/>
      <c r="Z46" s="160"/>
      <c r="AA46" s="160"/>
      <c r="AB46" s="10"/>
      <c r="AD46" s="160"/>
    </row>
    <row r="47" spans="4:30" x14ac:dyDescent="0.2">
      <c r="D47" s="8"/>
      <c r="E47" s="6"/>
      <c r="G47" s="10"/>
      <c r="J47" s="142"/>
      <c r="K47" s="15"/>
      <c r="L47" s="15"/>
      <c r="M47" s="15"/>
      <c r="N47" s="16"/>
      <c r="O47" s="8"/>
      <c r="P47" s="8"/>
      <c r="Q47" s="8"/>
      <c r="R47" s="16"/>
      <c r="S47" s="16"/>
      <c r="T47" s="19"/>
      <c r="U47" s="16"/>
      <c r="V47" s="19"/>
      <c r="W47" s="160"/>
      <c r="X47" s="160"/>
      <c r="Y47" s="160"/>
      <c r="Z47" s="160"/>
      <c r="AA47" s="160"/>
      <c r="AB47" s="10"/>
      <c r="AD47" s="160"/>
    </row>
    <row r="48" spans="4:30" x14ac:dyDescent="0.2">
      <c r="D48" s="8"/>
      <c r="E48" s="6"/>
      <c r="G48" s="10"/>
      <c r="J48" s="142"/>
      <c r="K48" s="15"/>
      <c r="L48" s="15"/>
      <c r="M48" s="15"/>
      <c r="N48" s="16"/>
      <c r="O48" s="8"/>
      <c r="P48" s="8"/>
      <c r="Q48" s="8"/>
      <c r="R48" s="16"/>
      <c r="S48" s="16"/>
      <c r="T48" s="19"/>
      <c r="U48" s="16"/>
      <c r="V48" s="19"/>
      <c r="W48" s="160"/>
      <c r="X48" s="160"/>
      <c r="Y48" s="160"/>
      <c r="Z48" s="160"/>
      <c r="AA48" s="160"/>
      <c r="AB48" s="10"/>
      <c r="AD48" s="160"/>
    </row>
    <row r="49" spans="4:30" x14ac:dyDescent="0.2">
      <c r="D49" s="8"/>
      <c r="E49" s="6"/>
      <c r="G49" s="10"/>
      <c r="J49" s="142"/>
      <c r="K49" s="15"/>
      <c r="L49" s="15"/>
      <c r="M49" s="15"/>
      <c r="N49" s="16"/>
      <c r="O49" s="8"/>
      <c r="P49" s="8"/>
      <c r="Q49" s="8"/>
      <c r="R49" s="16"/>
      <c r="S49" s="16"/>
      <c r="T49" s="19"/>
      <c r="U49" s="16"/>
      <c r="V49" s="19"/>
      <c r="W49" s="160"/>
      <c r="X49" s="160"/>
      <c r="Y49" s="160"/>
      <c r="Z49" s="160"/>
      <c r="AA49" s="160"/>
      <c r="AB49" s="10"/>
      <c r="AD49" s="160"/>
    </row>
    <row r="50" spans="4:30" x14ac:dyDescent="0.2">
      <c r="D50" s="8"/>
      <c r="E50" s="6"/>
      <c r="G50" s="10"/>
      <c r="J50" s="142"/>
      <c r="K50" s="15"/>
      <c r="L50" s="15"/>
      <c r="M50" s="15"/>
      <c r="N50" s="16"/>
      <c r="O50" s="8"/>
      <c r="P50" s="8"/>
      <c r="Q50" s="8"/>
      <c r="R50" s="16"/>
      <c r="S50" s="16"/>
      <c r="T50" s="19"/>
      <c r="U50" s="16"/>
      <c r="V50" s="19"/>
      <c r="W50" s="160"/>
      <c r="X50" s="160"/>
      <c r="Y50" s="160"/>
      <c r="Z50" s="160"/>
      <c r="AA50" s="160"/>
      <c r="AB50" s="10"/>
      <c r="AD50" s="160"/>
    </row>
    <row r="51" spans="4:30" x14ac:dyDescent="0.2">
      <c r="D51" s="8"/>
      <c r="E51" s="6"/>
      <c r="G51" s="10"/>
      <c r="J51" s="142"/>
      <c r="K51" s="15"/>
      <c r="L51" s="15"/>
      <c r="M51" s="15"/>
      <c r="N51" s="16"/>
      <c r="O51" s="8"/>
      <c r="P51" s="8"/>
      <c r="Q51" s="8"/>
      <c r="R51" s="16"/>
      <c r="S51" s="16"/>
      <c r="T51" s="19"/>
      <c r="U51" s="16"/>
      <c r="V51" s="19"/>
      <c r="W51" s="160"/>
      <c r="X51" s="160"/>
      <c r="Y51" s="160"/>
      <c r="Z51" s="160"/>
      <c r="AA51" s="160"/>
      <c r="AB51" s="10"/>
      <c r="AD51" s="160"/>
    </row>
    <row r="52" spans="4:30" x14ac:dyDescent="0.2">
      <c r="D52" s="8"/>
      <c r="E52" s="6"/>
      <c r="G52" s="10"/>
      <c r="J52" s="142"/>
      <c r="K52" s="15"/>
      <c r="L52" s="15"/>
      <c r="M52" s="15"/>
      <c r="N52" s="16"/>
      <c r="O52" s="8"/>
      <c r="P52" s="8"/>
      <c r="Q52" s="8"/>
      <c r="R52" s="16"/>
      <c r="S52" s="16"/>
      <c r="T52" s="19"/>
      <c r="U52" s="16"/>
      <c r="V52" s="19"/>
      <c r="W52" s="160"/>
      <c r="X52" s="160"/>
      <c r="Y52" s="160"/>
      <c r="Z52" s="160"/>
      <c r="AA52" s="160"/>
      <c r="AB52" s="10"/>
      <c r="AD52" s="160"/>
    </row>
    <row r="53" spans="4:30" x14ac:dyDescent="0.2">
      <c r="D53" s="8"/>
      <c r="E53" s="6"/>
      <c r="G53" s="10"/>
      <c r="J53" s="142"/>
      <c r="K53" s="15"/>
      <c r="L53" s="15"/>
      <c r="M53" s="15"/>
      <c r="N53" s="16"/>
      <c r="O53" s="8"/>
      <c r="P53" s="8"/>
      <c r="Q53" s="8"/>
      <c r="R53" s="16"/>
      <c r="S53" s="16"/>
      <c r="T53" s="19"/>
      <c r="U53" s="16"/>
      <c r="V53" s="19"/>
      <c r="W53" s="160"/>
      <c r="X53" s="160"/>
      <c r="Y53" s="160"/>
      <c r="Z53" s="160"/>
      <c r="AA53" s="160"/>
      <c r="AB53" s="10"/>
      <c r="AD53" s="160"/>
    </row>
    <row r="54" spans="4:30" x14ac:dyDescent="0.2">
      <c r="D54" s="8"/>
      <c r="E54" s="6"/>
      <c r="G54" s="10"/>
      <c r="J54" s="142"/>
      <c r="K54" s="15"/>
      <c r="L54" s="15"/>
      <c r="M54" s="15"/>
      <c r="N54" s="16"/>
      <c r="O54" s="8"/>
      <c r="P54" s="8"/>
      <c r="Q54" s="8"/>
      <c r="R54" s="16"/>
      <c r="S54" s="16"/>
      <c r="T54" s="19"/>
      <c r="U54" s="16"/>
      <c r="V54" s="19"/>
      <c r="W54" s="160"/>
      <c r="X54" s="160"/>
      <c r="Y54" s="160"/>
      <c r="Z54" s="160"/>
      <c r="AA54" s="160"/>
      <c r="AB54" s="10"/>
      <c r="AD54" s="160"/>
    </row>
    <row r="55" spans="4:30" x14ac:dyDescent="0.2">
      <c r="D55" s="8"/>
      <c r="E55" s="6"/>
      <c r="G55" s="10"/>
      <c r="J55" s="142"/>
      <c r="K55" s="15"/>
      <c r="L55" s="15"/>
      <c r="M55" s="15"/>
      <c r="N55" s="16"/>
      <c r="O55" s="8"/>
      <c r="P55" s="8"/>
      <c r="Q55" s="8"/>
      <c r="R55" s="16"/>
      <c r="S55" s="16"/>
      <c r="T55" s="19"/>
      <c r="U55" s="16"/>
      <c r="V55" s="19"/>
      <c r="W55" s="160"/>
      <c r="X55" s="160"/>
      <c r="Y55" s="160"/>
      <c r="Z55" s="160"/>
      <c r="AA55" s="160"/>
      <c r="AB55" s="10"/>
      <c r="AD55" s="160"/>
    </row>
    <row r="56" spans="4:30" x14ac:dyDescent="0.2">
      <c r="D56" s="8"/>
      <c r="E56" s="6"/>
      <c r="G56" s="10"/>
      <c r="J56" s="142"/>
      <c r="K56" s="15"/>
      <c r="L56" s="15"/>
      <c r="M56" s="15"/>
      <c r="N56" s="16"/>
      <c r="O56" s="8"/>
      <c r="P56" s="8"/>
      <c r="Q56" s="8"/>
      <c r="R56" s="16"/>
      <c r="S56" s="16"/>
      <c r="T56" s="19"/>
      <c r="U56" s="16"/>
      <c r="V56" s="19"/>
      <c r="W56" s="160"/>
      <c r="X56" s="160"/>
      <c r="Y56" s="160"/>
      <c r="Z56" s="160"/>
      <c r="AA56" s="160"/>
      <c r="AB56" s="10"/>
      <c r="AD56" s="160"/>
    </row>
    <row r="57" spans="4:30" x14ac:dyDescent="0.2">
      <c r="D57" s="8"/>
      <c r="E57" s="6"/>
      <c r="G57" s="10"/>
      <c r="J57" s="142"/>
      <c r="K57" s="15"/>
      <c r="L57" s="15"/>
      <c r="M57" s="15"/>
      <c r="N57" s="16"/>
      <c r="O57" s="8"/>
      <c r="P57" s="8"/>
      <c r="Q57" s="8"/>
      <c r="R57" s="16"/>
      <c r="S57" s="16"/>
      <c r="T57" s="19"/>
      <c r="U57" s="16"/>
      <c r="V57" s="19"/>
      <c r="W57" s="160"/>
      <c r="X57" s="160"/>
      <c r="Y57" s="160"/>
      <c r="Z57" s="160"/>
      <c r="AA57" s="160"/>
      <c r="AB57" s="10"/>
      <c r="AD57" s="160"/>
    </row>
    <row r="58" spans="4:30" x14ac:dyDescent="0.2">
      <c r="D58" s="8"/>
      <c r="E58" s="6"/>
      <c r="G58" s="10"/>
      <c r="J58" s="142"/>
      <c r="K58" s="15"/>
      <c r="L58" s="15"/>
      <c r="M58" s="15"/>
      <c r="N58" s="16"/>
      <c r="O58" s="8"/>
      <c r="P58" s="8"/>
      <c r="Q58" s="8"/>
      <c r="R58" s="16"/>
      <c r="S58" s="16"/>
      <c r="T58" s="19"/>
      <c r="U58" s="16"/>
      <c r="V58" s="19"/>
      <c r="W58" s="160"/>
      <c r="X58" s="160"/>
      <c r="Y58" s="160"/>
      <c r="Z58" s="160"/>
      <c r="AA58" s="160"/>
      <c r="AB58" s="10"/>
      <c r="AD58" s="160"/>
    </row>
    <row r="59" spans="4:30" x14ac:dyDescent="0.2">
      <c r="D59" s="8"/>
      <c r="E59" s="6"/>
      <c r="G59" s="10"/>
      <c r="J59" s="142"/>
      <c r="K59" s="15"/>
      <c r="L59" s="15"/>
      <c r="M59" s="15"/>
      <c r="N59" s="16"/>
      <c r="O59" s="8"/>
      <c r="P59" s="8"/>
      <c r="Q59" s="8"/>
      <c r="R59" s="16"/>
      <c r="S59" s="16"/>
      <c r="T59" s="19"/>
      <c r="U59" s="16"/>
      <c r="V59" s="19"/>
      <c r="W59" s="160"/>
      <c r="X59" s="160"/>
      <c r="Y59" s="160"/>
      <c r="Z59" s="160"/>
      <c r="AA59" s="160"/>
      <c r="AB59" s="10"/>
      <c r="AD59" s="160"/>
    </row>
    <row r="60" spans="4:30" x14ac:dyDescent="0.2">
      <c r="D60" s="8"/>
      <c r="E60" s="6"/>
      <c r="G60" s="10"/>
      <c r="J60" s="142"/>
      <c r="K60" s="15"/>
      <c r="L60" s="15"/>
      <c r="M60" s="15"/>
      <c r="N60" s="16"/>
      <c r="O60" s="8"/>
      <c r="P60" s="8"/>
      <c r="Q60" s="8"/>
      <c r="R60" s="16"/>
      <c r="S60" s="16"/>
      <c r="T60" s="19"/>
      <c r="U60" s="16"/>
      <c r="V60" s="19"/>
      <c r="W60" s="160"/>
      <c r="X60" s="160"/>
      <c r="Y60" s="160"/>
      <c r="Z60" s="160"/>
      <c r="AA60" s="160"/>
      <c r="AB60" s="10"/>
      <c r="AD60" s="160"/>
    </row>
    <row r="61" spans="4:30" x14ac:dyDescent="0.2">
      <c r="D61" s="8"/>
      <c r="E61" s="6"/>
      <c r="G61" s="10"/>
      <c r="J61" s="142"/>
      <c r="K61" s="15"/>
      <c r="L61" s="15"/>
      <c r="M61" s="15"/>
      <c r="N61" s="16"/>
      <c r="O61" s="8"/>
      <c r="P61" s="8"/>
      <c r="Q61" s="8"/>
      <c r="R61" s="16"/>
      <c r="S61" s="16"/>
      <c r="T61" s="19"/>
      <c r="U61" s="16"/>
      <c r="V61" s="19"/>
      <c r="W61" s="160"/>
      <c r="X61" s="160"/>
      <c r="Y61" s="160"/>
      <c r="Z61" s="160"/>
      <c r="AA61" s="160"/>
      <c r="AB61" s="10"/>
      <c r="AD61" s="160"/>
    </row>
    <row r="62" spans="4:30" x14ac:dyDescent="0.2">
      <c r="D62" s="8"/>
      <c r="E62" s="6"/>
      <c r="G62" s="10"/>
      <c r="J62" s="142"/>
      <c r="K62" s="15"/>
      <c r="L62" s="15"/>
      <c r="M62" s="15"/>
      <c r="N62" s="16"/>
      <c r="O62" s="8"/>
      <c r="P62" s="8"/>
      <c r="Q62" s="8"/>
      <c r="R62" s="16"/>
      <c r="S62" s="16"/>
      <c r="T62" s="19"/>
      <c r="U62" s="16"/>
      <c r="V62" s="19"/>
      <c r="W62" s="160"/>
      <c r="X62" s="160"/>
      <c r="Y62" s="160"/>
      <c r="Z62" s="160"/>
      <c r="AA62" s="160"/>
      <c r="AB62" s="10"/>
      <c r="AD62" s="160"/>
    </row>
    <row r="63" spans="4:30" x14ac:dyDescent="0.2">
      <c r="D63" s="8"/>
      <c r="E63" s="6"/>
      <c r="G63" s="10"/>
      <c r="J63" s="142"/>
      <c r="K63" s="15"/>
      <c r="L63" s="15"/>
      <c r="M63" s="15"/>
      <c r="N63" s="16"/>
      <c r="O63" s="8"/>
      <c r="P63" s="8"/>
      <c r="Q63" s="8"/>
      <c r="R63" s="16"/>
      <c r="S63" s="16"/>
      <c r="T63" s="19"/>
      <c r="U63" s="16"/>
      <c r="V63" s="19"/>
      <c r="W63" s="160"/>
      <c r="X63" s="160"/>
      <c r="Y63" s="160"/>
      <c r="Z63" s="160"/>
      <c r="AA63" s="160"/>
      <c r="AB63" s="10"/>
      <c r="AD63" s="160"/>
    </row>
    <row r="64" spans="4:30" x14ac:dyDescent="0.2">
      <c r="D64" s="8"/>
      <c r="E64" s="6"/>
      <c r="G64" s="10"/>
      <c r="J64" s="142"/>
      <c r="K64" s="15"/>
      <c r="L64" s="15"/>
      <c r="M64" s="15"/>
      <c r="N64" s="16"/>
      <c r="O64" s="8"/>
      <c r="P64" s="8"/>
      <c r="Q64" s="8"/>
      <c r="R64" s="16"/>
      <c r="S64" s="16"/>
      <c r="T64" s="19"/>
      <c r="U64" s="16"/>
      <c r="V64" s="19"/>
      <c r="W64" s="160"/>
      <c r="X64" s="160"/>
      <c r="Y64" s="160"/>
      <c r="Z64" s="160"/>
      <c r="AA64" s="160"/>
      <c r="AB64" s="10"/>
      <c r="AD64" s="160"/>
    </row>
    <row r="65" spans="4:30" x14ac:dyDescent="0.2">
      <c r="D65" s="8"/>
      <c r="E65" s="6"/>
      <c r="G65" s="10"/>
      <c r="J65" s="142"/>
      <c r="K65" s="15"/>
      <c r="L65" s="15"/>
      <c r="M65" s="15"/>
      <c r="N65" s="16"/>
      <c r="O65" s="8"/>
      <c r="P65" s="8"/>
      <c r="Q65" s="8"/>
      <c r="R65" s="16"/>
      <c r="S65" s="16"/>
      <c r="T65" s="19"/>
      <c r="U65" s="16"/>
      <c r="V65" s="19"/>
      <c r="W65" s="160"/>
      <c r="X65" s="160"/>
      <c r="Y65" s="160"/>
      <c r="Z65" s="160"/>
      <c r="AA65" s="160"/>
      <c r="AB65" s="10"/>
      <c r="AD65" s="160"/>
    </row>
    <row r="66" spans="4:30" x14ac:dyDescent="0.2">
      <c r="D66" s="8"/>
      <c r="E66" s="6"/>
      <c r="G66" s="10"/>
      <c r="J66" s="142"/>
      <c r="K66" s="15"/>
      <c r="L66" s="15"/>
      <c r="M66" s="15"/>
      <c r="N66" s="16"/>
      <c r="O66" s="8"/>
      <c r="P66" s="8"/>
      <c r="Q66" s="8"/>
      <c r="R66" s="16"/>
      <c r="S66" s="16"/>
      <c r="T66" s="19"/>
      <c r="U66" s="16"/>
      <c r="V66" s="19"/>
      <c r="W66" s="160"/>
      <c r="X66" s="160"/>
      <c r="Y66" s="160"/>
      <c r="Z66" s="160"/>
      <c r="AA66" s="160"/>
      <c r="AB66" s="10"/>
      <c r="AD66" s="160"/>
    </row>
    <row r="67" spans="4:30" x14ac:dyDescent="0.2">
      <c r="D67" s="8"/>
      <c r="E67" s="6"/>
      <c r="G67" s="10"/>
      <c r="J67" s="142"/>
      <c r="K67" s="15"/>
      <c r="L67" s="15"/>
      <c r="M67" s="15"/>
      <c r="N67" s="16"/>
      <c r="O67" s="8"/>
      <c r="P67" s="8"/>
      <c r="Q67" s="8"/>
      <c r="R67" s="16"/>
      <c r="S67" s="16"/>
      <c r="T67" s="19"/>
      <c r="U67" s="16"/>
      <c r="V67" s="19"/>
      <c r="W67" s="160"/>
      <c r="X67" s="160"/>
      <c r="Y67" s="160"/>
      <c r="Z67" s="160"/>
      <c r="AA67" s="160"/>
      <c r="AB67" s="10"/>
      <c r="AD67" s="160"/>
    </row>
    <row r="68" spans="4:30" x14ac:dyDescent="0.2">
      <c r="D68" s="8"/>
      <c r="E68" s="6"/>
      <c r="G68" s="10"/>
      <c r="J68" s="142"/>
      <c r="K68" s="15"/>
      <c r="L68" s="15"/>
      <c r="M68" s="15"/>
      <c r="N68" s="16"/>
      <c r="O68" s="8"/>
      <c r="P68" s="8"/>
      <c r="Q68" s="8"/>
      <c r="R68" s="16"/>
      <c r="S68" s="16"/>
      <c r="T68" s="19"/>
      <c r="U68" s="16"/>
      <c r="V68" s="19"/>
      <c r="W68" s="160"/>
      <c r="X68" s="160"/>
      <c r="Y68" s="160"/>
      <c r="Z68" s="160"/>
      <c r="AA68" s="160"/>
      <c r="AB68" s="10"/>
      <c r="AD68" s="160"/>
    </row>
    <row r="69" spans="4:30" x14ac:dyDescent="0.2">
      <c r="D69" s="8"/>
      <c r="E69" s="6"/>
      <c r="G69" s="10"/>
      <c r="J69" s="142"/>
      <c r="K69" s="15"/>
      <c r="L69" s="15"/>
      <c r="M69" s="15"/>
      <c r="N69" s="16"/>
      <c r="O69" s="8"/>
      <c r="P69" s="8"/>
      <c r="Q69" s="8"/>
      <c r="R69" s="16"/>
      <c r="S69" s="16"/>
      <c r="T69" s="19"/>
      <c r="U69" s="16"/>
      <c r="V69" s="19"/>
      <c r="W69" s="160"/>
      <c r="X69" s="160"/>
      <c r="Y69" s="160"/>
      <c r="Z69" s="160"/>
      <c r="AA69" s="160"/>
      <c r="AB69" s="10"/>
      <c r="AD69" s="160"/>
    </row>
    <row r="70" spans="4:30" x14ac:dyDescent="0.2">
      <c r="D70" s="8"/>
      <c r="E70" s="6"/>
      <c r="G70" s="10"/>
      <c r="J70" s="142"/>
      <c r="K70" s="15"/>
      <c r="L70" s="15"/>
      <c r="M70" s="15"/>
      <c r="N70" s="16"/>
      <c r="O70" s="8"/>
      <c r="P70" s="8"/>
      <c r="Q70" s="8"/>
      <c r="R70" s="16"/>
      <c r="S70" s="16"/>
      <c r="T70" s="19"/>
      <c r="U70" s="16"/>
      <c r="V70" s="19"/>
      <c r="W70" s="160"/>
      <c r="X70" s="160"/>
      <c r="Y70" s="160"/>
      <c r="Z70" s="160"/>
      <c r="AA70" s="160"/>
      <c r="AB70" s="10"/>
      <c r="AD70" s="160"/>
    </row>
    <row r="71" spans="4:30" x14ac:dyDescent="0.2">
      <c r="D71" s="8"/>
      <c r="E71" s="6"/>
      <c r="G71" s="10"/>
      <c r="J71" s="142"/>
      <c r="K71" s="15"/>
      <c r="L71" s="15"/>
      <c r="M71" s="15"/>
      <c r="N71" s="16"/>
      <c r="O71" s="8"/>
      <c r="P71" s="8"/>
      <c r="Q71" s="8"/>
      <c r="R71" s="16"/>
      <c r="S71" s="16"/>
      <c r="T71" s="19"/>
      <c r="U71" s="16"/>
      <c r="V71" s="19"/>
      <c r="W71" s="160"/>
      <c r="X71" s="160"/>
      <c r="Y71" s="160"/>
      <c r="Z71" s="160"/>
      <c r="AA71" s="160"/>
      <c r="AB71" s="10"/>
      <c r="AD71" s="160"/>
    </row>
    <row r="72" spans="4:30" x14ac:dyDescent="0.2">
      <c r="D72" s="8"/>
      <c r="E72" s="6"/>
      <c r="G72" s="10"/>
      <c r="J72" s="142"/>
      <c r="K72" s="15"/>
      <c r="L72" s="15"/>
      <c r="M72" s="15"/>
      <c r="N72" s="16"/>
      <c r="O72" s="8"/>
      <c r="P72" s="8"/>
      <c r="Q72" s="8"/>
      <c r="R72" s="16"/>
      <c r="S72" s="16"/>
      <c r="T72" s="19"/>
      <c r="U72" s="16"/>
      <c r="V72" s="19"/>
      <c r="W72" s="160"/>
      <c r="X72" s="160"/>
      <c r="Y72" s="160"/>
      <c r="Z72" s="160"/>
      <c r="AA72" s="160"/>
      <c r="AB72" s="10"/>
      <c r="AD72" s="160"/>
    </row>
    <row r="73" spans="4:30" x14ac:dyDescent="0.2">
      <c r="D73" s="8"/>
      <c r="E73" s="6"/>
      <c r="G73" s="10"/>
      <c r="J73" s="142"/>
      <c r="K73" s="15"/>
      <c r="L73" s="15"/>
      <c r="M73" s="15"/>
      <c r="N73" s="16"/>
      <c r="O73" s="8"/>
      <c r="P73" s="8"/>
      <c r="Q73" s="8"/>
      <c r="R73" s="16"/>
      <c r="S73" s="16"/>
      <c r="T73" s="19"/>
      <c r="U73" s="16"/>
      <c r="V73" s="19"/>
      <c r="W73" s="160"/>
      <c r="X73" s="160"/>
      <c r="Y73" s="160"/>
      <c r="Z73" s="160"/>
      <c r="AA73" s="160"/>
      <c r="AB73" s="10"/>
      <c r="AD73" s="160"/>
    </row>
    <row r="74" spans="4:30" x14ac:dyDescent="0.2">
      <c r="D74" s="8"/>
      <c r="E74" s="6"/>
      <c r="G74" s="10"/>
      <c r="J74" s="142"/>
      <c r="K74" s="15"/>
      <c r="L74" s="15"/>
      <c r="M74" s="15"/>
      <c r="N74" s="16"/>
      <c r="O74" s="8"/>
      <c r="P74" s="8"/>
      <c r="Q74" s="8"/>
      <c r="R74" s="16"/>
      <c r="S74" s="16"/>
      <c r="T74" s="19"/>
      <c r="U74" s="16"/>
      <c r="V74" s="19"/>
      <c r="W74" s="160"/>
      <c r="X74" s="160"/>
      <c r="Y74" s="160"/>
      <c r="Z74" s="160"/>
      <c r="AA74" s="160"/>
      <c r="AB74" s="10"/>
      <c r="AD74" s="160"/>
    </row>
    <row r="75" spans="4:30" x14ac:dyDescent="0.2">
      <c r="D75" s="8"/>
      <c r="E75" s="6"/>
      <c r="G75" s="10"/>
      <c r="J75" s="142"/>
      <c r="K75" s="15"/>
      <c r="L75" s="15"/>
      <c r="M75" s="15"/>
      <c r="N75" s="16"/>
      <c r="O75" s="8"/>
      <c r="P75" s="8"/>
      <c r="Q75" s="8"/>
      <c r="R75" s="16"/>
      <c r="S75" s="16"/>
      <c r="T75" s="19"/>
      <c r="U75" s="16"/>
      <c r="V75" s="19"/>
      <c r="W75" s="160"/>
      <c r="X75" s="160"/>
      <c r="Y75" s="160"/>
      <c r="Z75" s="160"/>
      <c r="AA75" s="160"/>
      <c r="AB75" s="10"/>
      <c r="AD75" s="160"/>
    </row>
    <row r="76" spans="4:30" x14ac:dyDescent="0.2">
      <c r="D76" s="8"/>
      <c r="E76" s="6"/>
      <c r="G76" s="10"/>
      <c r="J76" s="142"/>
      <c r="K76" s="15"/>
      <c r="L76" s="15"/>
      <c r="M76" s="15"/>
      <c r="N76" s="16"/>
      <c r="O76" s="8"/>
      <c r="P76" s="8"/>
      <c r="Q76" s="8"/>
      <c r="R76" s="16"/>
      <c r="S76" s="16"/>
      <c r="T76" s="19"/>
      <c r="U76" s="16"/>
      <c r="V76" s="19"/>
      <c r="W76" s="160"/>
      <c r="X76" s="160"/>
      <c r="Y76" s="160"/>
      <c r="Z76" s="160"/>
      <c r="AA76" s="160"/>
      <c r="AB76" s="10"/>
      <c r="AD76" s="160"/>
    </row>
    <row r="77" spans="4:30" x14ac:dyDescent="0.2">
      <c r="D77" s="8"/>
      <c r="E77" s="6"/>
      <c r="G77" s="10"/>
      <c r="J77" s="142"/>
      <c r="K77" s="15"/>
      <c r="L77" s="15"/>
      <c r="M77" s="15"/>
      <c r="N77" s="16"/>
      <c r="O77" s="8"/>
      <c r="P77" s="8"/>
      <c r="Q77" s="8"/>
      <c r="R77" s="16"/>
      <c r="S77" s="16"/>
      <c r="T77" s="19"/>
      <c r="U77" s="16"/>
      <c r="V77" s="19"/>
      <c r="W77" s="160"/>
      <c r="X77" s="160"/>
      <c r="Y77" s="160"/>
      <c r="Z77" s="160"/>
      <c r="AA77" s="160"/>
      <c r="AB77" s="10"/>
      <c r="AD77" s="160"/>
    </row>
    <row r="78" spans="4:30" x14ac:dyDescent="0.2">
      <c r="D78" s="8"/>
      <c r="E78" s="6"/>
      <c r="G78" s="10"/>
      <c r="J78" s="142"/>
      <c r="K78" s="15"/>
      <c r="L78" s="15"/>
      <c r="M78" s="15"/>
      <c r="N78" s="16"/>
      <c r="O78" s="8"/>
      <c r="P78" s="8"/>
      <c r="Q78" s="8"/>
      <c r="R78" s="16"/>
      <c r="S78" s="16"/>
      <c r="T78" s="19"/>
      <c r="U78" s="16"/>
      <c r="V78" s="19"/>
      <c r="W78" s="160"/>
      <c r="X78" s="160"/>
      <c r="Y78" s="160"/>
      <c r="Z78" s="160"/>
      <c r="AA78" s="160"/>
      <c r="AB78" s="10"/>
      <c r="AD78" s="160"/>
    </row>
    <row r="79" spans="4:30" x14ac:dyDescent="0.2">
      <c r="D79" s="8"/>
      <c r="E79" s="6"/>
      <c r="G79" s="10"/>
      <c r="J79" s="142"/>
      <c r="K79" s="15"/>
      <c r="L79" s="15"/>
      <c r="M79" s="15"/>
      <c r="N79" s="16"/>
      <c r="O79" s="8"/>
      <c r="P79" s="8"/>
      <c r="Q79" s="8"/>
      <c r="R79" s="16"/>
      <c r="S79" s="16"/>
      <c r="T79" s="19"/>
      <c r="U79" s="16"/>
      <c r="V79" s="19"/>
      <c r="W79" s="160"/>
      <c r="X79" s="160"/>
      <c r="Y79" s="160"/>
      <c r="Z79" s="160"/>
      <c r="AA79" s="160"/>
      <c r="AB79" s="10"/>
      <c r="AD79" s="160"/>
    </row>
    <row r="80" spans="4:30" x14ac:dyDescent="0.2">
      <c r="D80" s="8"/>
      <c r="E80" s="6"/>
      <c r="G80" s="10"/>
      <c r="J80" s="142"/>
      <c r="K80" s="15"/>
      <c r="L80" s="15"/>
      <c r="M80" s="15"/>
      <c r="N80" s="16"/>
      <c r="O80" s="8"/>
      <c r="P80" s="8"/>
      <c r="Q80" s="8"/>
      <c r="R80" s="16"/>
      <c r="S80" s="16"/>
      <c r="T80" s="19"/>
      <c r="U80" s="16"/>
      <c r="V80" s="19"/>
      <c r="W80" s="160"/>
      <c r="X80" s="160"/>
      <c r="Y80" s="160"/>
      <c r="Z80" s="160"/>
      <c r="AA80" s="160"/>
      <c r="AB80" s="10"/>
      <c r="AD80" s="160"/>
    </row>
    <row r="81" spans="4:30" x14ac:dyDescent="0.2">
      <c r="D81" s="8"/>
      <c r="E81" s="6"/>
      <c r="G81" s="10"/>
      <c r="J81" s="142"/>
      <c r="K81" s="15"/>
      <c r="L81" s="15"/>
      <c r="M81" s="15"/>
      <c r="N81" s="16"/>
      <c r="O81" s="8"/>
      <c r="P81" s="8"/>
      <c r="Q81" s="8"/>
      <c r="R81" s="16"/>
      <c r="S81" s="16"/>
      <c r="T81" s="19"/>
      <c r="U81" s="16"/>
      <c r="V81" s="19"/>
      <c r="W81" s="160"/>
      <c r="X81" s="160"/>
      <c r="Y81" s="160"/>
      <c r="Z81" s="160"/>
      <c r="AA81" s="160"/>
      <c r="AB81" s="10"/>
      <c r="AD81" s="160"/>
    </row>
    <row r="82" spans="4:30" x14ac:dyDescent="0.2">
      <c r="D82" s="8"/>
      <c r="E82" s="6"/>
      <c r="G82" s="10"/>
      <c r="J82" s="142"/>
      <c r="K82" s="15"/>
      <c r="L82" s="15"/>
      <c r="M82" s="15"/>
      <c r="N82" s="16"/>
      <c r="O82" s="8"/>
      <c r="P82" s="8"/>
      <c r="Q82" s="8"/>
      <c r="R82" s="16"/>
      <c r="S82" s="16"/>
      <c r="T82" s="19"/>
      <c r="U82" s="16"/>
      <c r="V82" s="19"/>
      <c r="W82" s="160"/>
      <c r="X82" s="160"/>
      <c r="Y82" s="160"/>
      <c r="Z82" s="160"/>
      <c r="AA82" s="160"/>
      <c r="AB82" s="10"/>
      <c r="AD82" s="160"/>
    </row>
    <row r="83" spans="4:30" x14ac:dyDescent="0.2">
      <c r="D83" s="8"/>
      <c r="E83" s="6"/>
      <c r="G83" s="10"/>
      <c r="J83" s="142"/>
      <c r="K83" s="15"/>
      <c r="L83" s="15"/>
      <c r="M83" s="15"/>
      <c r="N83" s="16"/>
      <c r="O83" s="8"/>
      <c r="P83" s="8"/>
      <c r="Q83" s="8"/>
      <c r="R83" s="16"/>
      <c r="S83" s="16"/>
      <c r="T83" s="19"/>
      <c r="U83" s="16"/>
      <c r="V83" s="19"/>
      <c r="W83" s="160"/>
      <c r="X83" s="160"/>
      <c r="Y83" s="160"/>
      <c r="Z83" s="160"/>
      <c r="AA83" s="160"/>
      <c r="AB83" s="10"/>
      <c r="AD83" s="160"/>
    </row>
    <row r="84" spans="4:30" x14ac:dyDescent="0.2">
      <c r="D84" s="8"/>
      <c r="E84" s="6"/>
      <c r="G84" s="10"/>
      <c r="J84" s="142"/>
      <c r="K84" s="15"/>
      <c r="L84" s="15"/>
      <c r="M84" s="15"/>
      <c r="N84" s="16"/>
      <c r="O84" s="8"/>
      <c r="P84" s="8"/>
      <c r="Q84" s="8"/>
      <c r="R84" s="16"/>
      <c r="S84" s="16"/>
      <c r="T84" s="19"/>
      <c r="U84" s="16"/>
      <c r="V84" s="19"/>
      <c r="W84" s="160"/>
      <c r="X84" s="160"/>
      <c r="Y84" s="160"/>
      <c r="Z84" s="160"/>
      <c r="AA84" s="160"/>
      <c r="AB84" s="10"/>
      <c r="AD84" s="160"/>
    </row>
    <row r="85" spans="4:30" x14ac:dyDescent="0.2">
      <c r="D85" s="8"/>
      <c r="E85" s="6"/>
      <c r="G85" s="10"/>
      <c r="J85" s="142"/>
      <c r="K85" s="15"/>
      <c r="L85" s="15"/>
      <c r="M85" s="15"/>
      <c r="N85" s="16"/>
      <c r="O85" s="8"/>
      <c r="P85" s="8"/>
      <c r="Q85" s="8"/>
      <c r="R85" s="16"/>
      <c r="S85" s="16"/>
      <c r="T85" s="19"/>
      <c r="U85" s="16"/>
      <c r="V85" s="19"/>
      <c r="W85" s="160"/>
      <c r="X85" s="160"/>
      <c r="Y85" s="160"/>
      <c r="Z85" s="160"/>
      <c r="AA85" s="160"/>
      <c r="AB85" s="10"/>
      <c r="AD85" s="160"/>
    </row>
    <row r="86" spans="4:30" x14ac:dyDescent="0.2">
      <c r="D86" s="8"/>
      <c r="E86" s="6"/>
      <c r="G86" s="10"/>
      <c r="J86" s="142"/>
      <c r="K86" s="15"/>
      <c r="L86" s="15"/>
      <c r="M86" s="15"/>
      <c r="N86" s="16"/>
      <c r="O86" s="8"/>
      <c r="P86" s="8"/>
      <c r="Q86" s="8"/>
      <c r="R86" s="16"/>
      <c r="S86" s="16"/>
      <c r="T86" s="19"/>
      <c r="U86" s="16"/>
      <c r="V86" s="19"/>
      <c r="W86" s="160"/>
      <c r="X86" s="160"/>
      <c r="Y86" s="160"/>
      <c r="Z86" s="160"/>
      <c r="AA86" s="160"/>
      <c r="AB86" s="10"/>
      <c r="AD86" s="160"/>
    </row>
    <row r="87" spans="4:30" x14ac:dyDescent="0.2">
      <c r="D87" s="8"/>
      <c r="E87" s="6"/>
      <c r="G87" s="10"/>
      <c r="J87" s="142"/>
      <c r="K87" s="15"/>
      <c r="L87" s="15"/>
      <c r="M87" s="15"/>
      <c r="N87" s="16"/>
      <c r="O87" s="8"/>
      <c r="P87" s="8"/>
      <c r="Q87" s="8"/>
      <c r="R87" s="16"/>
      <c r="S87" s="16"/>
      <c r="T87" s="19"/>
      <c r="U87" s="16"/>
      <c r="V87" s="19"/>
      <c r="W87" s="160"/>
      <c r="X87" s="160"/>
      <c r="Y87" s="160"/>
      <c r="Z87" s="160"/>
      <c r="AA87" s="160"/>
      <c r="AB87" s="10"/>
      <c r="AD87" s="160"/>
    </row>
    <row r="88" spans="4:30" x14ac:dyDescent="0.2">
      <c r="D88" s="8"/>
      <c r="E88" s="6"/>
      <c r="G88" s="10"/>
      <c r="J88" s="142"/>
      <c r="K88" s="15"/>
      <c r="L88" s="15"/>
      <c r="M88" s="15"/>
      <c r="N88" s="16"/>
      <c r="O88" s="8"/>
      <c r="P88" s="8"/>
      <c r="Q88" s="8"/>
      <c r="R88" s="16"/>
      <c r="S88" s="16"/>
      <c r="T88" s="19"/>
      <c r="U88" s="16"/>
      <c r="V88" s="19"/>
      <c r="W88" s="160"/>
      <c r="X88" s="160"/>
      <c r="Y88" s="160"/>
      <c r="Z88" s="160"/>
      <c r="AA88" s="160"/>
      <c r="AB88" s="10"/>
      <c r="AD88" s="160"/>
    </row>
    <row r="89" spans="4:30" x14ac:dyDescent="0.2">
      <c r="D89" s="8"/>
      <c r="E89" s="6"/>
      <c r="G89" s="10"/>
      <c r="J89" s="142"/>
      <c r="K89" s="15"/>
      <c r="L89" s="15"/>
      <c r="M89" s="15"/>
      <c r="N89" s="16"/>
      <c r="O89" s="8"/>
      <c r="P89" s="8"/>
      <c r="Q89" s="8"/>
      <c r="R89" s="16"/>
      <c r="S89" s="16"/>
      <c r="T89" s="19"/>
      <c r="U89" s="16"/>
      <c r="V89" s="19"/>
      <c r="W89" s="160"/>
      <c r="X89" s="160"/>
      <c r="Y89" s="160"/>
      <c r="Z89" s="160"/>
      <c r="AA89" s="160"/>
      <c r="AB89" s="10"/>
      <c r="AD89" s="160"/>
    </row>
    <row r="90" spans="4:30" x14ac:dyDescent="0.2">
      <c r="D90" s="8"/>
      <c r="E90" s="6"/>
      <c r="G90" s="10"/>
      <c r="J90" s="142"/>
      <c r="K90" s="15"/>
      <c r="L90" s="15"/>
      <c r="M90" s="15"/>
      <c r="N90" s="16"/>
      <c r="O90" s="8"/>
      <c r="P90" s="8"/>
      <c r="Q90" s="8"/>
      <c r="R90" s="16"/>
      <c r="S90" s="16"/>
      <c r="T90" s="19"/>
      <c r="U90" s="16"/>
      <c r="V90" s="19"/>
      <c r="W90" s="160"/>
      <c r="X90" s="160"/>
      <c r="Y90" s="160"/>
      <c r="Z90" s="160"/>
      <c r="AA90" s="160"/>
      <c r="AB90" s="10"/>
      <c r="AD90" s="160"/>
    </row>
    <row r="91" spans="4:30" x14ac:dyDescent="0.2">
      <c r="D91" s="8"/>
      <c r="E91" s="6"/>
      <c r="G91" s="10"/>
      <c r="J91" s="142"/>
      <c r="K91" s="15"/>
      <c r="L91" s="15"/>
      <c r="M91" s="15"/>
      <c r="N91" s="16"/>
      <c r="O91" s="8"/>
      <c r="P91" s="8"/>
      <c r="Q91" s="8"/>
      <c r="R91" s="16"/>
      <c r="S91" s="16"/>
      <c r="T91" s="19"/>
      <c r="U91" s="16"/>
      <c r="V91" s="19"/>
      <c r="W91" s="160"/>
      <c r="X91" s="160"/>
      <c r="Y91" s="160"/>
      <c r="Z91" s="160"/>
      <c r="AA91" s="160"/>
      <c r="AB91" s="10"/>
      <c r="AD91" s="160"/>
    </row>
    <row r="92" spans="4:30" x14ac:dyDescent="0.2">
      <c r="D92" s="8"/>
      <c r="E92" s="6"/>
      <c r="G92" s="10"/>
      <c r="J92" s="142"/>
      <c r="K92" s="15"/>
      <c r="L92" s="15"/>
      <c r="M92" s="15"/>
      <c r="N92" s="16"/>
      <c r="O92" s="8"/>
      <c r="P92" s="8"/>
      <c r="Q92" s="8"/>
      <c r="R92" s="16"/>
      <c r="S92" s="16"/>
      <c r="T92" s="19"/>
      <c r="U92" s="16"/>
      <c r="V92" s="19"/>
      <c r="W92" s="160"/>
      <c r="X92" s="160"/>
      <c r="Y92" s="160"/>
      <c r="Z92" s="160"/>
      <c r="AA92" s="160"/>
      <c r="AB92" s="10"/>
      <c r="AD92" s="160"/>
    </row>
    <row r="93" spans="4:30" x14ac:dyDescent="0.2">
      <c r="D93" s="8"/>
      <c r="E93" s="6"/>
      <c r="G93" s="10"/>
      <c r="J93" s="142"/>
      <c r="K93" s="15"/>
      <c r="L93" s="15"/>
      <c r="M93" s="15"/>
      <c r="N93" s="16"/>
      <c r="O93" s="8"/>
      <c r="P93" s="8"/>
      <c r="Q93" s="8"/>
      <c r="R93" s="16"/>
      <c r="S93" s="16"/>
      <c r="T93" s="19"/>
      <c r="U93" s="16"/>
      <c r="V93" s="19"/>
      <c r="W93" s="160"/>
      <c r="X93" s="160"/>
      <c r="Y93" s="160"/>
      <c r="Z93" s="160"/>
      <c r="AA93" s="160"/>
      <c r="AB93" s="10"/>
      <c r="AD93" s="160"/>
    </row>
    <row r="94" spans="4:30" x14ac:dyDescent="0.2">
      <c r="D94" s="8"/>
      <c r="E94" s="6"/>
      <c r="G94" s="10"/>
      <c r="J94" s="142"/>
      <c r="K94" s="15"/>
      <c r="L94" s="15"/>
      <c r="M94" s="15"/>
      <c r="N94" s="16"/>
      <c r="O94" s="8"/>
      <c r="P94" s="8"/>
      <c r="Q94" s="8"/>
      <c r="R94" s="16"/>
      <c r="S94" s="16"/>
      <c r="T94" s="19"/>
      <c r="U94" s="16"/>
      <c r="V94" s="19"/>
      <c r="W94" s="160"/>
      <c r="X94" s="160"/>
      <c r="Y94" s="160"/>
      <c r="Z94" s="160"/>
      <c r="AA94" s="160"/>
      <c r="AB94" s="10"/>
      <c r="AD94" s="160"/>
    </row>
    <row r="95" spans="4:30" x14ac:dyDescent="0.2">
      <c r="D95" s="8"/>
      <c r="E95" s="6"/>
      <c r="G95" s="10"/>
      <c r="J95" s="142"/>
      <c r="K95" s="15"/>
      <c r="L95" s="15"/>
      <c r="M95" s="15"/>
      <c r="N95" s="16"/>
      <c r="O95" s="8"/>
      <c r="P95" s="8"/>
      <c r="Q95" s="8"/>
      <c r="R95" s="16"/>
      <c r="S95" s="16"/>
      <c r="T95" s="19"/>
      <c r="U95" s="16"/>
      <c r="V95" s="19"/>
      <c r="W95" s="160"/>
      <c r="X95" s="160"/>
      <c r="Y95" s="160"/>
      <c r="Z95" s="160"/>
      <c r="AA95" s="160"/>
      <c r="AB95" s="10"/>
      <c r="AD95" s="160"/>
    </row>
    <row r="96" spans="4:30" x14ac:dyDescent="0.2">
      <c r="D96" s="8"/>
      <c r="E96" s="6"/>
      <c r="G96" s="10"/>
      <c r="J96" s="142"/>
      <c r="K96" s="15"/>
      <c r="L96" s="15"/>
      <c r="M96" s="15"/>
      <c r="N96" s="16"/>
      <c r="O96" s="8"/>
      <c r="P96" s="8"/>
      <c r="Q96" s="8"/>
      <c r="R96" s="16"/>
      <c r="S96" s="16"/>
      <c r="T96" s="19"/>
      <c r="U96" s="16"/>
      <c r="V96" s="19"/>
      <c r="W96" s="160"/>
      <c r="X96" s="160"/>
      <c r="Y96" s="160"/>
      <c r="Z96" s="160"/>
      <c r="AA96" s="160"/>
      <c r="AB96" s="10"/>
      <c r="AD96" s="160"/>
    </row>
    <row r="97" spans="4:30" x14ac:dyDescent="0.2">
      <c r="D97" s="8"/>
      <c r="E97" s="6"/>
      <c r="G97" s="10"/>
      <c r="J97" s="142"/>
      <c r="K97" s="15"/>
      <c r="L97" s="15"/>
      <c r="M97" s="15"/>
      <c r="N97" s="16"/>
      <c r="O97" s="8"/>
      <c r="P97" s="8"/>
      <c r="Q97" s="8"/>
      <c r="R97" s="16"/>
      <c r="S97" s="16"/>
      <c r="T97" s="19"/>
      <c r="U97" s="16"/>
      <c r="V97" s="19"/>
      <c r="W97" s="160"/>
      <c r="X97" s="160"/>
      <c r="Y97" s="160"/>
      <c r="Z97" s="160"/>
      <c r="AA97" s="160"/>
      <c r="AB97" s="10"/>
      <c r="AD97" s="160"/>
    </row>
    <row r="98" spans="4:30" x14ac:dyDescent="0.2">
      <c r="D98" s="8"/>
      <c r="E98" s="6"/>
      <c r="G98" s="10"/>
      <c r="J98" s="142"/>
      <c r="K98" s="15"/>
      <c r="L98" s="15"/>
      <c r="M98" s="15"/>
      <c r="N98" s="16"/>
      <c r="O98" s="8"/>
      <c r="P98" s="8"/>
      <c r="Q98" s="8"/>
      <c r="R98" s="16"/>
      <c r="S98" s="16"/>
      <c r="T98" s="19"/>
      <c r="U98" s="16"/>
      <c r="V98" s="19"/>
      <c r="W98" s="160"/>
      <c r="X98" s="160"/>
      <c r="Y98" s="160"/>
      <c r="Z98" s="160"/>
      <c r="AA98" s="160"/>
      <c r="AB98" s="10"/>
      <c r="AD98" s="160"/>
    </row>
    <row r="99" spans="4:30" x14ac:dyDescent="0.2">
      <c r="D99" s="8"/>
      <c r="E99" s="6"/>
      <c r="G99" s="10"/>
      <c r="J99" s="142"/>
      <c r="K99" s="15"/>
      <c r="L99" s="15"/>
      <c r="M99" s="15"/>
      <c r="N99" s="16"/>
      <c r="O99" s="8"/>
      <c r="P99" s="8"/>
      <c r="Q99" s="8"/>
      <c r="R99" s="16"/>
      <c r="S99" s="16"/>
      <c r="T99" s="19"/>
      <c r="U99" s="16"/>
      <c r="V99" s="19"/>
      <c r="W99" s="160"/>
      <c r="X99" s="160"/>
      <c r="Y99" s="160"/>
      <c r="Z99" s="160"/>
      <c r="AA99" s="160"/>
      <c r="AB99" s="10"/>
      <c r="AD99" s="160"/>
    </row>
    <row r="100" spans="4:30" x14ac:dyDescent="0.2">
      <c r="D100" s="8"/>
      <c r="E100" s="6"/>
      <c r="G100" s="10"/>
      <c r="J100" s="142"/>
      <c r="K100" s="15"/>
      <c r="L100" s="15"/>
      <c r="M100" s="15"/>
      <c r="N100" s="16"/>
      <c r="O100" s="8"/>
      <c r="P100" s="8"/>
      <c r="Q100" s="8"/>
      <c r="R100" s="16"/>
      <c r="S100" s="16"/>
      <c r="T100" s="19"/>
      <c r="U100" s="16"/>
      <c r="V100" s="19"/>
      <c r="W100" s="160"/>
      <c r="X100" s="160"/>
      <c r="Y100" s="160"/>
      <c r="Z100" s="160"/>
      <c r="AA100" s="160"/>
      <c r="AB100" s="10"/>
      <c r="AD100" s="160"/>
    </row>
    <row r="101" spans="4:30" x14ac:dyDescent="0.2">
      <c r="D101" s="8"/>
      <c r="E101" s="6"/>
      <c r="G101" s="10"/>
      <c r="J101" s="142"/>
      <c r="K101" s="15"/>
      <c r="L101" s="15"/>
      <c r="M101" s="15"/>
      <c r="N101" s="16"/>
      <c r="O101" s="8"/>
      <c r="P101" s="8"/>
      <c r="Q101" s="8"/>
      <c r="R101" s="16"/>
      <c r="S101" s="16"/>
      <c r="T101" s="19"/>
      <c r="U101" s="16"/>
      <c r="V101" s="19"/>
      <c r="W101" s="160"/>
      <c r="X101" s="160"/>
      <c r="Y101" s="160"/>
      <c r="Z101" s="160"/>
      <c r="AA101" s="160"/>
      <c r="AB101" s="10"/>
      <c r="AD101" s="160"/>
    </row>
    <row r="102" spans="4:30" x14ac:dyDescent="0.2">
      <c r="D102" s="8"/>
      <c r="E102" s="6"/>
      <c r="G102" s="10"/>
      <c r="J102" s="142"/>
      <c r="K102" s="15"/>
      <c r="L102" s="15"/>
      <c r="M102" s="15"/>
      <c r="N102" s="16"/>
      <c r="O102" s="8"/>
      <c r="P102" s="8"/>
      <c r="Q102" s="8"/>
      <c r="R102" s="16"/>
      <c r="S102" s="16"/>
      <c r="T102" s="19"/>
      <c r="U102" s="16"/>
      <c r="V102" s="19"/>
      <c r="W102" s="160"/>
      <c r="X102" s="160"/>
      <c r="Y102" s="160"/>
      <c r="Z102" s="160"/>
      <c r="AA102" s="160"/>
      <c r="AB102" s="10"/>
      <c r="AD102" s="160"/>
    </row>
    <row r="103" spans="4:30" x14ac:dyDescent="0.2">
      <c r="D103" s="8"/>
      <c r="E103" s="6"/>
      <c r="G103" s="10"/>
      <c r="J103" s="142"/>
      <c r="K103" s="15"/>
      <c r="L103" s="15"/>
      <c r="M103" s="15"/>
      <c r="N103" s="16"/>
      <c r="O103" s="8"/>
      <c r="P103" s="8"/>
      <c r="Q103" s="8"/>
      <c r="R103" s="16"/>
      <c r="S103" s="16"/>
      <c r="T103" s="19"/>
      <c r="U103" s="16"/>
      <c r="V103" s="19"/>
      <c r="W103" s="160"/>
      <c r="X103" s="160"/>
      <c r="Y103" s="160"/>
      <c r="Z103" s="160"/>
      <c r="AA103" s="160"/>
      <c r="AB103" s="10"/>
      <c r="AD103" s="160"/>
    </row>
    <row r="104" spans="4:30" x14ac:dyDescent="0.2">
      <c r="D104" s="8"/>
      <c r="E104" s="6"/>
      <c r="G104" s="10"/>
      <c r="J104" s="142"/>
      <c r="K104" s="15"/>
      <c r="L104" s="15"/>
      <c r="M104" s="15"/>
      <c r="N104" s="16"/>
      <c r="O104" s="8"/>
      <c r="P104" s="8"/>
      <c r="Q104" s="8"/>
      <c r="R104" s="16"/>
      <c r="S104" s="16"/>
      <c r="T104" s="19"/>
      <c r="U104" s="16"/>
      <c r="V104" s="19"/>
      <c r="W104" s="160"/>
      <c r="X104" s="160"/>
      <c r="Y104" s="160"/>
      <c r="Z104" s="160"/>
      <c r="AA104" s="160"/>
      <c r="AB104" s="10"/>
      <c r="AD104" s="160"/>
    </row>
    <row r="105" spans="4:30" x14ac:dyDescent="0.2">
      <c r="D105" s="8"/>
      <c r="E105" s="6"/>
      <c r="G105" s="10"/>
      <c r="J105" s="142"/>
      <c r="K105" s="15"/>
      <c r="L105" s="15"/>
      <c r="M105" s="15"/>
      <c r="N105" s="16"/>
      <c r="O105" s="8"/>
      <c r="P105" s="8"/>
      <c r="Q105" s="8"/>
      <c r="R105" s="16"/>
      <c r="S105" s="16"/>
      <c r="T105" s="19"/>
      <c r="U105" s="16"/>
      <c r="V105" s="19"/>
      <c r="W105" s="160"/>
      <c r="X105" s="160"/>
      <c r="Y105" s="160"/>
      <c r="Z105" s="160"/>
      <c r="AA105" s="160"/>
      <c r="AB105" s="10"/>
      <c r="AD105" s="160"/>
    </row>
    <row r="106" spans="4:30" x14ac:dyDescent="0.2">
      <c r="D106" s="8"/>
      <c r="E106" s="6"/>
      <c r="G106" s="10"/>
      <c r="J106" s="142"/>
      <c r="K106" s="15"/>
      <c r="L106" s="15"/>
      <c r="M106" s="15"/>
      <c r="N106" s="16"/>
      <c r="O106" s="8"/>
      <c r="P106" s="8"/>
      <c r="Q106" s="8"/>
      <c r="R106" s="16"/>
      <c r="S106" s="16"/>
      <c r="T106" s="19"/>
      <c r="U106" s="16"/>
      <c r="V106" s="19"/>
      <c r="W106" s="160"/>
      <c r="X106" s="160"/>
      <c r="Y106" s="160"/>
      <c r="Z106" s="160"/>
      <c r="AA106" s="160"/>
      <c r="AB106" s="10"/>
      <c r="AD106" s="160"/>
    </row>
    <row r="107" spans="4:30" x14ac:dyDescent="0.2">
      <c r="D107" s="8"/>
      <c r="E107" s="6"/>
      <c r="G107" s="10"/>
      <c r="J107" s="142"/>
      <c r="K107" s="15"/>
      <c r="L107" s="15"/>
      <c r="M107" s="15"/>
      <c r="N107" s="16"/>
      <c r="O107" s="8"/>
      <c r="P107" s="8"/>
      <c r="Q107" s="8"/>
      <c r="R107" s="16"/>
      <c r="S107" s="16"/>
      <c r="T107" s="19"/>
      <c r="U107" s="16"/>
      <c r="V107" s="19"/>
      <c r="W107" s="160"/>
      <c r="X107" s="160"/>
      <c r="Y107" s="160"/>
      <c r="Z107" s="160"/>
      <c r="AA107" s="160"/>
      <c r="AB107" s="10"/>
      <c r="AD107" s="160"/>
    </row>
    <row r="108" spans="4:30" x14ac:dyDescent="0.2">
      <c r="D108" s="8"/>
      <c r="E108" s="6"/>
      <c r="G108" s="10"/>
      <c r="J108" s="142"/>
      <c r="K108" s="15"/>
      <c r="L108" s="15"/>
      <c r="M108" s="15"/>
      <c r="N108" s="16"/>
      <c r="O108" s="8"/>
      <c r="P108" s="8"/>
      <c r="Q108" s="8"/>
      <c r="R108" s="16"/>
      <c r="S108" s="16"/>
      <c r="T108" s="19"/>
      <c r="U108" s="16"/>
      <c r="V108" s="19"/>
      <c r="W108" s="160"/>
      <c r="X108" s="160"/>
      <c r="Y108" s="160"/>
      <c r="Z108" s="160"/>
      <c r="AA108" s="160"/>
      <c r="AB108" s="10"/>
      <c r="AD108" s="160"/>
    </row>
    <row r="109" spans="4:30" x14ac:dyDescent="0.2">
      <c r="D109" s="8"/>
      <c r="E109" s="6"/>
      <c r="G109" s="10"/>
      <c r="J109" s="142"/>
      <c r="K109" s="15"/>
      <c r="L109" s="15"/>
      <c r="M109" s="15"/>
      <c r="N109" s="16"/>
      <c r="O109" s="8"/>
      <c r="P109" s="8"/>
      <c r="Q109" s="8"/>
      <c r="R109" s="16"/>
      <c r="S109" s="16"/>
      <c r="T109" s="19"/>
      <c r="U109" s="16"/>
      <c r="V109" s="19"/>
      <c r="W109" s="160"/>
      <c r="X109" s="160"/>
      <c r="Y109" s="160"/>
      <c r="Z109" s="160"/>
      <c r="AA109" s="160"/>
      <c r="AB109" s="10"/>
      <c r="AD109" s="160"/>
    </row>
    <row r="110" spans="4:30" x14ac:dyDescent="0.2">
      <c r="D110" s="8"/>
      <c r="E110" s="6"/>
      <c r="G110" s="10"/>
      <c r="J110" s="142"/>
      <c r="K110" s="15"/>
      <c r="L110" s="15"/>
      <c r="M110" s="15"/>
      <c r="N110" s="16"/>
      <c r="O110" s="8"/>
      <c r="P110" s="8"/>
      <c r="Q110" s="8"/>
      <c r="R110" s="16"/>
      <c r="S110" s="16"/>
      <c r="T110" s="19"/>
      <c r="U110" s="16"/>
      <c r="V110" s="19"/>
      <c r="W110" s="160"/>
      <c r="X110" s="160"/>
      <c r="Y110" s="160"/>
      <c r="Z110" s="160"/>
      <c r="AA110" s="160"/>
      <c r="AB110" s="10"/>
      <c r="AD110" s="160"/>
    </row>
    <row r="111" spans="4:30" x14ac:dyDescent="0.2">
      <c r="D111" s="8"/>
      <c r="E111" s="6"/>
      <c r="G111" s="10"/>
      <c r="J111" s="142"/>
      <c r="K111" s="15"/>
      <c r="L111" s="15"/>
      <c r="M111" s="15"/>
      <c r="N111" s="16"/>
      <c r="O111" s="8"/>
      <c r="P111" s="8"/>
      <c r="Q111" s="8"/>
      <c r="R111" s="16"/>
      <c r="S111" s="16"/>
      <c r="T111" s="19"/>
      <c r="U111" s="16"/>
      <c r="V111" s="19"/>
      <c r="W111" s="160"/>
      <c r="X111" s="160"/>
      <c r="Y111" s="160"/>
      <c r="Z111" s="160"/>
      <c r="AA111" s="160"/>
      <c r="AB111" s="10"/>
      <c r="AD111" s="160"/>
    </row>
    <row r="112" spans="4:30" x14ac:dyDescent="0.2">
      <c r="D112" s="8"/>
      <c r="E112" s="6"/>
      <c r="G112" s="10"/>
      <c r="J112" s="142"/>
      <c r="K112" s="15"/>
      <c r="L112" s="15"/>
      <c r="M112" s="15"/>
      <c r="N112" s="16"/>
      <c r="O112" s="8"/>
      <c r="P112" s="8"/>
      <c r="Q112" s="8"/>
      <c r="R112" s="16"/>
      <c r="S112" s="16"/>
      <c r="T112" s="19"/>
      <c r="U112" s="16"/>
      <c r="V112" s="19"/>
      <c r="W112" s="160"/>
      <c r="X112" s="160"/>
      <c r="Y112" s="160"/>
      <c r="Z112" s="160"/>
      <c r="AA112" s="160"/>
      <c r="AB112" s="10"/>
      <c r="AD112" s="160"/>
    </row>
    <row r="113" spans="4:30" x14ac:dyDescent="0.2">
      <c r="D113" s="8"/>
      <c r="E113" s="6"/>
      <c r="G113" s="10"/>
      <c r="J113" s="142"/>
      <c r="K113" s="15"/>
      <c r="L113" s="15"/>
      <c r="M113" s="15"/>
      <c r="N113" s="16"/>
      <c r="O113" s="8"/>
      <c r="P113" s="8"/>
      <c r="Q113" s="8"/>
      <c r="R113" s="16"/>
      <c r="S113" s="16"/>
      <c r="T113" s="19"/>
      <c r="U113" s="16"/>
      <c r="V113" s="19"/>
      <c r="W113" s="160"/>
      <c r="X113" s="160"/>
      <c r="Y113" s="160"/>
      <c r="Z113" s="160"/>
      <c r="AA113" s="160"/>
      <c r="AB113" s="10"/>
      <c r="AD113" s="160"/>
    </row>
    <row r="114" spans="4:30" x14ac:dyDescent="0.2">
      <c r="D114" s="8"/>
      <c r="E114" s="6"/>
      <c r="G114" s="10"/>
      <c r="J114" s="142"/>
      <c r="K114" s="15"/>
      <c r="L114" s="15"/>
      <c r="M114" s="15"/>
      <c r="N114" s="16"/>
      <c r="O114" s="8"/>
      <c r="P114" s="8"/>
      <c r="Q114" s="8"/>
      <c r="R114" s="16"/>
      <c r="S114" s="16"/>
      <c r="T114" s="19"/>
      <c r="U114" s="16"/>
      <c r="V114" s="19"/>
      <c r="W114" s="160"/>
      <c r="X114" s="160"/>
      <c r="Y114" s="160"/>
      <c r="Z114" s="160"/>
      <c r="AA114" s="160"/>
      <c r="AB114" s="10"/>
      <c r="AD114" s="160"/>
    </row>
    <row r="115" spans="4:30" x14ac:dyDescent="0.2">
      <c r="D115" s="8"/>
      <c r="E115" s="6"/>
      <c r="G115" s="10"/>
      <c r="J115" s="142"/>
      <c r="K115" s="15"/>
      <c r="L115" s="15"/>
      <c r="M115" s="15"/>
      <c r="N115" s="16"/>
      <c r="O115" s="8"/>
      <c r="P115" s="8"/>
      <c r="Q115" s="8"/>
      <c r="R115" s="16"/>
      <c r="S115" s="16"/>
      <c r="T115" s="19"/>
      <c r="U115" s="16"/>
      <c r="V115" s="19"/>
      <c r="W115" s="160"/>
      <c r="X115" s="160"/>
      <c r="Y115" s="160"/>
      <c r="Z115" s="160"/>
      <c r="AA115" s="160"/>
      <c r="AB115" s="10"/>
      <c r="AD115" s="160"/>
    </row>
    <row r="116" spans="4:30" x14ac:dyDescent="0.2">
      <c r="D116" s="8"/>
      <c r="E116" s="6"/>
      <c r="G116" s="10"/>
      <c r="J116" s="142"/>
      <c r="K116" s="15"/>
      <c r="L116" s="15"/>
      <c r="M116" s="15"/>
      <c r="N116" s="16"/>
      <c r="O116" s="8"/>
      <c r="P116" s="8"/>
      <c r="Q116" s="8"/>
      <c r="R116" s="16"/>
      <c r="S116" s="16"/>
      <c r="T116" s="19"/>
      <c r="U116" s="16"/>
      <c r="V116" s="19"/>
      <c r="W116" s="160"/>
      <c r="X116" s="160"/>
      <c r="Y116" s="160"/>
      <c r="Z116" s="160"/>
      <c r="AA116" s="160"/>
      <c r="AB116" s="10"/>
      <c r="AD116" s="160"/>
    </row>
    <row r="117" spans="4:30" x14ac:dyDescent="0.2">
      <c r="D117" s="8"/>
      <c r="E117" s="6"/>
      <c r="G117" s="10"/>
      <c r="J117" s="142"/>
      <c r="K117" s="15"/>
      <c r="L117" s="15"/>
      <c r="M117" s="15"/>
      <c r="N117" s="16"/>
      <c r="O117" s="8"/>
      <c r="P117" s="8"/>
      <c r="Q117" s="8"/>
      <c r="R117" s="16"/>
      <c r="S117" s="16"/>
      <c r="T117" s="19"/>
      <c r="U117" s="16"/>
      <c r="V117" s="19"/>
      <c r="W117" s="160"/>
      <c r="X117" s="160"/>
      <c r="Y117" s="160"/>
      <c r="Z117" s="160"/>
      <c r="AA117" s="160"/>
      <c r="AB117" s="10"/>
      <c r="AD117" s="160"/>
    </row>
    <row r="118" spans="4:30" x14ac:dyDescent="0.2">
      <c r="D118" s="8"/>
      <c r="E118" s="6"/>
      <c r="G118" s="10"/>
      <c r="J118" s="142"/>
      <c r="K118" s="15"/>
      <c r="L118" s="15"/>
      <c r="M118" s="15"/>
      <c r="N118" s="16"/>
      <c r="O118" s="8"/>
      <c r="P118" s="8"/>
      <c r="Q118" s="8"/>
      <c r="R118" s="16"/>
      <c r="S118" s="16"/>
      <c r="T118" s="19"/>
      <c r="U118" s="16"/>
      <c r="V118" s="19"/>
      <c r="W118" s="160"/>
      <c r="X118" s="160"/>
      <c r="Y118" s="160"/>
      <c r="Z118" s="160"/>
      <c r="AA118" s="160"/>
      <c r="AB118" s="10"/>
      <c r="AD118" s="160"/>
    </row>
    <row r="119" spans="4:30" x14ac:dyDescent="0.2">
      <c r="D119" s="8"/>
      <c r="E119" s="6"/>
      <c r="G119" s="10"/>
      <c r="J119" s="142"/>
      <c r="K119" s="15"/>
      <c r="L119" s="15"/>
      <c r="M119" s="15"/>
      <c r="N119" s="16"/>
      <c r="O119" s="8"/>
      <c r="P119" s="8"/>
      <c r="Q119" s="8"/>
      <c r="R119" s="16"/>
      <c r="S119" s="16"/>
      <c r="T119" s="19"/>
      <c r="U119" s="16"/>
      <c r="V119" s="19"/>
      <c r="W119" s="160"/>
      <c r="X119" s="160"/>
      <c r="Y119" s="160"/>
      <c r="Z119" s="160"/>
      <c r="AA119" s="160"/>
      <c r="AB119" s="10"/>
      <c r="AD119" s="160"/>
    </row>
    <row r="120" spans="4:30" x14ac:dyDescent="0.2">
      <c r="D120" s="8"/>
      <c r="E120" s="6"/>
      <c r="G120" s="10"/>
      <c r="J120" s="142"/>
      <c r="K120" s="15"/>
      <c r="L120" s="15"/>
      <c r="M120" s="15"/>
      <c r="N120" s="16"/>
      <c r="O120" s="8"/>
      <c r="P120" s="8"/>
      <c r="Q120" s="8"/>
      <c r="R120" s="16"/>
      <c r="S120" s="16"/>
      <c r="T120" s="19"/>
      <c r="U120" s="16"/>
      <c r="V120" s="19"/>
      <c r="W120" s="160"/>
      <c r="X120" s="160"/>
      <c r="Y120" s="160"/>
      <c r="Z120" s="160"/>
      <c r="AA120" s="160"/>
      <c r="AB120" s="10"/>
      <c r="AD120" s="160"/>
    </row>
    <row r="121" spans="4:30" x14ac:dyDescent="0.2">
      <c r="D121" s="8"/>
      <c r="E121" s="6"/>
      <c r="G121" s="10"/>
      <c r="J121" s="142"/>
      <c r="K121" s="15"/>
      <c r="L121" s="15"/>
      <c r="M121" s="15"/>
      <c r="N121" s="16"/>
      <c r="O121" s="8"/>
      <c r="P121" s="8"/>
      <c r="Q121" s="8"/>
      <c r="R121" s="16"/>
      <c r="S121" s="16"/>
      <c r="T121" s="19"/>
      <c r="U121" s="16"/>
      <c r="V121" s="19"/>
      <c r="W121" s="160"/>
      <c r="X121" s="160"/>
      <c r="Y121" s="160"/>
      <c r="Z121" s="160"/>
      <c r="AA121" s="160"/>
      <c r="AB121" s="10"/>
      <c r="AD121" s="160"/>
    </row>
    <row r="122" spans="4:30" x14ac:dyDescent="0.2">
      <c r="D122" s="8"/>
      <c r="E122" s="6"/>
      <c r="G122" s="10"/>
      <c r="J122" s="142"/>
      <c r="K122" s="15"/>
      <c r="L122" s="15"/>
      <c r="M122" s="15"/>
      <c r="N122" s="16"/>
      <c r="O122" s="8"/>
      <c r="P122" s="8"/>
      <c r="Q122" s="8"/>
      <c r="R122" s="16"/>
      <c r="S122" s="16"/>
      <c r="T122" s="19"/>
      <c r="U122" s="16"/>
      <c r="V122" s="19"/>
      <c r="W122" s="160"/>
      <c r="X122" s="160"/>
      <c r="Y122" s="160"/>
      <c r="Z122" s="160"/>
      <c r="AA122" s="160"/>
      <c r="AB122" s="10"/>
      <c r="AD122" s="160"/>
    </row>
    <row r="123" spans="4:30" x14ac:dyDescent="0.2">
      <c r="D123" s="8"/>
      <c r="E123" s="6"/>
      <c r="G123" s="10"/>
      <c r="J123" s="142"/>
      <c r="K123" s="15"/>
      <c r="L123" s="15"/>
      <c r="M123" s="15"/>
      <c r="N123" s="16"/>
      <c r="O123" s="8"/>
      <c r="P123" s="8"/>
      <c r="Q123" s="8"/>
      <c r="R123" s="16"/>
      <c r="S123" s="16"/>
      <c r="T123" s="19"/>
      <c r="U123" s="16"/>
      <c r="V123" s="19"/>
      <c r="W123" s="160"/>
      <c r="X123" s="160"/>
      <c r="Y123" s="160"/>
      <c r="Z123" s="160"/>
      <c r="AA123" s="160"/>
      <c r="AB123" s="10"/>
      <c r="AD123" s="160"/>
    </row>
    <row r="124" spans="4:30" x14ac:dyDescent="0.2">
      <c r="D124" s="8"/>
      <c r="E124" s="6"/>
      <c r="G124" s="10"/>
      <c r="J124" s="142"/>
      <c r="K124" s="15"/>
      <c r="L124" s="15"/>
      <c r="M124" s="15"/>
      <c r="N124" s="16"/>
      <c r="O124" s="8"/>
      <c r="P124" s="8"/>
      <c r="Q124" s="8"/>
      <c r="R124" s="16"/>
      <c r="S124" s="16"/>
      <c r="T124" s="19"/>
      <c r="U124" s="16"/>
      <c r="V124" s="19"/>
      <c r="W124" s="160"/>
      <c r="X124" s="160"/>
      <c r="Y124" s="160"/>
      <c r="Z124" s="160"/>
      <c r="AA124" s="160"/>
      <c r="AB124" s="10"/>
      <c r="AD124" s="160"/>
    </row>
    <row r="125" spans="4:30" x14ac:dyDescent="0.2">
      <c r="D125" s="8"/>
      <c r="E125" s="6"/>
      <c r="G125" s="10"/>
      <c r="J125" s="142"/>
      <c r="K125" s="15"/>
      <c r="L125" s="15"/>
      <c r="M125" s="15"/>
      <c r="N125" s="16"/>
      <c r="O125" s="8"/>
      <c r="P125" s="8"/>
      <c r="Q125" s="8"/>
      <c r="R125" s="16"/>
      <c r="S125" s="16"/>
      <c r="T125" s="19"/>
      <c r="U125" s="16"/>
      <c r="V125" s="19"/>
      <c r="W125" s="160"/>
      <c r="X125" s="160"/>
      <c r="Y125" s="160"/>
      <c r="Z125" s="160"/>
      <c r="AA125" s="160"/>
      <c r="AB125" s="10"/>
      <c r="AD125" s="160"/>
    </row>
    <row r="126" spans="4:30" x14ac:dyDescent="0.2">
      <c r="D126" s="8"/>
      <c r="E126" s="6"/>
      <c r="G126" s="10"/>
      <c r="J126" s="142"/>
      <c r="K126" s="15"/>
      <c r="L126" s="15"/>
      <c r="M126" s="15"/>
      <c r="N126" s="16"/>
      <c r="O126" s="8"/>
      <c r="P126" s="8"/>
      <c r="Q126" s="8"/>
      <c r="R126" s="16"/>
      <c r="S126" s="16"/>
      <c r="T126" s="19"/>
      <c r="U126" s="16"/>
      <c r="V126" s="19"/>
      <c r="W126" s="160"/>
      <c r="X126" s="160"/>
      <c r="Y126" s="160"/>
      <c r="Z126" s="160"/>
      <c r="AA126" s="160"/>
      <c r="AB126" s="10"/>
      <c r="AD126" s="160"/>
    </row>
    <row r="127" spans="4:30" x14ac:dyDescent="0.2">
      <c r="D127" s="8"/>
      <c r="E127" s="6"/>
      <c r="G127" s="10"/>
      <c r="J127" s="142"/>
      <c r="K127" s="15"/>
      <c r="L127" s="15"/>
      <c r="M127" s="15"/>
      <c r="N127" s="16"/>
      <c r="O127" s="8"/>
      <c r="P127" s="8"/>
      <c r="Q127" s="8"/>
      <c r="R127" s="16"/>
      <c r="S127" s="16"/>
      <c r="T127" s="19"/>
      <c r="U127" s="16"/>
      <c r="V127" s="19"/>
      <c r="W127" s="160"/>
      <c r="X127" s="160"/>
      <c r="Y127" s="160"/>
      <c r="Z127" s="160"/>
      <c r="AA127" s="160"/>
      <c r="AB127" s="10"/>
      <c r="AD127" s="160"/>
    </row>
    <row r="128" spans="4:30" x14ac:dyDescent="0.2">
      <c r="D128" s="8"/>
      <c r="E128" s="6"/>
      <c r="G128" s="10"/>
      <c r="J128" s="142"/>
      <c r="K128" s="15"/>
      <c r="L128" s="15"/>
      <c r="M128" s="15"/>
      <c r="N128" s="16"/>
      <c r="O128" s="8"/>
      <c r="P128" s="8"/>
      <c r="Q128" s="8"/>
      <c r="R128" s="16"/>
      <c r="S128" s="16"/>
      <c r="T128" s="19"/>
      <c r="U128" s="16"/>
      <c r="V128" s="19"/>
      <c r="W128" s="160"/>
      <c r="X128" s="160"/>
      <c r="Y128" s="160"/>
      <c r="Z128" s="160"/>
      <c r="AA128" s="160"/>
      <c r="AB128" s="10"/>
      <c r="AD128" s="160"/>
    </row>
    <row r="129" spans="4:30" x14ac:dyDescent="0.2">
      <c r="D129" s="8"/>
      <c r="E129" s="6"/>
      <c r="G129" s="10"/>
      <c r="J129" s="142"/>
      <c r="K129" s="15"/>
      <c r="L129" s="15"/>
      <c r="M129" s="15"/>
      <c r="N129" s="16"/>
      <c r="O129" s="8"/>
      <c r="P129" s="8"/>
      <c r="Q129" s="8"/>
      <c r="R129" s="16"/>
      <c r="S129" s="16"/>
      <c r="T129" s="19"/>
      <c r="U129" s="16"/>
      <c r="V129" s="19"/>
      <c r="W129" s="160"/>
      <c r="X129" s="160"/>
      <c r="Y129" s="160"/>
      <c r="Z129" s="160"/>
      <c r="AA129" s="160"/>
      <c r="AB129" s="10"/>
      <c r="AD129" s="160"/>
    </row>
    <row r="130" spans="4:30" x14ac:dyDescent="0.2">
      <c r="D130" s="8"/>
      <c r="E130" s="6"/>
      <c r="G130" s="10"/>
      <c r="J130" s="142"/>
      <c r="K130" s="15"/>
      <c r="L130" s="15"/>
      <c r="M130" s="15"/>
      <c r="N130" s="16"/>
      <c r="O130" s="8"/>
      <c r="P130" s="8"/>
      <c r="Q130" s="8"/>
      <c r="R130" s="16"/>
      <c r="S130" s="16"/>
      <c r="T130" s="19"/>
      <c r="U130" s="16"/>
      <c r="V130" s="19"/>
      <c r="W130" s="160"/>
      <c r="X130" s="160"/>
      <c r="Y130" s="160"/>
      <c r="Z130" s="160"/>
      <c r="AA130" s="160"/>
      <c r="AB130" s="10"/>
      <c r="AD130" s="160"/>
    </row>
    <row r="131" spans="4:30" x14ac:dyDescent="0.2">
      <c r="D131" s="8"/>
      <c r="E131" s="6"/>
      <c r="G131" s="10"/>
      <c r="J131" s="142"/>
      <c r="K131" s="15"/>
      <c r="L131" s="15"/>
      <c r="M131" s="15"/>
      <c r="N131" s="16"/>
      <c r="O131" s="8"/>
      <c r="P131" s="8"/>
      <c r="Q131" s="8"/>
      <c r="R131" s="16"/>
      <c r="S131" s="16"/>
      <c r="T131" s="19"/>
      <c r="U131" s="16"/>
      <c r="V131" s="19"/>
      <c r="W131" s="160"/>
      <c r="X131" s="160"/>
      <c r="Y131" s="160"/>
      <c r="Z131" s="160"/>
      <c r="AA131" s="160"/>
      <c r="AB131" s="10"/>
      <c r="AD131" s="160"/>
    </row>
    <row r="132" spans="4:30" x14ac:dyDescent="0.2">
      <c r="D132" s="8"/>
      <c r="E132" s="6"/>
      <c r="G132" s="10"/>
      <c r="J132" s="142"/>
      <c r="K132" s="15"/>
      <c r="L132" s="15"/>
      <c r="M132" s="15"/>
      <c r="N132" s="16"/>
      <c r="O132" s="8"/>
      <c r="P132" s="8"/>
      <c r="Q132" s="8"/>
      <c r="R132" s="16"/>
      <c r="S132" s="16"/>
      <c r="T132" s="19"/>
      <c r="U132" s="16"/>
      <c r="V132" s="19"/>
      <c r="W132" s="160"/>
      <c r="X132" s="160"/>
      <c r="Y132" s="160"/>
      <c r="Z132" s="160"/>
      <c r="AA132" s="160"/>
      <c r="AB132" s="10"/>
      <c r="AD132" s="160"/>
    </row>
    <row r="133" spans="4:30" x14ac:dyDescent="0.2">
      <c r="D133" s="8"/>
      <c r="E133" s="6"/>
      <c r="G133" s="10"/>
      <c r="J133" s="142"/>
      <c r="K133" s="15"/>
      <c r="L133" s="15"/>
      <c r="M133" s="15"/>
      <c r="N133" s="16"/>
      <c r="O133" s="8"/>
      <c r="P133" s="8"/>
      <c r="Q133" s="8"/>
      <c r="R133" s="16"/>
      <c r="S133" s="16"/>
      <c r="T133" s="19"/>
      <c r="U133" s="16"/>
      <c r="V133" s="19"/>
      <c r="W133" s="160"/>
      <c r="X133" s="160"/>
      <c r="Y133" s="160"/>
      <c r="Z133" s="160"/>
      <c r="AA133" s="160"/>
      <c r="AB133" s="10"/>
      <c r="AD133" s="160"/>
    </row>
    <row r="134" spans="4:30" x14ac:dyDescent="0.2">
      <c r="D134" s="8"/>
      <c r="E134" s="6"/>
      <c r="G134" s="10"/>
      <c r="J134" s="142"/>
      <c r="K134" s="15"/>
      <c r="L134" s="15"/>
      <c r="M134" s="15"/>
      <c r="N134" s="16"/>
      <c r="O134" s="8"/>
      <c r="P134" s="8"/>
      <c r="Q134" s="8"/>
      <c r="R134" s="16"/>
      <c r="S134" s="16"/>
      <c r="T134" s="19"/>
      <c r="U134" s="16"/>
      <c r="V134" s="19"/>
      <c r="W134" s="160"/>
      <c r="X134" s="160"/>
      <c r="Y134" s="160"/>
      <c r="Z134" s="160"/>
      <c r="AA134" s="160"/>
      <c r="AB134" s="10"/>
      <c r="AD134" s="160"/>
    </row>
    <row r="135" spans="4:30" x14ac:dyDescent="0.2">
      <c r="D135" s="8"/>
      <c r="E135" s="6"/>
      <c r="G135" s="10"/>
      <c r="J135" s="142"/>
      <c r="K135" s="15"/>
      <c r="L135" s="15"/>
      <c r="M135" s="15"/>
      <c r="N135" s="16"/>
      <c r="O135" s="8"/>
      <c r="P135" s="8"/>
      <c r="Q135" s="8"/>
      <c r="R135" s="16"/>
      <c r="S135" s="16"/>
      <c r="T135" s="19"/>
      <c r="U135" s="16"/>
      <c r="V135" s="19"/>
      <c r="W135" s="160"/>
      <c r="X135" s="160"/>
      <c r="Y135" s="160"/>
      <c r="Z135" s="160"/>
      <c r="AA135" s="160"/>
      <c r="AB135" s="10"/>
      <c r="AD135" s="160"/>
    </row>
    <row r="136" spans="4:30" x14ac:dyDescent="0.2">
      <c r="D136" s="8"/>
      <c r="E136" s="6"/>
      <c r="G136" s="10"/>
      <c r="J136" s="142"/>
      <c r="K136" s="15"/>
      <c r="L136" s="15"/>
      <c r="M136" s="15"/>
      <c r="N136" s="16"/>
      <c r="O136" s="8"/>
      <c r="P136" s="8"/>
      <c r="Q136" s="8"/>
      <c r="R136" s="16"/>
      <c r="S136" s="16"/>
      <c r="T136" s="19"/>
      <c r="U136" s="16"/>
      <c r="V136" s="19"/>
      <c r="W136" s="160"/>
      <c r="X136" s="160"/>
      <c r="Y136" s="160"/>
      <c r="Z136" s="160"/>
      <c r="AA136" s="160"/>
      <c r="AB136" s="10"/>
      <c r="AD136" s="160"/>
    </row>
    <row r="137" spans="4:30" x14ac:dyDescent="0.2">
      <c r="D137" s="8"/>
      <c r="E137" s="6"/>
      <c r="G137" s="10"/>
      <c r="J137" s="142"/>
      <c r="K137" s="15"/>
      <c r="L137" s="15"/>
      <c r="M137" s="15"/>
      <c r="N137" s="16"/>
      <c r="O137" s="8"/>
      <c r="P137" s="8"/>
      <c r="Q137" s="8"/>
      <c r="R137" s="16"/>
      <c r="S137" s="16"/>
      <c r="T137" s="19"/>
      <c r="U137" s="16"/>
      <c r="V137" s="19"/>
      <c r="W137" s="160"/>
      <c r="X137" s="160"/>
      <c r="Y137" s="160"/>
      <c r="Z137" s="160"/>
      <c r="AA137" s="160"/>
      <c r="AB137" s="10"/>
      <c r="AD137" s="160"/>
    </row>
    <row r="138" spans="4:30" x14ac:dyDescent="0.2">
      <c r="D138" s="8"/>
      <c r="E138" s="6"/>
      <c r="G138" s="10"/>
      <c r="J138" s="142"/>
      <c r="K138" s="15"/>
      <c r="L138" s="15"/>
      <c r="M138" s="15"/>
      <c r="N138" s="16"/>
      <c r="O138" s="8"/>
      <c r="P138" s="8"/>
      <c r="Q138" s="8"/>
      <c r="R138" s="16"/>
      <c r="S138" s="16"/>
      <c r="T138" s="19"/>
      <c r="U138" s="16"/>
      <c r="V138" s="19"/>
      <c r="W138" s="160"/>
      <c r="X138" s="160"/>
      <c r="Y138" s="160"/>
      <c r="Z138" s="160"/>
      <c r="AA138" s="160"/>
      <c r="AB138" s="10"/>
      <c r="AD138" s="160"/>
    </row>
    <row r="139" spans="4:30" x14ac:dyDescent="0.2">
      <c r="D139" s="8"/>
      <c r="E139" s="6"/>
      <c r="G139" s="10"/>
      <c r="J139" s="142"/>
      <c r="K139" s="15"/>
      <c r="L139" s="15"/>
      <c r="M139" s="15"/>
      <c r="N139" s="16"/>
      <c r="O139" s="8"/>
      <c r="P139" s="8"/>
      <c r="Q139" s="8"/>
      <c r="R139" s="16"/>
      <c r="S139" s="16"/>
      <c r="T139" s="19"/>
      <c r="U139" s="16"/>
      <c r="V139" s="19"/>
      <c r="W139" s="160"/>
      <c r="X139" s="160"/>
      <c r="Y139" s="160"/>
      <c r="Z139" s="160"/>
      <c r="AA139" s="160"/>
      <c r="AB139" s="10"/>
      <c r="AD139" s="160"/>
    </row>
    <row r="140" spans="4:30" x14ac:dyDescent="0.2">
      <c r="D140" s="8"/>
      <c r="E140" s="6"/>
      <c r="G140" s="10"/>
      <c r="J140" s="142"/>
      <c r="K140" s="15"/>
      <c r="L140" s="15"/>
      <c r="M140" s="15"/>
      <c r="N140" s="16"/>
      <c r="O140" s="8"/>
      <c r="P140" s="8"/>
      <c r="Q140" s="8"/>
      <c r="R140" s="16"/>
      <c r="S140" s="16"/>
      <c r="T140" s="19"/>
      <c r="U140" s="16"/>
      <c r="V140" s="19"/>
      <c r="W140" s="160"/>
      <c r="X140" s="160"/>
      <c r="Y140" s="160"/>
      <c r="Z140" s="160"/>
      <c r="AA140" s="160"/>
      <c r="AB140" s="10"/>
      <c r="AD140" s="160"/>
    </row>
    <row r="141" spans="4:30" x14ac:dyDescent="0.2">
      <c r="D141" s="8"/>
      <c r="E141" s="6"/>
      <c r="G141" s="10"/>
      <c r="J141" s="142"/>
      <c r="K141" s="15"/>
      <c r="L141" s="15"/>
      <c r="M141" s="15"/>
      <c r="N141" s="16"/>
      <c r="O141" s="8"/>
      <c r="P141" s="8"/>
      <c r="Q141" s="8"/>
      <c r="R141" s="16"/>
      <c r="S141" s="16"/>
      <c r="T141" s="19"/>
      <c r="U141" s="16"/>
      <c r="V141" s="19"/>
      <c r="W141" s="160"/>
      <c r="X141" s="160"/>
      <c r="Y141" s="160"/>
      <c r="Z141" s="160"/>
      <c r="AA141" s="160"/>
      <c r="AB141" s="10"/>
      <c r="AD141" s="160"/>
    </row>
    <row r="142" spans="4:30" x14ac:dyDescent="0.2">
      <c r="D142" s="8"/>
      <c r="E142" s="6"/>
      <c r="G142" s="10"/>
      <c r="J142" s="142"/>
      <c r="K142" s="15"/>
      <c r="L142" s="15"/>
      <c r="M142" s="15"/>
      <c r="N142" s="16"/>
      <c r="O142" s="8"/>
      <c r="P142" s="8"/>
      <c r="Q142" s="8"/>
      <c r="R142" s="16"/>
      <c r="S142" s="16"/>
      <c r="T142" s="19"/>
      <c r="U142" s="16"/>
      <c r="V142" s="19"/>
      <c r="W142" s="160"/>
      <c r="X142" s="160"/>
      <c r="Y142" s="160"/>
      <c r="Z142" s="160"/>
      <c r="AA142" s="160"/>
      <c r="AB142" s="10"/>
      <c r="AD142" s="160"/>
    </row>
    <row r="143" spans="4:30" x14ac:dyDescent="0.2">
      <c r="D143" s="8"/>
      <c r="E143" s="6"/>
      <c r="G143" s="10"/>
      <c r="J143" s="142"/>
      <c r="K143" s="15"/>
      <c r="L143" s="15"/>
      <c r="M143" s="15"/>
      <c r="N143" s="16"/>
      <c r="O143" s="8"/>
      <c r="P143" s="8"/>
      <c r="Q143" s="8"/>
      <c r="R143" s="16"/>
      <c r="S143" s="16"/>
      <c r="T143" s="19"/>
      <c r="U143" s="16"/>
      <c r="V143" s="19"/>
      <c r="W143" s="160"/>
      <c r="X143" s="160"/>
      <c r="Y143" s="160"/>
      <c r="Z143" s="160"/>
      <c r="AA143" s="160"/>
      <c r="AB143" s="10"/>
      <c r="AD143" s="160"/>
    </row>
    <row r="144" spans="4:30" x14ac:dyDescent="0.2">
      <c r="D144" s="8"/>
      <c r="E144" s="6"/>
      <c r="G144" s="10"/>
      <c r="J144" s="142"/>
      <c r="K144" s="15"/>
      <c r="L144" s="15"/>
      <c r="M144" s="15"/>
      <c r="N144" s="16"/>
      <c r="O144" s="8"/>
      <c r="P144" s="8"/>
      <c r="Q144" s="8"/>
      <c r="R144" s="16"/>
      <c r="S144" s="16"/>
      <c r="T144" s="19"/>
      <c r="U144" s="16"/>
      <c r="V144" s="19"/>
      <c r="W144" s="160"/>
      <c r="X144" s="160"/>
      <c r="Y144" s="160"/>
      <c r="Z144" s="160"/>
      <c r="AA144" s="160"/>
      <c r="AB144" s="10"/>
      <c r="AD144" s="160"/>
    </row>
    <row r="145" spans="4:30" x14ac:dyDescent="0.2">
      <c r="D145" s="8"/>
      <c r="E145" s="6"/>
      <c r="G145" s="10"/>
      <c r="J145" s="142"/>
      <c r="K145" s="15"/>
      <c r="L145" s="15"/>
      <c r="M145" s="15"/>
      <c r="N145" s="16"/>
      <c r="O145" s="8"/>
      <c r="P145" s="8"/>
      <c r="Q145" s="8"/>
      <c r="R145" s="16"/>
      <c r="S145" s="16"/>
      <c r="T145" s="19"/>
      <c r="U145" s="16"/>
      <c r="V145" s="19"/>
      <c r="W145" s="160"/>
      <c r="X145" s="160"/>
      <c r="Y145" s="160"/>
      <c r="Z145" s="160"/>
      <c r="AA145" s="160"/>
      <c r="AB145" s="10"/>
      <c r="AD145" s="160"/>
    </row>
    <row r="146" spans="4:30" x14ac:dyDescent="0.2">
      <c r="D146" s="8"/>
      <c r="E146" s="6"/>
      <c r="G146" s="10"/>
      <c r="J146" s="142"/>
      <c r="K146" s="15"/>
      <c r="L146" s="15"/>
      <c r="M146" s="15"/>
      <c r="N146" s="16"/>
      <c r="O146" s="8"/>
      <c r="P146" s="8"/>
      <c r="Q146" s="8"/>
      <c r="R146" s="16"/>
      <c r="S146" s="16"/>
      <c r="T146" s="19"/>
      <c r="U146" s="16"/>
      <c r="V146" s="19"/>
      <c r="W146" s="160"/>
      <c r="X146" s="160"/>
      <c r="Y146" s="160"/>
      <c r="Z146" s="160"/>
      <c r="AA146" s="160"/>
      <c r="AB146" s="10"/>
      <c r="AD146" s="160"/>
    </row>
    <row r="147" spans="4:30" x14ac:dyDescent="0.2">
      <c r="D147" s="8"/>
      <c r="E147" s="6"/>
      <c r="G147" s="10"/>
      <c r="J147" s="142"/>
      <c r="K147" s="15"/>
      <c r="L147" s="15"/>
      <c r="M147" s="15"/>
      <c r="N147" s="16"/>
      <c r="O147" s="8"/>
      <c r="P147" s="8"/>
      <c r="Q147" s="8"/>
      <c r="R147" s="16"/>
      <c r="S147" s="16"/>
      <c r="T147" s="19"/>
      <c r="U147" s="16"/>
      <c r="V147" s="19"/>
      <c r="W147" s="160"/>
      <c r="X147" s="160"/>
      <c r="Y147" s="160"/>
      <c r="Z147" s="160"/>
      <c r="AA147" s="160"/>
      <c r="AB147" s="10"/>
      <c r="AD147" s="160"/>
    </row>
    <row r="148" spans="4:30" x14ac:dyDescent="0.2">
      <c r="D148" s="8"/>
      <c r="E148" s="6"/>
      <c r="G148" s="10"/>
      <c r="J148" s="142"/>
      <c r="K148" s="15"/>
      <c r="L148" s="15"/>
      <c r="M148" s="15"/>
      <c r="N148" s="16"/>
      <c r="O148" s="8"/>
      <c r="P148" s="8"/>
      <c r="Q148" s="8"/>
      <c r="R148" s="16"/>
      <c r="S148" s="16"/>
      <c r="T148" s="19"/>
      <c r="U148" s="16"/>
      <c r="V148" s="19"/>
      <c r="W148" s="160"/>
      <c r="X148" s="160"/>
      <c r="Y148" s="160"/>
      <c r="Z148" s="160"/>
      <c r="AA148" s="160"/>
      <c r="AB148" s="10"/>
      <c r="AD148" s="160"/>
    </row>
    <row r="149" spans="4:30" x14ac:dyDescent="0.2">
      <c r="D149" s="8"/>
      <c r="E149" s="6"/>
      <c r="G149" s="10"/>
      <c r="J149" s="142"/>
      <c r="K149" s="15"/>
      <c r="L149" s="15"/>
      <c r="M149" s="15"/>
      <c r="N149" s="16"/>
      <c r="O149" s="8"/>
      <c r="P149" s="8"/>
      <c r="Q149" s="8"/>
      <c r="R149" s="16"/>
      <c r="S149" s="16"/>
      <c r="T149" s="19"/>
      <c r="U149" s="16"/>
      <c r="V149" s="19"/>
      <c r="W149" s="160"/>
      <c r="X149" s="160"/>
      <c r="Y149" s="160"/>
      <c r="Z149" s="160"/>
      <c r="AA149" s="160"/>
      <c r="AB149" s="10"/>
      <c r="AD149" s="160"/>
    </row>
    <row r="150" spans="4:30" x14ac:dyDescent="0.2">
      <c r="D150" s="8"/>
      <c r="E150" s="6"/>
      <c r="G150" s="10"/>
      <c r="J150" s="142"/>
      <c r="K150" s="15"/>
      <c r="L150" s="15"/>
      <c r="M150" s="15"/>
      <c r="N150" s="16"/>
      <c r="O150" s="8"/>
      <c r="P150" s="8"/>
      <c r="Q150" s="8"/>
      <c r="R150" s="16"/>
      <c r="S150" s="16"/>
      <c r="T150" s="19"/>
      <c r="U150" s="16"/>
      <c r="V150" s="19"/>
      <c r="W150" s="160"/>
      <c r="X150" s="160"/>
      <c r="Y150" s="160"/>
      <c r="Z150" s="160"/>
      <c r="AA150" s="160"/>
      <c r="AB150" s="10"/>
      <c r="AD150" s="160"/>
    </row>
    <row r="151" spans="4:30" x14ac:dyDescent="0.2">
      <c r="D151" s="8"/>
      <c r="E151" s="6"/>
      <c r="G151" s="10"/>
      <c r="J151" s="142"/>
      <c r="K151" s="15"/>
      <c r="L151" s="15"/>
      <c r="M151" s="15"/>
      <c r="N151" s="16"/>
      <c r="O151" s="8"/>
      <c r="P151" s="8"/>
      <c r="Q151" s="8"/>
      <c r="R151" s="16"/>
      <c r="S151" s="16"/>
      <c r="T151" s="19"/>
      <c r="U151" s="16"/>
      <c r="V151" s="19"/>
      <c r="W151" s="160"/>
      <c r="X151" s="160"/>
      <c r="Y151" s="160"/>
      <c r="Z151" s="160"/>
      <c r="AA151" s="160"/>
      <c r="AB151" s="10"/>
      <c r="AD151" s="160"/>
    </row>
    <row r="152" spans="4:30" x14ac:dyDescent="0.2">
      <c r="D152" s="8"/>
      <c r="E152" s="6"/>
      <c r="G152" s="10"/>
      <c r="J152" s="142"/>
      <c r="K152" s="15"/>
      <c r="L152" s="15"/>
      <c r="M152" s="15"/>
      <c r="N152" s="16"/>
      <c r="O152" s="8"/>
      <c r="P152" s="8"/>
      <c r="Q152" s="8"/>
      <c r="R152" s="16"/>
      <c r="S152" s="16"/>
      <c r="T152" s="19"/>
      <c r="U152" s="16"/>
      <c r="V152" s="19"/>
      <c r="W152" s="160"/>
      <c r="X152" s="160"/>
      <c r="Y152" s="160"/>
      <c r="Z152" s="160"/>
      <c r="AA152" s="160"/>
      <c r="AB152" s="10"/>
      <c r="AD152" s="160"/>
    </row>
    <row r="153" spans="4:30" x14ac:dyDescent="0.2">
      <c r="D153" s="8"/>
      <c r="E153" s="6"/>
      <c r="G153" s="10"/>
      <c r="J153" s="142"/>
      <c r="K153" s="15"/>
      <c r="L153" s="15"/>
      <c r="M153" s="15"/>
      <c r="N153" s="16"/>
      <c r="O153" s="8"/>
      <c r="P153" s="8"/>
      <c r="Q153" s="8"/>
      <c r="R153" s="16"/>
      <c r="S153" s="16"/>
      <c r="T153" s="19"/>
      <c r="U153" s="16"/>
      <c r="V153" s="19"/>
      <c r="W153" s="160"/>
      <c r="X153" s="160"/>
      <c r="Y153" s="160"/>
      <c r="Z153" s="160"/>
      <c r="AA153" s="160"/>
      <c r="AB153" s="10"/>
      <c r="AD153" s="160"/>
    </row>
    <row r="154" spans="4:30" x14ac:dyDescent="0.2">
      <c r="D154" s="8"/>
      <c r="E154" s="6"/>
      <c r="G154" s="10"/>
      <c r="J154" s="142"/>
      <c r="K154" s="15"/>
      <c r="L154" s="15"/>
      <c r="M154" s="15"/>
      <c r="N154" s="16"/>
      <c r="O154" s="8"/>
      <c r="P154" s="8"/>
      <c r="Q154" s="8"/>
      <c r="R154" s="16"/>
      <c r="S154" s="16"/>
      <c r="T154" s="19"/>
      <c r="U154" s="16"/>
      <c r="V154" s="19"/>
      <c r="W154" s="160"/>
      <c r="X154" s="160"/>
      <c r="Y154" s="160"/>
      <c r="Z154" s="160"/>
      <c r="AA154" s="160"/>
      <c r="AB154" s="10"/>
      <c r="AD154" s="160"/>
    </row>
    <row r="155" spans="4:30" x14ac:dyDescent="0.2">
      <c r="D155" s="8"/>
      <c r="E155" s="6"/>
      <c r="G155" s="10"/>
      <c r="J155" s="142"/>
      <c r="K155" s="15"/>
      <c r="L155" s="15"/>
      <c r="M155" s="15"/>
      <c r="N155" s="16"/>
      <c r="O155" s="8"/>
      <c r="P155" s="8"/>
      <c r="Q155" s="8"/>
      <c r="R155" s="16"/>
      <c r="S155" s="16"/>
      <c r="T155" s="19"/>
      <c r="U155" s="16"/>
      <c r="V155" s="19"/>
      <c r="W155" s="160"/>
      <c r="X155" s="160"/>
      <c r="Y155" s="160"/>
      <c r="Z155" s="160"/>
      <c r="AA155" s="160"/>
      <c r="AB155" s="10"/>
      <c r="AD155" s="160"/>
    </row>
    <row r="156" spans="4:30" x14ac:dyDescent="0.2">
      <c r="D156" s="8"/>
      <c r="E156" s="6"/>
      <c r="G156" s="10"/>
      <c r="J156" s="142"/>
      <c r="K156" s="15"/>
      <c r="L156" s="15"/>
      <c r="M156" s="15"/>
      <c r="N156" s="16"/>
      <c r="O156" s="8"/>
      <c r="P156" s="8"/>
      <c r="Q156" s="8"/>
      <c r="R156" s="16"/>
      <c r="S156" s="16"/>
      <c r="T156" s="19"/>
      <c r="U156" s="16"/>
      <c r="V156" s="19"/>
      <c r="W156" s="160"/>
      <c r="X156" s="160"/>
      <c r="Y156" s="160"/>
      <c r="Z156" s="160"/>
      <c r="AA156" s="160"/>
      <c r="AB156" s="10"/>
      <c r="AD156" s="160"/>
    </row>
    <row r="157" spans="4:30" x14ac:dyDescent="0.2">
      <c r="D157" s="8"/>
      <c r="E157" s="6"/>
      <c r="G157" s="10"/>
      <c r="J157" s="142"/>
      <c r="K157" s="15"/>
      <c r="L157" s="15"/>
      <c r="M157" s="15"/>
      <c r="N157" s="16"/>
      <c r="O157" s="8"/>
      <c r="P157" s="8"/>
      <c r="Q157" s="8"/>
      <c r="R157" s="16"/>
      <c r="S157" s="16"/>
      <c r="T157" s="19"/>
      <c r="U157" s="16"/>
      <c r="V157" s="19"/>
      <c r="W157" s="160"/>
      <c r="X157" s="160"/>
      <c r="Y157" s="160"/>
      <c r="Z157" s="160"/>
      <c r="AA157" s="160"/>
      <c r="AB157" s="10"/>
      <c r="AD157" s="160"/>
    </row>
    <row r="158" spans="4:30" x14ac:dyDescent="0.2">
      <c r="D158" s="8"/>
      <c r="E158" s="6"/>
      <c r="G158" s="10"/>
      <c r="J158" s="142"/>
      <c r="K158" s="15"/>
      <c r="L158" s="15"/>
      <c r="M158" s="15"/>
      <c r="N158" s="16"/>
      <c r="O158" s="8"/>
      <c r="P158" s="8"/>
      <c r="Q158" s="8"/>
      <c r="R158" s="16"/>
      <c r="S158" s="16"/>
      <c r="T158" s="19"/>
      <c r="U158" s="16"/>
      <c r="V158" s="19"/>
      <c r="W158" s="160"/>
      <c r="X158" s="160"/>
      <c r="Y158" s="160"/>
      <c r="Z158" s="160"/>
      <c r="AA158" s="160"/>
      <c r="AB158" s="10"/>
      <c r="AD158" s="160"/>
    </row>
    <row r="159" spans="4:30" x14ac:dyDescent="0.2">
      <c r="D159" s="8"/>
      <c r="E159" s="6"/>
      <c r="G159" s="10"/>
      <c r="J159" s="142"/>
      <c r="K159" s="15"/>
      <c r="L159" s="15"/>
      <c r="M159" s="15"/>
      <c r="N159" s="16"/>
      <c r="O159" s="8"/>
      <c r="P159" s="8"/>
      <c r="Q159" s="8"/>
      <c r="R159" s="16"/>
      <c r="S159" s="16"/>
      <c r="T159" s="19"/>
      <c r="U159" s="16"/>
      <c r="V159" s="19"/>
      <c r="W159" s="160"/>
      <c r="X159" s="160"/>
      <c r="Y159" s="160"/>
      <c r="Z159" s="160"/>
      <c r="AA159" s="160"/>
      <c r="AB159" s="10"/>
      <c r="AD159" s="160"/>
    </row>
    <row r="160" spans="4:30" x14ac:dyDescent="0.2">
      <c r="D160" s="8"/>
      <c r="E160" s="6"/>
      <c r="G160" s="10"/>
      <c r="J160" s="142"/>
      <c r="K160" s="15"/>
      <c r="L160" s="15"/>
      <c r="M160" s="15"/>
      <c r="N160" s="16"/>
      <c r="O160" s="8"/>
      <c r="P160" s="8"/>
      <c r="Q160" s="8"/>
      <c r="R160" s="16"/>
      <c r="S160" s="16"/>
      <c r="T160" s="19"/>
      <c r="U160" s="16"/>
      <c r="V160" s="19"/>
      <c r="W160" s="160"/>
      <c r="X160" s="160"/>
      <c r="Y160" s="160"/>
      <c r="Z160" s="160"/>
      <c r="AA160" s="160"/>
      <c r="AB160" s="10"/>
      <c r="AD160" s="160"/>
    </row>
    <row r="161" spans="4:30" x14ac:dyDescent="0.2">
      <c r="D161" s="8"/>
      <c r="E161" s="6"/>
      <c r="G161" s="10"/>
      <c r="J161" s="142"/>
      <c r="K161" s="15"/>
      <c r="L161" s="15"/>
      <c r="M161" s="15"/>
      <c r="N161" s="16"/>
      <c r="O161" s="8"/>
      <c r="P161" s="8"/>
      <c r="Q161" s="8"/>
      <c r="R161" s="16"/>
      <c r="S161" s="16"/>
      <c r="T161" s="19"/>
      <c r="U161" s="16"/>
      <c r="V161" s="19"/>
      <c r="W161" s="160"/>
      <c r="X161" s="160"/>
      <c r="Y161" s="160"/>
      <c r="Z161" s="160"/>
      <c r="AA161" s="160"/>
      <c r="AB161" s="10"/>
      <c r="AD161" s="160"/>
    </row>
    <row r="162" spans="4:30" x14ac:dyDescent="0.2">
      <c r="D162" s="8"/>
      <c r="E162" s="6"/>
      <c r="G162" s="10"/>
      <c r="J162" s="142"/>
      <c r="K162" s="15"/>
      <c r="L162" s="15"/>
      <c r="M162" s="15"/>
      <c r="N162" s="16"/>
      <c r="O162" s="8"/>
      <c r="P162" s="8"/>
      <c r="Q162" s="8"/>
      <c r="R162" s="16"/>
      <c r="S162" s="16"/>
      <c r="T162" s="19"/>
      <c r="U162" s="16"/>
      <c r="V162" s="19"/>
      <c r="W162" s="160"/>
      <c r="X162" s="160"/>
      <c r="Y162" s="160"/>
      <c r="Z162" s="160"/>
      <c r="AA162" s="160"/>
      <c r="AB162" s="10"/>
      <c r="AD162" s="160"/>
    </row>
    <row r="163" spans="4:30" x14ac:dyDescent="0.2">
      <c r="D163" s="8"/>
      <c r="E163" s="6"/>
      <c r="G163" s="10"/>
      <c r="J163" s="142"/>
      <c r="K163" s="15"/>
      <c r="L163" s="15"/>
      <c r="M163" s="15"/>
      <c r="N163" s="16"/>
      <c r="O163" s="8"/>
      <c r="P163" s="8"/>
      <c r="Q163" s="8"/>
      <c r="R163" s="16"/>
      <c r="S163" s="16"/>
      <c r="T163" s="19"/>
      <c r="U163" s="16"/>
      <c r="V163" s="19"/>
      <c r="W163" s="160"/>
      <c r="X163" s="160"/>
      <c r="Y163" s="160"/>
      <c r="Z163" s="160"/>
      <c r="AA163" s="160"/>
      <c r="AB163" s="10"/>
      <c r="AD163" s="160"/>
    </row>
    <row r="164" spans="4:30" x14ac:dyDescent="0.2">
      <c r="D164" s="8"/>
      <c r="E164" s="6"/>
      <c r="G164" s="10"/>
      <c r="J164" s="142"/>
      <c r="K164" s="15"/>
      <c r="L164" s="15"/>
      <c r="M164" s="15"/>
      <c r="N164" s="16"/>
      <c r="O164" s="8"/>
      <c r="P164" s="8"/>
      <c r="Q164" s="8"/>
      <c r="R164" s="16"/>
      <c r="S164" s="16"/>
      <c r="T164" s="19"/>
      <c r="U164" s="16"/>
      <c r="V164" s="19"/>
      <c r="W164" s="160"/>
      <c r="X164" s="160"/>
      <c r="Y164" s="160"/>
      <c r="Z164" s="160"/>
      <c r="AA164" s="160"/>
      <c r="AB164" s="10"/>
      <c r="AD164" s="160"/>
    </row>
    <row r="165" spans="4:30" x14ac:dyDescent="0.2">
      <c r="D165" s="8"/>
      <c r="E165" s="6"/>
      <c r="G165" s="10"/>
      <c r="J165" s="142"/>
      <c r="K165" s="15"/>
      <c r="L165" s="15"/>
      <c r="M165" s="15"/>
      <c r="N165" s="16"/>
      <c r="O165" s="8"/>
      <c r="P165" s="8"/>
      <c r="Q165" s="8"/>
      <c r="R165" s="16"/>
      <c r="S165" s="16"/>
      <c r="T165" s="19"/>
      <c r="U165" s="16"/>
      <c r="V165" s="19"/>
      <c r="W165" s="160"/>
      <c r="X165" s="160"/>
      <c r="Y165" s="160"/>
      <c r="Z165" s="160"/>
      <c r="AA165" s="160"/>
      <c r="AB165" s="10"/>
      <c r="AD165" s="160"/>
    </row>
    <row r="166" spans="4:30" x14ac:dyDescent="0.2">
      <c r="D166" s="8"/>
      <c r="E166" s="6"/>
      <c r="G166" s="10"/>
      <c r="J166" s="142"/>
      <c r="K166" s="15"/>
      <c r="L166" s="15"/>
      <c r="M166" s="15"/>
      <c r="N166" s="16"/>
      <c r="O166" s="8"/>
      <c r="P166" s="8"/>
      <c r="Q166" s="8"/>
      <c r="R166" s="16"/>
      <c r="S166" s="16"/>
      <c r="T166" s="19"/>
      <c r="U166" s="16"/>
      <c r="V166" s="19"/>
      <c r="W166" s="160"/>
      <c r="X166" s="160"/>
      <c r="Y166" s="160"/>
      <c r="Z166" s="160"/>
      <c r="AA166" s="160"/>
      <c r="AB166" s="10"/>
      <c r="AD166" s="160"/>
    </row>
    <row r="167" spans="4:30" x14ac:dyDescent="0.2">
      <c r="D167" s="8"/>
      <c r="E167" s="6"/>
      <c r="G167" s="10"/>
      <c r="J167" s="142"/>
      <c r="K167" s="15"/>
      <c r="L167" s="15"/>
      <c r="M167" s="15"/>
      <c r="N167" s="16"/>
      <c r="O167" s="8"/>
      <c r="P167" s="8"/>
      <c r="Q167" s="8"/>
      <c r="R167" s="16"/>
      <c r="S167" s="16"/>
      <c r="T167" s="19"/>
      <c r="U167" s="16"/>
      <c r="V167" s="19"/>
      <c r="W167" s="160"/>
      <c r="X167" s="160"/>
      <c r="Y167" s="160"/>
      <c r="Z167" s="160"/>
      <c r="AA167" s="160"/>
      <c r="AB167" s="10"/>
      <c r="AD167" s="160"/>
    </row>
    <row r="168" spans="4:30" x14ac:dyDescent="0.2">
      <c r="D168" s="8"/>
      <c r="E168" s="6"/>
      <c r="G168" s="10"/>
      <c r="J168" s="142"/>
      <c r="K168" s="15"/>
      <c r="L168" s="15"/>
      <c r="M168" s="15"/>
      <c r="N168" s="16"/>
      <c r="O168" s="8"/>
      <c r="P168" s="8"/>
      <c r="Q168" s="8"/>
      <c r="R168" s="16"/>
      <c r="S168" s="16"/>
      <c r="T168" s="19"/>
      <c r="U168" s="16"/>
      <c r="V168" s="19"/>
      <c r="W168" s="160"/>
      <c r="X168" s="160"/>
      <c r="Y168" s="160"/>
      <c r="Z168" s="160"/>
      <c r="AA168" s="160"/>
      <c r="AB168" s="10"/>
      <c r="AD168" s="160"/>
    </row>
    <row r="169" spans="4:30" x14ac:dyDescent="0.2">
      <c r="D169" s="8"/>
      <c r="E169" s="6"/>
      <c r="G169" s="10"/>
      <c r="J169" s="142"/>
      <c r="K169" s="15"/>
      <c r="L169" s="15"/>
      <c r="M169" s="15"/>
      <c r="N169" s="16"/>
      <c r="O169" s="8"/>
      <c r="P169" s="8"/>
      <c r="Q169" s="8"/>
      <c r="R169" s="16"/>
      <c r="S169" s="16"/>
      <c r="T169" s="19"/>
      <c r="U169" s="16"/>
      <c r="V169" s="19"/>
      <c r="W169" s="160"/>
      <c r="X169" s="160"/>
      <c r="Y169" s="160"/>
      <c r="Z169" s="160"/>
      <c r="AA169" s="160"/>
      <c r="AB169" s="10"/>
      <c r="AD169" s="160"/>
    </row>
    <row r="170" spans="4:30" x14ac:dyDescent="0.2">
      <c r="D170" s="8"/>
      <c r="E170" s="6"/>
      <c r="G170" s="10"/>
      <c r="J170" s="142"/>
      <c r="K170" s="15"/>
      <c r="L170" s="15"/>
      <c r="M170" s="15"/>
      <c r="N170" s="16"/>
      <c r="O170" s="8"/>
      <c r="P170" s="8"/>
      <c r="Q170" s="8"/>
      <c r="R170" s="16"/>
      <c r="S170" s="16"/>
      <c r="T170" s="19"/>
      <c r="U170" s="16"/>
      <c r="V170" s="19"/>
      <c r="W170" s="160"/>
      <c r="X170" s="160"/>
      <c r="Y170" s="160"/>
      <c r="Z170" s="160"/>
      <c r="AA170" s="160"/>
      <c r="AB170" s="10"/>
      <c r="AD170" s="160"/>
    </row>
    <row r="171" spans="4:30" x14ac:dyDescent="0.2">
      <c r="D171" s="8"/>
      <c r="E171" s="6"/>
      <c r="G171" s="10"/>
      <c r="J171" s="142"/>
      <c r="K171" s="15"/>
      <c r="L171" s="15"/>
      <c r="M171" s="15"/>
      <c r="N171" s="16"/>
      <c r="O171" s="8"/>
      <c r="P171" s="8"/>
      <c r="Q171" s="8"/>
      <c r="R171" s="16"/>
      <c r="S171" s="16"/>
      <c r="T171" s="19"/>
      <c r="U171" s="16"/>
      <c r="V171" s="19"/>
      <c r="W171" s="160"/>
      <c r="X171" s="160"/>
      <c r="Y171" s="160"/>
      <c r="Z171" s="160"/>
      <c r="AA171" s="160"/>
      <c r="AB171" s="10"/>
      <c r="AD171" s="160"/>
    </row>
    <row r="172" spans="4:30" x14ac:dyDescent="0.2">
      <c r="D172" s="8"/>
      <c r="E172" s="6"/>
      <c r="G172" s="10"/>
      <c r="J172" s="142"/>
      <c r="K172" s="15"/>
      <c r="L172" s="15"/>
      <c r="M172" s="15"/>
      <c r="N172" s="16"/>
      <c r="O172" s="8"/>
      <c r="P172" s="8"/>
      <c r="Q172" s="8"/>
      <c r="R172" s="16"/>
      <c r="S172" s="16"/>
      <c r="T172" s="19"/>
      <c r="U172" s="16"/>
      <c r="V172" s="19"/>
      <c r="W172" s="160"/>
      <c r="X172" s="160"/>
      <c r="Y172" s="160"/>
      <c r="Z172" s="160"/>
      <c r="AA172" s="160"/>
      <c r="AB172" s="10"/>
      <c r="AD172" s="160"/>
    </row>
    <row r="173" spans="4:30" x14ac:dyDescent="0.2">
      <c r="D173" s="8"/>
      <c r="E173" s="6"/>
      <c r="G173" s="10"/>
      <c r="J173" s="142"/>
      <c r="K173" s="15"/>
      <c r="L173" s="15"/>
      <c r="M173" s="15"/>
      <c r="N173" s="16"/>
      <c r="O173" s="8"/>
      <c r="P173" s="8"/>
      <c r="Q173" s="8"/>
      <c r="R173" s="16"/>
      <c r="S173" s="16"/>
      <c r="T173" s="19"/>
      <c r="U173" s="16"/>
      <c r="V173" s="19"/>
      <c r="W173" s="160"/>
      <c r="X173" s="160"/>
      <c r="Y173" s="160"/>
      <c r="Z173" s="160"/>
      <c r="AA173" s="160"/>
      <c r="AB173" s="10"/>
      <c r="AD173" s="160"/>
    </row>
    <row r="174" spans="4:30" x14ac:dyDescent="0.2">
      <c r="D174" s="8"/>
      <c r="E174" s="6"/>
      <c r="G174" s="10"/>
      <c r="J174" s="142"/>
      <c r="K174" s="15"/>
      <c r="L174" s="15"/>
      <c r="M174" s="15"/>
      <c r="N174" s="16"/>
      <c r="O174" s="8"/>
      <c r="P174" s="8"/>
      <c r="Q174" s="8"/>
      <c r="R174" s="16"/>
      <c r="S174" s="16"/>
      <c r="T174" s="19"/>
      <c r="U174" s="16"/>
      <c r="V174" s="19"/>
      <c r="W174" s="160"/>
      <c r="X174" s="160"/>
      <c r="Y174" s="160"/>
      <c r="Z174" s="160"/>
      <c r="AA174" s="160"/>
      <c r="AB174" s="10"/>
      <c r="AD174" s="160"/>
    </row>
    <row r="175" spans="4:30" x14ac:dyDescent="0.2">
      <c r="D175" s="8"/>
      <c r="E175" s="6"/>
      <c r="G175" s="10"/>
      <c r="J175" s="142"/>
      <c r="K175" s="15"/>
      <c r="L175" s="15"/>
      <c r="M175" s="15"/>
      <c r="N175" s="16"/>
      <c r="O175" s="8"/>
      <c r="P175" s="8"/>
      <c r="Q175" s="8"/>
      <c r="R175" s="16"/>
      <c r="S175" s="16"/>
      <c r="T175" s="19"/>
      <c r="U175" s="16"/>
      <c r="V175" s="19"/>
      <c r="W175" s="160"/>
      <c r="X175" s="160"/>
      <c r="Y175" s="160"/>
      <c r="Z175" s="160"/>
      <c r="AA175" s="160"/>
      <c r="AB175" s="10"/>
      <c r="AD175" s="160"/>
    </row>
    <row r="176" spans="4:30" x14ac:dyDescent="0.2">
      <c r="D176" s="8"/>
      <c r="E176" s="6"/>
      <c r="G176" s="10"/>
      <c r="J176" s="142"/>
      <c r="K176" s="15"/>
      <c r="L176" s="15"/>
      <c r="M176" s="15"/>
      <c r="N176" s="16"/>
      <c r="O176" s="8"/>
      <c r="P176" s="8"/>
      <c r="Q176" s="8"/>
      <c r="R176" s="16"/>
      <c r="S176" s="16"/>
      <c r="T176" s="19"/>
      <c r="U176" s="16"/>
      <c r="V176" s="19"/>
      <c r="W176" s="160"/>
      <c r="X176" s="160"/>
      <c r="Y176" s="160"/>
      <c r="Z176" s="160"/>
      <c r="AA176" s="160"/>
      <c r="AB176" s="10"/>
      <c r="AD176" s="160"/>
    </row>
    <row r="177" spans="4:30" x14ac:dyDescent="0.2">
      <c r="D177" s="8"/>
      <c r="E177" s="6"/>
      <c r="G177" s="10"/>
      <c r="J177" s="142"/>
      <c r="K177" s="15"/>
      <c r="L177" s="15"/>
      <c r="M177" s="15"/>
      <c r="N177" s="16"/>
      <c r="O177" s="8"/>
      <c r="P177" s="8"/>
      <c r="Q177" s="8"/>
      <c r="R177" s="16"/>
      <c r="S177" s="16"/>
      <c r="T177" s="19"/>
      <c r="U177" s="16"/>
      <c r="V177" s="19"/>
      <c r="W177" s="160"/>
      <c r="X177" s="160"/>
      <c r="Y177" s="160"/>
      <c r="Z177" s="160"/>
      <c r="AA177" s="160"/>
      <c r="AB177" s="10"/>
      <c r="AD177" s="160"/>
    </row>
    <row r="178" spans="4:30" x14ac:dyDescent="0.2">
      <c r="D178" s="8"/>
      <c r="E178" s="6"/>
      <c r="G178" s="10"/>
      <c r="J178" s="142"/>
      <c r="K178" s="15"/>
      <c r="L178" s="15"/>
      <c r="M178" s="15"/>
      <c r="N178" s="16"/>
      <c r="O178" s="8"/>
      <c r="P178" s="8"/>
      <c r="Q178" s="8"/>
      <c r="R178" s="16"/>
      <c r="S178" s="16"/>
      <c r="T178" s="19"/>
      <c r="U178" s="16"/>
      <c r="V178" s="19"/>
      <c r="W178" s="160"/>
      <c r="X178" s="160"/>
      <c r="Y178" s="160"/>
      <c r="Z178" s="160"/>
      <c r="AA178" s="160"/>
      <c r="AB178" s="10"/>
      <c r="AD178" s="160"/>
    </row>
    <row r="179" spans="4:30" x14ac:dyDescent="0.2">
      <c r="D179" s="8"/>
      <c r="E179" s="6"/>
      <c r="G179" s="10"/>
      <c r="J179" s="142"/>
      <c r="K179" s="15"/>
      <c r="L179" s="15"/>
      <c r="M179" s="15"/>
      <c r="N179" s="16"/>
      <c r="O179" s="8"/>
      <c r="P179" s="8"/>
      <c r="Q179" s="8"/>
      <c r="R179" s="16"/>
      <c r="S179" s="16"/>
      <c r="T179" s="19"/>
      <c r="U179" s="16"/>
      <c r="V179" s="19"/>
      <c r="W179" s="160"/>
      <c r="X179" s="160"/>
      <c r="Y179" s="160"/>
      <c r="Z179" s="160"/>
      <c r="AA179" s="160"/>
      <c r="AB179" s="10"/>
      <c r="AD179" s="160"/>
    </row>
    <row r="180" spans="4:30" x14ac:dyDescent="0.2">
      <c r="D180" s="8"/>
      <c r="E180" s="6"/>
      <c r="G180" s="10"/>
      <c r="J180" s="142"/>
      <c r="K180" s="15"/>
      <c r="L180" s="15"/>
      <c r="M180" s="15"/>
      <c r="N180" s="16"/>
      <c r="O180" s="8"/>
      <c r="P180" s="8"/>
      <c r="Q180" s="8"/>
      <c r="R180" s="16"/>
      <c r="S180" s="16"/>
      <c r="T180" s="19"/>
      <c r="U180" s="16"/>
      <c r="V180" s="19"/>
      <c r="W180" s="160"/>
      <c r="X180" s="160"/>
      <c r="Y180" s="160"/>
      <c r="Z180" s="160"/>
      <c r="AA180" s="160"/>
      <c r="AB180" s="10"/>
      <c r="AD180" s="160"/>
    </row>
    <row r="181" spans="4:30" x14ac:dyDescent="0.2">
      <c r="D181" s="8"/>
      <c r="E181" s="6"/>
      <c r="G181" s="10"/>
      <c r="J181" s="142"/>
      <c r="K181" s="15"/>
      <c r="L181" s="15"/>
      <c r="M181" s="15"/>
      <c r="N181" s="16"/>
      <c r="O181" s="8"/>
      <c r="P181" s="8"/>
      <c r="Q181" s="8"/>
      <c r="R181" s="16"/>
      <c r="S181" s="16"/>
      <c r="T181" s="19"/>
      <c r="U181" s="16"/>
      <c r="V181" s="19"/>
      <c r="W181" s="160"/>
      <c r="X181" s="160"/>
      <c r="Y181" s="160"/>
      <c r="Z181" s="160"/>
      <c r="AA181" s="160"/>
      <c r="AB181" s="10"/>
      <c r="AD181" s="160"/>
    </row>
    <row r="182" spans="4:30" x14ac:dyDescent="0.2">
      <c r="D182" s="8"/>
      <c r="E182" s="6"/>
      <c r="G182" s="10"/>
      <c r="J182" s="142"/>
      <c r="K182" s="15"/>
      <c r="L182" s="15"/>
      <c r="M182" s="15"/>
      <c r="N182" s="16"/>
      <c r="O182" s="8"/>
      <c r="P182" s="8"/>
      <c r="Q182" s="8"/>
      <c r="R182" s="16"/>
      <c r="S182" s="16"/>
      <c r="T182" s="19"/>
      <c r="U182" s="16"/>
      <c r="V182" s="19"/>
      <c r="W182" s="160"/>
      <c r="X182" s="160"/>
      <c r="Y182" s="160"/>
      <c r="Z182" s="160"/>
      <c r="AA182" s="160"/>
      <c r="AB182" s="10"/>
      <c r="AD182" s="160"/>
    </row>
    <row r="183" spans="4:30" x14ac:dyDescent="0.2">
      <c r="D183" s="8"/>
      <c r="E183" s="6"/>
      <c r="G183" s="10"/>
      <c r="J183" s="142"/>
      <c r="K183" s="15"/>
      <c r="L183" s="15"/>
      <c r="M183" s="15"/>
      <c r="N183" s="16"/>
      <c r="O183" s="8"/>
      <c r="P183" s="8"/>
      <c r="Q183" s="8"/>
      <c r="R183" s="16"/>
      <c r="S183" s="16"/>
      <c r="T183" s="19"/>
      <c r="U183" s="16"/>
      <c r="V183" s="19"/>
      <c r="W183" s="160"/>
      <c r="X183" s="160"/>
      <c r="Y183" s="160"/>
      <c r="Z183" s="160"/>
      <c r="AA183" s="160"/>
      <c r="AB183" s="10"/>
      <c r="AD183" s="160"/>
    </row>
    <row r="184" spans="4:30" x14ac:dyDescent="0.2">
      <c r="D184" s="8"/>
      <c r="E184" s="6"/>
      <c r="G184" s="10"/>
      <c r="J184" s="142"/>
      <c r="K184" s="15"/>
      <c r="L184" s="15"/>
      <c r="M184" s="15"/>
      <c r="N184" s="16"/>
      <c r="O184" s="8"/>
      <c r="P184" s="8"/>
      <c r="Q184" s="8"/>
      <c r="R184" s="16"/>
      <c r="S184" s="16"/>
      <c r="T184" s="19"/>
      <c r="U184" s="16"/>
      <c r="V184" s="19"/>
      <c r="W184" s="160"/>
      <c r="X184" s="160"/>
      <c r="Y184" s="160"/>
      <c r="Z184" s="160"/>
      <c r="AA184" s="160"/>
      <c r="AB184" s="10"/>
      <c r="AD184" s="160"/>
    </row>
    <row r="185" spans="4:30" x14ac:dyDescent="0.2">
      <c r="D185" s="8"/>
      <c r="E185" s="6"/>
      <c r="G185" s="10"/>
      <c r="J185" s="142"/>
      <c r="K185" s="15"/>
      <c r="L185" s="15"/>
      <c r="M185" s="15"/>
      <c r="N185" s="16"/>
      <c r="O185" s="8"/>
      <c r="P185" s="8"/>
      <c r="Q185" s="8"/>
      <c r="R185" s="16"/>
      <c r="S185" s="16"/>
      <c r="T185" s="19"/>
      <c r="U185" s="16"/>
      <c r="V185" s="19"/>
      <c r="W185" s="160"/>
      <c r="X185" s="160"/>
      <c r="Y185" s="160"/>
      <c r="Z185" s="160"/>
      <c r="AA185" s="160"/>
      <c r="AB185" s="10"/>
      <c r="AD185" s="160"/>
    </row>
    <row r="186" spans="4:30" x14ac:dyDescent="0.2">
      <c r="D186" s="8"/>
      <c r="E186" s="6"/>
      <c r="G186" s="10"/>
      <c r="J186" s="142"/>
      <c r="K186" s="15"/>
      <c r="L186" s="15"/>
      <c r="M186" s="15"/>
      <c r="N186" s="16"/>
      <c r="O186" s="8"/>
      <c r="P186" s="8"/>
      <c r="Q186" s="8"/>
      <c r="R186" s="16"/>
      <c r="S186" s="16"/>
      <c r="T186" s="19"/>
      <c r="U186" s="16"/>
      <c r="V186" s="19"/>
      <c r="W186" s="160"/>
      <c r="X186" s="160"/>
      <c r="Y186" s="160"/>
      <c r="Z186" s="160"/>
      <c r="AA186" s="160"/>
      <c r="AB186" s="10"/>
      <c r="AD186" s="160"/>
    </row>
    <row r="187" spans="4:30" x14ac:dyDescent="0.2">
      <c r="D187" s="8"/>
      <c r="E187" s="6"/>
      <c r="G187" s="10"/>
      <c r="J187" s="142"/>
      <c r="K187" s="15"/>
      <c r="L187" s="15"/>
      <c r="M187" s="15"/>
      <c r="N187" s="16"/>
      <c r="O187" s="8"/>
      <c r="P187" s="8"/>
      <c r="Q187" s="8"/>
      <c r="R187" s="16"/>
      <c r="S187" s="16"/>
      <c r="T187" s="19"/>
      <c r="U187" s="16"/>
      <c r="V187" s="19"/>
      <c r="W187" s="160"/>
      <c r="X187" s="160"/>
      <c r="Y187" s="160"/>
      <c r="Z187" s="160"/>
      <c r="AA187" s="160"/>
      <c r="AB187" s="10"/>
      <c r="AD187" s="160"/>
    </row>
    <row r="188" spans="4:30" x14ac:dyDescent="0.2">
      <c r="D188" s="8"/>
      <c r="E188" s="6"/>
      <c r="G188" s="10"/>
      <c r="J188" s="142"/>
      <c r="K188" s="15"/>
      <c r="L188" s="15"/>
      <c r="M188" s="15"/>
      <c r="N188" s="16"/>
      <c r="O188" s="8"/>
      <c r="P188" s="8"/>
      <c r="Q188" s="8"/>
      <c r="R188" s="16"/>
      <c r="S188" s="16"/>
      <c r="T188" s="19"/>
      <c r="U188" s="16"/>
      <c r="V188" s="19"/>
      <c r="W188" s="160"/>
      <c r="X188" s="160"/>
      <c r="Y188" s="160"/>
      <c r="Z188" s="160"/>
      <c r="AA188" s="160"/>
      <c r="AB188" s="10"/>
      <c r="AD188" s="160"/>
    </row>
    <row r="189" spans="4:30" x14ac:dyDescent="0.2">
      <c r="D189" s="8"/>
      <c r="E189" s="6"/>
      <c r="G189" s="10"/>
      <c r="J189" s="142"/>
      <c r="K189" s="15"/>
      <c r="L189" s="15"/>
      <c r="M189" s="15"/>
      <c r="N189" s="16"/>
      <c r="O189" s="8"/>
      <c r="P189" s="8"/>
      <c r="Q189" s="8"/>
      <c r="R189" s="16"/>
      <c r="S189" s="16"/>
      <c r="T189" s="19"/>
      <c r="U189" s="16"/>
      <c r="V189" s="19"/>
      <c r="W189" s="160"/>
      <c r="X189" s="160"/>
      <c r="Y189" s="160"/>
      <c r="Z189" s="160"/>
      <c r="AA189" s="160"/>
      <c r="AB189" s="10"/>
      <c r="AD189" s="160"/>
    </row>
    <row r="190" spans="4:30" x14ac:dyDescent="0.2">
      <c r="D190" s="8"/>
      <c r="E190" s="6"/>
      <c r="G190" s="10"/>
      <c r="J190" s="142"/>
      <c r="K190" s="15"/>
      <c r="L190" s="15"/>
      <c r="M190" s="15"/>
      <c r="N190" s="16"/>
      <c r="O190" s="8"/>
      <c r="P190" s="8"/>
      <c r="Q190" s="8"/>
      <c r="R190" s="16"/>
      <c r="S190" s="16"/>
      <c r="T190" s="19"/>
      <c r="U190" s="16"/>
      <c r="V190" s="19"/>
      <c r="W190" s="160"/>
      <c r="X190" s="160"/>
      <c r="Y190" s="160"/>
      <c r="Z190" s="160"/>
      <c r="AA190" s="160"/>
      <c r="AB190" s="10"/>
      <c r="AD190" s="160"/>
    </row>
    <row r="191" spans="4:30" x14ac:dyDescent="0.2">
      <c r="D191" s="8"/>
      <c r="E191" s="6"/>
      <c r="G191" s="10"/>
      <c r="J191" s="142"/>
      <c r="K191" s="15"/>
      <c r="L191" s="15"/>
      <c r="M191" s="15"/>
      <c r="N191" s="16"/>
      <c r="O191" s="8"/>
      <c r="P191" s="8"/>
      <c r="Q191" s="8"/>
      <c r="R191" s="16"/>
      <c r="S191" s="16"/>
      <c r="T191" s="19"/>
      <c r="U191" s="16"/>
      <c r="V191" s="19"/>
      <c r="W191" s="160"/>
      <c r="X191" s="160"/>
      <c r="Y191" s="160"/>
      <c r="Z191" s="160"/>
      <c r="AA191" s="160"/>
      <c r="AB191" s="10"/>
      <c r="AD191" s="160"/>
    </row>
    <row r="192" spans="4:30" x14ac:dyDescent="0.2">
      <c r="D192" s="8"/>
      <c r="E192" s="6"/>
      <c r="G192" s="10"/>
      <c r="J192" s="142"/>
      <c r="K192" s="15"/>
      <c r="L192" s="15"/>
      <c r="M192" s="15"/>
      <c r="N192" s="16"/>
      <c r="O192" s="8"/>
      <c r="P192" s="8"/>
      <c r="Q192" s="8"/>
      <c r="R192" s="16"/>
      <c r="S192" s="16"/>
      <c r="T192" s="19"/>
      <c r="U192" s="16"/>
      <c r="V192" s="19"/>
      <c r="W192" s="160"/>
      <c r="X192" s="160"/>
      <c r="Y192" s="160"/>
      <c r="Z192" s="160"/>
      <c r="AA192" s="160"/>
      <c r="AB192" s="10"/>
      <c r="AD192" s="160"/>
    </row>
    <row r="193" spans="4:30" x14ac:dyDescent="0.2">
      <c r="D193" s="8"/>
      <c r="E193" s="6"/>
      <c r="G193" s="10"/>
      <c r="J193" s="142"/>
      <c r="K193" s="15"/>
      <c r="L193" s="15"/>
      <c r="M193" s="15"/>
      <c r="N193" s="16"/>
      <c r="O193" s="8"/>
      <c r="P193" s="8"/>
      <c r="Q193" s="8"/>
      <c r="R193" s="16"/>
      <c r="S193" s="16"/>
      <c r="T193" s="19"/>
      <c r="U193" s="16"/>
      <c r="V193" s="19"/>
      <c r="W193" s="160"/>
      <c r="X193" s="160"/>
      <c r="Y193" s="160"/>
      <c r="Z193" s="160"/>
      <c r="AA193" s="160"/>
      <c r="AB193" s="10"/>
      <c r="AD193" s="160"/>
    </row>
    <row r="194" spans="4:30" x14ac:dyDescent="0.2">
      <c r="D194" s="8"/>
      <c r="E194" s="6"/>
      <c r="G194" s="10"/>
      <c r="J194" s="142"/>
      <c r="K194" s="15"/>
      <c r="L194" s="15"/>
      <c r="M194" s="15"/>
      <c r="N194" s="16"/>
      <c r="O194" s="8"/>
      <c r="P194" s="8"/>
      <c r="Q194" s="8"/>
      <c r="R194" s="16"/>
      <c r="S194" s="16"/>
      <c r="T194" s="19"/>
      <c r="U194" s="16"/>
      <c r="V194" s="19"/>
      <c r="W194" s="160"/>
      <c r="X194" s="160"/>
      <c r="Y194" s="160"/>
      <c r="Z194" s="160"/>
      <c r="AA194" s="160"/>
      <c r="AB194" s="10"/>
      <c r="AD194" s="160"/>
    </row>
    <row r="195" spans="4:30" x14ac:dyDescent="0.2">
      <c r="D195" s="8"/>
      <c r="E195" s="6"/>
      <c r="G195" s="10"/>
      <c r="J195" s="142"/>
      <c r="K195" s="15"/>
      <c r="L195" s="15"/>
      <c r="M195" s="15"/>
      <c r="N195" s="16"/>
      <c r="O195" s="8"/>
      <c r="P195" s="8"/>
      <c r="Q195" s="8"/>
      <c r="R195" s="16"/>
      <c r="S195" s="16"/>
      <c r="T195" s="19"/>
      <c r="U195" s="16"/>
      <c r="V195" s="19"/>
      <c r="W195" s="160"/>
      <c r="X195" s="160"/>
      <c r="Y195" s="160"/>
      <c r="Z195" s="160"/>
      <c r="AA195" s="160"/>
      <c r="AB195" s="10"/>
      <c r="AD195" s="160"/>
    </row>
    <row r="196" spans="4:30" x14ac:dyDescent="0.2">
      <c r="D196" s="8"/>
      <c r="E196" s="6"/>
      <c r="G196" s="10"/>
      <c r="J196" s="142"/>
      <c r="K196" s="15"/>
      <c r="L196" s="15"/>
      <c r="M196" s="15"/>
      <c r="N196" s="16"/>
      <c r="O196" s="8"/>
      <c r="P196" s="8"/>
      <c r="Q196" s="8"/>
      <c r="R196" s="16"/>
      <c r="S196" s="16"/>
      <c r="T196" s="19"/>
      <c r="U196" s="16"/>
      <c r="V196" s="19"/>
      <c r="W196" s="160"/>
      <c r="X196" s="160"/>
      <c r="Y196" s="160"/>
      <c r="Z196" s="160"/>
      <c r="AA196" s="160"/>
      <c r="AB196" s="10"/>
      <c r="AD196" s="160"/>
    </row>
    <row r="197" spans="4:30" x14ac:dyDescent="0.2">
      <c r="D197" s="8"/>
      <c r="E197" s="6"/>
      <c r="G197" s="10"/>
      <c r="J197" s="142"/>
      <c r="K197" s="15"/>
      <c r="L197" s="15"/>
      <c r="M197" s="15"/>
      <c r="N197" s="16"/>
      <c r="O197" s="8"/>
      <c r="P197" s="8"/>
      <c r="Q197" s="8"/>
      <c r="R197" s="16"/>
      <c r="S197" s="16"/>
      <c r="T197" s="19"/>
      <c r="U197" s="16"/>
      <c r="V197" s="19"/>
      <c r="W197" s="160"/>
      <c r="X197" s="160"/>
      <c r="Y197" s="160"/>
      <c r="Z197" s="160"/>
      <c r="AA197" s="160"/>
      <c r="AB197" s="10"/>
      <c r="AD197" s="160"/>
    </row>
    <row r="198" spans="4:30" x14ac:dyDescent="0.2">
      <c r="D198" s="8"/>
      <c r="E198" s="6"/>
      <c r="G198" s="10"/>
      <c r="J198" s="142"/>
      <c r="K198" s="15"/>
      <c r="L198" s="15"/>
      <c r="M198" s="15"/>
      <c r="N198" s="16"/>
      <c r="O198" s="8"/>
      <c r="P198" s="8"/>
      <c r="Q198" s="8"/>
      <c r="R198" s="16"/>
      <c r="S198" s="16"/>
      <c r="T198" s="19"/>
      <c r="U198" s="16"/>
      <c r="V198" s="19"/>
      <c r="W198" s="160"/>
      <c r="X198" s="160"/>
      <c r="Y198" s="160"/>
      <c r="Z198" s="160"/>
      <c r="AA198" s="160"/>
      <c r="AB198" s="10"/>
      <c r="AD198" s="160"/>
    </row>
    <row r="199" spans="4:30" x14ac:dyDescent="0.2">
      <c r="D199" s="8"/>
      <c r="E199" s="6"/>
      <c r="G199" s="10"/>
      <c r="J199" s="142"/>
      <c r="K199" s="15"/>
      <c r="L199" s="15"/>
      <c r="M199" s="15"/>
      <c r="N199" s="16"/>
      <c r="O199" s="8"/>
      <c r="P199" s="8"/>
      <c r="Q199" s="8"/>
      <c r="R199" s="16"/>
      <c r="S199" s="16"/>
      <c r="T199" s="19"/>
      <c r="U199" s="16"/>
      <c r="V199" s="19"/>
      <c r="W199" s="160"/>
      <c r="X199" s="160"/>
      <c r="Y199" s="160"/>
      <c r="Z199" s="160"/>
      <c r="AA199" s="160"/>
      <c r="AB199" s="10"/>
      <c r="AD199" s="160"/>
    </row>
    <row r="200" spans="4:30" x14ac:dyDescent="0.2">
      <c r="D200" s="8"/>
      <c r="E200" s="6"/>
      <c r="G200" s="10"/>
      <c r="J200" s="142"/>
      <c r="K200" s="15"/>
      <c r="L200" s="15"/>
      <c r="M200" s="15"/>
      <c r="N200" s="16"/>
      <c r="O200" s="8"/>
      <c r="P200" s="8"/>
      <c r="Q200" s="8"/>
      <c r="R200" s="16"/>
      <c r="S200" s="16"/>
      <c r="T200" s="19"/>
      <c r="U200" s="16"/>
      <c r="V200" s="19"/>
      <c r="W200" s="160"/>
      <c r="X200" s="160"/>
      <c r="Y200" s="160"/>
      <c r="Z200" s="160"/>
      <c r="AA200" s="160"/>
      <c r="AB200" s="10"/>
      <c r="AD200" s="160"/>
    </row>
    <row r="201" spans="4:30" x14ac:dyDescent="0.2">
      <c r="D201" s="8"/>
      <c r="E201" s="6"/>
      <c r="G201" s="10"/>
      <c r="J201" s="142"/>
      <c r="K201" s="15"/>
      <c r="L201" s="15"/>
      <c r="M201" s="15"/>
      <c r="N201" s="16"/>
      <c r="O201" s="8"/>
      <c r="P201" s="8"/>
      <c r="Q201" s="8"/>
      <c r="R201" s="16"/>
      <c r="S201" s="16"/>
      <c r="T201" s="19"/>
      <c r="U201" s="16"/>
      <c r="V201" s="19"/>
      <c r="W201" s="160"/>
      <c r="X201" s="160"/>
      <c r="Y201" s="160"/>
      <c r="Z201" s="160"/>
      <c r="AA201" s="160"/>
      <c r="AB201" s="10"/>
      <c r="AD201" s="160"/>
    </row>
    <row r="202" spans="4:30" x14ac:dyDescent="0.2">
      <c r="D202" s="8"/>
      <c r="E202" s="6"/>
      <c r="G202" s="10"/>
      <c r="J202" s="142"/>
      <c r="K202" s="15"/>
      <c r="L202" s="15"/>
      <c r="M202" s="15"/>
      <c r="N202" s="16"/>
      <c r="O202" s="8"/>
      <c r="P202" s="8"/>
      <c r="Q202" s="8"/>
      <c r="R202" s="16"/>
      <c r="S202" s="16"/>
      <c r="T202" s="19"/>
      <c r="U202" s="16"/>
      <c r="V202" s="19"/>
      <c r="W202" s="160"/>
      <c r="X202" s="160"/>
      <c r="Y202" s="160"/>
      <c r="Z202" s="160"/>
      <c r="AA202" s="160"/>
      <c r="AB202" s="10"/>
      <c r="AD202" s="160"/>
    </row>
    <row r="203" spans="4:30" x14ac:dyDescent="0.2">
      <c r="D203" s="8"/>
      <c r="E203" s="6"/>
      <c r="G203" s="10"/>
      <c r="J203" s="142"/>
      <c r="K203" s="15"/>
      <c r="L203" s="15"/>
      <c r="M203" s="15"/>
      <c r="N203" s="16"/>
      <c r="O203" s="8"/>
      <c r="P203" s="8"/>
      <c r="Q203" s="8"/>
      <c r="R203" s="16"/>
      <c r="S203" s="16"/>
      <c r="T203" s="19"/>
      <c r="U203" s="16"/>
      <c r="V203" s="19"/>
      <c r="W203" s="160"/>
      <c r="X203" s="160"/>
      <c r="Y203" s="160"/>
      <c r="Z203" s="160"/>
      <c r="AA203" s="160"/>
      <c r="AB203" s="10"/>
      <c r="AD203" s="160"/>
    </row>
    <row r="204" spans="4:30" x14ac:dyDescent="0.2">
      <c r="D204" s="8"/>
      <c r="E204" s="6"/>
      <c r="G204" s="10"/>
      <c r="J204" s="142"/>
      <c r="K204" s="15"/>
      <c r="L204" s="15"/>
      <c r="M204" s="15"/>
      <c r="N204" s="16"/>
      <c r="O204" s="8"/>
      <c r="P204" s="8"/>
      <c r="Q204" s="8"/>
      <c r="R204" s="16"/>
      <c r="S204" s="16"/>
      <c r="T204" s="19"/>
      <c r="U204" s="16"/>
      <c r="V204" s="19"/>
      <c r="W204" s="160"/>
      <c r="X204" s="160"/>
      <c r="Y204" s="160"/>
      <c r="Z204" s="160"/>
      <c r="AA204" s="160"/>
      <c r="AB204" s="10"/>
      <c r="AD204" s="160"/>
    </row>
    <row r="205" spans="4:30" x14ac:dyDescent="0.2">
      <c r="D205" s="8"/>
      <c r="E205" s="6"/>
      <c r="G205" s="10"/>
      <c r="J205" s="142"/>
      <c r="K205" s="15"/>
      <c r="L205" s="15"/>
      <c r="M205" s="15"/>
      <c r="N205" s="16"/>
      <c r="O205" s="8"/>
      <c r="P205" s="8"/>
      <c r="Q205" s="8"/>
      <c r="R205" s="16"/>
      <c r="S205" s="16"/>
      <c r="T205" s="19"/>
      <c r="U205" s="16"/>
      <c r="V205" s="19"/>
      <c r="W205" s="160"/>
      <c r="X205" s="160"/>
      <c r="Y205" s="160"/>
      <c r="Z205" s="160"/>
      <c r="AA205" s="160"/>
      <c r="AB205" s="10"/>
      <c r="AD205" s="160"/>
    </row>
    <row r="206" spans="4:30" x14ac:dyDescent="0.2">
      <c r="D206" s="8"/>
      <c r="E206" s="6"/>
      <c r="G206" s="10"/>
      <c r="J206" s="142"/>
      <c r="K206" s="15"/>
      <c r="L206" s="15"/>
      <c r="M206" s="15"/>
      <c r="N206" s="16"/>
      <c r="O206" s="8"/>
      <c r="P206" s="8"/>
      <c r="Q206" s="8"/>
      <c r="R206" s="16"/>
      <c r="S206" s="16"/>
      <c r="T206" s="19"/>
      <c r="U206" s="16"/>
      <c r="V206" s="19"/>
      <c r="W206" s="160"/>
      <c r="X206" s="160"/>
      <c r="Y206" s="160"/>
      <c r="Z206" s="160"/>
      <c r="AA206" s="160"/>
      <c r="AB206" s="10"/>
      <c r="AD206" s="160"/>
    </row>
    <row r="207" spans="4:30" x14ac:dyDescent="0.2">
      <c r="D207" s="8"/>
      <c r="E207" s="6"/>
      <c r="G207" s="10"/>
      <c r="J207" s="142"/>
      <c r="K207" s="15"/>
      <c r="L207" s="15"/>
      <c r="M207" s="15"/>
      <c r="N207" s="16"/>
      <c r="O207" s="8"/>
      <c r="P207" s="8"/>
      <c r="Q207" s="8"/>
      <c r="R207" s="16"/>
      <c r="S207" s="16"/>
      <c r="T207" s="19"/>
      <c r="U207" s="16"/>
      <c r="V207" s="19"/>
      <c r="W207" s="160"/>
      <c r="X207" s="160"/>
      <c r="Y207" s="160"/>
      <c r="Z207" s="160"/>
      <c r="AA207" s="160"/>
      <c r="AB207" s="10"/>
      <c r="AD207" s="160"/>
    </row>
    <row r="208" spans="4:30" x14ac:dyDescent="0.2">
      <c r="D208" s="8"/>
      <c r="E208" s="6"/>
      <c r="G208" s="10"/>
      <c r="J208" s="142"/>
      <c r="K208" s="15"/>
      <c r="L208" s="15"/>
      <c r="M208" s="15"/>
      <c r="N208" s="16"/>
      <c r="O208" s="8"/>
      <c r="P208" s="8"/>
      <c r="Q208" s="8"/>
      <c r="R208" s="16"/>
      <c r="S208" s="16"/>
      <c r="T208" s="19"/>
      <c r="U208" s="16"/>
      <c r="V208" s="19"/>
      <c r="W208" s="160"/>
      <c r="X208" s="160"/>
      <c r="Y208" s="160"/>
      <c r="Z208" s="160"/>
      <c r="AA208" s="160"/>
      <c r="AB208" s="10"/>
      <c r="AD208" s="160"/>
    </row>
    <row r="209" spans="4:30" x14ac:dyDescent="0.2">
      <c r="D209" s="8"/>
      <c r="E209" s="6"/>
      <c r="G209" s="10"/>
      <c r="J209" s="142"/>
      <c r="K209" s="15"/>
      <c r="L209" s="15"/>
      <c r="M209" s="15"/>
      <c r="N209" s="16"/>
      <c r="O209" s="8"/>
      <c r="P209" s="8"/>
      <c r="Q209" s="8"/>
      <c r="R209" s="16"/>
      <c r="S209" s="16"/>
      <c r="T209" s="19"/>
      <c r="U209" s="16"/>
      <c r="V209" s="19"/>
      <c r="W209" s="160"/>
      <c r="X209" s="160"/>
      <c r="Y209" s="160"/>
      <c r="Z209" s="160"/>
      <c r="AA209" s="160"/>
      <c r="AB209" s="10"/>
      <c r="AD209" s="160"/>
    </row>
    <row r="210" spans="4:30" x14ac:dyDescent="0.2">
      <c r="D210" s="8"/>
      <c r="E210" s="6"/>
      <c r="G210" s="10"/>
      <c r="J210" s="142"/>
      <c r="K210" s="15"/>
      <c r="L210" s="15"/>
      <c r="M210" s="15"/>
      <c r="N210" s="16"/>
      <c r="O210" s="8"/>
      <c r="P210" s="8"/>
      <c r="Q210" s="8"/>
      <c r="R210" s="16"/>
      <c r="S210" s="16"/>
      <c r="T210" s="19"/>
      <c r="U210" s="16"/>
      <c r="V210" s="19"/>
      <c r="W210" s="160"/>
      <c r="X210" s="160"/>
      <c r="Y210" s="160"/>
      <c r="Z210" s="160"/>
      <c r="AA210" s="160"/>
      <c r="AB210" s="10"/>
      <c r="AD210" s="160"/>
    </row>
    <row r="211" spans="4:30" x14ac:dyDescent="0.2">
      <c r="D211" s="8"/>
      <c r="E211" s="6"/>
      <c r="G211" s="10"/>
      <c r="J211" s="142"/>
      <c r="K211" s="15"/>
      <c r="L211" s="15"/>
      <c r="M211" s="15"/>
      <c r="N211" s="16"/>
      <c r="O211" s="8"/>
      <c r="P211" s="8"/>
      <c r="Q211" s="8"/>
      <c r="R211" s="16"/>
      <c r="S211" s="16"/>
      <c r="T211" s="19"/>
      <c r="U211" s="16"/>
      <c r="V211" s="19"/>
      <c r="W211" s="160"/>
      <c r="X211" s="160"/>
      <c r="Y211" s="160"/>
      <c r="Z211" s="160"/>
      <c r="AA211" s="160"/>
      <c r="AB211" s="10"/>
      <c r="AD211" s="160"/>
    </row>
    <row r="212" spans="4:30" x14ac:dyDescent="0.2">
      <c r="D212" s="8"/>
      <c r="E212" s="6"/>
      <c r="G212" s="10"/>
      <c r="J212" s="142"/>
      <c r="K212" s="15"/>
      <c r="L212" s="15"/>
      <c r="M212" s="15"/>
      <c r="N212" s="16"/>
      <c r="O212" s="8"/>
      <c r="P212" s="8"/>
      <c r="Q212" s="8"/>
      <c r="R212" s="16"/>
      <c r="S212" s="16"/>
      <c r="T212" s="19"/>
      <c r="U212" s="16"/>
      <c r="V212" s="19"/>
      <c r="W212" s="160"/>
      <c r="X212" s="160"/>
      <c r="Y212" s="160"/>
      <c r="Z212" s="160"/>
      <c r="AA212" s="160"/>
      <c r="AB212" s="10"/>
      <c r="AD212" s="160"/>
    </row>
    <row r="213" spans="4:30" x14ac:dyDescent="0.2">
      <c r="D213" s="8"/>
      <c r="E213" s="6"/>
      <c r="G213" s="10"/>
      <c r="J213" s="142"/>
      <c r="K213" s="15"/>
      <c r="L213" s="15"/>
      <c r="M213" s="15"/>
      <c r="N213" s="16"/>
      <c r="O213" s="8"/>
      <c r="P213" s="8"/>
      <c r="Q213" s="8"/>
      <c r="R213" s="16"/>
      <c r="S213" s="16"/>
      <c r="T213" s="19"/>
      <c r="U213" s="16"/>
      <c r="V213" s="19"/>
      <c r="W213" s="160"/>
      <c r="X213" s="160"/>
      <c r="Y213" s="160"/>
      <c r="Z213" s="160"/>
      <c r="AA213" s="160"/>
      <c r="AB213" s="10"/>
      <c r="AD213" s="160"/>
    </row>
    <row r="214" spans="4:30" x14ac:dyDescent="0.2">
      <c r="D214" s="8"/>
      <c r="E214" s="6"/>
      <c r="G214" s="10"/>
      <c r="J214" s="142"/>
      <c r="K214" s="15"/>
      <c r="L214" s="15"/>
      <c r="M214" s="15"/>
      <c r="N214" s="16"/>
      <c r="O214" s="8"/>
      <c r="P214" s="8"/>
      <c r="Q214" s="8"/>
      <c r="R214" s="16"/>
      <c r="S214" s="16"/>
      <c r="T214" s="19"/>
      <c r="U214" s="16"/>
      <c r="V214" s="19"/>
      <c r="W214" s="160"/>
      <c r="X214" s="160"/>
      <c r="Y214" s="160"/>
      <c r="Z214" s="160"/>
      <c r="AA214" s="160"/>
      <c r="AB214" s="10"/>
      <c r="AD214" s="160"/>
    </row>
    <row r="215" spans="4:30" x14ac:dyDescent="0.2">
      <c r="D215" s="8"/>
      <c r="E215" s="6"/>
      <c r="G215" s="10"/>
      <c r="J215" s="142"/>
      <c r="K215" s="15"/>
      <c r="L215" s="15"/>
      <c r="M215" s="15"/>
      <c r="N215" s="16"/>
      <c r="O215" s="8"/>
      <c r="P215" s="8"/>
      <c r="Q215" s="8"/>
      <c r="R215" s="16"/>
      <c r="S215" s="16"/>
      <c r="T215" s="19"/>
      <c r="U215" s="16"/>
      <c r="V215" s="19"/>
      <c r="W215" s="160"/>
      <c r="X215" s="160"/>
      <c r="Y215" s="160"/>
      <c r="Z215" s="160"/>
      <c r="AA215" s="160"/>
      <c r="AB215" s="10"/>
      <c r="AD215" s="160"/>
    </row>
    <row r="216" spans="4:30" x14ac:dyDescent="0.2">
      <c r="D216" s="8"/>
      <c r="E216" s="6"/>
      <c r="G216" s="10"/>
      <c r="J216" s="142"/>
      <c r="K216" s="15"/>
      <c r="L216" s="15"/>
      <c r="M216" s="15"/>
      <c r="N216" s="16"/>
      <c r="O216" s="8"/>
      <c r="P216" s="8"/>
      <c r="Q216" s="8"/>
      <c r="R216" s="16"/>
      <c r="S216" s="16"/>
      <c r="T216" s="19"/>
      <c r="U216" s="16"/>
      <c r="V216" s="19"/>
      <c r="W216" s="160"/>
      <c r="X216" s="160"/>
      <c r="Y216" s="160"/>
      <c r="Z216" s="160"/>
      <c r="AA216" s="160"/>
      <c r="AB216" s="10"/>
      <c r="AD216" s="160"/>
    </row>
    <row r="217" spans="4:30" x14ac:dyDescent="0.2">
      <c r="D217" s="8"/>
      <c r="E217" s="6"/>
      <c r="G217" s="10"/>
      <c r="J217" s="142"/>
      <c r="K217" s="15"/>
      <c r="L217" s="15"/>
      <c r="M217" s="15"/>
      <c r="N217" s="16"/>
      <c r="O217" s="8"/>
      <c r="P217" s="8"/>
      <c r="Q217" s="8"/>
      <c r="R217" s="16"/>
      <c r="S217" s="16"/>
      <c r="T217" s="19"/>
      <c r="U217" s="16"/>
      <c r="V217" s="19"/>
      <c r="W217" s="160"/>
      <c r="X217" s="160"/>
      <c r="Y217" s="160"/>
      <c r="Z217" s="160"/>
      <c r="AA217" s="160"/>
      <c r="AB217" s="10"/>
      <c r="AD217" s="160"/>
    </row>
    <row r="218" spans="4:30" x14ac:dyDescent="0.2">
      <c r="D218" s="8"/>
      <c r="E218" s="6"/>
      <c r="G218" s="10"/>
      <c r="J218" s="142"/>
      <c r="K218" s="15"/>
      <c r="L218" s="15"/>
      <c r="M218" s="15"/>
      <c r="N218" s="16"/>
      <c r="O218" s="8"/>
      <c r="P218" s="8"/>
      <c r="Q218" s="8"/>
      <c r="R218" s="16"/>
      <c r="S218" s="16"/>
      <c r="T218" s="19"/>
      <c r="U218" s="16"/>
      <c r="V218" s="19"/>
      <c r="W218" s="160"/>
      <c r="X218" s="160"/>
      <c r="Y218" s="160"/>
      <c r="Z218" s="160"/>
      <c r="AA218" s="160"/>
      <c r="AB218" s="10"/>
      <c r="AD218" s="160"/>
    </row>
    <row r="219" spans="4:30" x14ac:dyDescent="0.2">
      <c r="D219" s="8"/>
      <c r="E219" s="6"/>
      <c r="G219" s="10"/>
      <c r="J219" s="142"/>
      <c r="K219" s="15"/>
      <c r="L219" s="15"/>
      <c r="M219" s="15"/>
      <c r="N219" s="16"/>
      <c r="O219" s="8"/>
      <c r="P219" s="8"/>
      <c r="Q219" s="8"/>
      <c r="R219" s="16"/>
      <c r="S219" s="16"/>
      <c r="T219" s="19"/>
      <c r="U219" s="16"/>
      <c r="V219" s="19"/>
      <c r="W219" s="160"/>
      <c r="X219" s="160"/>
      <c r="Y219" s="160"/>
      <c r="Z219" s="160"/>
      <c r="AA219" s="160"/>
      <c r="AB219" s="10"/>
      <c r="AD219" s="160"/>
    </row>
    <row r="220" spans="4:30" x14ac:dyDescent="0.2">
      <c r="D220" s="8"/>
      <c r="E220" s="6"/>
      <c r="G220" s="10"/>
      <c r="J220" s="142"/>
      <c r="K220" s="15"/>
      <c r="L220" s="15"/>
      <c r="M220" s="15"/>
      <c r="N220" s="16"/>
      <c r="O220" s="8"/>
      <c r="P220" s="8"/>
      <c r="Q220" s="8"/>
      <c r="R220" s="16"/>
      <c r="S220" s="16"/>
      <c r="T220" s="19"/>
      <c r="U220" s="16"/>
      <c r="V220" s="19"/>
      <c r="W220" s="160"/>
      <c r="X220" s="160"/>
      <c r="Y220" s="160"/>
      <c r="Z220" s="160"/>
      <c r="AA220" s="160"/>
      <c r="AB220" s="10"/>
      <c r="AD220" s="160"/>
    </row>
    <row r="221" spans="4:30" x14ac:dyDescent="0.2">
      <c r="D221" s="8"/>
      <c r="E221" s="6"/>
      <c r="G221" s="10"/>
      <c r="J221" s="142"/>
      <c r="K221" s="15"/>
      <c r="L221" s="15"/>
      <c r="M221" s="15"/>
      <c r="N221" s="16"/>
      <c r="O221" s="8"/>
      <c r="P221" s="8"/>
      <c r="Q221" s="8"/>
      <c r="R221" s="16"/>
      <c r="S221" s="16"/>
      <c r="T221" s="19"/>
      <c r="U221" s="16"/>
      <c r="V221" s="19"/>
      <c r="W221" s="160"/>
      <c r="X221" s="160"/>
      <c r="Y221" s="160"/>
      <c r="Z221" s="160"/>
      <c r="AA221" s="160"/>
      <c r="AB221" s="10"/>
      <c r="AD221" s="160"/>
    </row>
    <row r="222" spans="4:30" x14ac:dyDescent="0.2">
      <c r="D222" s="8"/>
      <c r="E222" s="6"/>
      <c r="G222" s="10"/>
      <c r="J222" s="142"/>
      <c r="K222" s="15"/>
      <c r="L222" s="15"/>
      <c r="M222" s="15"/>
      <c r="N222" s="16"/>
      <c r="O222" s="8"/>
      <c r="P222" s="8"/>
      <c r="Q222" s="8"/>
      <c r="R222" s="16"/>
      <c r="S222" s="16"/>
      <c r="T222" s="19"/>
      <c r="U222" s="16"/>
      <c r="V222" s="19"/>
      <c r="W222" s="160"/>
      <c r="X222" s="160"/>
      <c r="Y222" s="160"/>
      <c r="Z222" s="160"/>
      <c r="AA222" s="160"/>
      <c r="AB222" s="10"/>
      <c r="AD222" s="160"/>
    </row>
    <row r="223" spans="4:30" x14ac:dyDescent="0.2">
      <c r="D223" s="8"/>
      <c r="E223" s="6"/>
      <c r="G223" s="10"/>
      <c r="J223" s="142"/>
      <c r="K223" s="15"/>
      <c r="L223" s="15"/>
      <c r="M223" s="15"/>
      <c r="N223" s="16"/>
      <c r="O223" s="8"/>
      <c r="P223" s="8"/>
      <c r="Q223" s="8"/>
      <c r="R223" s="16"/>
      <c r="S223" s="16"/>
      <c r="T223" s="19"/>
      <c r="U223" s="16"/>
      <c r="V223" s="19"/>
      <c r="W223" s="160"/>
      <c r="X223" s="160"/>
      <c r="Y223" s="160"/>
      <c r="Z223" s="160"/>
      <c r="AA223" s="160"/>
      <c r="AB223" s="10"/>
      <c r="AD223" s="160"/>
    </row>
    <row r="224" spans="4:30" x14ac:dyDescent="0.2">
      <c r="D224" s="8"/>
      <c r="E224" s="6"/>
      <c r="G224" s="10"/>
      <c r="J224" s="142"/>
      <c r="K224" s="15"/>
      <c r="L224" s="15"/>
      <c r="M224" s="15"/>
      <c r="N224" s="16"/>
      <c r="O224" s="8"/>
      <c r="P224" s="8"/>
      <c r="Q224" s="8"/>
      <c r="R224" s="16"/>
      <c r="S224" s="16"/>
      <c r="T224" s="19"/>
      <c r="U224" s="16"/>
      <c r="V224" s="19"/>
      <c r="W224" s="160"/>
      <c r="X224" s="160"/>
      <c r="Y224" s="160"/>
      <c r="Z224" s="160"/>
      <c r="AA224" s="160"/>
      <c r="AB224" s="10"/>
      <c r="AD224" s="160"/>
    </row>
    <row r="225" spans="4:30" x14ac:dyDescent="0.2">
      <c r="D225" s="8"/>
      <c r="E225" s="6"/>
      <c r="G225" s="10"/>
      <c r="J225" s="142"/>
      <c r="K225" s="15"/>
      <c r="L225" s="15"/>
      <c r="M225" s="15"/>
      <c r="N225" s="16"/>
      <c r="O225" s="8"/>
      <c r="P225" s="8"/>
      <c r="Q225" s="8"/>
      <c r="R225" s="16"/>
      <c r="S225" s="16"/>
      <c r="T225" s="19"/>
      <c r="U225" s="16"/>
      <c r="V225" s="19"/>
      <c r="W225" s="160"/>
      <c r="X225" s="160"/>
      <c r="Y225" s="160"/>
      <c r="Z225" s="160"/>
      <c r="AA225" s="160"/>
      <c r="AB225" s="10"/>
      <c r="AD225" s="160"/>
    </row>
    <row r="226" spans="4:30" x14ac:dyDescent="0.2">
      <c r="D226" s="8"/>
      <c r="E226" s="6"/>
      <c r="G226" s="10"/>
      <c r="J226" s="142"/>
      <c r="K226" s="15"/>
      <c r="L226" s="15"/>
      <c r="M226" s="15"/>
      <c r="N226" s="16"/>
      <c r="O226" s="8"/>
      <c r="P226" s="8"/>
      <c r="Q226" s="8"/>
      <c r="R226" s="16"/>
      <c r="S226" s="16"/>
      <c r="T226" s="19"/>
      <c r="U226" s="16"/>
      <c r="V226" s="19"/>
      <c r="W226" s="160"/>
      <c r="X226" s="160"/>
      <c r="Y226" s="160"/>
      <c r="Z226" s="160"/>
      <c r="AA226" s="160"/>
      <c r="AB226" s="10"/>
      <c r="AD226" s="160"/>
    </row>
    <row r="227" spans="4:30" x14ac:dyDescent="0.2">
      <c r="D227" s="8"/>
      <c r="E227" s="6"/>
      <c r="G227" s="10"/>
      <c r="J227" s="142"/>
      <c r="K227" s="15"/>
      <c r="L227" s="15"/>
      <c r="M227" s="15"/>
      <c r="N227" s="16"/>
      <c r="O227" s="8"/>
      <c r="P227" s="8"/>
      <c r="Q227" s="8"/>
      <c r="R227" s="16"/>
      <c r="S227" s="16"/>
      <c r="T227" s="19"/>
      <c r="U227" s="16"/>
      <c r="V227" s="19"/>
      <c r="W227" s="160"/>
      <c r="X227" s="160"/>
      <c r="Y227" s="160"/>
      <c r="Z227" s="160"/>
      <c r="AA227" s="160"/>
      <c r="AB227" s="10"/>
      <c r="AD227" s="160"/>
    </row>
    <row r="228" spans="4:30" x14ac:dyDescent="0.2">
      <c r="D228" s="8"/>
      <c r="E228" s="6"/>
      <c r="G228" s="10"/>
      <c r="J228" s="142"/>
      <c r="K228" s="15"/>
      <c r="L228" s="15"/>
      <c r="M228" s="15"/>
      <c r="N228" s="16"/>
      <c r="O228" s="8"/>
      <c r="P228" s="8"/>
      <c r="Q228" s="8"/>
      <c r="R228" s="16"/>
      <c r="S228" s="16"/>
      <c r="T228" s="19"/>
      <c r="U228" s="16"/>
      <c r="V228" s="19"/>
      <c r="W228" s="160"/>
      <c r="X228" s="160"/>
      <c r="Y228" s="160"/>
      <c r="Z228" s="160"/>
      <c r="AA228" s="160"/>
      <c r="AB228" s="10"/>
      <c r="AD228" s="160"/>
    </row>
    <row r="229" spans="4:30" x14ac:dyDescent="0.2">
      <c r="D229" s="8"/>
      <c r="E229" s="6"/>
      <c r="G229" s="10"/>
      <c r="J229" s="142"/>
      <c r="K229" s="15"/>
      <c r="L229" s="15"/>
      <c r="M229" s="15"/>
      <c r="N229" s="16"/>
      <c r="O229" s="8"/>
      <c r="P229" s="8"/>
      <c r="Q229" s="8"/>
      <c r="R229" s="16"/>
      <c r="S229" s="16"/>
      <c r="T229" s="19"/>
      <c r="U229" s="16"/>
      <c r="V229" s="19"/>
      <c r="W229" s="160"/>
      <c r="X229" s="160"/>
      <c r="Y229" s="160"/>
      <c r="Z229" s="160"/>
      <c r="AA229" s="160"/>
      <c r="AB229" s="10"/>
      <c r="AD229" s="160"/>
    </row>
    <row r="230" spans="4:30" x14ac:dyDescent="0.2">
      <c r="D230" s="8"/>
      <c r="E230" s="6"/>
      <c r="G230" s="10"/>
      <c r="J230" s="142"/>
      <c r="K230" s="15"/>
      <c r="L230" s="15"/>
      <c r="M230" s="15"/>
      <c r="N230" s="16"/>
      <c r="O230" s="8"/>
      <c r="P230" s="8"/>
      <c r="Q230" s="8"/>
      <c r="R230" s="16"/>
      <c r="S230" s="16"/>
      <c r="T230" s="19"/>
      <c r="U230" s="16"/>
      <c r="V230" s="19"/>
      <c r="W230" s="160"/>
      <c r="X230" s="160"/>
      <c r="Y230" s="160"/>
      <c r="Z230" s="160"/>
      <c r="AA230" s="160"/>
      <c r="AB230" s="10"/>
      <c r="AD230" s="160"/>
    </row>
    <row r="231" spans="4:30" x14ac:dyDescent="0.2">
      <c r="D231" s="8"/>
      <c r="E231" s="6"/>
      <c r="G231" s="10"/>
      <c r="J231" s="142"/>
      <c r="K231" s="15"/>
      <c r="L231" s="15"/>
      <c r="M231" s="15"/>
      <c r="N231" s="16"/>
      <c r="O231" s="8"/>
      <c r="P231" s="8"/>
      <c r="Q231" s="8"/>
      <c r="R231" s="16"/>
      <c r="S231" s="16"/>
      <c r="T231" s="19"/>
      <c r="U231" s="16"/>
      <c r="V231" s="19"/>
      <c r="W231" s="160"/>
      <c r="X231" s="160"/>
      <c r="Y231" s="160"/>
      <c r="Z231" s="160"/>
      <c r="AA231" s="160"/>
      <c r="AB231" s="10"/>
      <c r="AD231" s="160"/>
    </row>
    <row r="232" spans="4:30" x14ac:dyDescent="0.2">
      <c r="D232" s="8"/>
      <c r="E232" s="6"/>
      <c r="G232" s="10"/>
      <c r="J232" s="142"/>
      <c r="K232" s="15"/>
      <c r="L232" s="15"/>
      <c r="M232" s="15"/>
      <c r="N232" s="16"/>
      <c r="O232" s="8"/>
      <c r="P232" s="8"/>
      <c r="Q232" s="8"/>
      <c r="R232" s="16"/>
      <c r="S232" s="16"/>
      <c r="T232" s="19"/>
      <c r="U232" s="16"/>
      <c r="V232" s="19"/>
      <c r="W232" s="160"/>
      <c r="X232" s="160"/>
      <c r="Y232" s="160"/>
      <c r="Z232" s="160"/>
      <c r="AA232" s="160"/>
      <c r="AB232" s="10"/>
      <c r="AD232" s="160"/>
    </row>
    <row r="233" spans="4:30" x14ac:dyDescent="0.2">
      <c r="D233" s="8"/>
      <c r="E233" s="6"/>
      <c r="G233" s="10"/>
      <c r="J233" s="142"/>
      <c r="K233" s="15"/>
      <c r="L233" s="15"/>
      <c r="M233" s="15"/>
      <c r="N233" s="16"/>
      <c r="O233" s="8"/>
      <c r="P233" s="8"/>
      <c r="Q233" s="8"/>
      <c r="R233" s="16"/>
      <c r="S233" s="16"/>
      <c r="T233" s="19"/>
      <c r="U233" s="16"/>
      <c r="V233" s="19"/>
      <c r="W233" s="160"/>
      <c r="X233" s="160"/>
      <c r="Y233" s="160"/>
      <c r="Z233" s="160"/>
      <c r="AA233" s="160"/>
      <c r="AB233" s="10"/>
      <c r="AD233" s="160"/>
    </row>
    <row r="234" spans="4:30" x14ac:dyDescent="0.2">
      <c r="D234" s="8"/>
      <c r="E234" s="6"/>
      <c r="G234" s="10"/>
      <c r="J234" s="142"/>
      <c r="K234" s="15"/>
      <c r="L234" s="15"/>
      <c r="M234" s="15"/>
      <c r="N234" s="16"/>
      <c r="O234" s="8"/>
      <c r="P234" s="8"/>
      <c r="Q234" s="8"/>
      <c r="R234" s="16"/>
      <c r="S234" s="16"/>
      <c r="T234" s="19"/>
      <c r="U234" s="16"/>
      <c r="V234" s="19"/>
      <c r="W234" s="160"/>
      <c r="X234" s="160"/>
      <c r="Y234" s="160"/>
      <c r="Z234" s="160"/>
      <c r="AA234" s="160"/>
      <c r="AB234" s="10"/>
      <c r="AD234" s="160"/>
    </row>
    <row r="235" spans="4:30" x14ac:dyDescent="0.2">
      <c r="D235" s="8"/>
      <c r="E235" s="6"/>
      <c r="G235" s="10"/>
      <c r="J235" s="142"/>
      <c r="K235" s="15"/>
      <c r="L235" s="15"/>
      <c r="M235" s="15"/>
      <c r="N235" s="16"/>
      <c r="O235" s="8"/>
      <c r="P235" s="8"/>
      <c r="Q235" s="8"/>
      <c r="R235" s="16"/>
      <c r="S235" s="16"/>
      <c r="T235" s="19"/>
      <c r="U235" s="16"/>
      <c r="V235" s="19"/>
      <c r="W235" s="160"/>
      <c r="X235" s="160"/>
      <c r="Y235" s="160"/>
      <c r="Z235" s="160"/>
      <c r="AA235" s="160"/>
      <c r="AB235" s="10"/>
      <c r="AD235" s="160"/>
    </row>
    <row r="236" spans="4:30" x14ac:dyDescent="0.2">
      <c r="D236" s="8"/>
      <c r="E236" s="6"/>
      <c r="G236" s="10"/>
      <c r="J236" s="142"/>
      <c r="K236" s="15"/>
      <c r="L236" s="15"/>
      <c r="M236" s="15"/>
      <c r="N236" s="16"/>
      <c r="O236" s="8"/>
      <c r="P236" s="8"/>
      <c r="Q236" s="8"/>
      <c r="R236" s="16"/>
      <c r="S236" s="16"/>
      <c r="T236" s="19"/>
      <c r="U236" s="16"/>
      <c r="V236" s="19"/>
      <c r="W236" s="160"/>
      <c r="X236" s="160"/>
      <c r="Y236" s="160"/>
      <c r="Z236" s="160"/>
      <c r="AA236" s="160"/>
      <c r="AB236" s="10"/>
      <c r="AD236" s="160"/>
    </row>
    <row r="237" spans="4:30" x14ac:dyDescent="0.2">
      <c r="D237" s="8"/>
      <c r="E237" s="6"/>
      <c r="G237" s="10"/>
      <c r="J237" s="142"/>
      <c r="K237" s="15"/>
      <c r="L237" s="15"/>
      <c r="M237" s="15"/>
      <c r="N237" s="16"/>
      <c r="O237" s="8"/>
      <c r="P237" s="8"/>
      <c r="Q237" s="8"/>
      <c r="R237" s="16"/>
      <c r="S237" s="16"/>
      <c r="T237" s="19"/>
      <c r="U237" s="16"/>
      <c r="V237" s="19"/>
      <c r="W237" s="160"/>
      <c r="X237" s="160"/>
      <c r="Y237" s="160"/>
      <c r="Z237" s="160"/>
      <c r="AA237" s="160"/>
      <c r="AB237" s="10"/>
      <c r="AD237" s="160"/>
    </row>
    <row r="238" spans="4:30" x14ac:dyDescent="0.2">
      <c r="D238" s="8"/>
      <c r="E238" s="6"/>
      <c r="G238" s="10"/>
      <c r="J238" s="142"/>
      <c r="K238" s="15"/>
      <c r="L238" s="15"/>
      <c r="M238" s="15"/>
      <c r="N238" s="16"/>
      <c r="O238" s="8"/>
      <c r="P238" s="8"/>
      <c r="Q238" s="8"/>
      <c r="R238" s="16"/>
      <c r="S238" s="16"/>
      <c r="T238" s="19"/>
      <c r="U238" s="16"/>
      <c r="V238" s="19"/>
      <c r="W238" s="160"/>
      <c r="X238" s="160"/>
      <c r="Y238" s="160"/>
      <c r="Z238" s="160"/>
      <c r="AA238" s="160"/>
      <c r="AB238" s="10"/>
      <c r="AD238" s="160"/>
    </row>
    <row r="239" spans="4:30" x14ac:dyDescent="0.2">
      <c r="D239" s="8"/>
      <c r="E239" s="6"/>
      <c r="G239" s="10"/>
      <c r="J239" s="142"/>
      <c r="K239" s="15"/>
      <c r="L239" s="15"/>
      <c r="M239" s="15"/>
      <c r="N239" s="16"/>
      <c r="O239" s="8"/>
      <c r="P239" s="8"/>
      <c r="Q239" s="8"/>
      <c r="R239" s="16"/>
      <c r="S239" s="16"/>
      <c r="T239" s="19"/>
      <c r="U239" s="16"/>
      <c r="V239" s="19"/>
      <c r="W239" s="160"/>
      <c r="X239" s="160"/>
      <c r="Y239" s="160"/>
      <c r="Z239" s="160"/>
      <c r="AA239" s="160"/>
      <c r="AB239" s="10"/>
      <c r="AD239" s="160"/>
    </row>
    <row r="240" spans="4:30" x14ac:dyDescent="0.2">
      <c r="D240" s="8"/>
      <c r="E240" s="6"/>
      <c r="G240" s="10"/>
      <c r="J240" s="142"/>
      <c r="K240" s="15"/>
      <c r="L240" s="15"/>
      <c r="M240" s="15"/>
      <c r="N240" s="16"/>
      <c r="O240" s="8"/>
      <c r="P240" s="8"/>
      <c r="Q240" s="8"/>
      <c r="R240" s="16"/>
      <c r="S240" s="16"/>
      <c r="T240" s="19"/>
      <c r="U240" s="16"/>
      <c r="V240" s="19"/>
      <c r="W240" s="160"/>
      <c r="X240" s="160"/>
      <c r="Y240" s="160"/>
      <c r="Z240" s="160"/>
      <c r="AA240" s="160"/>
      <c r="AB240" s="10"/>
      <c r="AD240" s="160"/>
    </row>
    <row r="241" spans="4:30" x14ac:dyDescent="0.2">
      <c r="D241" s="8"/>
      <c r="E241" s="6"/>
      <c r="G241" s="10"/>
      <c r="J241" s="142"/>
      <c r="K241" s="15"/>
      <c r="L241" s="15"/>
      <c r="M241" s="15"/>
      <c r="N241" s="16"/>
      <c r="O241" s="8"/>
      <c r="P241" s="8"/>
      <c r="Q241" s="8"/>
      <c r="R241" s="16"/>
      <c r="S241" s="16"/>
      <c r="T241" s="19"/>
      <c r="U241" s="16"/>
      <c r="V241" s="19"/>
      <c r="W241" s="160"/>
      <c r="X241" s="160"/>
      <c r="Y241" s="160"/>
      <c r="Z241" s="160"/>
      <c r="AA241" s="160"/>
      <c r="AB241" s="10"/>
      <c r="AD241" s="160"/>
    </row>
    <row r="242" spans="4:30" x14ac:dyDescent="0.2">
      <c r="D242" s="8"/>
      <c r="E242" s="6"/>
      <c r="G242" s="10"/>
      <c r="J242" s="142"/>
      <c r="K242" s="15"/>
      <c r="L242" s="15"/>
      <c r="M242" s="15"/>
      <c r="N242" s="16"/>
      <c r="O242" s="8"/>
      <c r="P242" s="8"/>
      <c r="Q242" s="8"/>
      <c r="R242" s="16"/>
      <c r="S242" s="16"/>
      <c r="T242" s="19"/>
      <c r="U242" s="16"/>
      <c r="V242" s="19"/>
      <c r="W242" s="160"/>
      <c r="X242" s="160"/>
      <c r="Y242" s="160"/>
      <c r="Z242" s="160"/>
      <c r="AA242" s="160"/>
      <c r="AB242" s="10"/>
      <c r="AD242" s="160"/>
    </row>
    <row r="243" spans="4:30" x14ac:dyDescent="0.2">
      <c r="D243" s="8"/>
      <c r="E243" s="6"/>
      <c r="G243" s="10"/>
      <c r="J243" s="142"/>
      <c r="K243" s="15"/>
      <c r="L243" s="15"/>
      <c r="M243" s="15"/>
      <c r="N243" s="16"/>
      <c r="O243" s="8"/>
      <c r="P243" s="8"/>
      <c r="Q243" s="8"/>
      <c r="R243" s="16"/>
      <c r="S243" s="16"/>
      <c r="T243" s="19"/>
      <c r="U243" s="16"/>
      <c r="V243" s="19"/>
      <c r="W243" s="160"/>
      <c r="X243" s="160"/>
      <c r="Y243" s="160"/>
      <c r="Z243" s="160"/>
      <c r="AA243" s="160"/>
      <c r="AB243" s="10"/>
      <c r="AD243" s="160"/>
    </row>
    <row r="244" spans="4:30" x14ac:dyDescent="0.2">
      <c r="D244" s="8"/>
      <c r="E244" s="6"/>
      <c r="G244" s="10"/>
      <c r="J244" s="142"/>
      <c r="K244" s="15"/>
      <c r="L244" s="15"/>
      <c r="M244" s="15"/>
      <c r="N244" s="16"/>
      <c r="O244" s="8"/>
      <c r="P244" s="8"/>
      <c r="Q244" s="8"/>
      <c r="R244" s="16"/>
      <c r="S244" s="16"/>
      <c r="T244" s="19"/>
      <c r="U244" s="16"/>
      <c r="V244" s="19"/>
      <c r="W244" s="160"/>
      <c r="X244" s="160"/>
      <c r="Y244" s="160"/>
      <c r="Z244" s="160"/>
      <c r="AA244" s="160"/>
      <c r="AB244" s="10"/>
      <c r="AD244" s="160"/>
    </row>
    <row r="245" spans="4:30" x14ac:dyDescent="0.2">
      <c r="D245" s="8"/>
      <c r="E245" s="6"/>
      <c r="G245" s="10"/>
      <c r="J245" s="142"/>
      <c r="K245" s="15"/>
      <c r="L245" s="15"/>
      <c r="M245" s="15"/>
      <c r="N245" s="16"/>
      <c r="O245" s="8"/>
      <c r="P245" s="8"/>
      <c r="Q245" s="8"/>
      <c r="R245" s="16"/>
      <c r="S245" s="16"/>
      <c r="T245" s="19"/>
      <c r="U245" s="16"/>
      <c r="V245" s="19"/>
      <c r="W245" s="160"/>
      <c r="X245" s="160"/>
      <c r="Y245" s="160"/>
      <c r="Z245" s="160"/>
      <c r="AA245" s="160"/>
      <c r="AB245" s="10"/>
      <c r="AD245" s="160"/>
    </row>
    <row r="246" spans="4:30" x14ac:dyDescent="0.2">
      <c r="D246" s="8"/>
      <c r="E246" s="6"/>
      <c r="G246" s="10"/>
      <c r="J246" s="142"/>
      <c r="K246" s="15"/>
      <c r="L246" s="15"/>
      <c r="M246" s="15"/>
      <c r="N246" s="16"/>
      <c r="O246" s="8"/>
      <c r="P246" s="8"/>
      <c r="Q246" s="8"/>
      <c r="R246" s="16"/>
      <c r="S246" s="16"/>
      <c r="T246" s="19"/>
      <c r="U246" s="16"/>
      <c r="V246" s="19"/>
      <c r="W246" s="160"/>
      <c r="X246" s="160"/>
      <c r="Y246" s="160"/>
      <c r="Z246" s="160"/>
      <c r="AA246" s="160"/>
      <c r="AB246" s="10"/>
      <c r="AD246" s="160"/>
    </row>
    <row r="247" spans="4:30" x14ac:dyDescent="0.2">
      <c r="D247" s="8"/>
      <c r="E247" s="6"/>
      <c r="G247" s="10"/>
      <c r="J247" s="142"/>
      <c r="K247" s="15"/>
      <c r="L247" s="15"/>
      <c r="M247" s="15"/>
      <c r="N247" s="16"/>
      <c r="O247" s="8"/>
      <c r="P247" s="8"/>
      <c r="Q247" s="8"/>
      <c r="R247" s="16"/>
      <c r="S247" s="16"/>
      <c r="T247" s="19"/>
      <c r="U247" s="16"/>
      <c r="V247" s="19"/>
      <c r="W247" s="160"/>
      <c r="X247" s="160"/>
      <c r="Y247" s="160"/>
      <c r="Z247" s="160"/>
      <c r="AA247" s="160"/>
      <c r="AB247" s="10"/>
      <c r="AD247" s="160"/>
    </row>
    <row r="248" spans="4:30" x14ac:dyDescent="0.2">
      <c r="D248" s="8"/>
      <c r="E248" s="6"/>
      <c r="G248" s="10"/>
      <c r="J248" s="142"/>
      <c r="K248" s="15"/>
      <c r="L248" s="15"/>
      <c r="M248" s="15"/>
      <c r="N248" s="16"/>
      <c r="O248" s="8"/>
      <c r="P248" s="8"/>
      <c r="Q248" s="8"/>
      <c r="R248" s="16"/>
      <c r="S248" s="16"/>
      <c r="T248" s="19"/>
      <c r="U248" s="16"/>
      <c r="V248" s="19"/>
      <c r="W248" s="160"/>
      <c r="X248" s="160"/>
      <c r="Y248" s="160"/>
      <c r="Z248" s="160"/>
      <c r="AA248" s="160"/>
      <c r="AB248" s="10"/>
      <c r="AD248" s="160"/>
    </row>
    <row r="249" spans="4:30" x14ac:dyDescent="0.2">
      <c r="D249" s="8"/>
      <c r="E249" s="6"/>
      <c r="G249" s="10"/>
      <c r="J249" s="142"/>
      <c r="K249" s="15"/>
      <c r="L249" s="15"/>
      <c r="M249" s="15"/>
      <c r="N249" s="16"/>
      <c r="O249" s="8"/>
      <c r="P249" s="8"/>
      <c r="Q249" s="8"/>
      <c r="R249" s="16"/>
      <c r="S249" s="16"/>
      <c r="T249" s="19"/>
      <c r="U249" s="16"/>
      <c r="V249" s="19"/>
      <c r="W249" s="160"/>
      <c r="X249" s="160"/>
      <c r="Y249" s="160"/>
      <c r="Z249" s="160"/>
      <c r="AA249" s="160"/>
      <c r="AB249" s="10"/>
      <c r="AD249" s="160"/>
    </row>
    <row r="250" spans="4:30" x14ac:dyDescent="0.2">
      <c r="D250" s="8"/>
      <c r="E250" s="6"/>
      <c r="G250" s="10"/>
      <c r="J250" s="142"/>
      <c r="K250" s="15"/>
      <c r="L250" s="15"/>
      <c r="M250" s="15"/>
      <c r="N250" s="16"/>
      <c r="O250" s="8"/>
      <c r="P250" s="8"/>
      <c r="Q250" s="8"/>
      <c r="R250" s="16"/>
      <c r="S250" s="16"/>
      <c r="T250" s="19"/>
      <c r="U250" s="16"/>
      <c r="V250" s="19"/>
      <c r="W250" s="160"/>
      <c r="X250" s="160"/>
      <c r="Y250" s="160"/>
      <c r="Z250" s="160"/>
      <c r="AA250" s="160"/>
      <c r="AB250" s="10"/>
      <c r="AD250" s="160"/>
    </row>
    <row r="251" spans="4:30" x14ac:dyDescent="0.2">
      <c r="D251" s="8"/>
      <c r="E251" s="6"/>
      <c r="G251" s="10"/>
      <c r="J251" s="142"/>
      <c r="K251" s="15"/>
      <c r="L251" s="15"/>
      <c r="M251" s="15"/>
      <c r="N251" s="16"/>
      <c r="O251" s="8"/>
      <c r="P251" s="8"/>
      <c r="Q251" s="8"/>
      <c r="R251" s="16"/>
      <c r="S251" s="16"/>
      <c r="T251" s="19"/>
      <c r="U251" s="16"/>
      <c r="V251" s="19"/>
      <c r="W251" s="160"/>
      <c r="X251" s="160"/>
      <c r="Y251" s="160"/>
      <c r="Z251" s="160"/>
      <c r="AA251" s="160"/>
      <c r="AB251" s="10"/>
      <c r="AD251" s="160"/>
    </row>
    <row r="252" spans="4:30" x14ac:dyDescent="0.2">
      <c r="D252" s="8"/>
      <c r="E252" s="6"/>
      <c r="G252" s="10"/>
      <c r="J252" s="142"/>
      <c r="K252" s="15"/>
      <c r="L252" s="15"/>
      <c r="M252" s="15"/>
      <c r="N252" s="16"/>
      <c r="O252" s="8"/>
      <c r="P252" s="8"/>
      <c r="Q252" s="8"/>
      <c r="R252" s="16"/>
      <c r="S252" s="16"/>
      <c r="T252" s="19"/>
      <c r="U252" s="16"/>
      <c r="V252" s="19"/>
      <c r="W252" s="160"/>
      <c r="X252" s="160"/>
      <c r="Y252" s="160"/>
      <c r="Z252" s="160"/>
      <c r="AA252" s="160"/>
      <c r="AB252" s="10"/>
      <c r="AD252" s="160"/>
    </row>
    <row r="253" spans="4:30" x14ac:dyDescent="0.2">
      <c r="D253" s="8"/>
      <c r="E253" s="6"/>
      <c r="G253" s="10"/>
      <c r="J253" s="142"/>
      <c r="K253" s="15"/>
      <c r="L253" s="15"/>
      <c r="M253" s="15"/>
      <c r="N253" s="16"/>
      <c r="O253" s="8"/>
      <c r="P253" s="8"/>
      <c r="Q253" s="8"/>
      <c r="R253" s="16"/>
      <c r="S253" s="16"/>
      <c r="T253" s="19"/>
      <c r="U253" s="16"/>
      <c r="V253" s="19"/>
      <c r="W253" s="160"/>
      <c r="X253" s="160"/>
      <c r="Y253" s="160"/>
      <c r="Z253" s="160"/>
      <c r="AA253" s="160"/>
      <c r="AB253" s="10"/>
      <c r="AD253" s="160"/>
    </row>
    <row r="254" spans="4:30" x14ac:dyDescent="0.2">
      <c r="D254" s="8"/>
      <c r="E254" s="6"/>
      <c r="G254" s="10"/>
      <c r="J254" s="142"/>
      <c r="K254" s="15"/>
      <c r="L254" s="15"/>
      <c r="M254" s="15"/>
      <c r="N254" s="16"/>
      <c r="O254" s="8"/>
      <c r="P254" s="8"/>
      <c r="Q254" s="8"/>
      <c r="R254" s="16"/>
      <c r="S254" s="16"/>
      <c r="T254" s="19"/>
      <c r="U254" s="16"/>
      <c r="V254" s="19"/>
      <c r="W254" s="160"/>
      <c r="X254" s="160"/>
      <c r="Y254" s="160"/>
      <c r="Z254" s="160"/>
      <c r="AA254" s="160"/>
      <c r="AB254" s="10"/>
      <c r="AD254" s="160"/>
    </row>
    <row r="255" spans="4:30" x14ac:dyDescent="0.2">
      <c r="D255" s="8"/>
      <c r="E255" s="6"/>
      <c r="G255" s="10"/>
      <c r="J255" s="142"/>
      <c r="K255" s="15"/>
      <c r="L255" s="15"/>
      <c r="M255" s="15"/>
      <c r="N255" s="16"/>
      <c r="O255" s="8"/>
      <c r="P255" s="8"/>
      <c r="Q255" s="8"/>
      <c r="R255" s="16"/>
      <c r="S255" s="16"/>
      <c r="T255" s="19"/>
      <c r="U255" s="16"/>
      <c r="V255" s="19"/>
      <c r="W255" s="160"/>
      <c r="X255" s="160"/>
      <c r="Y255" s="160"/>
      <c r="Z255" s="160"/>
      <c r="AA255" s="160"/>
      <c r="AB255" s="10"/>
      <c r="AD255" s="160"/>
    </row>
    <row r="256" spans="4:30" x14ac:dyDescent="0.2">
      <c r="D256" s="8"/>
      <c r="E256" s="6"/>
      <c r="G256" s="10"/>
      <c r="J256" s="142"/>
      <c r="K256" s="15"/>
      <c r="L256" s="15"/>
      <c r="M256" s="15"/>
      <c r="N256" s="16"/>
      <c r="O256" s="8"/>
      <c r="P256" s="8"/>
      <c r="Q256" s="8"/>
      <c r="R256" s="16"/>
      <c r="S256" s="16"/>
      <c r="T256" s="19"/>
      <c r="U256" s="16"/>
      <c r="V256" s="19"/>
      <c r="W256" s="160"/>
      <c r="X256" s="160"/>
      <c r="Y256" s="160"/>
      <c r="Z256" s="160"/>
      <c r="AA256" s="160"/>
      <c r="AB256" s="10"/>
      <c r="AD256" s="160"/>
    </row>
    <row r="257" spans="4:30" x14ac:dyDescent="0.2">
      <c r="D257" s="8"/>
      <c r="E257" s="6"/>
      <c r="G257" s="10"/>
      <c r="J257" s="142"/>
      <c r="K257" s="15"/>
      <c r="L257" s="15"/>
      <c r="M257" s="15"/>
      <c r="N257" s="16"/>
      <c r="O257" s="8"/>
      <c r="P257" s="8"/>
      <c r="Q257" s="8"/>
      <c r="R257" s="16"/>
      <c r="S257" s="16"/>
      <c r="T257" s="19"/>
      <c r="U257" s="16"/>
      <c r="V257" s="19"/>
      <c r="W257" s="160"/>
      <c r="X257" s="160"/>
      <c r="Y257" s="160"/>
      <c r="Z257" s="160"/>
      <c r="AA257" s="160"/>
      <c r="AB257" s="10"/>
      <c r="AD257" s="160"/>
    </row>
    <row r="258" spans="4:30" x14ac:dyDescent="0.2">
      <c r="D258" s="8"/>
      <c r="E258" s="6"/>
      <c r="G258" s="10"/>
      <c r="J258" s="142"/>
      <c r="K258" s="15"/>
      <c r="L258" s="15"/>
      <c r="M258" s="15"/>
      <c r="N258" s="16"/>
      <c r="O258" s="8"/>
      <c r="P258" s="8"/>
      <c r="Q258" s="8"/>
      <c r="R258" s="16"/>
      <c r="S258" s="16"/>
      <c r="T258" s="19"/>
      <c r="U258" s="16"/>
      <c r="V258" s="19"/>
      <c r="W258" s="160"/>
      <c r="X258" s="160"/>
      <c r="Y258" s="160"/>
      <c r="Z258" s="160"/>
      <c r="AA258" s="160"/>
      <c r="AB258" s="10"/>
      <c r="AD258" s="160"/>
    </row>
    <row r="259" spans="4:30" x14ac:dyDescent="0.2">
      <c r="D259" s="8"/>
      <c r="E259" s="6"/>
      <c r="G259" s="10"/>
      <c r="J259" s="142"/>
      <c r="K259" s="15"/>
      <c r="L259" s="15"/>
      <c r="M259" s="15"/>
      <c r="N259" s="16"/>
      <c r="O259" s="8"/>
      <c r="P259" s="8"/>
      <c r="Q259" s="8"/>
      <c r="R259" s="16"/>
      <c r="S259" s="16"/>
      <c r="T259" s="19"/>
      <c r="U259" s="16"/>
      <c r="V259" s="19"/>
      <c r="W259" s="160"/>
      <c r="X259" s="160"/>
      <c r="Y259" s="160"/>
      <c r="Z259" s="160"/>
      <c r="AA259" s="160"/>
      <c r="AB259" s="10"/>
      <c r="AD259" s="160"/>
    </row>
    <row r="260" spans="4:30" x14ac:dyDescent="0.2">
      <c r="D260" s="8"/>
      <c r="E260" s="6"/>
      <c r="G260" s="10"/>
      <c r="J260" s="142"/>
      <c r="K260" s="15"/>
      <c r="L260" s="15"/>
      <c r="M260" s="15"/>
      <c r="N260" s="16"/>
      <c r="O260" s="8"/>
      <c r="P260" s="8"/>
      <c r="Q260" s="8"/>
      <c r="R260" s="16"/>
      <c r="S260" s="16"/>
      <c r="T260" s="19"/>
      <c r="U260" s="16"/>
      <c r="V260" s="19"/>
      <c r="W260" s="160"/>
      <c r="X260" s="160"/>
      <c r="Y260" s="160"/>
      <c r="Z260" s="160"/>
      <c r="AA260" s="160"/>
      <c r="AB260" s="10"/>
      <c r="AD260" s="160"/>
    </row>
    <row r="261" spans="4:30" x14ac:dyDescent="0.2">
      <c r="D261" s="8"/>
      <c r="E261" s="6"/>
      <c r="G261" s="10"/>
      <c r="J261" s="142"/>
      <c r="K261" s="15"/>
      <c r="L261" s="15"/>
      <c r="M261" s="15"/>
      <c r="N261" s="16"/>
      <c r="O261" s="8"/>
      <c r="P261" s="8"/>
      <c r="Q261" s="8"/>
      <c r="R261" s="16"/>
      <c r="S261" s="16"/>
      <c r="T261" s="19"/>
      <c r="U261" s="16"/>
      <c r="V261" s="19"/>
      <c r="W261" s="160"/>
      <c r="X261" s="160"/>
      <c r="Y261" s="160"/>
      <c r="Z261" s="160"/>
      <c r="AA261" s="160"/>
      <c r="AB261" s="10"/>
      <c r="AD261" s="160"/>
    </row>
    <row r="262" spans="4:30" x14ac:dyDescent="0.2">
      <c r="D262" s="8"/>
      <c r="E262" s="6"/>
      <c r="G262" s="10"/>
      <c r="J262" s="142"/>
      <c r="K262" s="15"/>
      <c r="L262" s="15"/>
      <c r="M262" s="15"/>
      <c r="N262" s="16"/>
      <c r="O262" s="8"/>
      <c r="P262" s="8"/>
      <c r="Q262" s="8"/>
      <c r="R262" s="16"/>
      <c r="S262" s="16"/>
      <c r="T262" s="19"/>
      <c r="U262" s="16"/>
      <c r="V262" s="19"/>
      <c r="W262" s="160"/>
      <c r="X262" s="160"/>
      <c r="Y262" s="160"/>
      <c r="Z262" s="160"/>
      <c r="AA262" s="160"/>
      <c r="AB262" s="10"/>
      <c r="AD262" s="160"/>
    </row>
    <row r="263" spans="4:30" x14ac:dyDescent="0.2">
      <c r="D263" s="8"/>
      <c r="E263" s="6"/>
      <c r="G263" s="10"/>
      <c r="J263" s="142"/>
      <c r="K263" s="15"/>
      <c r="L263" s="15"/>
      <c r="M263" s="15"/>
      <c r="N263" s="16"/>
      <c r="O263" s="8"/>
      <c r="P263" s="8"/>
      <c r="Q263" s="8"/>
      <c r="R263" s="16"/>
      <c r="S263" s="16"/>
      <c r="T263" s="19"/>
      <c r="U263" s="16"/>
      <c r="V263" s="19"/>
      <c r="W263" s="160"/>
      <c r="X263" s="160"/>
      <c r="Y263" s="160"/>
      <c r="Z263" s="160"/>
      <c r="AA263" s="160"/>
      <c r="AB263" s="10"/>
      <c r="AD263" s="160"/>
    </row>
    <row r="264" spans="4:30" x14ac:dyDescent="0.2">
      <c r="D264" s="8"/>
      <c r="E264" s="6"/>
      <c r="G264" s="10"/>
      <c r="J264" s="142"/>
      <c r="K264" s="15"/>
      <c r="L264" s="15"/>
      <c r="M264" s="15"/>
      <c r="N264" s="16"/>
      <c r="O264" s="8"/>
      <c r="P264" s="8"/>
      <c r="Q264" s="8"/>
      <c r="R264" s="16"/>
      <c r="S264" s="16"/>
      <c r="T264" s="19"/>
      <c r="U264" s="16"/>
      <c r="V264" s="19"/>
      <c r="W264" s="160"/>
      <c r="X264" s="160"/>
      <c r="Y264" s="160"/>
      <c r="Z264" s="160"/>
      <c r="AA264" s="160"/>
      <c r="AB264" s="10"/>
      <c r="AD264" s="160"/>
    </row>
    <row r="265" spans="4:30" x14ac:dyDescent="0.2">
      <c r="D265" s="8"/>
      <c r="E265" s="6"/>
      <c r="G265" s="10"/>
      <c r="J265" s="142"/>
      <c r="K265" s="15"/>
      <c r="L265" s="15"/>
      <c r="M265" s="15"/>
      <c r="N265" s="16"/>
      <c r="O265" s="8"/>
      <c r="P265" s="8"/>
      <c r="Q265" s="8"/>
      <c r="R265" s="16"/>
      <c r="S265" s="16"/>
      <c r="T265" s="19"/>
      <c r="U265" s="16"/>
      <c r="V265" s="19"/>
      <c r="W265" s="160"/>
      <c r="X265" s="160"/>
      <c r="Y265" s="160"/>
      <c r="Z265" s="160"/>
      <c r="AA265" s="160"/>
      <c r="AB265" s="10"/>
      <c r="AD265" s="160"/>
    </row>
    <row r="266" spans="4:30" x14ac:dyDescent="0.2">
      <c r="D266" s="8"/>
      <c r="E266" s="6"/>
      <c r="G266" s="10"/>
      <c r="J266" s="142"/>
      <c r="K266" s="15"/>
      <c r="L266" s="15"/>
      <c r="M266" s="15"/>
      <c r="N266" s="16"/>
      <c r="O266" s="8"/>
      <c r="P266" s="8"/>
      <c r="Q266" s="8"/>
      <c r="R266" s="16"/>
      <c r="S266" s="16"/>
      <c r="T266" s="19"/>
      <c r="U266" s="16"/>
      <c r="V266" s="19"/>
      <c r="W266" s="160"/>
      <c r="X266" s="160"/>
      <c r="Y266" s="160"/>
      <c r="Z266" s="160"/>
      <c r="AA266" s="160"/>
      <c r="AB266" s="10"/>
      <c r="AD266" s="160"/>
    </row>
    <row r="267" spans="4:30" x14ac:dyDescent="0.2">
      <c r="D267" s="8"/>
      <c r="E267" s="6"/>
      <c r="G267" s="10"/>
      <c r="J267" s="142"/>
      <c r="K267" s="15"/>
      <c r="L267" s="15"/>
      <c r="M267" s="15"/>
      <c r="N267" s="16"/>
      <c r="O267" s="8"/>
      <c r="P267" s="8"/>
      <c r="Q267" s="8"/>
      <c r="R267" s="16"/>
      <c r="S267" s="16"/>
      <c r="T267" s="19"/>
      <c r="U267" s="16"/>
      <c r="V267" s="19"/>
      <c r="W267" s="160"/>
      <c r="X267" s="160"/>
      <c r="Y267" s="160"/>
      <c r="Z267" s="160"/>
      <c r="AA267" s="160"/>
      <c r="AB267" s="10"/>
      <c r="AD267" s="160"/>
    </row>
    <row r="268" spans="4:30" x14ac:dyDescent="0.2">
      <c r="D268" s="8"/>
      <c r="E268" s="6"/>
      <c r="G268" s="10"/>
      <c r="J268" s="142"/>
      <c r="K268" s="15"/>
      <c r="L268" s="15"/>
      <c r="M268" s="15"/>
      <c r="N268" s="16"/>
      <c r="O268" s="8"/>
      <c r="P268" s="8"/>
      <c r="Q268" s="8"/>
      <c r="R268" s="16"/>
      <c r="S268" s="16"/>
      <c r="T268" s="19"/>
      <c r="U268" s="16"/>
      <c r="V268" s="19"/>
      <c r="W268" s="160"/>
      <c r="X268" s="160"/>
      <c r="Y268" s="160"/>
      <c r="Z268" s="160"/>
      <c r="AA268" s="160"/>
      <c r="AB268" s="10"/>
      <c r="AD268" s="160"/>
    </row>
    <row r="269" spans="4:30" x14ac:dyDescent="0.2">
      <c r="D269" s="8"/>
      <c r="E269" s="6"/>
      <c r="G269" s="10"/>
      <c r="J269" s="142"/>
      <c r="K269" s="15"/>
      <c r="L269" s="15"/>
      <c r="M269" s="15"/>
      <c r="N269" s="16"/>
      <c r="O269" s="8"/>
      <c r="P269" s="8"/>
      <c r="Q269" s="8"/>
      <c r="R269" s="16"/>
      <c r="S269" s="16"/>
      <c r="T269" s="19"/>
      <c r="U269" s="16"/>
      <c r="V269" s="19"/>
      <c r="W269" s="160"/>
      <c r="X269" s="160"/>
      <c r="Y269" s="160"/>
      <c r="Z269" s="160"/>
      <c r="AA269" s="160"/>
      <c r="AB269" s="10"/>
      <c r="AD269" s="160"/>
    </row>
    <row r="270" spans="4:30" x14ac:dyDescent="0.2">
      <c r="D270" s="8"/>
      <c r="E270" s="6"/>
      <c r="G270" s="10"/>
      <c r="J270" s="142"/>
      <c r="K270" s="15"/>
      <c r="L270" s="15"/>
      <c r="M270" s="15"/>
      <c r="N270" s="16"/>
      <c r="O270" s="8"/>
      <c r="P270" s="8"/>
      <c r="Q270" s="8"/>
      <c r="R270" s="16"/>
      <c r="S270" s="16"/>
      <c r="T270" s="19"/>
      <c r="U270" s="16"/>
      <c r="V270" s="19"/>
      <c r="W270" s="160"/>
      <c r="X270" s="160"/>
      <c r="Y270" s="160"/>
      <c r="Z270" s="160"/>
      <c r="AA270" s="160"/>
      <c r="AB270" s="10"/>
      <c r="AD270" s="160"/>
    </row>
    <row r="271" spans="4:30" x14ac:dyDescent="0.2">
      <c r="D271" s="8"/>
      <c r="E271" s="6"/>
      <c r="G271" s="10"/>
      <c r="J271" s="142"/>
      <c r="K271" s="15"/>
      <c r="L271" s="15"/>
      <c r="M271" s="15"/>
      <c r="N271" s="16"/>
      <c r="O271" s="8"/>
      <c r="P271" s="8"/>
      <c r="Q271" s="8"/>
      <c r="R271" s="16"/>
      <c r="S271" s="16"/>
      <c r="T271" s="19"/>
      <c r="U271" s="16"/>
      <c r="V271" s="19"/>
      <c r="W271" s="160"/>
      <c r="X271" s="160"/>
      <c r="Y271" s="160"/>
      <c r="Z271" s="160"/>
      <c r="AA271" s="160"/>
      <c r="AB271" s="10"/>
      <c r="AD271" s="160"/>
    </row>
    <row r="272" spans="4:30" x14ac:dyDescent="0.2">
      <c r="D272" s="8"/>
      <c r="E272" s="6"/>
      <c r="G272" s="10"/>
      <c r="J272" s="142"/>
      <c r="K272" s="15"/>
      <c r="L272" s="15"/>
      <c r="M272" s="15"/>
      <c r="N272" s="16"/>
      <c r="O272" s="8"/>
      <c r="P272" s="8"/>
      <c r="Q272" s="8"/>
      <c r="R272" s="16"/>
      <c r="S272" s="16"/>
      <c r="T272" s="19"/>
      <c r="U272" s="16"/>
      <c r="V272" s="19"/>
      <c r="W272" s="160"/>
      <c r="X272" s="160"/>
      <c r="Y272" s="160"/>
      <c r="Z272" s="160"/>
      <c r="AA272" s="160"/>
      <c r="AB272" s="10"/>
      <c r="AD272" s="160"/>
    </row>
    <row r="273" spans="4:30" x14ac:dyDescent="0.2">
      <c r="D273" s="8"/>
      <c r="E273" s="6"/>
      <c r="G273" s="10"/>
      <c r="J273" s="142"/>
      <c r="K273" s="15"/>
      <c r="L273" s="15"/>
      <c r="M273" s="15"/>
      <c r="N273" s="16"/>
      <c r="O273" s="8"/>
      <c r="P273" s="8"/>
      <c r="Q273" s="8"/>
      <c r="R273" s="16"/>
      <c r="S273" s="16"/>
      <c r="T273" s="19"/>
      <c r="U273" s="16"/>
      <c r="V273" s="19"/>
      <c r="W273" s="160"/>
      <c r="X273" s="160"/>
      <c r="Y273" s="160"/>
      <c r="Z273" s="160"/>
      <c r="AA273" s="160"/>
      <c r="AB273" s="10"/>
      <c r="AD273" s="160"/>
    </row>
    <row r="274" spans="4:30" x14ac:dyDescent="0.2">
      <c r="D274" s="8"/>
      <c r="E274" s="6"/>
      <c r="G274" s="10"/>
      <c r="J274" s="142"/>
      <c r="K274" s="15"/>
      <c r="L274" s="15"/>
      <c r="M274" s="15"/>
      <c r="N274" s="16"/>
      <c r="O274" s="8"/>
      <c r="P274" s="8"/>
      <c r="Q274" s="8"/>
      <c r="R274" s="16"/>
      <c r="S274" s="16"/>
      <c r="T274" s="19"/>
      <c r="U274" s="16"/>
      <c r="V274" s="19"/>
      <c r="W274" s="160"/>
      <c r="X274" s="160"/>
      <c r="Y274" s="160"/>
      <c r="Z274" s="160"/>
      <c r="AA274" s="160"/>
      <c r="AB274" s="10"/>
      <c r="AD274" s="160"/>
    </row>
    <row r="275" spans="4:30" x14ac:dyDescent="0.2">
      <c r="D275" s="8"/>
      <c r="E275" s="6"/>
      <c r="G275" s="10"/>
      <c r="J275" s="142"/>
      <c r="K275" s="15"/>
      <c r="L275" s="15"/>
      <c r="M275" s="15"/>
      <c r="N275" s="16"/>
      <c r="O275" s="8"/>
      <c r="P275" s="8"/>
      <c r="Q275" s="8"/>
      <c r="R275" s="16"/>
      <c r="S275" s="16"/>
      <c r="T275" s="19"/>
      <c r="U275" s="16"/>
      <c r="V275" s="19"/>
      <c r="W275" s="160"/>
      <c r="X275" s="160"/>
      <c r="Y275" s="160"/>
      <c r="Z275" s="160"/>
      <c r="AA275" s="160"/>
      <c r="AB275" s="10"/>
      <c r="AD275" s="160"/>
    </row>
    <row r="276" spans="4:30" x14ac:dyDescent="0.2">
      <c r="D276" s="8"/>
      <c r="E276" s="6"/>
      <c r="G276" s="10"/>
      <c r="J276" s="142"/>
      <c r="K276" s="15"/>
      <c r="L276" s="15"/>
      <c r="M276" s="15"/>
      <c r="N276" s="16"/>
      <c r="O276" s="8"/>
      <c r="P276" s="8"/>
      <c r="Q276" s="8"/>
      <c r="R276" s="16"/>
      <c r="S276" s="16"/>
      <c r="T276" s="19"/>
      <c r="U276" s="16"/>
      <c r="V276" s="19"/>
      <c r="W276" s="160"/>
      <c r="X276" s="160"/>
      <c r="Y276" s="160"/>
      <c r="Z276" s="160"/>
      <c r="AA276" s="160"/>
      <c r="AB276" s="10"/>
      <c r="AD276" s="160"/>
    </row>
    <row r="277" spans="4:30" x14ac:dyDescent="0.2">
      <c r="D277" s="8"/>
      <c r="E277" s="6"/>
      <c r="G277" s="10"/>
      <c r="J277" s="142"/>
      <c r="K277" s="15"/>
      <c r="L277" s="15"/>
      <c r="M277" s="15"/>
      <c r="N277" s="16"/>
      <c r="O277" s="8"/>
      <c r="P277" s="8"/>
      <c r="Q277" s="8"/>
      <c r="R277" s="16"/>
      <c r="S277" s="16"/>
      <c r="T277" s="19"/>
      <c r="U277" s="16"/>
      <c r="V277" s="19"/>
      <c r="W277" s="160"/>
      <c r="X277" s="160"/>
      <c r="Y277" s="160"/>
      <c r="Z277" s="160"/>
      <c r="AA277" s="160"/>
      <c r="AB277" s="10"/>
      <c r="AD277" s="160"/>
    </row>
    <row r="278" spans="4:30" x14ac:dyDescent="0.2">
      <c r="D278" s="8"/>
      <c r="E278" s="6"/>
      <c r="G278" s="10"/>
      <c r="J278" s="142"/>
      <c r="K278" s="15"/>
      <c r="L278" s="15"/>
      <c r="M278" s="15"/>
      <c r="N278" s="16"/>
      <c r="O278" s="8"/>
      <c r="P278" s="8"/>
      <c r="Q278" s="8"/>
      <c r="R278" s="16"/>
      <c r="S278" s="16"/>
      <c r="T278" s="19"/>
      <c r="U278" s="16"/>
      <c r="V278" s="19"/>
      <c r="W278" s="160"/>
      <c r="X278" s="160"/>
      <c r="Y278" s="160"/>
      <c r="Z278" s="160"/>
      <c r="AA278" s="160"/>
      <c r="AB278" s="10"/>
      <c r="AD278" s="160"/>
    </row>
    <row r="279" spans="4:30" x14ac:dyDescent="0.2">
      <c r="D279" s="8"/>
      <c r="E279" s="6"/>
      <c r="G279" s="10"/>
      <c r="J279" s="142"/>
      <c r="K279" s="15"/>
      <c r="L279" s="15"/>
      <c r="M279" s="15"/>
      <c r="N279" s="16"/>
      <c r="O279" s="8"/>
      <c r="P279" s="8"/>
      <c r="Q279" s="8"/>
      <c r="R279" s="16"/>
      <c r="S279" s="16"/>
      <c r="T279" s="19"/>
      <c r="U279" s="16"/>
      <c r="V279" s="19"/>
      <c r="W279" s="160"/>
      <c r="X279" s="160"/>
      <c r="Y279" s="160"/>
      <c r="Z279" s="160"/>
      <c r="AA279" s="160"/>
      <c r="AB279" s="10"/>
      <c r="AD279" s="160"/>
    </row>
    <row r="280" spans="4:30" x14ac:dyDescent="0.2">
      <c r="D280" s="8"/>
      <c r="E280" s="6"/>
      <c r="G280" s="10"/>
      <c r="J280" s="142"/>
      <c r="K280" s="15"/>
      <c r="L280" s="15"/>
      <c r="M280" s="15"/>
      <c r="N280" s="16"/>
      <c r="O280" s="8"/>
      <c r="P280" s="8"/>
      <c r="Q280" s="8"/>
      <c r="R280" s="16"/>
      <c r="S280" s="16"/>
      <c r="T280" s="19"/>
      <c r="U280" s="16"/>
      <c r="V280" s="19"/>
      <c r="W280" s="160"/>
      <c r="X280" s="160"/>
      <c r="Y280" s="160"/>
      <c r="Z280" s="160"/>
      <c r="AA280" s="160"/>
      <c r="AB280" s="10"/>
      <c r="AD280" s="160"/>
    </row>
    <row r="281" spans="4:30" x14ac:dyDescent="0.2">
      <c r="D281" s="8"/>
      <c r="E281" s="6"/>
      <c r="G281" s="10"/>
      <c r="J281" s="142"/>
      <c r="K281" s="15"/>
      <c r="L281" s="15"/>
      <c r="M281" s="15"/>
      <c r="N281" s="16"/>
      <c r="O281" s="8"/>
      <c r="P281" s="8"/>
      <c r="Q281" s="8"/>
      <c r="R281" s="16"/>
      <c r="S281" s="16"/>
      <c r="T281" s="19"/>
      <c r="U281" s="16"/>
      <c r="V281" s="19"/>
      <c r="W281" s="160"/>
      <c r="X281" s="160"/>
      <c r="Y281" s="160"/>
      <c r="Z281" s="160"/>
      <c r="AA281" s="160"/>
      <c r="AB281" s="10"/>
      <c r="AD281" s="160"/>
    </row>
    <row r="282" spans="4:30" x14ac:dyDescent="0.2">
      <c r="D282" s="8"/>
      <c r="E282" s="6"/>
      <c r="G282" s="10"/>
      <c r="J282" s="142"/>
      <c r="K282" s="15"/>
      <c r="L282" s="15"/>
      <c r="M282" s="15"/>
      <c r="N282" s="16"/>
      <c r="O282" s="8"/>
      <c r="P282" s="8"/>
      <c r="Q282" s="8"/>
      <c r="R282" s="16"/>
      <c r="S282" s="16"/>
      <c r="T282" s="19"/>
      <c r="U282" s="16"/>
      <c r="V282" s="19"/>
      <c r="W282" s="160"/>
      <c r="X282" s="160"/>
      <c r="Y282" s="160"/>
      <c r="Z282" s="160"/>
      <c r="AA282" s="160"/>
      <c r="AB282" s="10"/>
      <c r="AD282" s="160"/>
    </row>
    <row r="283" spans="4:30" x14ac:dyDescent="0.2">
      <c r="D283" s="8"/>
      <c r="E283" s="6"/>
      <c r="G283" s="10"/>
      <c r="J283" s="142"/>
      <c r="K283" s="15"/>
      <c r="L283" s="15"/>
      <c r="M283" s="15"/>
      <c r="N283" s="16"/>
      <c r="O283" s="8"/>
      <c r="P283" s="8"/>
      <c r="Q283" s="8"/>
      <c r="R283" s="16"/>
      <c r="S283" s="16"/>
      <c r="T283" s="19"/>
      <c r="U283" s="16"/>
      <c r="V283" s="19"/>
      <c r="W283" s="160"/>
      <c r="X283" s="160"/>
      <c r="Y283" s="160"/>
      <c r="Z283" s="160"/>
      <c r="AA283" s="160"/>
      <c r="AB283" s="10"/>
      <c r="AD283" s="160"/>
    </row>
    <row r="284" spans="4:30" x14ac:dyDescent="0.2">
      <c r="D284" s="8"/>
      <c r="E284" s="6"/>
      <c r="G284" s="10"/>
      <c r="J284" s="142"/>
      <c r="K284" s="15"/>
      <c r="L284" s="15"/>
      <c r="M284" s="15"/>
      <c r="N284" s="16"/>
      <c r="O284" s="8"/>
      <c r="P284" s="8"/>
      <c r="Q284" s="8"/>
      <c r="R284" s="16"/>
      <c r="S284" s="16"/>
      <c r="T284" s="19"/>
      <c r="U284" s="16"/>
      <c r="V284" s="19"/>
      <c r="W284" s="160"/>
      <c r="X284" s="160"/>
      <c r="Y284" s="160"/>
      <c r="Z284" s="160"/>
      <c r="AA284" s="160"/>
      <c r="AB284" s="10"/>
      <c r="AD284" s="160"/>
    </row>
    <row r="285" spans="4:30" x14ac:dyDescent="0.2">
      <c r="D285" s="8"/>
      <c r="E285" s="6"/>
      <c r="G285" s="10"/>
      <c r="J285" s="142"/>
      <c r="K285" s="15"/>
      <c r="L285" s="15"/>
      <c r="M285" s="15"/>
      <c r="N285" s="16"/>
      <c r="O285" s="8"/>
      <c r="P285" s="8"/>
      <c r="Q285" s="8"/>
      <c r="R285" s="16"/>
      <c r="S285" s="16"/>
      <c r="T285" s="19"/>
      <c r="U285" s="16"/>
      <c r="V285" s="19"/>
      <c r="W285" s="160"/>
      <c r="X285" s="160"/>
      <c r="Y285" s="160"/>
      <c r="Z285" s="160"/>
      <c r="AA285" s="160"/>
      <c r="AB285" s="10"/>
      <c r="AD285" s="160"/>
    </row>
    <row r="286" spans="4:30" x14ac:dyDescent="0.2">
      <c r="D286" s="8"/>
      <c r="E286" s="6"/>
      <c r="G286" s="10"/>
      <c r="J286" s="142"/>
      <c r="K286" s="15"/>
      <c r="L286" s="15"/>
      <c r="M286" s="15"/>
      <c r="N286" s="16"/>
      <c r="O286" s="8"/>
      <c r="P286" s="8"/>
      <c r="Q286" s="8"/>
      <c r="R286" s="16"/>
      <c r="S286" s="16"/>
      <c r="T286" s="19"/>
      <c r="U286" s="16"/>
      <c r="V286" s="19"/>
      <c r="W286" s="160"/>
      <c r="X286" s="160"/>
      <c r="Y286" s="160"/>
      <c r="Z286" s="160"/>
      <c r="AA286" s="160"/>
      <c r="AB286" s="10"/>
      <c r="AD286" s="160"/>
    </row>
    <row r="287" spans="4:30" x14ac:dyDescent="0.2">
      <c r="D287" s="8"/>
      <c r="E287" s="6"/>
      <c r="G287" s="10"/>
      <c r="J287" s="142"/>
      <c r="K287" s="15"/>
      <c r="L287" s="15"/>
      <c r="M287" s="15"/>
      <c r="N287" s="16"/>
      <c r="O287" s="8"/>
      <c r="P287" s="8"/>
      <c r="Q287" s="8"/>
      <c r="R287" s="16"/>
      <c r="S287" s="16"/>
      <c r="T287" s="19"/>
      <c r="U287" s="16"/>
      <c r="V287" s="19"/>
      <c r="W287" s="160"/>
      <c r="X287" s="160"/>
      <c r="Y287" s="160"/>
      <c r="Z287" s="160"/>
      <c r="AA287" s="160"/>
      <c r="AB287" s="10"/>
      <c r="AD287" s="160"/>
    </row>
    <row r="288" spans="4:30" x14ac:dyDescent="0.2">
      <c r="D288" s="8"/>
      <c r="E288" s="6"/>
      <c r="G288" s="10"/>
      <c r="J288" s="142"/>
      <c r="K288" s="15"/>
      <c r="L288" s="15"/>
      <c r="M288" s="15"/>
      <c r="N288" s="16"/>
      <c r="O288" s="8"/>
      <c r="P288" s="8"/>
      <c r="Q288" s="8"/>
      <c r="R288" s="16"/>
      <c r="S288" s="16"/>
      <c r="T288" s="19"/>
      <c r="U288" s="16"/>
      <c r="V288" s="19"/>
      <c r="W288" s="160"/>
      <c r="X288" s="160"/>
      <c r="Y288" s="160"/>
      <c r="Z288" s="160"/>
      <c r="AA288" s="160"/>
      <c r="AB288" s="10"/>
      <c r="AD288" s="160"/>
    </row>
    <row r="289" spans="4:30" x14ac:dyDescent="0.2">
      <c r="D289" s="8"/>
      <c r="E289" s="6"/>
      <c r="G289" s="10"/>
      <c r="J289" s="142"/>
      <c r="K289" s="15"/>
      <c r="L289" s="15"/>
      <c r="M289" s="15"/>
      <c r="N289" s="16"/>
      <c r="O289" s="8"/>
      <c r="P289" s="8"/>
      <c r="Q289" s="8"/>
      <c r="R289" s="16"/>
      <c r="S289" s="16"/>
      <c r="T289" s="19"/>
      <c r="U289" s="16"/>
      <c r="V289" s="19"/>
      <c r="W289" s="160"/>
      <c r="X289" s="160"/>
      <c r="Y289" s="160"/>
      <c r="Z289" s="160"/>
      <c r="AA289" s="160"/>
      <c r="AB289" s="10"/>
      <c r="AD289" s="160"/>
    </row>
    <row r="290" spans="4:30" x14ac:dyDescent="0.2">
      <c r="D290" s="8"/>
      <c r="E290" s="6"/>
      <c r="G290" s="10"/>
      <c r="J290" s="142"/>
      <c r="K290" s="15"/>
      <c r="L290" s="15"/>
      <c r="M290" s="15"/>
      <c r="N290" s="16"/>
      <c r="O290" s="8"/>
      <c r="P290" s="8"/>
      <c r="Q290" s="8"/>
      <c r="R290" s="16"/>
      <c r="S290" s="16"/>
      <c r="T290" s="19"/>
      <c r="U290" s="16"/>
      <c r="V290" s="19"/>
      <c r="W290" s="160"/>
      <c r="X290" s="160"/>
      <c r="Y290" s="160"/>
      <c r="Z290" s="160"/>
      <c r="AA290" s="160"/>
      <c r="AB290" s="10"/>
      <c r="AD290" s="160"/>
    </row>
    <row r="291" spans="4:30" x14ac:dyDescent="0.2">
      <c r="D291" s="8"/>
      <c r="E291" s="6"/>
      <c r="G291" s="10"/>
      <c r="J291" s="142"/>
      <c r="K291" s="15"/>
      <c r="L291" s="15"/>
      <c r="M291" s="15"/>
      <c r="N291" s="16"/>
      <c r="O291" s="8"/>
      <c r="P291" s="8"/>
      <c r="Q291" s="8"/>
      <c r="R291" s="16"/>
      <c r="S291" s="16"/>
      <c r="T291" s="19"/>
      <c r="U291" s="16"/>
      <c r="V291" s="19"/>
      <c r="W291" s="160"/>
      <c r="X291" s="160"/>
      <c r="Y291" s="160"/>
      <c r="Z291" s="160"/>
      <c r="AA291" s="160"/>
      <c r="AB291" s="10"/>
      <c r="AD291" s="160"/>
    </row>
    <row r="292" spans="4:30" x14ac:dyDescent="0.2">
      <c r="D292" s="8"/>
      <c r="E292" s="6"/>
      <c r="G292" s="10"/>
      <c r="J292" s="142"/>
      <c r="K292" s="15"/>
      <c r="L292" s="15"/>
      <c r="M292" s="15"/>
      <c r="N292" s="16"/>
      <c r="O292" s="8"/>
      <c r="P292" s="8"/>
      <c r="Q292" s="8"/>
      <c r="R292" s="16"/>
      <c r="S292" s="16"/>
      <c r="T292" s="19"/>
      <c r="U292" s="16"/>
      <c r="V292" s="19"/>
      <c r="W292" s="160"/>
      <c r="X292" s="160"/>
      <c r="Y292" s="160"/>
      <c r="Z292" s="160"/>
      <c r="AA292" s="160"/>
      <c r="AB292" s="10"/>
      <c r="AD292" s="160"/>
    </row>
    <row r="293" spans="4:30" x14ac:dyDescent="0.2">
      <c r="D293" s="8"/>
      <c r="E293" s="6"/>
      <c r="G293" s="10"/>
      <c r="J293" s="142"/>
      <c r="K293" s="15"/>
      <c r="L293" s="15"/>
      <c r="M293" s="15"/>
      <c r="N293" s="16"/>
      <c r="O293" s="8"/>
      <c r="P293" s="8"/>
      <c r="Q293" s="8"/>
      <c r="R293" s="16"/>
      <c r="S293" s="16"/>
      <c r="T293" s="19"/>
      <c r="U293" s="16"/>
      <c r="V293" s="19"/>
      <c r="W293" s="160"/>
      <c r="X293" s="160"/>
      <c r="Y293" s="160"/>
      <c r="Z293" s="160"/>
      <c r="AA293" s="160"/>
      <c r="AB293" s="10"/>
      <c r="AD293" s="160"/>
    </row>
    <row r="294" spans="4:30" x14ac:dyDescent="0.2">
      <c r="D294" s="8"/>
      <c r="E294" s="6"/>
      <c r="G294" s="10"/>
      <c r="J294" s="142"/>
      <c r="K294" s="15"/>
      <c r="L294" s="15"/>
      <c r="M294" s="15"/>
      <c r="N294" s="16"/>
      <c r="O294" s="8"/>
      <c r="P294" s="8"/>
      <c r="Q294" s="8"/>
      <c r="R294" s="16"/>
      <c r="S294" s="16"/>
      <c r="T294" s="19"/>
      <c r="U294" s="16"/>
      <c r="V294" s="19"/>
      <c r="W294" s="160"/>
      <c r="X294" s="160"/>
      <c r="Y294" s="160"/>
      <c r="Z294" s="160"/>
      <c r="AA294" s="160"/>
      <c r="AB294" s="10"/>
      <c r="AD294" s="160"/>
    </row>
    <row r="295" spans="4:30" x14ac:dyDescent="0.2">
      <c r="D295" s="8"/>
      <c r="E295" s="6"/>
      <c r="G295" s="10"/>
      <c r="J295" s="142"/>
      <c r="K295" s="15"/>
      <c r="L295" s="15"/>
      <c r="M295" s="15"/>
      <c r="N295" s="16"/>
      <c r="O295" s="8"/>
      <c r="P295" s="8"/>
      <c r="Q295" s="8"/>
      <c r="R295" s="16"/>
      <c r="S295" s="16"/>
      <c r="T295" s="19"/>
      <c r="U295" s="16"/>
      <c r="V295" s="19"/>
      <c r="W295" s="160"/>
      <c r="X295" s="160"/>
      <c r="Y295" s="160"/>
      <c r="Z295" s="160"/>
      <c r="AA295" s="160"/>
      <c r="AB295" s="10"/>
      <c r="AD295" s="160"/>
    </row>
    <row r="296" spans="4:30" x14ac:dyDescent="0.2">
      <c r="D296" s="8"/>
      <c r="E296" s="6"/>
      <c r="G296" s="10"/>
      <c r="J296" s="142"/>
      <c r="K296" s="15"/>
      <c r="L296" s="15"/>
      <c r="M296" s="15"/>
      <c r="N296" s="16"/>
      <c r="O296" s="8"/>
      <c r="P296" s="8"/>
      <c r="Q296" s="8"/>
      <c r="R296" s="16"/>
      <c r="S296" s="16"/>
      <c r="T296" s="19"/>
      <c r="U296" s="16"/>
      <c r="V296" s="19"/>
      <c r="W296" s="160"/>
      <c r="X296" s="160"/>
      <c r="Y296" s="160"/>
      <c r="Z296" s="160"/>
      <c r="AA296" s="160"/>
      <c r="AB296" s="10"/>
      <c r="AD296" s="160"/>
    </row>
    <row r="297" spans="4:30" x14ac:dyDescent="0.2">
      <c r="D297" s="8"/>
      <c r="E297" s="6"/>
      <c r="G297" s="10"/>
      <c r="J297" s="142"/>
      <c r="K297" s="15"/>
      <c r="L297" s="15"/>
      <c r="M297" s="15"/>
      <c r="N297" s="16"/>
      <c r="O297" s="8"/>
      <c r="P297" s="8"/>
      <c r="Q297" s="8"/>
      <c r="R297" s="16"/>
      <c r="S297" s="16"/>
      <c r="T297" s="19"/>
      <c r="U297" s="16"/>
      <c r="V297" s="19"/>
      <c r="W297" s="160"/>
      <c r="X297" s="160"/>
      <c r="Y297" s="160"/>
      <c r="Z297" s="160"/>
      <c r="AA297" s="160"/>
      <c r="AB297" s="10"/>
      <c r="AD297" s="160"/>
    </row>
    <row r="298" spans="4:30" x14ac:dyDescent="0.2">
      <c r="D298" s="8"/>
      <c r="E298" s="6"/>
      <c r="G298" s="10"/>
      <c r="J298" s="142"/>
      <c r="K298" s="15"/>
      <c r="L298" s="15"/>
      <c r="M298" s="15"/>
      <c r="N298" s="16"/>
      <c r="O298" s="8"/>
      <c r="P298" s="8"/>
      <c r="Q298" s="8"/>
      <c r="R298" s="16"/>
      <c r="S298" s="16"/>
      <c r="T298" s="19"/>
      <c r="U298" s="16"/>
      <c r="V298" s="19"/>
      <c r="W298" s="160"/>
      <c r="X298" s="160"/>
      <c r="Y298" s="160"/>
      <c r="Z298" s="160"/>
      <c r="AA298" s="160"/>
      <c r="AB298" s="10"/>
      <c r="AD298" s="160"/>
    </row>
    <row r="299" spans="4:30" x14ac:dyDescent="0.2">
      <c r="D299" s="8"/>
      <c r="E299" s="6"/>
      <c r="G299" s="10"/>
      <c r="J299" s="142"/>
      <c r="K299" s="15"/>
      <c r="L299" s="15"/>
      <c r="M299" s="15"/>
      <c r="N299" s="16"/>
      <c r="O299" s="8"/>
      <c r="P299" s="8"/>
      <c r="Q299" s="8"/>
      <c r="R299" s="16"/>
      <c r="S299" s="16"/>
      <c r="T299" s="19"/>
      <c r="U299" s="16"/>
      <c r="V299" s="19"/>
      <c r="W299" s="160"/>
      <c r="X299" s="160"/>
      <c r="Y299" s="160"/>
      <c r="Z299" s="160"/>
      <c r="AA299" s="160"/>
      <c r="AB299" s="10"/>
      <c r="AD299" s="160"/>
    </row>
    <row r="300" spans="4:30" x14ac:dyDescent="0.2">
      <c r="D300" s="8"/>
      <c r="E300" s="6"/>
      <c r="G300" s="10"/>
      <c r="J300" s="142"/>
      <c r="K300" s="15"/>
      <c r="L300" s="15"/>
      <c r="M300" s="15"/>
      <c r="N300" s="16"/>
      <c r="O300" s="8"/>
      <c r="P300" s="8"/>
      <c r="Q300" s="8"/>
      <c r="R300" s="16"/>
      <c r="S300" s="16"/>
      <c r="T300" s="19"/>
      <c r="U300" s="16"/>
      <c r="V300" s="19"/>
      <c r="W300" s="160"/>
      <c r="X300" s="160"/>
      <c r="Y300" s="160"/>
      <c r="Z300" s="160"/>
      <c r="AA300" s="160"/>
      <c r="AB300" s="10"/>
      <c r="AD300" s="160"/>
    </row>
    <row r="301" spans="4:30" x14ac:dyDescent="0.2">
      <c r="D301" s="8"/>
      <c r="E301" s="6"/>
      <c r="G301" s="10"/>
      <c r="J301" s="142"/>
      <c r="K301" s="15"/>
      <c r="L301" s="15"/>
      <c r="M301" s="15"/>
      <c r="N301" s="16"/>
      <c r="O301" s="8"/>
      <c r="P301" s="8"/>
      <c r="Q301" s="8"/>
      <c r="R301" s="16"/>
      <c r="S301" s="16"/>
      <c r="T301" s="19"/>
      <c r="U301" s="16"/>
      <c r="V301" s="19"/>
      <c r="W301" s="160"/>
      <c r="X301" s="160"/>
      <c r="Y301" s="160"/>
      <c r="Z301" s="160"/>
      <c r="AA301" s="160"/>
      <c r="AB301" s="10"/>
      <c r="AD301" s="160"/>
    </row>
    <row r="302" spans="4:30" x14ac:dyDescent="0.2">
      <c r="D302" s="8"/>
      <c r="E302" s="6"/>
      <c r="G302" s="10"/>
      <c r="J302" s="142"/>
      <c r="K302" s="15"/>
      <c r="L302" s="15"/>
      <c r="M302" s="15"/>
      <c r="N302" s="16"/>
      <c r="O302" s="8"/>
      <c r="P302" s="8"/>
      <c r="Q302" s="8"/>
      <c r="R302" s="16"/>
      <c r="S302" s="16"/>
      <c r="T302" s="19"/>
      <c r="U302" s="16"/>
      <c r="V302" s="19"/>
      <c r="W302" s="160"/>
      <c r="X302" s="160"/>
      <c r="Y302" s="160"/>
      <c r="Z302" s="160"/>
      <c r="AA302" s="160"/>
      <c r="AB302" s="10"/>
      <c r="AD302" s="160"/>
    </row>
    <row r="303" spans="4:30" x14ac:dyDescent="0.2">
      <c r="D303" s="8"/>
      <c r="E303" s="6"/>
      <c r="G303" s="10"/>
      <c r="J303" s="142"/>
      <c r="K303" s="15"/>
      <c r="L303" s="15"/>
      <c r="M303" s="15"/>
      <c r="N303" s="16"/>
      <c r="O303" s="8"/>
      <c r="P303" s="8"/>
      <c r="Q303" s="8"/>
      <c r="R303" s="16"/>
      <c r="S303" s="16"/>
      <c r="T303" s="19"/>
      <c r="U303" s="16"/>
      <c r="V303" s="19"/>
      <c r="W303" s="160"/>
      <c r="X303" s="160"/>
      <c r="Y303" s="160"/>
      <c r="Z303" s="160"/>
      <c r="AA303" s="160"/>
      <c r="AB303" s="10"/>
      <c r="AD303" s="160"/>
    </row>
    <row r="304" spans="4:30" x14ac:dyDescent="0.2">
      <c r="D304" s="8"/>
      <c r="E304" s="6"/>
      <c r="G304" s="10"/>
      <c r="J304" s="142"/>
      <c r="K304" s="15"/>
      <c r="L304" s="15"/>
      <c r="M304" s="15"/>
      <c r="N304" s="16"/>
      <c r="O304" s="8"/>
      <c r="P304" s="8"/>
      <c r="Q304" s="8"/>
      <c r="R304" s="16"/>
      <c r="S304" s="16"/>
      <c r="T304" s="19"/>
      <c r="U304" s="16"/>
      <c r="V304" s="19"/>
      <c r="W304" s="160"/>
      <c r="X304" s="160"/>
      <c r="Y304" s="160"/>
      <c r="Z304" s="160"/>
      <c r="AA304" s="160"/>
      <c r="AB304" s="10"/>
      <c r="AD304" s="160"/>
    </row>
    <row r="305" spans="4:30" x14ac:dyDescent="0.2">
      <c r="D305" s="8"/>
      <c r="E305" s="6"/>
      <c r="G305" s="10"/>
      <c r="J305" s="142"/>
      <c r="K305" s="15"/>
      <c r="L305" s="15"/>
      <c r="M305" s="15"/>
      <c r="N305" s="16"/>
      <c r="O305" s="8"/>
      <c r="P305" s="8"/>
      <c r="Q305" s="8"/>
      <c r="R305" s="16"/>
      <c r="S305" s="16"/>
      <c r="T305" s="19"/>
      <c r="U305" s="16"/>
      <c r="V305" s="19"/>
      <c r="W305" s="160"/>
      <c r="X305" s="160"/>
      <c r="Y305" s="160"/>
      <c r="Z305" s="160"/>
      <c r="AA305" s="160"/>
      <c r="AB305" s="10"/>
      <c r="AD305" s="160"/>
    </row>
    <row r="306" spans="4:30" x14ac:dyDescent="0.2">
      <c r="D306" s="8"/>
      <c r="E306" s="6"/>
      <c r="G306" s="10"/>
      <c r="J306" s="142"/>
      <c r="K306" s="15"/>
      <c r="L306" s="15"/>
      <c r="M306" s="15"/>
      <c r="N306" s="16"/>
      <c r="O306" s="8"/>
      <c r="P306" s="8"/>
      <c r="Q306" s="8"/>
      <c r="R306" s="16"/>
      <c r="S306" s="16"/>
      <c r="T306" s="19"/>
      <c r="U306" s="16"/>
      <c r="V306" s="19"/>
      <c r="W306" s="160"/>
      <c r="X306" s="160"/>
      <c r="Y306" s="160"/>
      <c r="Z306" s="160"/>
      <c r="AA306" s="160"/>
      <c r="AB306" s="10"/>
      <c r="AD306" s="160"/>
    </row>
    <row r="307" spans="4:30" x14ac:dyDescent="0.2">
      <c r="D307" s="8"/>
      <c r="E307" s="6"/>
      <c r="G307" s="10"/>
      <c r="J307" s="142"/>
      <c r="K307" s="15"/>
      <c r="L307" s="15"/>
      <c r="M307" s="15"/>
      <c r="N307" s="16"/>
      <c r="O307" s="8"/>
      <c r="P307" s="8"/>
      <c r="Q307" s="8"/>
      <c r="R307" s="16"/>
      <c r="S307" s="16"/>
      <c r="T307" s="19"/>
      <c r="U307" s="16"/>
      <c r="V307" s="19"/>
      <c r="W307" s="160"/>
      <c r="X307" s="160"/>
      <c r="Y307" s="160"/>
      <c r="Z307" s="160"/>
      <c r="AA307" s="160"/>
      <c r="AB307" s="10"/>
      <c r="AD307" s="160"/>
    </row>
    <row r="308" spans="4:30" x14ac:dyDescent="0.2">
      <c r="D308" s="8"/>
      <c r="E308" s="6"/>
      <c r="G308" s="10"/>
      <c r="J308" s="142"/>
      <c r="K308" s="15"/>
      <c r="L308" s="15"/>
      <c r="M308" s="15"/>
      <c r="N308" s="16"/>
      <c r="O308" s="8"/>
      <c r="P308" s="8"/>
      <c r="Q308" s="8"/>
      <c r="R308" s="16"/>
      <c r="S308" s="16"/>
      <c r="T308" s="19"/>
      <c r="U308" s="16"/>
      <c r="V308" s="19"/>
      <c r="W308" s="160"/>
      <c r="X308" s="160"/>
      <c r="Y308" s="160"/>
      <c r="Z308" s="160"/>
      <c r="AA308" s="160"/>
      <c r="AB308" s="10"/>
      <c r="AD308" s="160"/>
    </row>
    <row r="309" spans="4:30" x14ac:dyDescent="0.2">
      <c r="D309" s="8"/>
      <c r="E309" s="6"/>
      <c r="G309" s="10"/>
      <c r="J309" s="142"/>
      <c r="K309" s="15"/>
      <c r="L309" s="15"/>
      <c r="M309" s="15"/>
      <c r="N309" s="16"/>
      <c r="O309" s="8"/>
      <c r="P309" s="8"/>
      <c r="Q309" s="8"/>
      <c r="R309" s="16"/>
      <c r="S309" s="16"/>
      <c r="T309" s="19"/>
      <c r="U309" s="16"/>
      <c r="V309" s="19"/>
      <c r="W309" s="160"/>
      <c r="X309" s="160"/>
      <c r="Y309" s="160"/>
      <c r="Z309" s="160"/>
      <c r="AA309" s="160"/>
      <c r="AB309" s="10"/>
      <c r="AD309" s="160"/>
    </row>
    <row r="310" spans="4:30" x14ac:dyDescent="0.2">
      <c r="D310" s="8"/>
      <c r="E310" s="6"/>
      <c r="G310" s="10"/>
      <c r="J310" s="142"/>
      <c r="K310" s="15"/>
      <c r="L310" s="15"/>
      <c r="M310" s="15"/>
      <c r="N310" s="16"/>
      <c r="O310" s="8"/>
      <c r="P310" s="8"/>
      <c r="Q310" s="8"/>
      <c r="R310" s="16"/>
      <c r="S310" s="16"/>
      <c r="T310" s="19"/>
      <c r="U310" s="16"/>
      <c r="V310" s="19"/>
      <c r="W310" s="160"/>
      <c r="X310" s="160"/>
      <c r="Y310" s="160"/>
      <c r="Z310" s="160"/>
      <c r="AA310" s="160"/>
      <c r="AB310" s="10"/>
      <c r="AD310" s="160"/>
    </row>
    <row r="311" spans="4:30" x14ac:dyDescent="0.2">
      <c r="D311" s="8"/>
      <c r="E311" s="6"/>
      <c r="G311" s="10"/>
      <c r="J311" s="142"/>
      <c r="K311" s="15"/>
      <c r="L311" s="15"/>
      <c r="M311" s="15"/>
      <c r="N311" s="16"/>
      <c r="O311" s="8"/>
      <c r="P311" s="8"/>
      <c r="Q311" s="8"/>
      <c r="R311" s="16"/>
      <c r="S311" s="16"/>
      <c r="T311" s="19"/>
      <c r="U311" s="16"/>
      <c r="V311" s="19"/>
      <c r="W311" s="160"/>
      <c r="X311" s="160"/>
      <c r="Y311" s="160"/>
      <c r="Z311" s="160"/>
      <c r="AA311" s="160"/>
      <c r="AB311" s="10"/>
      <c r="AD311" s="160"/>
    </row>
    <row r="312" spans="4:30" x14ac:dyDescent="0.2">
      <c r="D312" s="8"/>
      <c r="E312" s="6"/>
      <c r="G312" s="10"/>
      <c r="J312" s="142"/>
      <c r="K312" s="15"/>
      <c r="L312" s="15"/>
      <c r="M312" s="15"/>
      <c r="N312" s="16"/>
      <c r="O312" s="8"/>
      <c r="P312" s="8"/>
      <c r="Q312" s="8"/>
      <c r="R312" s="16"/>
      <c r="S312" s="16"/>
      <c r="T312" s="19"/>
      <c r="U312" s="16"/>
      <c r="V312" s="19"/>
      <c r="W312" s="160"/>
      <c r="X312" s="160"/>
      <c r="Y312" s="160"/>
      <c r="Z312" s="160"/>
      <c r="AA312" s="160"/>
      <c r="AB312" s="10"/>
      <c r="AD312" s="160"/>
    </row>
    <row r="313" spans="4:30" x14ac:dyDescent="0.2">
      <c r="D313" s="8"/>
      <c r="E313" s="6"/>
      <c r="G313" s="10"/>
      <c r="J313" s="142"/>
      <c r="K313" s="15"/>
      <c r="L313" s="15"/>
      <c r="M313" s="15"/>
      <c r="N313" s="16"/>
      <c r="O313" s="8"/>
      <c r="P313" s="8"/>
      <c r="Q313" s="8"/>
      <c r="R313" s="16"/>
      <c r="S313" s="16"/>
      <c r="T313" s="19"/>
      <c r="U313" s="16"/>
      <c r="V313" s="19"/>
      <c r="W313" s="160"/>
      <c r="X313" s="160"/>
      <c r="Y313" s="160"/>
      <c r="Z313" s="160"/>
      <c r="AA313" s="160"/>
      <c r="AB313" s="10"/>
      <c r="AD313" s="160"/>
    </row>
    <row r="314" spans="4:30" x14ac:dyDescent="0.2">
      <c r="D314" s="8"/>
      <c r="E314" s="6"/>
      <c r="G314" s="10"/>
      <c r="J314" s="142"/>
      <c r="K314" s="15"/>
      <c r="L314" s="15"/>
      <c r="M314" s="15"/>
      <c r="N314" s="16"/>
      <c r="O314" s="8"/>
      <c r="P314" s="8"/>
      <c r="Q314" s="8"/>
      <c r="R314" s="16"/>
      <c r="S314" s="16"/>
      <c r="T314" s="19"/>
      <c r="U314" s="16"/>
      <c r="V314" s="19"/>
      <c r="W314" s="160"/>
      <c r="X314" s="160"/>
      <c r="Y314" s="160"/>
      <c r="Z314" s="160"/>
      <c r="AA314" s="160"/>
      <c r="AB314" s="10"/>
      <c r="AD314" s="160"/>
    </row>
    <row r="315" spans="4:30" x14ac:dyDescent="0.2">
      <c r="D315" s="8"/>
      <c r="E315" s="6"/>
      <c r="G315" s="10"/>
      <c r="J315" s="142"/>
      <c r="K315" s="15"/>
      <c r="L315" s="15"/>
      <c r="M315" s="15"/>
      <c r="N315" s="16"/>
      <c r="O315" s="8"/>
      <c r="P315" s="8"/>
      <c r="Q315" s="8"/>
      <c r="R315" s="16"/>
      <c r="S315" s="16"/>
      <c r="T315" s="19"/>
      <c r="U315" s="16"/>
      <c r="V315" s="19"/>
      <c r="W315" s="160"/>
      <c r="X315" s="160"/>
      <c r="Y315" s="160"/>
      <c r="Z315" s="160"/>
      <c r="AA315" s="160"/>
      <c r="AB315" s="10"/>
      <c r="AD315" s="160"/>
    </row>
    <row r="316" spans="4:30" x14ac:dyDescent="0.2">
      <c r="D316" s="8"/>
      <c r="E316" s="6"/>
      <c r="G316" s="10"/>
      <c r="J316" s="142"/>
      <c r="K316" s="15"/>
      <c r="L316" s="15"/>
      <c r="M316" s="15"/>
      <c r="N316" s="16"/>
      <c r="O316" s="8"/>
      <c r="P316" s="8"/>
      <c r="Q316" s="8"/>
      <c r="R316" s="16"/>
      <c r="S316" s="16"/>
      <c r="T316" s="19"/>
      <c r="U316" s="16"/>
      <c r="V316" s="19"/>
      <c r="W316" s="160"/>
      <c r="X316" s="160"/>
      <c r="Y316" s="160"/>
      <c r="Z316" s="160"/>
      <c r="AA316" s="160"/>
      <c r="AB316" s="10"/>
      <c r="AD316" s="160"/>
    </row>
    <row r="317" spans="4:30" x14ac:dyDescent="0.2">
      <c r="D317" s="8"/>
      <c r="E317" s="6"/>
      <c r="G317" s="10"/>
      <c r="J317" s="142"/>
      <c r="K317" s="15"/>
      <c r="L317" s="15"/>
      <c r="M317" s="15"/>
      <c r="N317" s="16"/>
      <c r="O317" s="8"/>
      <c r="P317" s="8"/>
      <c r="Q317" s="8"/>
      <c r="R317" s="16"/>
      <c r="S317" s="16"/>
      <c r="T317" s="19"/>
      <c r="U317" s="16"/>
      <c r="V317" s="19"/>
      <c r="W317" s="160"/>
      <c r="X317" s="160"/>
      <c r="Y317" s="160"/>
      <c r="Z317" s="160"/>
      <c r="AA317" s="160"/>
      <c r="AB317" s="10"/>
      <c r="AD317" s="160"/>
    </row>
    <row r="318" spans="4:30" x14ac:dyDescent="0.2">
      <c r="D318" s="8"/>
      <c r="E318" s="6"/>
      <c r="G318" s="10"/>
      <c r="J318" s="142"/>
      <c r="K318" s="15"/>
      <c r="L318" s="15"/>
      <c r="M318" s="15"/>
      <c r="N318" s="16"/>
      <c r="O318" s="8"/>
      <c r="P318" s="8"/>
      <c r="Q318" s="8"/>
      <c r="R318" s="16"/>
      <c r="S318" s="16"/>
      <c r="T318" s="19"/>
      <c r="U318" s="16"/>
      <c r="V318" s="19"/>
      <c r="W318" s="160"/>
      <c r="X318" s="160"/>
      <c r="Y318" s="160"/>
      <c r="Z318" s="160"/>
      <c r="AA318" s="160"/>
      <c r="AB318" s="10"/>
      <c r="AD318" s="160"/>
    </row>
    <row r="319" spans="4:30" x14ac:dyDescent="0.2">
      <c r="D319" s="8"/>
      <c r="E319" s="6"/>
      <c r="G319" s="10"/>
      <c r="J319" s="142"/>
      <c r="K319" s="15"/>
      <c r="L319" s="15"/>
      <c r="M319" s="15"/>
      <c r="N319" s="16"/>
      <c r="O319" s="8"/>
      <c r="P319" s="8"/>
      <c r="Q319" s="8"/>
      <c r="R319" s="16"/>
      <c r="S319" s="16"/>
      <c r="T319" s="19"/>
      <c r="U319" s="16"/>
      <c r="V319" s="19"/>
      <c r="W319" s="160"/>
      <c r="X319" s="160"/>
      <c r="Y319" s="160"/>
      <c r="Z319" s="160"/>
      <c r="AA319" s="160"/>
      <c r="AB319" s="10"/>
      <c r="AD319" s="160"/>
    </row>
    <row r="320" spans="4:30" x14ac:dyDescent="0.2">
      <c r="D320" s="8"/>
      <c r="E320" s="6"/>
      <c r="G320" s="10"/>
      <c r="J320" s="142"/>
      <c r="K320" s="15"/>
      <c r="L320" s="15"/>
      <c r="M320" s="15"/>
      <c r="N320" s="16"/>
      <c r="O320" s="8"/>
      <c r="P320" s="8"/>
      <c r="Q320" s="8"/>
      <c r="R320" s="16"/>
      <c r="S320" s="16"/>
      <c r="T320" s="19"/>
      <c r="U320" s="16"/>
      <c r="V320" s="19"/>
      <c r="W320" s="160"/>
      <c r="X320" s="160"/>
      <c r="Y320" s="160"/>
      <c r="Z320" s="160"/>
      <c r="AA320" s="160"/>
      <c r="AB320" s="10"/>
      <c r="AD320" s="160"/>
    </row>
    <row r="321" spans="4:30" x14ac:dyDescent="0.2">
      <c r="D321" s="8"/>
      <c r="E321" s="6"/>
      <c r="G321" s="10"/>
      <c r="J321" s="142"/>
      <c r="K321" s="15"/>
      <c r="L321" s="15"/>
      <c r="M321" s="15"/>
      <c r="N321" s="16"/>
      <c r="O321" s="8"/>
      <c r="P321" s="8"/>
      <c r="Q321" s="8"/>
      <c r="R321" s="16"/>
      <c r="S321" s="16"/>
      <c r="T321" s="19"/>
      <c r="U321" s="16"/>
      <c r="V321" s="19"/>
      <c r="W321" s="160"/>
      <c r="X321" s="160"/>
      <c r="Y321" s="160"/>
      <c r="Z321" s="160"/>
      <c r="AA321" s="160"/>
      <c r="AB321" s="10"/>
      <c r="AD321" s="160"/>
    </row>
    <row r="322" spans="4:30" x14ac:dyDescent="0.2">
      <c r="D322" s="8"/>
      <c r="E322" s="6"/>
      <c r="G322" s="10"/>
      <c r="J322" s="142"/>
      <c r="K322" s="15"/>
      <c r="L322" s="15"/>
      <c r="M322" s="15"/>
      <c r="N322" s="16"/>
      <c r="O322" s="8"/>
      <c r="P322" s="8"/>
      <c r="Q322" s="8"/>
      <c r="R322" s="16"/>
      <c r="S322" s="16"/>
      <c r="T322" s="19"/>
      <c r="U322" s="16"/>
      <c r="V322" s="19"/>
      <c r="W322" s="160"/>
      <c r="X322" s="160"/>
      <c r="Y322" s="160"/>
      <c r="Z322" s="160"/>
      <c r="AA322" s="160"/>
      <c r="AB322" s="10"/>
      <c r="AD322" s="160"/>
    </row>
    <row r="323" spans="4:30" x14ac:dyDescent="0.2">
      <c r="D323" s="8"/>
      <c r="E323" s="6"/>
      <c r="G323" s="10"/>
      <c r="J323" s="142"/>
      <c r="K323" s="15"/>
      <c r="L323" s="15"/>
      <c r="M323" s="15"/>
      <c r="N323" s="16"/>
      <c r="O323" s="8"/>
      <c r="P323" s="8"/>
      <c r="Q323" s="8"/>
      <c r="R323" s="16"/>
      <c r="S323" s="16"/>
      <c r="T323" s="19"/>
      <c r="U323" s="16"/>
      <c r="V323" s="19"/>
      <c r="W323" s="160"/>
      <c r="X323" s="160"/>
      <c r="Y323" s="160"/>
      <c r="Z323" s="160"/>
      <c r="AA323" s="160"/>
      <c r="AB323" s="10"/>
      <c r="AD323" s="160"/>
    </row>
    <row r="324" spans="4:30" x14ac:dyDescent="0.2">
      <c r="D324" s="8"/>
      <c r="E324" s="6"/>
      <c r="G324" s="10"/>
      <c r="J324" s="142"/>
      <c r="K324" s="15"/>
      <c r="L324" s="15"/>
      <c r="M324" s="15"/>
      <c r="N324" s="16"/>
      <c r="O324" s="8"/>
      <c r="P324" s="8"/>
      <c r="Q324" s="8"/>
      <c r="R324" s="16"/>
      <c r="S324" s="16"/>
      <c r="T324" s="19"/>
      <c r="U324" s="16"/>
      <c r="V324" s="19"/>
      <c r="W324" s="160"/>
      <c r="X324" s="160"/>
      <c r="Y324" s="160"/>
      <c r="Z324" s="160"/>
      <c r="AA324" s="160"/>
      <c r="AB324" s="10"/>
      <c r="AD324" s="160"/>
    </row>
    <row r="325" spans="4:30" x14ac:dyDescent="0.2">
      <c r="D325" s="8"/>
      <c r="E325" s="6"/>
      <c r="G325" s="10"/>
      <c r="J325" s="142"/>
      <c r="K325" s="15"/>
      <c r="L325" s="15"/>
      <c r="M325" s="15"/>
      <c r="N325" s="16"/>
      <c r="O325" s="8"/>
      <c r="P325" s="8"/>
      <c r="Q325" s="8"/>
      <c r="R325" s="16"/>
      <c r="S325" s="16"/>
      <c r="T325" s="19"/>
      <c r="U325" s="16"/>
      <c r="V325" s="19"/>
      <c r="W325" s="160"/>
      <c r="X325" s="160"/>
      <c r="Y325" s="160"/>
      <c r="Z325" s="160"/>
      <c r="AA325" s="160"/>
      <c r="AB325" s="10"/>
      <c r="AD325" s="160"/>
    </row>
    <row r="326" spans="4:30" x14ac:dyDescent="0.2">
      <c r="D326" s="8"/>
      <c r="E326" s="6"/>
      <c r="G326" s="10"/>
      <c r="J326" s="142"/>
      <c r="K326" s="15"/>
      <c r="L326" s="15"/>
      <c r="M326" s="15"/>
      <c r="N326" s="16"/>
      <c r="O326" s="8"/>
      <c r="P326" s="8"/>
      <c r="Q326" s="8"/>
      <c r="R326" s="16"/>
      <c r="S326" s="16"/>
      <c r="T326" s="19"/>
      <c r="U326" s="16"/>
      <c r="V326" s="19"/>
      <c r="W326" s="160"/>
      <c r="X326" s="160"/>
      <c r="Y326" s="160"/>
      <c r="Z326" s="160"/>
      <c r="AA326" s="160"/>
      <c r="AB326" s="10"/>
      <c r="AD326" s="160"/>
    </row>
    <row r="327" spans="4:30" x14ac:dyDescent="0.2">
      <c r="D327" s="8"/>
      <c r="E327" s="6"/>
      <c r="G327" s="10"/>
      <c r="J327" s="142"/>
      <c r="K327" s="15"/>
      <c r="L327" s="15"/>
      <c r="M327" s="15"/>
      <c r="N327" s="16"/>
      <c r="O327" s="8"/>
      <c r="P327" s="8"/>
      <c r="Q327" s="8"/>
      <c r="R327" s="16"/>
      <c r="S327" s="16"/>
      <c r="T327" s="19"/>
      <c r="U327" s="16"/>
      <c r="V327" s="19"/>
      <c r="W327" s="160"/>
      <c r="X327" s="160"/>
      <c r="Y327" s="160"/>
      <c r="Z327" s="160"/>
      <c r="AA327" s="160"/>
      <c r="AB327" s="10"/>
      <c r="AD327" s="160"/>
    </row>
    <row r="328" spans="4:30" x14ac:dyDescent="0.2">
      <c r="D328" s="8"/>
      <c r="E328" s="6"/>
      <c r="G328" s="10"/>
      <c r="J328" s="142"/>
      <c r="K328" s="15"/>
      <c r="L328" s="15"/>
      <c r="M328" s="15"/>
      <c r="N328" s="16"/>
      <c r="O328" s="8"/>
      <c r="P328" s="8"/>
      <c r="Q328" s="8"/>
      <c r="R328" s="16"/>
      <c r="S328" s="16"/>
      <c r="T328" s="19"/>
      <c r="U328" s="16"/>
      <c r="V328" s="19"/>
      <c r="W328" s="160"/>
      <c r="X328" s="160"/>
      <c r="Y328" s="160"/>
      <c r="Z328" s="160"/>
      <c r="AA328" s="160"/>
      <c r="AB328" s="10"/>
      <c r="AD328" s="160"/>
    </row>
    <row r="329" spans="4:30" x14ac:dyDescent="0.2">
      <c r="D329" s="8"/>
      <c r="E329" s="6"/>
      <c r="G329" s="10"/>
      <c r="J329" s="142"/>
      <c r="K329" s="15"/>
      <c r="L329" s="15"/>
      <c r="M329" s="15"/>
      <c r="N329" s="16"/>
      <c r="O329" s="8"/>
      <c r="P329" s="8"/>
      <c r="Q329" s="8"/>
      <c r="R329" s="16"/>
      <c r="S329" s="16"/>
      <c r="T329" s="19"/>
      <c r="U329" s="16"/>
      <c r="V329" s="19"/>
      <c r="W329" s="160"/>
      <c r="X329" s="160"/>
      <c r="Y329" s="160"/>
      <c r="Z329" s="160"/>
      <c r="AA329" s="160"/>
      <c r="AB329" s="10"/>
      <c r="AD329" s="160"/>
    </row>
    <row r="330" spans="4:30" x14ac:dyDescent="0.2">
      <c r="D330" s="8"/>
      <c r="E330" s="6"/>
      <c r="G330" s="10"/>
      <c r="J330" s="142"/>
      <c r="K330" s="15"/>
      <c r="L330" s="15"/>
      <c r="M330" s="15"/>
      <c r="N330" s="16"/>
      <c r="O330" s="8"/>
      <c r="P330" s="8"/>
      <c r="Q330" s="8"/>
      <c r="R330" s="16"/>
      <c r="S330" s="16"/>
      <c r="T330" s="19"/>
      <c r="U330" s="16"/>
      <c r="V330" s="19"/>
      <c r="W330" s="160"/>
      <c r="X330" s="160"/>
      <c r="Y330" s="160"/>
      <c r="Z330" s="160"/>
      <c r="AA330" s="160"/>
      <c r="AB330" s="10"/>
      <c r="AD330" s="160"/>
    </row>
    <row r="331" spans="4:30" x14ac:dyDescent="0.2">
      <c r="D331" s="8"/>
      <c r="E331" s="6"/>
      <c r="G331" s="10"/>
      <c r="J331" s="142"/>
      <c r="K331" s="15"/>
      <c r="L331" s="15"/>
      <c r="M331" s="15"/>
      <c r="N331" s="16"/>
      <c r="O331" s="8"/>
      <c r="P331" s="8"/>
      <c r="Q331" s="8"/>
      <c r="R331" s="16"/>
      <c r="S331" s="16"/>
      <c r="T331" s="19"/>
      <c r="U331" s="16"/>
      <c r="V331" s="19"/>
      <c r="W331" s="160"/>
      <c r="X331" s="160"/>
      <c r="Y331" s="160"/>
      <c r="Z331" s="160"/>
      <c r="AA331" s="160"/>
      <c r="AB331" s="10"/>
      <c r="AD331" s="160"/>
    </row>
    <row r="332" spans="4:30" x14ac:dyDescent="0.2">
      <c r="D332" s="8"/>
      <c r="E332" s="6"/>
      <c r="G332" s="10"/>
      <c r="J332" s="142"/>
      <c r="K332" s="15"/>
      <c r="L332" s="15"/>
      <c r="M332" s="15"/>
      <c r="N332" s="16"/>
      <c r="O332" s="8"/>
      <c r="P332" s="8"/>
      <c r="Q332" s="8"/>
      <c r="R332" s="16"/>
      <c r="S332" s="16"/>
      <c r="T332" s="19"/>
      <c r="U332" s="16"/>
      <c r="V332" s="19"/>
      <c r="W332" s="160"/>
      <c r="X332" s="160"/>
      <c r="Y332" s="160"/>
      <c r="Z332" s="160"/>
      <c r="AA332" s="160"/>
      <c r="AB332" s="10"/>
      <c r="AD332" s="160"/>
    </row>
    <row r="333" spans="4:30" x14ac:dyDescent="0.2">
      <c r="D333" s="8"/>
      <c r="E333" s="6"/>
      <c r="G333" s="10"/>
      <c r="J333" s="142"/>
      <c r="K333" s="15"/>
      <c r="L333" s="15"/>
      <c r="M333" s="15"/>
      <c r="N333" s="16"/>
      <c r="O333" s="8"/>
      <c r="P333" s="8"/>
      <c r="Q333" s="8"/>
      <c r="R333" s="16"/>
      <c r="S333" s="16"/>
      <c r="T333" s="19"/>
      <c r="U333" s="16"/>
      <c r="V333" s="19"/>
      <c r="W333" s="160"/>
      <c r="X333" s="160"/>
      <c r="Y333" s="160"/>
      <c r="Z333" s="160"/>
      <c r="AA333" s="160"/>
      <c r="AB333" s="10"/>
      <c r="AD333" s="160"/>
    </row>
    <row r="334" spans="4:30" x14ac:dyDescent="0.2">
      <c r="D334" s="8"/>
      <c r="E334" s="6"/>
      <c r="G334" s="10"/>
      <c r="J334" s="142"/>
      <c r="K334" s="15"/>
      <c r="L334" s="15"/>
      <c r="M334" s="15"/>
      <c r="N334" s="16"/>
      <c r="O334" s="8"/>
      <c r="P334" s="8"/>
      <c r="Q334" s="8"/>
      <c r="R334" s="16"/>
      <c r="S334" s="16"/>
      <c r="T334" s="19"/>
      <c r="U334" s="16"/>
      <c r="V334" s="19"/>
      <c r="W334" s="160"/>
      <c r="X334" s="160"/>
      <c r="Y334" s="160"/>
      <c r="Z334" s="160"/>
      <c r="AA334" s="160"/>
      <c r="AB334" s="10"/>
      <c r="AD334" s="160"/>
    </row>
    <row r="335" spans="4:30" x14ac:dyDescent="0.2">
      <c r="D335" s="8"/>
      <c r="E335" s="6"/>
      <c r="G335" s="10"/>
      <c r="J335" s="142"/>
      <c r="K335" s="15"/>
      <c r="L335" s="15"/>
      <c r="M335" s="15"/>
      <c r="N335" s="16"/>
      <c r="O335" s="8"/>
      <c r="P335" s="8"/>
      <c r="Q335" s="8"/>
      <c r="R335" s="16"/>
      <c r="S335" s="16"/>
      <c r="T335" s="19"/>
      <c r="U335" s="16"/>
      <c r="V335" s="19"/>
      <c r="W335" s="160"/>
      <c r="X335" s="160"/>
      <c r="Y335" s="160"/>
      <c r="Z335" s="160"/>
      <c r="AA335" s="160"/>
      <c r="AB335" s="10"/>
      <c r="AD335" s="160"/>
    </row>
    <row r="336" spans="4:30" x14ac:dyDescent="0.2">
      <c r="D336" s="8"/>
      <c r="E336" s="6"/>
      <c r="G336" s="10"/>
      <c r="J336" s="142"/>
      <c r="K336" s="15"/>
      <c r="L336" s="15"/>
      <c r="M336" s="15"/>
      <c r="N336" s="16"/>
      <c r="O336" s="8"/>
      <c r="P336" s="8"/>
      <c r="Q336" s="8"/>
      <c r="R336" s="16"/>
      <c r="S336" s="16"/>
      <c r="T336" s="19"/>
      <c r="U336" s="16"/>
      <c r="V336" s="19"/>
      <c r="W336" s="160"/>
      <c r="X336" s="160"/>
      <c r="Y336" s="160"/>
      <c r="Z336" s="160"/>
      <c r="AA336" s="160"/>
      <c r="AB336" s="10"/>
      <c r="AD336" s="160"/>
    </row>
    <row r="337" spans="4:30" x14ac:dyDescent="0.2">
      <c r="D337" s="8"/>
      <c r="E337" s="6"/>
      <c r="G337" s="10"/>
      <c r="J337" s="142"/>
      <c r="K337" s="15"/>
      <c r="L337" s="15"/>
      <c r="M337" s="15"/>
      <c r="N337" s="16"/>
      <c r="O337" s="8"/>
      <c r="P337" s="8"/>
      <c r="Q337" s="8"/>
      <c r="R337" s="16"/>
      <c r="S337" s="16"/>
      <c r="T337" s="19"/>
      <c r="U337" s="16"/>
      <c r="V337" s="19"/>
      <c r="W337" s="160"/>
      <c r="X337" s="160"/>
      <c r="Y337" s="160"/>
      <c r="Z337" s="160"/>
      <c r="AA337" s="160"/>
      <c r="AB337" s="10"/>
      <c r="AD337" s="160"/>
    </row>
    <row r="338" spans="4:30" x14ac:dyDescent="0.2">
      <c r="D338" s="8"/>
      <c r="E338" s="6"/>
      <c r="G338" s="10"/>
      <c r="J338" s="142"/>
      <c r="K338" s="15"/>
      <c r="L338" s="15"/>
      <c r="M338" s="15"/>
      <c r="N338" s="16"/>
      <c r="O338" s="8"/>
      <c r="P338" s="8"/>
      <c r="Q338" s="8"/>
      <c r="R338" s="16"/>
      <c r="S338" s="16"/>
      <c r="T338" s="19"/>
      <c r="U338" s="16"/>
      <c r="V338" s="19"/>
      <c r="W338" s="160"/>
      <c r="X338" s="160"/>
      <c r="Y338" s="160"/>
      <c r="Z338" s="160"/>
      <c r="AA338" s="160"/>
      <c r="AB338" s="10"/>
      <c r="AD338" s="160"/>
    </row>
    <row r="339" spans="4:30" x14ac:dyDescent="0.2">
      <c r="D339" s="8"/>
      <c r="E339" s="6"/>
      <c r="G339" s="10"/>
      <c r="J339" s="142"/>
      <c r="K339" s="15"/>
      <c r="L339" s="15"/>
      <c r="M339" s="15"/>
      <c r="N339" s="16"/>
      <c r="O339" s="8"/>
      <c r="P339" s="8"/>
      <c r="Q339" s="8"/>
      <c r="R339" s="16"/>
      <c r="S339" s="16"/>
      <c r="T339" s="19"/>
      <c r="U339" s="16"/>
      <c r="V339" s="19"/>
      <c r="W339" s="160"/>
      <c r="X339" s="160"/>
      <c r="Y339" s="160"/>
      <c r="Z339" s="160"/>
      <c r="AA339" s="160"/>
      <c r="AB339" s="10"/>
      <c r="AD339" s="160"/>
    </row>
    <row r="340" spans="4:30" x14ac:dyDescent="0.2">
      <c r="D340" s="8"/>
      <c r="E340" s="6"/>
      <c r="G340" s="10"/>
      <c r="J340" s="142"/>
      <c r="K340" s="15"/>
      <c r="L340" s="15"/>
      <c r="M340" s="15"/>
      <c r="N340" s="16"/>
      <c r="O340" s="8"/>
      <c r="P340" s="8"/>
      <c r="Q340" s="8"/>
      <c r="R340" s="16"/>
      <c r="S340" s="16"/>
      <c r="T340" s="19"/>
      <c r="U340" s="16"/>
      <c r="V340" s="19"/>
      <c r="W340" s="160"/>
      <c r="X340" s="160"/>
      <c r="Y340" s="160"/>
      <c r="Z340" s="160"/>
      <c r="AA340" s="160"/>
      <c r="AB340" s="10"/>
      <c r="AD340" s="160"/>
    </row>
    <row r="341" spans="4:30" x14ac:dyDescent="0.2">
      <c r="D341" s="8"/>
      <c r="E341" s="6"/>
      <c r="G341" s="10"/>
      <c r="J341" s="142"/>
      <c r="K341" s="15"/>
      <c r="L341" s="15"/>
      <c r="M341" s="15"/>
      <c r="N341" s="16"/>
      <c r="O341" s="8"/>
      <c r="P341" s="8"/>
      <c r="Q341" s="8"/>
      <c r="R341" s="16"/>
      <c r="S341" s="16"/>
      <c r="T341" s="19"/>
      <c r="U341" s="16"/>
      <c r="V341" s="19"/>
      <c r="W341" s="160"/>
      <c r="X341" s="160"/>
      <c r="Y341" s="160"/>
      <c r="Z341" s="160"/>
      <c r="AA341" s="160"/>
      <c r="AB341" s="10"/>
      <c r="AD341" s="160"/>
    </row>
    <row r="342" spans="4:30" x14ac:dyDescent="0.2">
      <c r="D342" s="8"/>
      <c r="E342" s="6"/>
      <c r="G342" s="10"/>
      <c r="J342" s="142"/>
      <c r="K342" s="15"/>
      <c r="L342" s="15"/>
      <c r="M342" s="15"/>
      <c r="N342" s="16"/>
      <c r="O342" s="8"/>
      <c r="P342" s="8"/>
      <c r="Q342" s="8"/>
      <c r="R342" s="16"/>
      <c r="S342" s="16"/>
      <c r="T342" s="19"/>
      <c r="U342" s="16"/>
      <c r="V342" s="19"/>
      <c r="W342" s="160"/>
      <c r="X342" s="160"/>
      <c r="Y342" s="160"/>
      <c r="Z342" s="160"/>
      <c r="AA342" s="160"/>
      <c r="AB342" s="10"/>
      <c r="AD342" s="160"/>
    </row>
    <row r="343" spans="4:30" x14ac:dyDescent="0.2">
      <c r="D343" s="8"/>
      <c r="E343" s="6"/>
      <c r="G343" s="10"/>
      <c r="J343" s="142"/>
      <c r="K343" s="15"/>
      <c r="L343" s="15"/>
      <c r="M343" s="15"/>
      <c r="N343" s="16"/>
      <c r="O343" s="8"/>
      <c r="P343" s="8"/>
      <c r="Q343" s="8"/>
      <c r="R343" s="16"/>
      <c r="S343" s="16"/>
      <c r="T343" s="19"/>
      <c r="U343" s="16"/>
      <c r="V343" s="19"/>
      <c r="W343" s="160"/>
      <c r="X343" s="160"/>
      <c r="Y343" s="160"/>
      <c r="Z343" s="160"/>
      <c r="AA343" s="160"/>
      <c r="AB343" s="10"/>
      <c r="AD343" s="160"/>
    </row>
    <row r="344" spans="4:30" x14ac:dyDescent="0.2">
      <c r="D344" s="8"/>
      <c r="E344" s="6"/>
      <c r="G344" s="10"/>
      <c r="J344" s="142"/>
      <c r="K344" s="15"/>
      <c r="L344" s="15"/>
      <c r="M344" s="15"/>
      <c r="N344" s="16"/>
      <c r="O344" s="8"/>
      <c r="P344" s="8"/>
      <c r="Q344" s="8"/>
      <c r="R344" s="16"/>
      <c r="S344" s="16"/>
      <c r="T344" s="19"/>
      <c r="U344" s="16"/>
      <c r="V344" s="19"/>
      <c r="W344" s="160"/>
      <c r="X344" s="160"/>
      <c r="Y344" s="160"/>
      <c r="Z344" s="160"/>
      <c r="AA344" s="160"/>
      <c r="AB344" s="10"/>
      <c r="AD344" s="160"/>
    </row>
    <row r="345" spans="4:30" x14ac:dyDescent="0.2">
      <c r="D345" s="8"/>
      <c r="E345" s="6"/>
      <c r="G345" s="10"/>
      <c r="J345" s="142"/>
      <c r="K345" s="15"/>
      <c r="L345" s="15"/>
      <c r="M345" s="15"/>
      <c r="N345" s="16"/>
      <c r="O345" s="8"/>
      <c r="P345" s="8"/>
      <c r="Q345" s="8"/>
      <c r="R345" s="16"/>
      <c r="S345" s="16"/>
      <c r="T345" s="19"/>
      <c r="U345" s="16"/>
      <c r="V345" s="19"/>
      <c r="W345" s="160"/>
      <c r="X345" s="160"/>
      <c r="Y345" s="160"/>
      <c r="Z345" s="160"/>
      <c r="AA345" s="160"/>
      <c r="AB345" s="10"/>
      <c r="AD345" s="160"/>
    </row>
    <row r="346" spans="4:30" x14ac:dyDescent="0.2">
      <c r="D346" s="8"/>
      <c r="E346" s="6"/>
      <c r="G346" s="10"/>
      <c r="J346" s="142"/>
      <c r="K346" s="15"/>
      <c r="L346" s="15"/>
      <c r="M346" s="15"/>
      <c r="N346" s="16"/>
      <c r="O346" s="8"/>
      <c r="P346" s="8"/>
      <c r="Q346" s="8"/>
      <c r="R346" s="16"/>
      <c r="S346" s="16"/>
      <c r="T346" s="19"/>
      <c r="U346" s="16"/>
      <c r="V346" s="19"/>
      <c r="W346" s="160"/>
      <c r="X346" s="160"/>
      <c r="Y346" s="160"/>
      <c r="Z346" s="160"/>
      <c r="AA346" s="160"/>
      <c r="AB346" s="10"/>
      <c r="AD346" s="160"/>
    </row>
    <row r="347" spans="4:30" x14ac:dyDescent="0.2">
      <c r="D347" s="8"/>
      <c r="E347" s="6"/>
      <c r="G347" s="10"/>
      <c r="J347" s="142"/>
      <c r="K347" s="15"/>
      <c r="L347" s="15"/>
      <c r="M347" s="15"/>
      <c r="N347" s="16"/>
      <c r="O347" s="8"/>
      <c r="P347" s="8"/>
      <c r="Q347" s="8"/>
      <c r="R347" s="16"/>
      <c r="S347" s="16"/>
      <c r="T347" s="19"/>
      <c r="U347" s="16"/>
      <c r="V347" s="19"/>
      <c r="W347" s="160"/>
      <c r="X347" s="160"/>
      <c r="Y347" s="160"/>
      <c r="Z347" s="160"/>
      <c r="AA347" s="160"/>
      <c r="AB347" s="10"/>
      <c r="AD347" s="160"/>
    </row>
    <row r="348" spans="4:30" x14ac:dyDescent="0.2">
      <c r="D348" s="8"/>
      <c r="E348" s="6"/>
      <c r="G348" s="10"/>
      <c r="J348" s="142"/>
      <c r="K348" s="15"/>
      <c r="L348" s="15"/>
      <c r="M348" s="15"/>
      <c r="N348" s="16"/>
      <c r="O348" s="8"/>
      <c r="P348" s="8"/>
      <c r="Q348" s="8"/>
      <c r="R348" s="16"/>
      <c r="S348" s="16"/>
      <c r="T348" s="19"/>
      <c r="U348" s="16"/>
      <c r="V348" s="19"/>
      <c r="W348" s="160"/>
      <c r="X348" s="160"/>
      <c r="Y348" s="160"/>
      <c r="Z348" s="160"/>
      <c r="AA348" s="160"/>
      <c r="AB348" s="10"/>
      <c r="AD348" s="160"/>
    </row>
    <row r="349" spans="4:30" x14ac:dyDescent="0.2">
      <c r="D349" s="8"/>
      <c r="E349" s="6"/>
      <c r="G349" s="10"/>
      <c r="J349" s="142"/>
      <c r="K349" s="15"/>
      <c r="L349" s="15"/>
      <c r="M349" s="15"/>
      <c r="N349" s="16"/>
      <c r="O349" s="8"/>
      <c r="P349" s="8"/>
      <c r="Q349" s="8"/>
      <c r="R349" s="16"/>
      <c r="S349" s="16"/>
      <c r="T349" s="19"/>
      <c r="U349" s="16"/>
      <c r="V349" s="19"/>
      <c r="W349" s="160"/>
      <c r="X349" s="160"/>
      <c r="Y349" s="160"/>
      <c r="Z349" s="160"/>
      <c r="AA349" s="160"/>
      <c r="AB349" s="10"/>
      <c r="AD349" s="160"/>
    </row>
    <row r="350" spans="4:30" x14ac:dyDescent="0.2">
      <c r="D350" s="8"/>
      <c r="E350" s="6"/>
      <c r="G350" s="10"/>
      <c r="J350" s="142"/>
      <c r="K350" s="15"/>
      <c r="L350" s="15"/>
      <c r="M350" s="15"/>
      <c r="N350" s="16"/>
      <c r="O350" s="8"/>
      <c r="P350" s="8"/>
      <c r="Q350" s="8"/>
      <c r="R350" s="16"/>
      <c r="S350" s="16"/>
      <c r="T350" s="19"/>
      <c r="U350" s="16"/>
      <c r="V350" s="19"/>
      <c r="W350" s="160"/>
      <c r="X350" s="160"/>
      <c r="Y350" s="160"/>
      <c r="Z350" s="160"/>
      <c r="AA350" s="160"/>
      <c r="AB350" s="10"/>
      <c r="AD350" s="160"/>
    </row>
    <row r="351" spans="4:30" x14ac:dyDescent="0.2">
      <c r="D351" s="8"/>
      <c r="E351" s="6"/>
      <c r="G351" s="10"/>
      <c r="J351" s="142"/>
      <c r="K351" s="15"/>
      <c r="L351" s="15"/>
      <c r="M351" s="15"/>
      <c r="N351" s="16"/>
      <c r="O351" s="8"/>
      <c r="P351" s="8"/>
      <c r="Q351" s="8"/>
      <c r="R351" s="16"/>
      <c r="S351" s="16"/>
      <c r="T351" s="19"/>
      <c r="U351" s="16"/>
      <c r="V351" s="19"/>
      <c r="W351" s="160"/>
      <c r="X351" s="160"/>
      <c r="Y351" s="160"/>
      <c r="Z351" s="160"/>
      <c r="AA351" s="160"/>
      <c r="AB351" s="10"/>
      <c r="AD351" s="160"/>
    </row>
    <row r="352" spans="4:30" x14ac:dyDescent="0.2">
      <c r="D352" s="8"/>
      <c r="E352" s="6"/>
      <c r="G352" s="10"/>
      <c r="J352" s="142"/>
      <c r="K352" s="15"/>
      <c r="L352" s="15"/>
      <c r="M352" s="15"/>
      <c r="N352" s="16"/>
      <c r="O352" s="8"/>
      <c r="P352" s="8"/>
      <c r="Q352" s="8"/>
      <c r="R352" s="16"/>
      <c r="S352" s="16"/>
      <c r="T352" s="19"/>
      <c r="U352" s="16"/>
      <c r="V352" s="19"/>
      <c r="W352" s="160"/>
      <c r="X352" s="160"/>
      <c r="Y352" s="160"/>
      <c r="Z352" s="160"/>
      <c r="AA352" s="160"/>
      <c r="AB352" s="10"/>
      <c r="AD352" s="160"/>
    </row>
    <row r="353" spans="4:30" x14ac:dyDescent="0.2">
      <c r="D353" s="8"/>
      <c r="E353" s="6"/>
      <c r="G353" s="10"/>
      <c r="J353" s="142"/>
      <c r="K353" s="15"/>
      <c r="L353" s="15"/>
      <c r="M353" s="15"/>
      <c r="N353" s="16"/>
      <c r="O353" s="8"/>
      <c r="P353" s="8"/>
      <c r="Q353" s="8"/>
      <c r="R353" s="16"/>
      <c r="S353" s="16"/>
      <c r="T353" s="19"/>
      <c r="U353" s="16"/>
      <c r="V353" s="19"/>
      <c r="W353" s="160"/>
      <c r="X353" s="160"/>
      <c r="Y353" s="160"/>
      <c r="Z353" s="160"/>
      <c r="AA353" s="160"/>
      <c r="AB353" s="10"/>
      <c r="AD353" s="160"/>
    </row>
    <row r="354" spans="4:30" x14ac:dyDescent="0.2">
      <c r="D354" s="8"/>
      <c r="E354" s="6"/>
      <c r="G354" s="10"/>
      <c r="J354" s="142"/>
      <c r="K354" s="15"/>
      <c r="L354" s="15"/>
      <c r="M354" s="15"/>
      <c r="N354" s="16"/>
      <c r="O354" s="8"/>
      <c r="P354" s="8"/>
      <c r="Q354" s="8"/>
      <c r="R354" s="16"/>
      <c r="S354" s="16"/>
      <c r="T354" s="19"/>
      <c r="U354" s="16"/>
      <c r="V354" s="19"/>
      <c r="W354" s="160"/>
      <c r="X354" s="160"/>
      <c r="Y354" s="160"/>
      <c r="Z354" s="160"/>
      <c r="AA354" s="160"/>
      <c r="AB354" s="10"/>
      <c r="AD354" s="160"/>
    </row>
    <row r="355" spans="4:30" x14ac:dyDescent="0.2">
      <c r="D355" s="8"/>
      <c r="E355" s="6"/>
      <c r="G355" s="10"/>
      <c r="J355" s="142"/>
      <c r="K355" s="15"/>
      <c r="L355" s="15"/>
      <c r="M355" s="15"/>
      <c r="N355" s="16"/>
      <c r="O355" s="8"/>
      <c r="P355" s="8"/>
      <c r="Q355" s="8"/>
      <c r="R355" s="16"/>
      <c r="S355" s="16"/>
      <c r="T355" s="19"/>
      <c r="U355" s="16"/>
      <c r="V355" s="19"/>
      <c r="W355" s="160"/>
      <c r="X355" s="160"/>
      <c r="Y355" s="160"/>
      <c r="Z355" s="160"/>
      <c r="AA355" s="160"/>
      <c r="AB355" s="10"/>
      <c r="AD355" s="160"/>
    </row>
    <row r="356" spans="4:30" x14ac:dyDescent="0.2">
      <c r="D356" s="8"/>
      <c r="E356" s="6"/>
      <c r="G356" s="10"/>
      <c r="J356" s="142"/>
      <c r="K356" s="15"/>
      <c r="L356" s="15"/>
      <c r="M356" s="15"/>
      <c r="N356" s="16"/>
      <c r="O356" s="8"/>
      <c r="P356" s="8"/>
      <c r="Q356" s="8"/>
      <c r="R356" s="16"/>
      <c r="S356" s="16"/>
      <c r="T356" s="19"/>
      <c r="U356" s="16"/>
      <c r="V356" s="19"/>
      <c r="W356" s="160"/>
      <c r="X356" s="160"/>
      <c r="Y356" s="160"/>
      <c r="Z356" s="160"/>
      <c r="AA356" s="160"/>
      <c r="AB356" s="10"/>
      <c r="AD356" s="160"/>
    </row>
    <row r="357" spans="4:30" x14ac:dyDescent="0.2">
      <c r="D357" s="8"/>
      <c r="E357" s="6"/>
      <c r="G357" s="10"/>
      <c r="J357" s="142"/>
      <c r="K357" s="15"/>
      <c r="L357" s="15"/>
      <c r="M357" s="15"/>
      <c r="N357" s="16"/>
      <c r="O357" s="8"/>
      <c r="P357" s="8"/>
      <c r="Q357" s="8"/>
      <c r="R357" s="16"/>
      <c r="S357" s="16"/>
      <c r="T357" s="19"/>
      <c r="U357" s="16"/>
      <c r="V357" s="19"/>
      <c r="W357" s="160"/>
      <c r="X357" s="160"/>
      <c r="Y357" s="160"/>
      <c r="Z357" s="160"/>
      <c r="AA357" s="160"/>
      <c r="AB357" s="10"/>
      <c r="AD357" s="160"/>
    </row>
    <row r="358" spans="4:30" x14ac:dyDescent="0.2">
      <c r="D358" s="8"/>
      <c r="E358" s="6"/>
      <c r="G358" s="10"/>
      <c r="J358" s="142"/>
      <c r="K358" s="15"/>
      <c r="L358" s="15"/>
      <c r="M358" s="15"/>
      <c r="N358" s="16"/>
      <c r="O358" s="8"/>
      <c r="P358" s="8"/>
      <c r="Q358" s="8"/>
      <c r="R358" s="16"/>
      <c r="S358" s="16"/>
      <c r="T358" s="19"/>
      <c r="U358" s="16"/>
      <c r="V358" s="19"/>
      <c r="W358" s="160"/>
      <c r="X358" s="160"/>
      <c r="Y358" s="160"/>
      <c r="Z358" s="160"/>
      <c r="AA358" s="160"/>
      <c r="AB358" s="10"/>
      <c r="AD358" s="160"/>
    </row>
    <row r="359" spans="4:30" x14ac:dyDescent="0.2">
      <c r="D359" s="8"/>
      <c r="E359" s="6"/>
      <c r="G359" s="10"/>
      <c r="J359" s="142"/>
      <c r="K359" s="15"/>
      <c r="L359" s="15"/>
      <c r="M359" s="15"/>
      <c r="N359" s="16"/>
      <c r="O359" s="8"/>
      <c r="P359" s="8"/>
      <c r="Q359" s="8"/>
      <c r="R359" s="16"/>
      <c r="S359" s="16"/>
      <c r="T359" s="19"/>
      <c r="U359" s="16"/>
      <c r="V359" s="19"/>
      <c r="W359" s="160"/>
      <c r="X359" s="160"/>
      <c r="Y359" s="160"/>
      <c r="Z359" s="160"/>
      <c r="AA359" s="160"/>
      <c r="AB359" s="10"/>
      <c r="AD359" s="160"/>
    </row>
    <row r="360" spans="4:30" x14ac:dyDescent="0.2">
      <c r="D360" s="8"/>
      <c r="E360" s="6"/>
      <c r="G360" s="10"/>
      <c r="J360" s="142"/>
      <c r="K360" s="15"/>
      <c r="L360" s="15"/>
      <c r="M360" s="15"/>
      <c r="N360" s="16"/>
      <c r="O360" s="8"/>
      <c r="P360" s="8"/>
      <c r="Q360" s="8"/>
      <c r="R360" s="16"/>
      <c r="S360" s="16"/>
      <c r="T360" s="19"/>
      <c r="U360" s="16"/>
      <c r="V360" s="19"/>
      <c r="W360" s="160"/>
      <c r="X360" s="160"/>
      <c r="Y360" s="160"/>
      <c r="Z360" s="160"/>
      <c r="AA360" s="160"/>
      <c r="AB360" s="10"/>
      <c r="AD360" s="160"/>
    </row>
    <row r="361" spans="4:30" x14ac:dyDescent="0.2">
      <c r="D361" s="8"/>
      <c r="E361" s="6"/>
      <c r="G361" s="10"/>
      <c r="J361" s="142"/>
      <c r="K361" s="15"/>
      <c r="L361" s="15"/>
      <c r="M361" s="15"/>
      <c r="N361" s="16"/>
      <c r="O361" s="8"/>
      <c r="P361" s="8"/>
      <c r="Q361" s="8"/>
      <c r="R361" s="16"/>
      <c r="S361" s="16"/>
      <c r="T361" s="19"/>
      <c r="U361" s="16"/>
      <c r="V361" s="19"/>
      <c r="W361" s="160"/>
      <c r="X361" s="160"/>
      <c r="Y361" s="160"/>
      <c r="Z361" s="160"/>
      <c r="AA361" s="160"/>
      <c r="AB361" s="10"/>
      <c r="AD361" s="160"/>
    </row>
    <row r="362" spans="4:30" x14ac:dyDescent="0.2">
      <c r="D362" s="8"/>
      <c r="E362" s="6"/>
      <c r="G362" s="10"/>
      <c r="J362" s="142"/>
      <c r="K362" s="15"/>
      <c r="L362" s="15"/>
      <c r="M362" s="15"/>
      <c r="N362" s="16"/>
      <c r="O362" s="8"/>
      <c r="P362" s="8"/>
      <c r="Q362" s="8"/>
      <c r="R362" s="16"/>
      <c r="S362" s="16"/>
      <c r="T362" s="19"/>
      <c r="U362" s="16"/>
      <c r="V362" s="19"/>
      <c r="W362" s="160"/>
      <c r="X362" s="160"/>
      <c r="Y362" s="160"/>
      <c r="Z362" s="160"/>
      <c r="AA362" s="160"/>
      <c r="AB362" s="10"/>
      <c r="AD362" s="160"/>
    </row>
    <row r="363" spans="4:30" x14ac:dyDescent="0.2">
      <c r="D363" s="8"/>
      <c r="E363" s="6"/>
      <c r="G363" s="10"/>
      <c r="J363" s="142"/>
      <c r="K363" s="15"/>
      <c r="L363" s="15"/>
      <c r="M363" s="15"/>
      <c r="N363" s="16"/>
      <c r="O363" s="8"/>
      <c r="P363" s="8"/>
      <c r="Q363" s="8"/>
      <c r="R363" s="16"/>
      <c r="S363" s="16"/>
      <c r="T363" s="19"/>
      <c r="U363" s="16"/>
      <c r="V363" s="19"/>
      <c r="W363" s="160"/>
      <c r="X363" s="160"/>
      <c r="Y363" s="160"/>
      <c r="Z363" s="160"/>
      <c r="AA363" s="160"/>
      <c r="AB363" s="10"/>
      <c r="AD363" s="160"/>
    </row>
    <row r="364" spans="4:30" x14ac:dyDescent="0.2">
      <c r="D364" s="8"/>
      <c r="E364" s="6"/>
      <c r="G364" s="10"/>
      <c r="J364" s="142"/>
      <c r="K364" s="15"/>
      <c r="L364" s="15"/>
      <c r="M364" s="15"/>
      <c r="N364" s="16"/>
      <c r="O364" s="8"/>
      <c r="P364" s="8"/>
      <c r="Q364" s="8"/>
      <c r="R364" s="16"/>
      <c r="S364" s="16"/>
      <c r="T364" s="19"/>
      <c r="U364" s="16"/>
      <c r="V364" s="19"/>
      <c r="W364" s="160"/>
      <c r="X364" s="160"/>
      <c r="Y364" s="160"/>
      <c r="Z364" s="160"/>
      <c r="AA364" s="160"/>
      <c r="AB364" s="10"/>
      <c r="AD364" s="160"/>
    </row>
    <row r="365" spans="4:30" x14ac:dyDescent="0.2">
      <c r="D365" s="8"/>
      <c r="E365" s="6"/>
      <c r="G365" s="10"/>
      <c r="J365" s="142"/>
      <c r="K365" s="15"/>
      <c r="L365" s="15"/>
      <c r="M365" s="15"/>
      <c r="N365" s="16"/>
      <c r="O365" s="8"/>
      <c r="P365" s="8"/>
      <c r="Q365" s="8"/>
      <c r="R365" s="16"/>
      <c r="S365" s="16"/>
      <c r="T365" s="19"/>
      <c r="U365" s="16"/>
      <c r="V365" s="19"/>
      <c r="W365" s="160"/>
      <c r="X365" s="160"/>
      <c r="Y365" s="160"/>
      <c r="Z365" s="160"/>
      <c r="AA365" s="160"/>
      <c r="AB365" s="10"/>
      <c r="AD365" s="160"/>
    </row>
    <row r="366" spans="4:30" x14ac:dyDescent="0.2">
      <c r="D366" s="8"/>
      <c r="E366" s="6"/>
      <c r="G366" s="10"/>
      <c r="J366" s="142"/>
      <c r="K366" s="15"/>
      <c r="L366" s="15"/>
      <c r="M366" s="15"/>
      <c r="N366" s="16"/>
      <c r="O366" s="8"/>
      <c r="P366" s="8"/>
      <c r="Q366" s="8"/>
      <c r="R366" s="16"/>
      <c r="S366" s="16"/>
      <c r="T366" s="19"/>
      <c r="U366" s="16"/>
      <c r="V366" s="19"/>
      <c r="W366" s="160"/>
      <c r="X366" s="160"/>
      <c r="Y366" s="160"/>
      <c r="Z366" s="160"/>
      <c r="AA366" s="160"/>
      <c r="AB366" s="10"/>
      <c r="AD366" s="160"/>
    </row>
    <row r="367" spans="4:30" x14ac:dyDescent="0.2">
      <c r="D367" s="8"/>
      <c r="E367" s="6"/>
      <c r="G367" s="10"/>
      <c r="J367" s="142"/>
      <c r="K367" s="15"/>
      <c r="L367" s="15"/>
      <c r="M367" s="15"/>
      <c r="N367" s="16"/>
      <c r="O367" s="8"/>
      <c r="P367" s="8"/>
      <c r="Q367" s="8"/>
      <c r="R367" s="16"/>
      <c r="S367" s="16"/>
      <c r="T367" s="19"/>
      <c r="U367" s="16"/>
      <c r="V367" s="19"/>
      <c r="W367" s="160"/>
      <c r="X367" s="160"/>
      <c r="Y367" s="160"/>
      <c r="Z367" s="160"/>
      <c r="AA367" s="160"/>
      <c r="AB367" s="10"/>
      <c r="AD367" s="160"/>
    </row>
    <row r="368" spans="4:30" x14ac:dyDescent="0.2">
      <c r="D368" s="8"/>
      <c r="E368" s="6"/>
      <c r="G368" s="10"/>
      <c r="J368" s="142"/>
      <c r="K368" s="15"/>
      <c r="L368" s="15"/>
      <c r="M368" s="15"/>
      <c r="N368" s="16"/>
      <c r="O368" s="8"/>
      <c r="P368" s="8"/>
      <c r="Q368" s="8"/>
      <c r="R368" s="16"/>
      <c r="S368" s="16"/>
      <c r="T368" s="19"/>
      <c r="U368" s="16"/>
      <c r="V368" s="19"/>
      <c r="W368" s="160"/>
      <c r="X368" s="160"/>
      <c r="Y368" s="160"/>
      <c r="Z368" s="160"/>
      <c r="AA368" s="160"/>
      <c r="AB368" s="10"/>
      <c r="AD368" s="160"/>
    </row>
    <row r="369" spans="4:30" x14ac:dyDescent="0.2">
      <c r="D369" s="8"/>
      <c r="E369" s="6"/>
      <c r="G369" s="10"/>
      <c r="J369" s="142"/>
      <c r="K369" s="15"/>
      <c r="L369" s="15"/>
      <c r="M369" s="15"/>
      <c r="N369" s="16"/>
      <c r="O369" s="8"/>
      <c r="P369" s="8"/>
      <c r="Q369" s="8"/>
      <c r="R369" s="16"/>
      <c r="S369" s="16"/>
      <c r="T369" s="19"/>
      <c r="U369" s="16"/>
      <c r="V369" s="19"/>
      <c r="W369" s="160"/>
      <c r="X369" s="160"/>
      <c r="Y369" s="160"/>
      <c r="Z369" s="160"/>
      <c r="AA369" s="160"/>
      <c r="AB369" s="10"/>
      <c r="AD369" s="160"/>
    </row>
    <row r="370" spans="4:30" x14ac:dyDescent="0.2">
      <c r="D370" s="8"/>
      <c r="E370" s="6"/>
      <c r="G370" s="10"/>
      <c r="J370" s="142"/>
      <c r="K370" s="15"/>
      <c r="L370" s="15"/>
      <c r="M370" s="15"/>
      <c r="N370" s="16"/>
      <c r="O370" s="8"/>
      <c r="P370" s="8"/>
      <c r="Q370" s="8"/>
      <c r="R370" s="16"/>
      <c r="S370" s="16"/>
      <c r="T370" s="19"/>
      <c r="U370" s="16"/>
      <c r="V370" s="19"/>
      <c r="W370" s="160"/>
      <c r="X370" s="160"/>
      <c r="Y370" s="160"/>
      <c r="Z370" s="160"/>
      <c r="AA370" s="160"/>
      <c r="AB370" s="10"/>
      <c r="AD370" s="160"/>
    </row>
    <row r="371" spans="4:30" x14ac:dyDescent="0.2">
      <c r="D371" s="8"/>
      <c r="E371" s="6"/>
      <c r="G371" s="10"/>
      <c r="J371" s="142"/>
      <c r="K371" s="15"/>
      <c r="L371" s="15"/>
      <c r="M371" s="15"/>
      <c r="N371" s="16"/>
      <c r="O371" s="8"/>
      <c r="P371" s="8"/>
      <c r="Q371" s="8"/>
      <c r="R371" s="16"/>
      <c r="S371" s="16"/>
      <c r="T371" s="19"/>
      <c r="U371" s="16"/>
      <c r="V371" s="19"/>
      <c r="W371" s="160"/>
      <c r="X371" s="160"/>
      <c r="Y371" s="160"/>
      <c r="Z371" s="160"/>
      <c r="AA371" s="160"/>
      <c r="AB371" s="10"/>
      <c r="AD371" s="160"/>
    </row>
    <row r="372" spans="4:30" x14ac:dyDescent="0.2">
      <c r="D372" s="8"/>
      <c r="E372" s="6"/>
      <c r="G372" s="10"/>
      <c r="J372" s="142"/>
      <c r="K372" s="15"/>
      <c r="L372" s="15"/>
      <c r="M372" s="15"/>
      <c r="N372" s="16"/>
      <c r="O372" s="8"/>
      <c r="P372" s="8"/>
      <c r="Q372" s="8"/>
      <c r="R372" s="16"/>
      <c r="S372" s="16"/>
      <c r="T372" s="19"/>
      <c r="U372" s="16"/>
      <c r="V372" s="19"/>
      <c r="W372" s="160"/>
      <c r="X372" s="160"/>
      <c r="Y372" s="160"/>
      <c r="Z372" s="160"/>
      <c r="AA372" s="160"/>
      <c r="AB372" s="10"/>
      <c r="AD372" s="160"/>
    </row>
    <row r="373" spans="4:30" x14ac:dyDescent="0.2">
      <c r="D373" s="8"/>
      <c r="E373" s="6"/>
      <c r="G373" s="10"/>
      <c r="J373" s="142"/>
      <c r="K373" s="15"/>
      <c r="L373" s="15"/>
      <c r="M373" s="15"/>
      <c r="N373" s="16"/>
      <c r="O373" s="8"/>
      <c r="P373" s="8"/>
      <c r="Q373" s="8"/>
      <c r="R373" s="16"/>
      <c r="S373" s="16"/>
      <c r="T373" s="19"/>
      <c r="U373" s="16"/>
      <c r="V373" s="19"/>
      <c r="W373" s="160"/>
      <c r="X373" s="160"/>
      <c r="Y373" s="160"/>
      <c r="Z373" s="160"/>
      <c r="AA373" s="160"/>
      <c r="AB373" s="10"/>
      <c r="AD373" s="160"/>
    </row>
    <row r="374" spans="4:30" x14ac:dyDescent="0.2">
      <c r="D374" s="8"/>
      <c r="E374" s="6"/>
      <c r="G374" s="10"/>
      <c r="J374" s="142"/>
      <c r="K374" s="15"/>
      <c r="L374" s="15"/>
      <c r="M374" s="15"/>
      <c r="N374" s="16"/>
      <c r="O374" s="8"/>
      <c r="P374" s="8"/>
      <c r="Q374" s="8"/>
      <c r="R374" s="16"/>
      <c r="S374" s="16"/>
      <c r="T374" s="19"/>
      <c r="U374" s="16"/>
      <c r="V374" s="19"/>
      <c r="W374" s="160"/>
      <c r="X374" s="160"/>
      <c r="Y374" s="160"/>
      <c r="Z374" s="160"/>
      <c r="AA374" s="160"/>
      <c r="AB374" s="10"/>
      <c r="AD374" s="160"/>
    </row>
    <row r="375" spans="4:30" x14ac:dyDescent="0.2">
      <c r="D375" s="8"/>
      <c r="E375" s="6"/>
      <c r="G375" s="10"/>
      <c r="J375" s="142"/>
      <c r="K375" s="15"/>
      <c r="L375" s="15"/>
      <c r="M375" s="15"/>
      <c r="N375" s="16"/>
      <c r="O375" s="8"/>
      <c r="P375" s="8"/>
      <c r="Q375" s="8"/>
      <c r="R375" s="16"/>
      <c r="S375" s="16"/>
      <c r="T375" s="19"/>
      <c r="U375" s="16"/>
      <c r="V375" s="19"/>
      <c r="W375" s="160"/>
      <c r="X375" s="160"/>
      <c r="Y375" s="160"/>
      <c r="Z375" s="160"/>
      <c r="AA375" s="160"/>
      <c r="AB375" s="10"/>
      <c r="AD375" s="160"/>
    </row>
    <row r="376" spans="4:30" x14ac:dyDescent="0.2">
      <c r="D376" s="8"/>
      <c r="E376" s="6"/>
      <c r="G376" s="10"/>
      <c r="J376" s="142"/>
      <c r="K376" s="15"/>
      <c r="L376" s="15"/>
      <c r="M376" s="15"/>
      <c r="N376" s="16"/>
      <c r="O376" s="8"/>
      <c r="P376" s="8"/>
      <c r="Q376" s="8"/>
      <c r="R376" s="16"/>
      <c r="S376" s="16"/>
      <c r="T376" s="19"/>
      <c r="U376" s="16"/>
      <c r="V376" s="19"/>
      <c r="W376" s="160"/>
      <c r="X376" s="160"/>
      <c r="Y376" s="160"/>
      <c r="Z376" s="160"/>
      <c r="AA376" s="160"/>
      <c r="AB376" s="10"/>
      <c r="AD376" s="160"/>
    </row>
    <row r="377" spans="4:30" x14ac:dyDescent="0.2">
      <c r="D377" s="8"/>
      <c r="E377" s="6"/>
      <c r="G377" s="10"/>
      <c r="J377" s="142"/>
      <c r="K377" s="15"/>
      <c r="L377" s="15"/>
      <c r="M377" s="15"/>
      <c r="N377" s="16"/>
      <c r="O377" s="8"/>
      <c r="P377" s="8"/>
      <c r="Q377" s="8"/>
      <c r="R377" s="16"/>
      <c r="S377" s="16"/>
      <c r="T377" s="19"/>
      <c r="U377" s="16"/>
      <c r="V377" s="19"/>
      <c r="W377" s="160"/>
      <c r="X377" s="160"/>
      <c r="Y377" s="160"/>
      <c r="Z377" s="160"/>
      <c r="AA377" s="160"/>
      <c r="AB377" s="10"/>
      <c r="AD377" s="160"/>
    </row>
    <row r="378" spans="4:30" x14ac:dyDescent="0.2">
      <c r="D378" s="8"/>
      <c r="E378" s="6"/>
      <c r="G378" s="10"/>
      <c r="J378" s="142"/>
      <c r="K378" s="15"/>
      <c r="L378" s="15"/>
      <c r="M378" s="15"/>
      <c r="N378" s="16"/>
      <c r="O378" s="8"/>
      <c r="P378" s="8"/>
      <c r="Q378" s="8"/>
      <c r="R378" s="16"/>
      <c r="S378" s="16"/>
      <c r="T378" s="19"/>
      <c r="U378" s="16"/>
      <c r="V378" s="19"/>
      <c r="W378" s="160"/>
      <c r="X378" s="160"/>
      <c r="Y378" s="160"/>
      <c r="Z378" s="160"/>
      <c r="AA378" s="160"/>
      <c r="AB378" s="10"/>
      <c r="AD378" s="160"/>
    </row>
    <row r="379" spans="4:30" x14ac:dyDescent="0.2">
      <c r="D379" s="8"/>
      <c r="E379" s="6"/>
      <c r="G379" s="10"/>
      <c r="J379" s="142"/>
      <c r="K379" s="15"/>
      <c r="L379" s="15"/>
      <c r="M379" s="15"/>
      <c r="N379" s="16"/>
      <c r="O379" s="8"/>
      <c r="P379" s="8"/>
      <c r="Q379" s="8"/>
      <c r="R379" s="16"/>
      <c r="S379" s="16"/>
      <c r="T379" s="19"/>
      <c r="U379" s="16"/>
      <c r="V379" s="19"/>
      <c r="W379" s="160"/>
      <c r="X379" s="160"/>
      <c r="Y379" s="160"/>
      <c r="Z379" s="160"/>
      <c r="AA379" s="160"/>
      <c r="AB379" s="10"/>
      <c r="AD379" s="160"/>
    </row>
    <row r="380" spans="4:30" x14ac:dyDescent="0.2">
      <c r="D380" s="8"/>
      <c r="E380" s="6"/>
      <c r="G380" s="10"/>
      <c r="J380" s="142"/>
      <c r="K380" s="15"/>
      <c r="L380" s="15"/>
      <c r="M380" s="15"/>
      <c r="N380" s="16"/>
      <c r="O380" s="8"/>
      <c r="P380" s="8"/>
      <c r="Q380" s="8"/>
      <c r="R380" s="16"/>
      <c r="S380" s="16"/>
      <c r="T380" s="19"/>
      <c r="U380" s="16"/>
      <c r="V380" s="19"/>
      <c r="W380" s="160"/>
      <c r="X380" s="160"/>
      <c r="Y380" s="160"/>
      <c r="Z380" s="160"/>
      <c r="AA380" s="160"/>
      <c r="AB380" s="10"/>
      <c r="AD380" s="160"/>
    </row>
    <row r="381" spans="4:30" x14ac:dyDescent="0.2">
      <c r="D381" s="8"/>
      <c r="E381" s="6"/>
      <c r="G381" s="10"/>
      <c r="J381" s="142"/>
      <c r="K381" s="15"/>
      <c r="L381" s="15"/>
      <c r="M381" s="15"/>
      <c r="N381" s="16"/>
      <c r="O381" s="8"/>
      <c r="P381" s="8"/>
      <c r="Q381" s="8"/>
      <c r="R381" s="16"/>
      <c r="S381" s="16"/>
      <c r="T381" s="19"/>
      <c r="U381" s="16"/>
      <c r="V381" s="19"/>
      <c r="W381" s="160"/>
      <c r="X381" s="160"/>
      <c r="Y381" s="160"/>
      <c r="Z381" s="160"/>
      <c r="AA381" s="160"/>
      <c r="AB381" s="10"/>
      <c r="AD381" s="160"/>
    </row>
    <row r="382" spans="4:30" x14ac:dyDescent="0.2">
      <c r="D382" s="8"/>
      <c r="E382" s="6"/>
      <c r="G382" s="10"/>
      <c r="J382" s="142"/>
      <c r="K382" s="15"/>
      <c r="L382" s="15"/>
      <c r="M382" s="15"/>
      <c r="N382" s="16"/>
      <c r="O382" s="8"/>
      <c r="P382" s="8"/>
      <c r="Q382" s="8"/>
      <c r="R382" s="16"/>
      <c r="S382" s="16"/>
      <c r="T382" s="19"/>
      <c r="U382" s="16"/>
      <c r="V382" s="19"/>
      <c r="W382" s="160"/>
      <c r="X382" s="160"/>
      <c r="Y382" s="160"/>
      <c r="Z382" s="160"/>
      <c r="AA382" s="160"/>
      <c r="AB382" s="10"/>
      <c r="AD382" s="160"/>
    </row>
    <row r="383" spans="4:30" x14ac:dyDescent="0.2">
      <c r="D383" s="8"/>
      <c r="E383" s="6"/>
      <c r="G383" s="10"/>
      <c r="J383" s="142"/>
      <c r="K383" s="15"/>
      <c r="L383" s="15"/>
      <c r="M383" s="15"/>
      <c r="N383" s="16"/>
      <c r="O383" s="8"/>
      <c r="P383" s="8"/>
      <c r="Q383" s="8"/>
      <c r="R383" s="16"/>
      <c r="S383" s="16"/>
      <c r="T383" s="19"/>
      <c r="U383" s="16"/>
      <c r="V383" s="19"/>
      <c r="W383" s="160"/>
      <c r="X383" s="160"/>
      <c r="Y383" s="160"/>
      <c r="Z383" s="160"/>
      <c r="AA383" s="160"/>
      <c r="AB383" s="10"/>
      <c r="AD383" s="160"/>
    </row>
    <row r="384" spans="4:30" x14ac:dyDescent="0.2">
      <c r="D384" s="8"/>
      <c r="E384" s="6"/>
      <c r="G384" s="10"/>
      <c r="J384" s="142"/>
      <c r="K384" s="15"/>
      <c r="L384" s="15"/>
      <c r="M384" s="15"/>
      <c r="N384" s="16"/>
      <c r="O384" s="8"/>
      <c r="P384" s="8"/>
      <c r="Q384" s="8"/>
      <c r="R384" s="16"/>
      <c r="S384" s="16"/>
      <c r="T384" s="19"/>
      <c r="U384" s="16"/>
      <c r="V384" s="19"/>
      <c r="W384" s="160"/>
      <c r="X384" s="160"/>
      <c r="Y384" s="160"/>
      <c r="Z384" s="160"/>
      <c r="AA384" s="160"/>
      <c r="AB384" s="10"/>
      <c r="AD384" s="160"/>
    </row>
    <row r="385" spans="4:30" x14ac:dyDescent="0.2">
      <c r="D385" s="8"/>
      <c r="E385" s="6"/>
      <c r="G385" s="10"/>
      <c r="J385" s="142"/>
      <c r="K385" s="15"/>
      <c r="L385" s="15"/>
      <c r="M385" s="15"/>
      <c r="N385" s="16"/>
      <c r="O385" s="8"/>
      <c r="P385" s="8"/>
      <c r="Q385" s="8"/>
      <c r="R385" s="16"/>
      <c r="S385" s="16"/>
      <c r="T385" s="19"/>
      <c r="U385" s="16"/>
      <c r="V385" s="19"/>
      <c r="W385" s="160"/>
      <c r="X385" s="160"/>
      <c r="Y385" s="160"/>
      <c r="Z385" s="160"/>
      <c r="AA385" s="160"/>
      <c r="AB385" s="10"/>
      <c r="AD385" s="160"/>
    </row>
    <row r="386" spans="4:30" x14ac:dyDescent="0.2">
      <c r="D386" s="8"/>
      <c r="E386" s="6"/>
      <c r="G386" s="10"/>
      <c r="J386" s="142"/>
      <c r="K386" s="15"/>
      <c r="L386" s="15"/>
      <c r="M386" s="15"/>
      <c r="N386" s="16"/>
      <c r="O386" s="8"/>
      <c r="P386" s="8"/>
      <c r="Q386" s="8"/>
      <c r="R386" s="16"/>
      <c r="S386" s="16"/>
      <c r="T386" s="19"/>
      <c r="U386" s="16"/>
      <c r="V386" s="19"/>
      <c r="W386" s="160"/>
      <c r="X386" s="160"/>
      <c r="Y386" s="160"/>
      <c r="Z386" s="160"/>
      <c r="AA386" s="160"/>
      <c r="AB386" s="10"/>
      <c r="AD386" s="160"/>
    </row>
    <row r="387" spans="4:30" x14ac:dyDescent="0.2">
      <c r="D387" s="8"/>
      <c r="E387" s="6"/>
      <c r="G387" s="10"/>
      <c r="J387" s="142"/>
      <c r="K387" s="15"/>
      <c r="L387" s="15"/>
      <c r="M387" s="15"/>
      <c r="N387" s="16"/>
      <c r="O387" s="8"/>
      <c r="P387" s="8"/>
      <c r="Q387" s="8"/>
      <c r="R387" s="16"/>
      <c r="S387" s="16"/>
      <c r="T387" s="19"/>
      <c r="U387" s="16"/>
      <c r="V387" s="19"/>
      <c r="W387" s="160"/>
      <c r="X387" s="160"/>
      <c r="Y387" s="160"/>
      <c r="Z387" s="160"/>
      <c r="AA387" s="160"/>
      <c r="AB387" s="10"/>
      <c r="AD387" s="160"/>
    </row>
    <row r="388" spans="4:30" x14ac:dyDescent="0.2">
      <c r="D388" s="8"/>
      <c r="E388" s="6"/>
      <c r="G388" s="10"/>
      <c r="J388" s="142"/>
      <c r="K388" s="15"/>
      <c r="L388" s="15"/>
      <c r="M388" s="15"/>
      <c r="N388" s="16"/>
      <c r="O388" s="8"/>
      <c r="P388" s="8"/>
      <c r="Q388" s="8"/>
      <c r="R388" s="16"/>
      <c r="S388" s="16"/>
      <c r="T388" s="19"/>
      <c r="U388" s="16"/>
      <c r="V388" s="19"/>
      <c r="W388" s="160"/>
      <c r="X388" s="160"/>
      <c r="Y388" s="160"/>
      <c r="Z388" s="160"/>
      <c r="AA388" s="160"/>
      <c r="AB388" s="10"/>
      <c r="AD388" s="160"/>
    </row>
    <row r="389" spans="4:30" x14ac:dyDescent="0.2">
      <c r="D389" s="8"/>
      <c r="E389" s="6"/>
      <c r="G389" s="10"/>
      <c r="J389" s="142"/>
      <c r="K389" s="15"/>
      <c r="L389" s="15"/>
      <c r="M389" s="15"/>
      <c r="N389" s="16"/>
      <c r="O389" s="8"/>
      <c r="P389" s="8"/>
      <c r="Q389" s="8"/>
      <c r="R389" s="16"/>
      <c r="S389" s="16"/>
      <c r="T389" s="19"/>
      <c r="U389" s="16"/>
      <c r="V389" s="19"/>
      <c r="W389" s="160"/>
      <c r="X389" s="160"/>
      <c r="Y389" s="160"/>
      <c r="Z389" s="160"/>
      <c r="AA389" s="160"/>
      <c r="AB389" s="10"/>
      <c r="AD389" s="160"/>
    </row>
    <row r="390" spans="4:30" x14ac:dyDescent="0.2">
      <c r="D390" s="8"/>
      <c r="E390" s="6"/>
      <c r="G390" s="10"/>
      <c r="J390" s="142"/>
      <c r="K390" s="15"/>
      <c r="L390" s="15"/>
      <c r="M390" s="15"/>
      <c r="N390" s="16"/>
      <c r="O390" s="8"/>
      <c r="P390" s="8"/>
      <c r="Q390" s="8"/>
      <c r="R390" s="16"/>
      <c r="S390" s="16"/>
      <c r="T390" s="19"/>
      <c r="U390" s="16"/>
      <c r="V390" s="19"/>
      <c r="W390" s="160"/>
      <c r="X390" s="160"/>
      <c r="Y390" s="160"/>
      <c r="Z390" s="160"/>
      <c r="AA390" s="160"/>
      <c r="AB390" s="10"/>
      <c r="AD390" s="160"/>
    </row>
    <row r="391" spans="4:30" x14ac:dyDescent="0.2">
      <c r="D391" s="8"/>
      <c r="E391" s="6"/>
      <c r="G391" s="10"/>
      <c r="J391" s="142"/>
      <c r="K391" s="15"/>
      <c r="L391" s="15"/>
      <c r="M391" s="15"/>
      <c r="N391" s="16"/>
      <c r="O391" s="8"/>
      <c r="P391" s="8"/>
      <c r="Q391" s="8"/>
      <c r="R391" s="16"/>
      <c r="S391" s="16"/>
      <c r="T391" s="19"/>
      <c r="U391" s="16"/>
      <c r="V391" s="19"/>
      <c r="W391" s="160"/>
      <c r="X391" s="160"/>
      <c r="Y391" s="160"/>
      <c r="Z391" s="160"/>
      <c r="AA391" s="160"/>
      <c r="AB391" s="10"/>
      <c r="AD391" s="160"/>
    </row>
    <row r="392" spans="4:30" x14ac:dyDescent="0.2">
      <c r="D392" s="8"/>
      <c r="E392" s="6"/>
      <c r="G392" s="10"/>
      <c r="J392" s="142"/>
      <c r="K392" s="15"/>
      <c r="L392" s="15"/>
      <c r="M392" s="15"/>
      <c r="N392" s="16"/>
      <c r="O392" s="8"/>
      <c r="P392" s="8"/>
      <c r="Q392" s="8"/>
      <c r="R392" s="16"/>
      <c r="S392" s="16"/>
      <c r="T392" s="19"/>
      <c r="U392" s="16"/>
      <c r="V392" s="19"/>
      <c r="W392" s="160"/>
      <c r="X392" s="160"/>
      <c r="Y392" s="160"/>
      <c r="Z392" s="160"/>
      <c r="AA392" s="160"/>
      <c r="AB392" s="10"/>
      <c r="AD392" s="160"/>
    </row>
    <row r="393" spans="4:30" x14ac:dyDescent="0.2">
      <c r="D393" s="8"/>
      <c r="E393" s="6"/>
      <c r="G393" s="10"/>
      <c r="J393" s="142"/>
      <c r="K393" s="15"/>
      <c r="L393" s="15"/>
      <c r="M393" s="15"/>
      <c r="N393" s="16"/>
      <c r="O393" s="8"/>
      <c r="P393" s="8"/>
      <c r="Q393" s="8"/>
      <c r="R393" s="16"/>
      <c r="S393" s="16"/>
      <c r="T393" s="19"/>
      <c r="U393" s="16"/>
      <c r="V393" s="19"/>
      <c r="W393" s="160"/>
      <c r="X393" s="160"/>
      <c r="Y393" s="160"/>
      <c r="Z393" s="160"/>
      <c r="AA393" s="160"/>
      <c r="AB393" s="10"/>
      <c r="AD393" s="160"/>
    </row>
    <row r="394" spans="4:30" x14ac:dyDescent="0.2">
      <c r="D394" s="8"/>
      <c r="E394" s="6"/>
      <c r="G394" s="10"/>
      <c r="J394" s="142"/>
      <c r="K394" s="15"/>
      <c r="L394" s="15"/>
      <c r="M394" s="15"/>
      <c r="N394" s="16"/>
      <c r="O394" s="8"/>
      <c r="P394" s="8"/>
      <c r="Q394" s="8"/>
      <c r="R394" s="16"/>
      <c r="S394" s="16"/>
      <c r="T394" s="19"/>
      <c r="U394" s="16"/>
      <c r="V394" s="19"/>
      <c r="W394" s="160"/>
      <c r="X394" s="160"/>
      <c r="Y394" s="160"/>
      <c r="Z394" s="160"/>
      <c r="AA394" s="160"/>
      <c r="AB394" s="10"/>
      <c r="AD394" s="160"/>
    </row>
    <row r="395" spans="4:30" x14ac:dyDescent="0.2">
      <c r="D395" s="8"/>
      <c r="E395" s="6"/>
      <c r="G395" s="10"/>
      <c r="J395" s="142"/>
      <c r="K395" s="15"/>
      <c r="L395" s="15"/>
      <c r="M395" s="15"/>
      <c r="N395" s="16"/>
      <c r="O395" s="8"/>
      <c r="P395" s="8"/>
      <c r="Q395" s="8"/>
      <c r="R395" s="16"/>
      <c r="S395" s="16"/>
      <c r="T395" s="19"/>
      <c r="U395" s="16"/>
      <c r="V395" s="19"/>
      <c r="W395" s="160"/>
      <c r="X395" s="160"/>
      <c r="Y395" s="160"/>
      <c r="Z395" s="160"/>
      <c r="AA395" s="160"/>
      <c r="AB395" s="10"/>
      <c r="AD395" s="160"/>
    </row>
    <row r="396" spans="4:30" x14ac:dyDescent="0.2">
      <c r="D396" s="8"/>
      <c r="E396" s="6"/>
      <c r="G396" s="10"/>
      <c r="J396" s="142"/>
      <c r="K396" s="15"/>
      <c r="L396" s="15"/>
      <c r="M396" s="15"/>
      <c r="N396" s="16"/>
      <c r="O396" s="8"/>
      <c r="P396" s="8"/>
      <c r="Q396" s="8"/>
      <c r="R396" s="16"/>
      <c r="S396" s="16"/>
      <c r="T396" s="19"/>
      <c r="U396" s="16"/>
      <c r="V396" s="19"/>
      <c r="W396" s="160"/>
      <c r="X396" s="160"/>
      <c r="Y396" s="160"/>
      <c r="Z396" s="160"/>
      <c r="AA396" s="160"/>
      <c r="AB396" s="10"/>
      <c r="AD396" s="160"/>
    </row>
    <row r="397" spans="4:30" x14ac:dyDescent="0.2">
      <c r="D397" s="8"/>
      <c r="E397" s="6"/>
      <c r="G397" s="10"/>
      <c r="J397" s="142"/>
      <c r="K397" s="15"/>
      <c r="L397" s="15"/>
      <c r="M397" s="15"/>
      <c r="N397" s="16"/>
      <c r="O397" s="8"/>
      <c r="P397" s="8"/>
      <c r="Q397" s="8"/>
      <c r="R397" s="16"/>
      <c r="S397" s="16"/>
      <c r="T397" s="19"/>
      <c r="U397" s="16"/>
      <c r="V397" s="19"/>
      <c r="W397" s="160"/>
      <c r="X397" s="160"/>
      <c r="Y397" s="160"/>
      <c r="Z397" s="160"/>
      <c r="AA397" s="160"/>
      <c r="AB397" s="10"/>
      <c r="AD397" s="160"/>
    </row>
    <row r="398" spans="4:30" x14ac:dyDescent="0.2">
      <c r="D398" s="8"/>
      <c r="E398" s="6"/>
      <c r="G398" s="10"/>
      <c r="J398" s="142"/>
      <c r="K398" s="15"/>
      <c r="L398" s="15"/>
      <c r="M398" s="15"/>
      <c r="N398" s="16"/>
      <c r="O398" s="8"/>
      <c r="P398" s="8"/>
      <c r="Q398" s="8"/>
      <c r="R398" s="16"/>
      <c r="S398" s="16"/>
      <c r="T398" s="19"/>
      <c r="U398" s="16"/>
      <c r="V398" s="19"/>
      <c r="W398" s="160"/>
      <c r="X398" s="160"/>
      <c r="Y398" s="160"/>
      <c r="Z398" s="160"/>
      <c r="AA398" s="160"/>
      <c r="AB398" s="10"/>
      <c r="AD398" s="160"/>
    </row>
    <row r="399" spans="4:30" x14ac:dyDescent="0.2">
      <c r="D399" s="8"/>
      <c r="E399" s="6"/>
      <c r="G399" s="10"/>
      <c r="J399" s="142"/>
      <c r="K399" s="15"/>
      <c r="L399" s="15"/>
      <c r="M399" s="15"/>
      <c r="N399" s="16"/>
      <c r="O399" s="8"/>
      <c r="P399" s="8"/>
      <c r="Q399" s="8"/>
      <c r="R399" s="16"/>
      <c r="S399" s="16"/>
      <c r="T399" s="19"/>
      <c r="U399" s="16"/>
      <c r="V399" s="19"/>
      <c r="W399" s="160"/>
      <c r="X399" s="160"/>
      <c r="Y399" s="160"/>
      <c r="Z399" s="160"/>
      <c r="AA399" s="160"/>
      <c r="AB399" s="10"/>
      <c r="AD399" s="160"/>
    </row>
    <row r="400" spans="4:30" x14ac:dyDescent="0.2">
      <c r="D400" s="8"/>
      <c r="E400" s="6"/>
      <c r="G400" s="10"/>
      <c r="J400" s="142"/>
      <c r="K400" s="15"/>
      <c r="L400" s="15"/>
      <c r="M400" s="15"/>
      <c r="N400" s="16"/>
      <c r="O400" s="8"/>
      <c r="P400" s="8"/>
      <c r="Q400" s="8"/>
      <c r="R400" s="16"/>
      <c r="S400" s="16"/>
      <c r="T400" s="19"/>
      <c r="U400" s="16"/>
      <c r="V400" s="19"/>
      <c r="W400" s="160"/>
      <c r="X400" s="160"/>
      <c r="Y400" s="160"/>
      <c r="Z400" s="160"/>
      <c r="AA400" s="160"/>
      <c r="AB400" s="10"/>
      <c r="AD400" s="160"/>
    </row>
    <row r="401" spans="4:30" x14ac:dyDescent="0.2">
      <c r="D401" s="8"/>
      <c r="E401" s="6"/>
      <c r="G401" s="10"/>
      <c r="J401" s="142"/>
      <c r="K401" s="15"/>
      <c r="L401" s="15"/>
      <c r="M401" s="15"/>
      <c r="N401" s="16"/>
      <c r="O401" s="8"/>
      <c r="P401" s="8"/>
      <c r="Q401" s="8"/>
      <c r="R401" s="16"/>
      <c r="S401" s="16"/>
      <c r="T401" s="19"/>
      <c r="U401" s="16"/>
      <c r="V401" s="19"/>
      <c r="W401" s="160"/>
      <c r="X401" s="160"/>
      <c r="Y401" s="160"/>
      <c r="Z401" s="160"/>
      <c r="AA401" s="160"/>
      <c r="AB401" s="10"/>
      <c r="AD401" s="160"/>
    </row>
    <row r="402" spans="4:30" x14ac:dyDescent="0.2">
      <c r="D402" s="8"/>
      <c r="E402" s="6"/>
      <c r="G402" s="10"/>
      <c r="J402" s="142"/>
      <c r="K402" s="15"/>
      <c r="L402" s="15"/>
      <c r="M402" s="15"/>
      <c r="N402" s="16"/>
      <c r="O402" s="8"/>
      <c r="P402" s="8"/>
      <c r="Q402" s="8"/>
      <c r="R402" s="16"/>
      <c r="S402" s="16"/>
      <c r="T402" s="19"/>
      <c r="U402" s="16"/>
      <c r="V402" s="19"/>
      <c r="W402" s="160"/>
      <c r="X402" s="160"/>
      <c r="Y402" s="160"/>
      <c r="Z402" s="160"/>
      <c r="AA402" s="160"/>
      <c r="AB402" s="10"/>
      <c r="AD402" s="160"/>
    </row>
    <row r="403" spans="4:30" x14ac:dyDescent="0.2">
      <c r="D403" s="8"/>
      <c r="E403" s="6"/>
      <c r="G403" s="10"/>
      <c r="J403" s="142"/>
      <c r="K403" s="15"/>
      <c r="L403" s="15"/>
      <c r="M403" s="15"/>
      <c r="N403" s="16"/>
      <c r="O403" s="8"/>
      <c r="P403" s="8"/>
      <c r="Q403" s="8"/>
      <c r="R403" s="16"/>
      <c r="S403" s="16"/>
      <c r="T403" s="19"/>
      <c r="U403" s="16"/>
      <c r="V403" s="19"/>
      <c r="W403" s="160"/>
      <c r="X403" s="160"/>
      <c r="Y403" s="160"/>
      <c r="Z403" s="160"/>
      <c r="AA403" s="160"/>
      <c r="AB403" s="10"/>
      <c r="AD403" s="160"/>
    </row>
    <row r="404" spans="4:30" x14ac:dyDescent="0.2">
      <c r="D404" s="8"/>
      <c r="E404" s="6"/>
      <c r="G404" s="10"/>
      <c r="J404" s="142"/>
      <c r="K404" s="15"/>
      <c r="L404" s="15"/>
      <c r="M404" s="15"/>
      <c r="N404" s="16"/>
      <c r="O404" s="8"/>
      <c r="P404" s="8"/>
      <c r="Q404" s="8"/>
      <c r="R404" s="16"/>
      <c r="S404" s="16"/>
      <c r="T404" s="19"/>
      <c r="U404" s="16"/>
      <c r="V404" s="19"/>
      <c r="W404" s="160"/>
      <c r="X404" s="160"/>
      <c r="Y404" s="160"/>
      <c r="Z404" s="160"/>
      <c r="AA404" s="160"/>
      <c r="AB404" s="10"/>
      <c r="AD404" s="160"/>
    </row>
    <row r="405" spans="4:30" x14ac:dyDescent="0.2">
      <c r="D405" s="8"/>
      <c r="E405" s="6"/>
      <c r="G405" s="10"/>
      <c r="J405" s="142"/>
      <c r="K405" s="15"/>
      <c r="L405" s="15"/>
      <c r="M405" s="15"/>
      <c r="N405" s="16"/>
      <c r="O405" s="8"/>
      <c r="P405" s="8"/>
      <c r="Q405" s="8"/>
      <c r="R405" s="16"/>
      <c r="S405" s="16"/>
      <c r="T405" s="19"/>
      <c r="U405" s="16"/>
      <c r="V405" s="19"/>
      <c r="W405" s="160"/>
      <c r="X405" s="160"/>
      <c r="Y405" s="160"/>
      <c r="Z405" s="160"/>
      <c r="AA405" s="160"/>
      <c r="AB405" s="10"/>
      <c r="AD405" s="160"/>
    </row>
    <row r="406" spans="4:30" x14ac:dyDescent="0.2">
      <c r="D406" s="8"/>
      <c r="E406" s="6"/>
      <c r="G406" s="10"/>
      <c r="J406" s="142"/>
      <c r="K406" s="15"/>
      <c r="L406" s="15"/>
      <c r="M406" s="15"/>
      <c r="N406" s="16"/>
      <c r="O406" s="8"/>
      <c r="P406" s="8"/>
      <c r="Q406" s="8"/>
      <c r="R406" s="16"/>
      <c r="S406" s="16"/>
      <c r="T406" s="19"/>
      <c r="U406" s="16"/>
      <c r="V406" s="19"/>
      <c r="W406" s="160"/>
      <c r="X406" s="160"/>
      <c r="Y406" s="160"/>
      <c r="Z406" s="160"/>
      <c r="AA406" s="160"/>
      <c r="AB406" s="10"/>
      <c r="AD406" s="160"/>
    </row>
    <row r="407" spans="4:30" x14ac:dyDescent="0.2">
      <c r="D407" s="8"/>
      <c r="E407" s="6"/>
      <c r="G407" s="10"/>
      <c r="J407" s="142"/>
      <c r="K407" s="15"/>
      <c r="L407" s="15"/>
      <c r="M407" s="15"/>
      <c r="N407" s="16"/>
      <c r="O407" s="8"/>
      <c r="P407" s="8"/>
      <c r="Q407" s="8"/>
      <c r="R407" s="16"/>
      <c r="S407" s="16"/>
      <c r="T407" s="19"/>
      <c r="U407" s="16"/>
      <c r="V407" s="19"/>
      <c r="W407" s="160"/>
      <c r="X407" s="160"/>
      <c r="Y407" s="160"/>
      <c r="Z407" s="160"/>
      <c r="AA407" s="160"/>
      <c r="AB407" s="10"/>
      <c r="AD407" s="160"/>
    </row>
    <row r="408" spans="4:30" x14ac:dyDescent="0.2">
      <c r="D408" s="8"/>
      <c r="E408" s="6"/>
      <c r="G408" s="10"/>
      <c r="J408" s="142"/>
      <c r="K408" s="15"/>
      <c r="L408" s="15"/>
      <c r="M408" s="15"/>
      <c r="N408" s="16"/>
      <c r="O408" s="8"/>
      <c r="P408" s="8"/>
      <c r="Q408" s="8"/>
      <c r="R408" s="16"/>
      <c r="S408" s="16"/>
      <c r="T408" s="19"/>
      <c r="U408" s="16"/>
      <c r="V408" s="19"/>
      <c r="W408" s="160"/>
      <c r="X408" s="160"/>
      <c r="Y408" s="160"/>
      <c r="Z408" s="160"/>
      <c r="AA408" s="160"/>
      <c r="AB408" s="10"/>
      <c r="AD408" s="160"/>
    </row>
    <row r="409" spans="4:30" x14ac:dyDescent="0.2">
      <c r="D409" s="8"/>
      <c r="E409" s="6"/>
      <c r="G409" s="10"/>
      <c r="J409" s="142"/>
      <c r="K409" s="15"/>
      <c r="L409" s="15"/>
      <c r="M409" s="15"/>
      <c r="N409" s="16"/>
      <c r="O409" s="8"/>
      <c r="P409" s="8"/>
      <c r="Q409" s="8"/>
      <c r="R409" s="16"/>
      <c r="S409" s="16"/>
      <c r="T409" s="19"/>
      <c r="U409" s="16"/>
      <c r="V409" s="19"/>
      <c r="W409" s="160"/>
      <c r="X409" s="160"/>
      <c r="Y409" s="160"/>
      <c r="Z409" s="160"/>
      <c r="AA409" s="160"/>
      <c r="AB409" s="10"/>
      <c r="AD409" s="160"/>
    </row>
    <row r="410" spans="4:30" x14ac:dyDescent="0.2">
      <c r="D410" s="8"/>
      <c r="E410" s="6"/>
      <c r="G410" s="10"/>
      <c r="J410" s="142"/>
      <c r="K410" s="15"/>
      <c r="L410" s="15"/>
      <c r="M410" s="15"/>
      <c r="N410" s="16"/>
      <c r="O410" s="8"/>
      <c r="P410" s="8"/>
      <c r="Q410" s="8"/>
      <c r="R410" s="16"/>
      <c r="S410" s="16"/>
      <c r="T410" s="19"/>
      <c r="U410" s="16"/>
      <c r="V410" s="19"/>
      <c r="W410" s="160"/>
      <c r="X410" s="160"/>
      <c r="Y410" s="160"/>
      <c r="Z410" s="160"/>
      <c r="AA410" s="160"/>
      <c r="AB410" s="10"/>
      <c r="AD410" s="160"/>
    </row>
    <row r="411" spans="4:30" x14ac:dyDescent="0.2">
      <c r="D411" s="8"/>
      <c r="E411" s="6"/>
      <c r="G411" s="10"/>
      <c r="J411" s="142"/>
      <c r="K411" s="15"/>
      <c r="L411" s="15"/>
      <c r="M411" s="15"/>
      <c r="N411" s="16"/>
      <c r="O411" s="8"/>
      <c r="P411" s="8"/>
      <c r="Q411" s="8"/>
      <c r="R411" s="16"/>
      <c r="S411" s="16"/>
      <c r="T411" s="19"/>
      <c r="U411" s="16"/>
      <c r="V411" s="19"/>
      <c r="W411" s="160"/>
      <c r="X411" s="160"/>
      <c r="Y411" s="160"/>
      <c r="Z411" s="160"/>
      <c r="AA411" s="160"/>
      <c r="AB411" s="10"/>
      <c r="AD411" s="160"/>
    </row>
    <row r="412" spans="4:30" x14ac:dyDescent="0.2">
      <c r="D412" s="8"/>
      <c r="E412" s="6"/>
      <c r="G412" s="10"/>
      <c r="J412" s="142"/>
      <c r="K412" s="15"/>
      <c r="L412" s="15"/>
      <c r="M412" s="15"/>
      <c r="N412" s="16"/>
      <c r="O412" s="8"/>
      <c r="P412" s="8"/>
      <c r="Q412" s="8"/>
      <c r="R412" s="16"/>
      <c r="S412" s="16"/>
      <c r="T412" s="19"/>
      <c r="U412" s="16"/>
      <c r="V412" s="19"/>
      <c r="W412" s="160"/>
      <c r="X412" s="160"/>
      <c r="Y412" s="160"/>
      <c r="Z412" s="160"/>
      <c r="AA412" s="160"/>
      <c r="AB412" s="10"/>
      <c r="AD412" s="160"/>
    </row>
    <row r="413" spans="4:30" x14ac:dyDescent="0.2">
      <c r="D413" s="8"/>
      <c r="E413" s="6"/>
      <c r="G413" s="10"/>
      <c r="J413" s="142"/>
      <c r="K413" s="15"/>
      <c r="L413" s="15"/>
      <c r="M413" s="15"/>
      <c r="N413" s="16"/>
      <c r="O413" s="8"/>
      <c r="P413" s="8"/>
      <c r="Q413" s="8"/>
      <c r="R413" s="16"/>
      <c r="S413" s="16"/>
      <c r="T413" s="19"/>
      <c r="U413" s="16"/>
      <c r="V413" s="19"/>
      <c r="W413" s="160"/>
      <c r="X413" s="160"/>
      <c r="Y413" s="160"/>
      <c r="Z413" s="160"/>
      <c r="AA413" s="160"/>
      <c r="AB413" s="10"/>
      <c r="AD413" s="160"/>
    </row>
    <row r="414" spans="4:30" x14ac:dyDescent="0.2">
      <c r="D414" s="8"/>
      <c r="E414" s="6"/>
      <c r="G414" s="10"/>
      <c r="J414" s="142"/>
      <c r="K414" s="15"/>
      <c r="L414" s="15"/>
      <c r="M414" s="15"/>
      <c r="N414" s="16"/>
      <c r="O414" s="8"/>
      <c r="P414" s="8"/>
      <c r="Q414" s="8"/>
      <c r="R414" s="16"/>
      <c r="S414" s="16"/>
      <c r="T414" s="19"/>
      <c r="U414" s="16"/>
      <c r="V414" s="19"/>
      <c r="W414" s="160"/>
      <c r="X414" s="160"/>
      <c r="Y414" s="160"/>
      <c r="Z414" s="160"/>
      <c r="AA414" s="160"/>
      <c r="AB414" s="10"/>
      <c r="AD414" s="160"/>
    </row>
    <row r="415" spans="4:30" x14ac:dyDescent="0.2">
      <c r="D415" s="8"/>
      <c r="E415" s="6"/>
      <c r="G415" s="10"/>
      <c r="J415" s="142"/>
      <c r="K415" s="15"/>
      <c r="L415" s="15"/>
      <c r="M415" s="15"/>
      <c r="N415" s="16"/>
      <c r="O415" s="8"/>
      <c r="P415" s="8"/>
      <c r="Q415" s="8"/>
      <c r="R415" s="16"/>
      <c r="S415" s="16"/>
      <c r="T415" s="19"/>
      <c r="U415" s="16"/>
      <c r="V415" s="19"/>
      <c r="W415" s="160"/>
      <c r="X415" s="160"/>
      <c r="Y415" s="160"/>
      <c r="Z415" s="160"/>
      <c r="AA415" s="160"/>
      <c r="AB415" s="10"/>
      <c r="AD415" s="160"/>
    </row>
    <row r="416" spans="4:30" x14ac:dyDescent="0.2">
      <c r="D416" s="8"/>
      <c r="E416" s="6"/>
      <c r="G416" s="10"/>
      <c r="J416" s="142"/>
      <c r="K416" s="15"/>
      <c r="L416" s="15"/>
      <c r="M416" s="15"/>
      <c r="N416" s="16"/>
      <c r="O416" s="8"/>
      <c r="P416" s="8"/>
      <c r="Q416" s="8"/>
      <c r="R416" s="16"/>
      <c r="S416" s="16"/>
      <c r="T416" s="19"/>
      <c r="U416" s="16"/>
      <c r="V416" s="19"/>
      <c r="W416" s="160"/>
      <c r="X416" s="160"/>
      <c r="Y416" s="160"/>
      <c r="Z416" s="160"/>
      <c r="AA416" s="160"/>
      <c r="AB416" s="10"/>
      <c r="AD416" s="160"/>
    </row>
    <row r="417" spans="4:30" x14ac:dyDescent="0.2">
      <c r="D417" s="8"/>
      <c r="E417" s="6"/>
      <c r="G417" s="10"/>
      <c r="J417" s="142"/>
      <c r="K417" s="15"/>
      <c r="L417" s="15"/>
      <c r="M417" s="15"/>
      <c r="N417" s="16"/>
      <c r="O417" s="8"/>
      <c r="P417" s="8"/>
      <c r="Q417" s="8"/>
      <c r="R417" s="16"/>
      <c r="S417" s="16"/>
      <c r="T417" s="19"/>
      <c r="U417" s="16"/>
      <c r="V417" s="19"/>
      <c r="W417" s="160"/>
      <c r="X417" s="160"/>
      <c r="Y417" s="160"/>
      <c r="Z417" s="160"/>
      <c r="AA417" s="160"/>
      <c r="AB417" s="10"/>
      <c r="AD417" s="160"/>
    </row>
    <row r="418" spans="4:30" x14ac:dyDescent="0.2">
      <c r="D418" s="8"/>
      <c r="E418" s="6"/>
      <c r="G418" s="10"/>
      <c r="J418" s="142"/>
      <c r="K418" s="15"/>
      <c r="L418" s="15"/>
      <c r="M418" s="15"/>
      <c r="N418" s="16"/>
      <c r="O418" s="8"/>
      <c r="P418" s="8"/>
      <c r="Q418" s="8"/>
      <c r="R418" s="16"/>
      <c r="S418" s="16"/>
      <c r="T418" s="19"/>
      <c r="U418" s="16"/>
      <c r="V418" s="19"/>
      <c r="W418" s="160"/>
      <c r="X418" s="160"/>
      <c r="Y418" s="160"/>
      <c r="Z418" s="160"/>
      <c r="AA418" s="160"/>
      <c r="AB418" s="10"/>
      <c r="AD418" s="160"/>
    </row>
    <row r="419" spans="4:30" x14ac:dyDescent="0.2">
      <c r="D419" s="8"/>
      <c r="E419" s="6"/>
      <c r="G419" s="10"/>
      <c r="J419" s="142"/>
      <c r="K419" s="15"/>
      <c r="L419" s="15"/>
      <c r="M419" s="15"/>
      <c r="N419" s="16"/>
      <c r="O419" s="8"/>
      <c r="P419" s="8"/>
      <c r="Q419" s="8"/>
      <c r="R419" s="16"/>
      <c r="S419" s="16"/>
      <c r="T419" s="19"/>
      <c r="U419" s="16"/>
      <c r="V419" s="19"/>
      <c r="W419" s="160"/>
      <c r="X419" s="160"/>
      <c r="Y419" s="160"/>
      <c r="Z419" s="160"/>
      <c r="AA419" s="160"/>
      <c r="AB419" s="10"/>
      <c r="AD419" s="160"/>
    </row>
    <row r="420" spans="4:30" x14ac:dyDescent="0.2">
      <c r="D420" s="8"/>
      <c r="E420" s="6"/>
      <c r="G420" s="10"/>
      <c r="J420" s="142"/>
      <c r="K420" s="15"/>
      <c r="L420" s="15"/>
      <c r="M420" s="15"/>
      <c r="N420" s="16"/>
      <c r="O420" s="8"/>
      <c r="P420" s="8"/>
      <c r="Q420" s="8"/>
      <c r="R420" s="16"/>
      <c r="S420" s="16"/>
      <c r="T420" s="19"/>
      <c r="U420" s="16"/>
      <c r="V420" s="19"/>
      <c r="W420" s="160"/>
      <c r="X420" s="160"/>
      <c r="Y420" s="160"/>
      <c r="Z420" s="160"/>
      <c r="AA420" s="160"/>
      <c r="AB420" s="10"/>
      <c r="AD420" s="160"/>
    </row>
    <row r="421" spans="4:30" x14ac:dyDescent="0.2">
      <c r="D421" s="8"/>
      <c r="E421" s="6"/>
      <c r="G421" s="10"/>
      <c r="J421" s="142"/>
      <c r="K421" s="15"/>
      <c r="L421" s="15"/>
      <c r="M421" s="15"/>
      <c r="N421" s="16"/>
      <c r="O421" s="8"/>
      <c r="P421" s="8"/>
      <c r="Q421" s="8"/>
      <c r="R421" s="16"/>
      <c r="S421" s="16"/>
      <c r="T421" s="19"/>
      <c r="U421" s="16"/>
      <c r="V421" s="19"/>
      <c r="W421" s="160"/>
      <c r="X421" s="160"/>
      <c r="Y421" s="160"/>
      <c r="Z421" s="160"/>
      <c r="AA421" s="160"/>
      <c r="AB421" s="10"/>
      <c r="AD421" s="160"/>
    </row>
    <row r="422" spans="4:30" x14ac:dyDescent="0.2">
      <c r="D422" s="8"/>
      <c r="E422" s="6"/>
      <c r="G422" s="10"/>
      <c r="J422" s="142"/>
      <c r="K422" s="15"/>
      <c r="L422" s="15"/>
      <c r="M422" s="15"/>
      <c r="N422" s="16"/>
      <c r="O422" s="8"/>
      <c r="P422" s="8"/>
      <c r="Q422" s="8"/>
      <c r="R422" s="16"/>
      <c r="S422" s="16"/>
      <c r="T422" s="19"/>
      <c r="U422" s="16"/>
      <c r="V422" s="19"/>
      <c r="W422" s="160"/>
      <c r="X422" s="160"/>
      <c r="Y422" s="160"/>
      <c r="Z422" s="160"/>
      <c r="AA422" s="160"/>
      <c r="AB422" s="10"/>
      <c r="AD422" s="160"/>
    </row>
    <row r="423" spans="4:30" x14ac:dyDescent="0.2">
      <c r="D423" s="8"/>
      <c r="E423" s="6"/>
      <c r="G423" s="10"/>
      <c r="J423" s="142"/>
      <c r="K423" s="15"/>
      <c r="L423" s="15"/>
      <c r="M423" s="15"/>
      <c r="N423" s="16"/>
      <c r="O423" s="8"/>
      <c r="P423" s="8"/>
      <c r="Q423" s="8"/>
      <c r="R423" s="16"/>
      <c r="S423" s="16"/>
      <c r="T423" s="19"/>
      <c r="U423" s="16"/>
      <c r="V423" s="19"/>
      <c r="W423" s="160"/>
      <c r="X423" s="160"/>
      <c r="Y423" s="160"/>
      <c r="Z423" s="160"/>
      <c r="AA423" s="160"/>
      <c r="AB423" s="10"/>
      <c r="AD423" s="160"/>
    </row>
    <row r="424" spans="4:30" x14ac:dyDescent="0.2">
      <c r="D424" s="8"/>
      <c r="E424" s="6"/>
      <c r="G424" s="10"/>
      <c r="J424" s="142"/>
      <c r="K424" s="15"/>
      <c r="L424" s="15"/>
      <c r="M424" s="15"/>
      <c r="N424" s="16"/>
      <c r="O424" s="8"/>
      <c r="P424" s="8"/>
      <c r="Q424" s="8"/>
      <c r="R424" s="16"/>
      <c r="S424" s="16"/>
      <c r="T424" s="19"/>
      <c r="U424" s="16"/>
      <c r="V424" s="19"/>
      <c r="W424" s="160"/>
      <c r="X424" s="160"/>
      <c r="Y424" s="160"/>
      <c r="Z424" s="160"/>
      <c r="AA424" s="160"/>
      <c r="AB424" s="10"/>
      <c r="AD424" s="160"/>
    </row>
    <row r="425" spans="4:30" x14ac:dyDescent="0.2">
      <c r="D425" s="8"/>
      <c r="E425" s="6"/>
      <c r="G425" s="10"/>
      <c r="J425" s="142"/>
      <c r="K425" s="15"/>
      <c r="L425" s="15"/>
      <c r="M425" s="15"/>
      <c r="N425" s="16"/>
      <c r="O425" s="8"/>
      <c r="P425" s="8"/>
      <c r="Q425" s="8"/>
      <c r="R425" s="16"/>
      <c r="S425" s="16"/>
      <c r="T425" s="19"/>
      <c r="U425" s="16"/>
      <c r="V425" s="19"/>
      <c r="W425" s="160"/>
      <c r="X425" s="160"/>
      <c r="Y425" s="160"/>
      <c r="Z425" s="160"/>
      <c r="AA425" s="160"/>
      <c r="AB425" s="10"/>
      <c r="AD425" s="160"/>
    </row>
    <row r="426" spans="4:30" x14ac:dyDescent="0.2">
      <c r="D426" s="8"/>
      <c r="E426" s="6"/>
      <c r="G426" s="10"/>
      <c r="J426" s="142"/>
      <c r="K426" s="15"/>
      <c r="L426" s="15"/>
      <c r="M426" s="15"/>
      <c r="N426" s="16"/>
      <c r="O426" s="8"/>
      <c r="P426" s="8"/>
      <c r="Q426" s="8"/>
      <c r="R426" s="16"/>
      <c r="S426" s="16"/>
      <c r="T426" s="19"/>
      <c r="U426" s="16"/>
      <c r="V426" s="19"/>
      <c r="W426" s="160"/>
      <c r="X426" s="160"/>
      <c r="Y426" s="160"/>
      <c r="Z426" s="160"/>
      <c r="AA426" s="160"/>
      <c r="AB426" s="10"/>
      <c r="AD426" s="160"/>
    </row>
    <row r="427" spans="4:30" x14ac:dyDescent="0.2">
      <c r="D427" s="8"/>
      <c r="E427" s="6"/>
      <c r="G427" s="10"/>
      <c r="J427" s="142"/>
      <c r="K427" s="15"/>
      <c r="L427" s="15"/>
      <c r="M427" s="15"/>
      <c r="N427" s="16"/>
      <c r="O427" s="8"/>
      <c r="P427" s="8"/>
      <c r="Q427" s="8"/>
      <c r="R427" s="16"/>
      <c r="S427" s="16"/>
      <c r="T427" s="19"/>
      <c r="U427" s="16"/>
      <c r="V427" s="19"/>
      <c r="W427" s="160"/>
      <c r="X427" s="160"/>
      <c r="Y427" s="160"/>
      <c r="Z427" s="160"/>
      <c r="AA427" s="160"/>
      <c r="AB427" s="10"/>
      <c r="AD427" s="160"/>
    </row>
    <row r="428" spans="4:30" x14ac:dyDescent="0.2">
      <c r="D428" s="8"/>
      <c r="E428" s="6"/>
      <c r="G428" s="10"/>
      <c r="J428" s="142"/>
      <c r="K428" s="15"/>
      <c r="L428" s="15"/>
      <c r="M428" s="15"/>
      <c r="N428" s="16"/>
      <c r="O428" s="8"/>
      <c r="P428" s="8"/>
      <c r="Q428" s="8"/>
      <c r="R428" s="16"/>
      <c r="S428" s="16"/>
      <c r="T428" s="19"/>
      <c r="U428" s="16"/>
      <c r="V428" s="19"/>
      <c r="W428" s="160"/>
      <c r="X428" s="160"/>
      <c r="Y428" s="160"/>
      <c r="Z428" s="160"/>
      <c r="AA428" s="160"/>
      <c r="AB428" s="10"/>
      <c r="AD428" s="160"/>
    </row>
    <row r="429" spans="4:30" x14ac:dyDescent="0.2">
      <c r="D429" s="8"/>
      <c r="E429" s="6"/>
      <c r="G429" s="10"/>
      <c r="J429" s="142"/>
      <c r="K429" s="15"/>
      <c r="L429" s="15"/>
      <c r="M429" s="15"/>
      <c r="N429" s="16"/>
      <c r="O429" s="8"/>
      <c r="P429" s="8"/>
      <c r="Q429" s="8"/>
      <c r="R429" s="16"/>
      <c r="S429" s="16"/>
      <c r="T429" s="19"/>
      <c r="U429" s="16"/>
      <c r="V429" s="19"/>
      <c r="W429" s="160"/>
      <c r="X429" s="160"/>
      <c r="Y429" s="160"/>
      <c r="Z429" s="160"/>
      <c r="AA429" s="160"/>
      <c r="AB429" s="10"/>
      <c r="AD429" s="160"/>
    </row>
    <row r="430" spans="4:30" x14ac:dyDescent="0.2">
      <c r="D430" s="8"/>
      <c r="E430" s="6"/>
      <c r="G430" s="10"/>
      <c r="J430" s="142"/>
      <c r="K430" s="15"/>
      <c r="L430" s="15"/>
      <c r="M430" s="15"/>
      <c r="N430" s="16"/>
      <c r="O430" s="8"/>
      <c r="P430" s="8"/>
      <c r="Q430" s="8"/>
      <c r="R430" s="16"/>
      <c r="S430" s="16"/>
      <c r="T430" s="19"/>
      <c r="U430" s="16"/>
      <c r="V430" s="19"/>
      <c r="W430" s="160"/>
      <c r="X430" s="160"/>
      <c r="Y430" s="160"/>
      <c r="Z430" s="160"/>
      <c r="AA430" s="160"/>
      <c r="AB430" s="10"/>
      <c r="AD430" s="160"/>
    </row>
    <row r="431" spans="4:30" x14ac:dyDescent="0.2">
      <c r="D431" s="8"/>
      <c r="E431" s="6"/>
      <c r="G431" s="10"/>
      <c r="J431" s="142"/>
      <c r="K431" s="15"/>
      <c r="L431" s="15"/>
      <c r="M431" s="15"/>
      <c r="N431" s="16"/>
      <c r="O431" s="8"/>
      <c r="P431" s="8"/>
      <c r="Q431" s="8"/>
      <c r="R431" s="16"/>
      <c r="S431" s="16"/>
      <c r="T431" s="19"/>
      <c r="U431" s="16"/>
      <c r="V431" s="19"/>
      <c r="W431" s="160"/>
      <c r="X431" s="160"/>
      <c r="Y431" s="160"/>
      <c r="Z431" s="160"/>
      <c r="AA431" s="160"/>
      <c r="AB431" s="10"/>
      <c r="AD431" s="160"/>
    </row>
    <row r="432" spans="4:30" x14ac:dyDescent="0.2">
      <c r="D432" s="8"/>
      <c r="E432" s="6"/>
      <c r="G432" s="10"/>
      <c r="J432" s="142"/>
      <c r="K432" s="15"/>
      <c r="L432" s="15"/>
      <c r="M432" s="15"/>
      <c r="N432" s="16"/>
      <c r="O432" s="8"/>
      <c r="P432" s="8"/>
      <c r="Q432" s="8"/>
      <c r="R432" s="16"/>
      <c r="S432" s="16"/>
      <c r="T432" s="19"/>
      <c r="U432" s="16"/>
      <c r="V432" s="19"/>
      <c r="W432" s="160"/>
      <c r="X432" s="160"/>
      <c r="Y432" s="160"/>
      <c r="Z432" s="160"/>
      <c r="AA432" s="160"/>
      <c r="AB432" s="10"/>
      <c r="AD432" s="160"/>
    </row>
    <row r="433" spans="4:30" x14ac:dyDescent="0.2">
      <c r="D433" s="8"/>
      <c r="E433" s="6"/>
      <c r="G433" s="10"/>
      <c r="J433" s="142"/>
      <c r="K433" s="15"/>
      <c r="L433" s="15"/>
      <c r="M433" s="15"/>
      <c r="N433" s="16"/>
      <c r="O433" s="8"/>
      <c r="P433" s="8"/>
      <c r="Q433" s="8"/>
      <c r="R433" s="16"/>
      <c r="S433" s="16"/>
      <c r="T433" s="19"/>
      <c r="U433" s="16"/>
      <c r="V433" s="19"/>
      <c r="W433" s="160"/>
      <c r="X433" s="160"/>
      <c r="Y433" s="160"/>
      <c r="Z433" s="160"/>
      <c r="AA433" s="160"/>
      <c r="AB433" s="10"/>
      <c r="AD433" s="160"/>
    </row>
    <row r="434" spans="4:30" x14ac:dyDescent="0.2">
      <c r="D434" s="8"/>
      <c r="E434" s="6"/>
      <c r="G434" s="10"/>
      <c r="J434" s="142"/>
      <c r="K434" s="15"/>
      <c r="L434" s="15"/>
      <c r="M434" s="15"/>
      <c r="N434" s="16"/>
      <c r="O434" s="8"/>
      <c r="P434" s="8"/>
      <c r="Q434" s="8"/>
      <c r="R434" s="16"/>
      <c r="S434" s="16"/>
      <c r="T434" s="19"/>
      <c r="U434" s="16"/>
      <c r="V434" s="19"/>
      <c r="W434" s="160"/>
      <c r="X434" s="160"/>
      <c r="Y434" s="160"/>
      <c r="Z434" s="160"/>
      <c r="AA434" s="160"/>
      <c r="AB434" s="10"/>
      <c r="AD434" s="160"/>
    </row>
    <row r="435" spans="4:30" x14ac:dyDescent="0.2">
      <c r="D435" s="8"/>
      <c r="E435" s="6"/>
      <c r="G435" s="10"/>
      <c r="J435" s="142"/>
      <c r="K435" s="15"/>
      <c r="L435" s="15"/>
      <c r="M435" s="15"/>
      <c r="N435" s="16"/>
      <c r="O435" s="8"/>
      <c r="P435" s="8"/>
      <c r="Q435" s="8"/>
      <c r="R435" s="16"/>
      <c r="S435" s="16"/>
      <c r="T435" s="19"/>
      <c r="U435" s="16"/>
      <c r="V435" s="19"/>
      <c r="W435" s="160"/>
      <c r="X435" s="160"/>
      <c r="Y435" s="160"/>
      <c r="Z435" s="160"/>
      <c r="AA435" s="160"/>
      <c r="AB435" s="10"/>
      <c r="AD435" s="160"/>
    </row>
    <row r="436" spans="4:30" x14ac:dyDescent="0.2">
      <c r="D436" s="8"/>
      <c r="E436" s="6"/>
      <c r="G436" s="10"/>
      <c r="J436" s="142"/>
      <c r="K436" s="15"/>
      <c r="L436" s="15"/>
      <c r="M436" s="15"/>
      <c r="N436" s="16"/>
      <c r="O436" s="8"/>
      <c r="P436" s="8"/>
      <c r="Q436" s="8"/>
      <c r="R436" s="16"/>
      <c r="S436" s="16"/>
      <c r="T436" s="19"/>
      <c r="U436" s="16"/>
      <c r="V436" s="19"/>
      <c r="W436" s="160"/>
      <c r="X436" s="160"/>
      <c r="Y436" s="160"/>
      <c r="Z436" s="160"/>
      <c r="AA436" s="160"/>
      <c r="AB436" s="10"/>
      <c r="AD436" s="160"/>
    </row>
    <row r="437" spans="4:30" x14ac:dyDescent="0.2">
      <c r="D437" s="8"/>
      <c r="E437" s="6"/>
      <c r="G437" s="10"/>
      <c r="J437" s="142"/>
      <c r="K437" s="15"/>
      <c r="L437" s="15"/>
      <c r="M437" s="15"/>
      <c r="N437" s="16"/>
      <c r="O437" s="8"/>
      <c r="P437" s="8"/>
      <c r="Q437" s="8"/>
      <c r="R437" s="16"/>
      <c r="S437" s="16"/>
      <c r="T437" s="19"/>
      <c r="U437" s="16"/>
      <c r="V437" s="19"/>
      <c r="W437" s="160"/>
      <c r="X437" s="160"/>
      <c r="Y437" s="160"/>
      <c r="Z437" s="160"/>
      <c r="AA437" s="160"/>
      <c r="AB437" s="10"/>
      <c r="AD437" s="160"/>
    </row>
    <row r="438" spans="4:30" x14ac:dyDescent="0.2">
      <c r="D438" s="8"/>
      <c r="E438" s="6"/>
      <c r="G438" s="10"/>
      <c r="J438" s="142"/>
      <c r="K438" s="15"/>
      <c r="L438" s="15"/>
      <c r="M438" s="15"/>
      <c r="N438" s="16"/>
      <c r="O438" s="8"/>
      <c r="P438" s="8"/>
      <c r="Q438" s="8"/>
      <c r="R438" s="16"/>
      <c r="S438" s="16"/>
      <c r="T438" s="19"/>
      <c r="U438" s="16"/>
      <c r="V438" s="19"/>
      <c r="W438" s="160"/>
      <c r="X438" s="160"/>
      <c r="Y438" s="160"/>
      <c r="Z438" s="160"/>
      <c r="AA438" s="160"/>
      <c r="AB438" s="10"/>
      <c r="AD438" s="160"/>
    </row>
    <row r="439" spans="4:30" x14ac:dyDescent="0.2">
      <c r="D439" s="8"/>
      <c r="E439" s="6"/>
      <c r="G439" s="10"/>
      <c r="J439" s="142"/>
      <c r="K439" s="15"/>
      <c r="L439" s="15"/>
      <c r="M439" s="15"/>
      <c r="N439" s="16"/>
      <c r="O439" s="8"/>
      <c r="P439" s="8"/>
      <c r="Q439" s="8"/>
      <c r="R439" s="16"/>
      <c r="S439" s="16"/>
      <c r="T439" s="19"/>
      <c r="U439" s="16"/>
      <c r="V439" s="19"/>
      <c r="W439" s="160"/>
      <c r="X439" s="160"/>
      <c r="Y439" s="160"/>
      <c r="Z439" s="160"/>
      <c r="AA439" s="160"/>
      <c r="AB439" s="10"/>
      <c r="AD439" s="160"/>
    </row>
    <row r="440" spans="4:30" x14ac:dyDescent="0.2">
      <c r="D440" s="8"/>
      <c r="E440" s="6"/>
      <c r="G440" s="10"/>
      <c r="J440" s="142"/>
      <c r="K440" s="15"/>
      <c r="L440" s="15"/>
      <c r="M440" s="15"/>
      <c r="N440" s="16"/>
      <c r="O440" s="8"/>
      <c r="P440" s="8"/>
      <c r="Q440" s="8"/>
      <c r="R440" s="16"/>
      <c r="S440" s="16"/>
      <c r="T440" s="19"/>
      <c r="U440" s="16"/>
      <c r="V440" s="19"/>
      <c r="W440" s="160"/>
      <c r="X440" s="160"/>
      <c r="Y440" s="160"/>
      <c r="Z440" s="160"/>
      <c r="AA440" s="160"/>
      <c r="AB440" s="10"/>
      <c r="AD440" s="160"/>
    </row>
    <row r="441" spans="4:30" x14ac:dyDescent="0.2">
      <c r="D441" s="8"/>
      <c r="E441" s="6"/>
      <c r="G441" s="10"/>
      <c r="J441" s="142"/>
      <c r="K441" s="15"/>
      <c r="L441" s="15"/>
      <c r="M441" s="15"/>
      <c r="N441" s="16"/>
      <c r="O441" s="8"/>
      <c r="P441" s="8"/>
      <c r="Q441" s="8"/>
      <c r="R441" s="16"/>
      <c r="S441" s="16"/>
      <c r="T441" s="19"/>
      <c r="U441" s="16"/>
      <c r="V441" s="19"/>
      <c r="W441" s="160"/>
      <c r="X441" s="160"/>
      <c r="Y441" s="160"/>
      <c r="Z441" s="160"/>
      <c r="AA441" s="160"/>
      <c r="AB441" s="10"/>
      <c r="AD441" s="160"/>
    </row>
    <row r="442" spans="4:30" x14ac:dyDescent="0.2">
      <c r="D442" s="8"/>
      <c r="E442" s="6"/>
      <c r="G442" s="10"/>
      <c r="J442" s="142"/>
      <c r="K442" s="15"/>
      <c r="L442" s="15"/>
      <c r="M442" s="15"/>
      <c r="N442" s="16"/>
      <c r="O442" s="8"/>
      <c r="P442" s="8"/>
      <c r="Q442" s="8"/>
      <c r="R442" s="16"/>
      <c r="S442" s="16"/>
      <c r="T442" s="19"/>
      <c r="U442" s="16"/>
      <c r="V442" s="19"/>
      <c r="W442" s="160"/>
      <c r="X442" s="160"/>
      <c r="Y442" s="160"/>
      <c r="Z442" s="160"/>
      <c r="AA442" s="160"/>
      <c r="AB442" s="10"/>
      <c r="AD442" s="160"/>
    </row>
    <row r="443" spans="4:30" x14ac:dyDescent="0.2">
      <c r="D443" s="8"/>
      <c r="E443" s="6"/>
      <c r="G443" s="10"/>
      <c r="J443" s="142"/>
      <c r="K443" s="15"/>
      <c r="L443" s="15"/>
      <c r="M443" s="15"/>
      <c r="N443" s="16"/>
      <c r="O443" s="8"/>
      <c r="P443" s="8"/>
      <c r="Q443" s="8"/>
      <c r="R443" s="16"/>
      <c r="S443" s="16"/>
      <c r="T443" s="19"/>
      <c r="U443" s="16"/>
      <c r="V443" s="19"/>
      <c r="W443" s="160"/>
      <c r="X443" s="160"/>
      <c r="Y443" s="160"/>
      <c r="Z443" s="160"/>
      <c r="AA443" s="160"/>
      <c r="AB443" s="10"/>
      <c r="AD443" s="160"/>
    </row>
    <row r="444" spans="4:30" x14ac:dyDescent="0.2">
      <c r="D444" s="8"/>
      <c r="E444" s="6"/>
      <c r="G444" s="10"/>
      <c r="J444" s="142"/>
      <c r="K444" s="15"/>
      <c r="L444" s="15"/>
      <c r="M444" s="15"/>
      <c r="N444" s="16"/>
      <c r="O444" s="8"/>
      <c r="P444" s="8"/>
      <c r="Q444" s="8"/>
      <c r="R444" s="16"/>
      <c r="S444" s="16"/>
      <c r="T444" s="19"/>
      <c r="U444" s="16"/>
      <c r="V444" s="19"/>
      <c r="W444" s="160"/>
      <c r="X444" s="160"/>
      <c r="Y444" s="160"/>
      <c r="Z444" s="160"/>
      <c r="AA444" s="160"/>
      <c r="AB444" s="10"/>
      <c r="AD444" s="160"/>
    </row>
    <row r="445" spans="4:30" x14ac:dyDescent="0.2">
      <c r="D445" s="8"/>
      <c r="E445" s="6"/>
      <c r="G445" s="10"/>
      <c r="J445" s="142"/>
      <c r="K445" s="15"/>
      <c r="L445" s="15"/>
      <c r="M445" s="15"/>
      <c r="N445" s="16"/>
      <c r="O445" s="8"/>
      <c r="P445" s="8"/>
      <c r="Q445" s="8"/>
      <c r="R445" s="16"/>
      <c r="S445" s="16"/>
      <c r="T445" s="19"/>
      <c r="U445" s="16"/>
      <c r="V445" s="19"/>
      <c r="W445" s="160"/>
      <c r="X445" s="160"/>
      <c r="Y445" s="160"/>
      <c r="Z445" s="160"/>
      <c r="AA445" s="160"/>
      <c r="AB445" s="10"/>
      <c r="AD445" s="160"/>
    </row>
    <row r="446" spans="4:30" x14ac:dyDescent="0.2">
      <c r="D446" s="8"/>
      <c r="E446" s="6"/>
      <c r="G446" s="10"/>
      <c r="J446" s="142"/>
      <c r="K446" s="15"/>
      <c r="L446" s="15"/>
      <c r="M446" s="15"/>
      <c r="N446" s="16"/>
      <c r="O446" s="8"/>
      <c r="P446" s="8"/>
      <c r="Q446" s="8"/>
      <c r="R446" s="16"/>
      <c r="S446" s="16"/>
      <c r="T446" s="19"/>
      <c r="U446" s="16"/>
      <c r="V446" s="19"/>
      <c r="W446" s="160"/>
      <c r="X446" s="160"/>
      <c r="Y446" s="160"/>
      <c r="Z446" s="160"/>
      <c r="AA446" s="160"/>
      <c r="AB446" s="10"/>
      <c r="AD446" s="160"/>
    </row>
    <row r="447" spans="4:30" x14ac:dyDescent="0.2">
      <c r="D447" s="8"/>
      <c r="E447" s="6"/>
      <c r="G447" s="10"/>
      <c r="J447" s="142"/>
      <c r="K447" s="15"/>
      <c r="L447" s="15"/>
      <c r="M447" s="15"/>
      <c r="N447" s="16"/>
      <c r="O447" s="8"/>
      <c r="P447" s="8"/>
      <c r="Q447" s="8"/>
      <c r="R447" s="16"/>
      <c r="S447" s="16"/>
      <c r="T447" s="19"/>
      <c r="U447" s="16"/>
      <c r="V447" s="19"/>
      <c r="W447" s="160"/>
      <c r="X447" s="160"/>
      <c r="Y447" s="160"/>
      <c r="Z447" s="160"/>
      <c r="AA447" s="160"/>
      <c r="AB447" s="10"/>
      <c r="AD447" s="160"/>
    </row>
    <row r="448" spans="4:30" x14ac:dyDescent="0.2">
      <c r="D448" s="8"/>
      <c r="E448" s="6"/>
      <c r="G448" s="10"/>
      <c r="J448" s="142"/>
      <c r="K448" s="15"/>
      <c r="L448" s="15"/>
      <c r="M448" s="15"/>
      <c r="N448" s="16"/>
      <c r="O448" s="8"/>
      <c r="P448" s="8"/>
      <c r="Q448" s="8"/>
      <c r="R448" s="16"/>
      <c r="S448" s="16"/>
      <c r="T448" s="19"/>
      <c r="U448" s="16"/>
      <c r="V448" s="19"/>
      <c r="W448" s="160"/>
      <c r="X448" s="160"/>
      <c r="Y448" s="160"/>
      <c r="Z448" s="160"/>
      <c r="AA448" s="160"/>
      <c r="AB448" s="10"/>
      <c r="AD448" s="160"/>
    </row>
    <row r="449" spans="4:30" x14ac:dyDescent="0.2">
      <c r="D449" s="8"/>
      <c r="E449" s="6"/>
      <c r="G449" s="10"/>
      <c r="J449" s="142"/>
      <c r="K449" s="15"/>
      <c r="L449" s="15"/>
      <c r="M449" s="15"/>
      <c r="N449" s="16"/>
      <c r="O449" s="8"/>
      <c r="P449" s="8"/>
      <c r="Q449" s="8"/>
      <c r="R449" s="16"/>
      <c r="S449" s="16"/>
      <c r="T449" s="19"/>
      <c r="U449" s="16"/>
      <c r="V449" s="19"/>
      <c r="W449" s="160"/>
      <c r="X449" s="160"/>
      <c r="Y449" s="160"/>
      <c r="Z449" s="160"/>
      <c r="AA449" s="160"/>
      <c r="AB449" s="10"/>
      <c r="AD449" s="160"/>
    </row>
    <row r="450" spans="4:30" x14ac:dyDescent="0.2">
      <c r="D450" s="8"/>
      <c r="E450" s="6"/>
      <c r="G450" s="10"/>
      <c r="J450" s="142"/>
      <c r="K450" s="15"/>
      <c r="L450" s="15"/>
      <c r="M450" s="15"/>
      <c r="N450" s="16"/>
      <c r="O450" s="8"/>
      <c r="P450" s="8"/>
      <c r="Q450" s="8"/>
      <c r="R450" s="16"/>
      <c r="S450" s="16"/>
      <c r="T450" s="19"/>
      <c r="U450" s="16"/>
      <c r="V450" s="19"/>
      <c r="W450" s="160"/>
      <c r="X450" s="160"/>
      <c r="Y450" s="160"/>
      <c r="Z450" s="160"/>
      <c r="AA450" s="160"/>
      <c r="AB450" s="10"/>
      <c r="AD450" s="160"/>
    </row>
    <row r="451" spans="4:30" x14ac:dyDescent="0.2">
      <c r="D451" s="8"/>
      <c r="E451" s="6"/>
      <c r="G451" s="10"/>
      <c r="J451" s="142"/>
      <c r="K451" s="15"/>
      <c r="L451" s="15"/>
      <c r="M451" s="15"/>
      <c r="N451" s="16"/>
      <c r="O451" s="8"/>
      <c r="P451" s="8"/>
      <c r="Q451" s="8"/>
      <c r="R451" s="16"/>
      <c r="S451" s="16"/>
      <c r="T451" s="19"/>
      <c r="U451" s="16"/>
      <c r="V451" s="19"/>
      <c r="W451" s="160"/>
      <c r="X451" s="160"/>
      <c r="Y451" s="160"/>
      <c r="Z451" s="160"/>
      <c r="AA451" s="160"/>
      <c r="AB451" s="10"/>
      <c r="AD451" s="160"/>
    </row>
    <row r="452" spans="4:30" x14ac:dyDescent="0.2">
      <c r="D452" s="8"/>
      <c r="E452" s="6"/>
      <c r="G452" s="10"/>
      <c r="J452" s="142"/>
      <c r="K452" s="15"/>
      <c r="L452" s="15"/>
      <c r="M452" s="15"/>
      <c r="N452" s="16"/>
      <c r="O452" s="8"/>
      <c r="P452" s="8"/>
      <c r="Q452" s="8"/>
      <c r="R452" s="16"/>
      <c r="S452" s="16"/>
      <c r="T452" s="19"/>
      <c r="U452" s="16"/>
      <c r="V452" s="19"/>
      <c r="W452" s="160"/>
      <c r="X452" s="160"/>
      <c r="Y452" s="160"/>
      <c r="Z452" s="160"/>
      <c r="AA452" s="160"/>
      <c r="AB452" s="10"/>
      <c r="AD452" s="160"/>
    </row>
    <row r="453" spans="4:30" x14ac:dyDescent="0.2">
      <c r="D453" s="8"/>
      <c r="E453" s="6"/>
      <c r="G453" s="10"/>
      <c r="J453" s="142"/>
      <c r="K453" s="15"/>
      <c r="L453" s="15"/>
      <c r="M453" s="15"/>
      <c r="N453" s="16"/>
      <c r="O453" s="8"/>
      <c r="P453" s="8"/>
      <c r="Q453" s="8"/>
      <c r="R453" s="16"/>
      <c r="S453" s="16"/>
      <c r="T453" s="19"/>
      <c r="U453" s="16"/>
      <c r="V453" s="19"/>
      <c r="W453" s="160"/>
      <c r="X453" s="160"/>
      <c r="Y453" s="160"/>
      <c r="Z453" s="160"/>
      <c r="AA453" s="160"/>
      <c r="AB453" s="10"/>
      <c r="AD453" s="160"/>
    </row>
    <row r="454" spans="4:30" x14ac:dyDescent="0.2">
      <c r="D454" s="8"/>
      <c r="E454" s="6"/>
      <c r="G454" s="10"/>
      <c r="J454" s="142"/>
      <c r="K454" s="15"/>
      <c r="L454" s="15"/>
      <c r="M454" s="15"/>
      <c r="N454" s="16"/>
      <c r="O454" s="8"/>
      <c r="P454" s="8"/>
      <c r="Q454" s="8"/>
      <c r="R454" s="16"/>
      <c r="S454" s="16"/>
      <c r="T454" s="19"/>
      <c r="U454" s="16"/>
      <c r="V454" s="19"/>
      <c r="W454" s="160"/>
      <c r="X454" s="160"/>
      <c r="Y454" s="160"/>
      <c r="Z454" s="160"/>
      <c r="AA454" s="160"/>
      <c r="AB454" s="10"/>
      <c r="AD454" s="160"/>
    </row>
    <row r="455" spans="4:30" x14ac:dyDescent="0.2">
      <c r="D455" s="8"/>
      <c r="E455" s="6"/>
      <c r="G455" s="10"/>
      <c r="J455" s="142"/>
      <c r="K455" s="15"/>
      <c r="L455" s="15"/>
      <c r="M455" s="15"/>
      <c r="N455" s="16"/>
      <c r="O455" s="8"/>
      <c r="P455" s="8"/>
      <c r="Q455" s="8"/>
      <c r="R455" s="16"/>
      <c r="S455" s="16"/>
      <c r="T455" s="19"/>
      <c r="U455" s="16"/>
      <c r="V455" s="19"/>
      <c r="W455" s="160"/>
      <c r="X455" s="160"/>
      <c r="Y455" s="160"/>
      <c r="Z455" s="160"/>
      <c r="AA455" s="160"/>
      <c r="AB455" s="10"/>
      <c r="AD455" s="160"/>
    </row>
    <row r="456" spans="4:30" x14ac:dyDescent="0.2">
      <c r="D456" s="8"/>
      <c r="E456" s="6"/>
      <c r="G456" s="10"/>
      <c r="J456" s="142"/>
      <c r="K456" s="15"/>
      <c r="L456" s="15"/>
      <c r="M456" s="15"/>
      <c r="N456" s="16"/>
      <c r="O456" s="8"/>
      <c r="P456" s="8"/>
      <c r="Q456" s="8"/>
      <c r="R456" s="16"/>
      <c r="S456" s="16"/>
      <c r="T456" s="19"/>
      <c r="U456" s="16"/>
      <c r="V456" s="19"/>
      <c r="W456" s="160"/>
      <c r="X456" s="160"/>
      <c r="Y456" s="160"/>
      <c r="Z456" s="160"/>
      <c r="AA456" s="160"/>
      <c r="AB456" s="10"/>
      <c r="AD456" s="160"/>
    </row>
    <row r="457" spans="4:30" x14ac:dyDescent="0.2">
      <c r="D457" s="8"/>
      <c r="E457" s="6"/>
      <c r="G457" s="10"/>
      <c r="J457" s="142"/>
      <c r="K457" s="15"/>
      <c r="L457" s="15"/>
      <c r="M457" s="15"/>
      <c r="N457" s="16"/>
      <c r="O457" s="8"/>
      <c r="P457" s="8"/>
      <c r="Q457" s="8"/>
      <c r="R457" s="16"/>
      <c r="S457" s="16"/>
      <c r="T457" s="19"/>
      <c r="U457" s="16"/>
      <c r="V457" s="19"/>
      <c r="W457" s="160"/>
      <c r="X457" s="160"/>
      <c r="Y457" s="160"/>
      <c r="Z457" s="160"/>
      <c r="AA457" s="160"/>
      <c r="AB457" s="10"/>
      <c r="AD457" s="160"/>
    </row>
    <row r="458" spans="4:30" x14ac:dyDescent="0.2">
      <c r="D458" s="8"/>
      <c r="E458" s="6"/>
      <c r="G458" s="10"/>
      <c r="J458" s="142"/>
      <c r="K458" s="15"/>
      <c r="L458" s="15"/>
      <c r="M458" s="15"/>
      <c r="N458" s="16"/>
      <c r="O458" s="8"/>
      <c r="P458" s="8"/>
      <c r="Q458" s="8"/>
      <c r="R458" s="16"/>
      <c r="S458" s="16"/>
      <c r="T458" s="19"/>
      <c r="U458" s="16"/>
      <c r="V458" s="19"/>
      <c r="W458" s="160"/>
      <c r="X458" s="160"/>
      <c r="Y458" s="160"/>
      <c r="Z458" s="160"/>
      <c r="AA458" s="160"/>
      <c r="AB458" s="10"/>
      <c r="AD458" s="160"/>
    </row>
    <row r="459" spans="4:30" x14ac:dyDescent="0.2">
      <c r="D459" s="8"/>
      <c r="E459" s="6"/>
      <c r="G459" s="10"/>
      <c r="J459" s="142"/>
      <c r="K459" s="15"/>
      <c r="L459" s="15"/>
      <c r="M459" s="15"/>
      <c r="N459" s="16"/>
      <c r="O459" s="8"/>
      <c r="P459" s="8"/>
      <c r="Q459" s="8"/>
      <c r="R459" s="16"/>
      <c r="S459" s="16"/>
      <c r="T459" s="19"/>
      <c r="U459" s="16"/>
      <c r="V459" s="19"/>
      <c r="W459" s="160"/>
      <c r="X459" s="160"/>
      <c r="Y459" s="160"/>
      <c r="Z459" s="160"/>
      <c r="AA459" s="160"/>
      <c r="AB459" s="10"/>
      <c r="AD459" s="160"/>
    </row>
    <row r="460" spans="4:30" x14ac:dyDescent="0.2">
      <c r="D460" s="8"/>
      <c r="E460" s="6"/>
      <c r="G460" s="10"/>
      <c r="J460" s="142"/>
      <c r="K460" s="15"/>
      <c r="L460" s="15"/>
      <c r="M460" s="15"/>
      <c r="N460" s="16"/>
      <c r="O460" s="8"/>
      <c r="P460" s="8"/>
      <c r="Q460" s="8"/>
      <c r="R460" s="16"/>
      <c r="S460" s="16"/>
      <c r="T460" s="19"/>
      <c r="U460" s="16"/>
      <c r="V460" s="19"/>
      <c r="W460" s="160"/>
      <c r="X460" s="160"/>
      <c r="Y460" s="160"/>
      <c r="Z460" s="160"/>
      <c r="AA460" s="160"/>
      <c r="AB460" s="10"/>
      <c r="AD460" s="160"/>
    </row>
    <row r="461" spans="4:30" x14ac:dyDescent="0.2">
      <c r="D461" s="8"/>
      <c r="E461" s="6"/>
      <c r="G461" s="10"/>
      <c r="J461" s="142"/>
      <c r="K461" s="15"/>
      <c r="L461" s="15"/>
      <c r="M461" s="15"/>
      <c r="N461" s="16"/>
      <c r="O461" s="8"/>
      <c r="P461" s="8"/>
      <c r="Q461" s="8"/>
      <c r="R461" s="16"/>
      <c r="S461" s="16"/>
      <c r="T461" s="19"/>
      <c r="U461" s="16"/>
      <c r="V461" s="19"/>
      <c r="W461" s="160"/>
      <c r="X461" s="160"/>
      <c r="Y461" s="160"/>
      <c r="Z461" s="160"/>
      <c r="AA461" s="160"/>
      <c r="AB461" s="10"/>
      <c r="AD461" s="160"/>
    </row>
    <row r="462" spans="4:30" x14ac:dyDescent="0.2">
      <c r="D462" s="8"/>
      <c r="E462" s="6"/>
      <c r="G462" s="10"/>
      <c r="J462" s="142"/>
      <c r="K462" s="15"/>
      <c r="L462" s="15"/>
      <c r="M462" s="15"/>
      <c r="N462" s="16"/>
      <c r="O462" s="8"/>
      <c r="P462" s="8"/>
      <c r="Q462" s="8"/>
      <c r="R462" s="16"/>
      <c r="S462" s="16"/>
      <c r="T462" s="19"/>
      <c r="U462" s="16"/>
      <c r="V462" s="19"/>
      <c r="W462" s="160"/>
      <c r="X462" s="160"/>
      <c r="Y462" s="160"/>
      <c r="Z462" s="160"/>
      <c r="AA462" s="160"/>
      <c r="AB462" s="10"/>
      <c r="AD462" s="160"/>
    </row>
    <row r="463" spans="4:30" x14ac:dyDescent="0.2">
      <c r="D463" s="8"/>
      <c r="E463" s="6"/>
      <c r="G463" s="10"/>
      <c r="J463" s="142"/>
      <c r="K463" s="15"/>
      <c r="L463" s="15"/>
      <c r="M463" s="15"/>
      <c r="N463" s="16"/>
      <c r="O463" s="8"/>
      <c r="P463" s="8"/>
      <c r="Q463" s="8"/>
      <c r="R463" s="16"/>
      <c r="S463" s="16"/>
      <c r="T463" s="19"/>
      <c r="U463" s="16"/>
      <c r="V463" s="19"/>
      <c r="W463" s="160"/>
      <c r="X463" s="160"/>
      <c r="Y463" s="160"/>
      <c r="Z463" s="160"/>
      <c r="AA463" s="160"/>
      <c r="AB463" s="10"/>
      <c r="AD463" s="160"/>
    </row>
    <row r="464" spans="4:30" x14ac:dyDescent="0.2">
      <c r="D464" s="8"/>
      <c r="E464" s="6"/>
      <c r="G464" s="10"/>
      <c r="J464" s="142"/>
      <c r="K464" s="15"/>
      <c r="L464" s="15"/>
      <c r="M464" s="15"/>
      <c r="N464" s="16"/>
      <c r="O464" s="8"/>
      <c r="P464" s="8"/>
      <c r="Q464" s="8"/>
      <c r="R464" s="16"/>
      <c r="S464" s="16"/>
      <c r="T464" s="19"/>
      <c r="U464" s="16"/>
      <c r="V464" s="19"/>
      <c r="W464" s="160"/>
      <c r="X464" s="160"/>
      <c r="Y464" s="160"/>
      <c r="Z464" s="160"/>
      <c r="AA464" s="160"/>
      <c r="AB464" s="10"/>
      <c r="AD464" s="160"/>
    </row>
    <row r="465" spans="4:30" x14ac:dyDescent="0.2">
      <c r="D465" s="8"/>
      <c r="E465" s="6"/>
      <c r="G465" s="10"/>
      <c r="J465" s="142"/>
      <c r="K465" s="15"/>
      <c r="L465" s="15"/>
      <c r="M465" s="15"/>
      <c r="N465" s="16"/>
      <c r="O465" s="8"/>
      <c r="P465" s="8"/>
      <c r="Q465" s="8"/>
      <c r="R465" s="16"/>
      <c r="S465" s="16"/>
      <c r="T465" s="19"/>
      <c r="U465" s="16"/>
      <c r="V465" s="19"/>
      <c r="W465" s="160"/>
      <c r="X465" s="160"/>
      <c r="Y465" s="160"/>
      <c r="Z465" s="160"/>
      <c r="AA465" s="160"/>
      <c r="AB465" s="10"/>
      <c r="AD465" s="160"/>
    </row>
    <row r="466" spans="4:30" x14ac:dyDescent="0.2">
      <c r="D466" s="8"/>
      <c r="E466" s="6"/>
      <c r="G466" s="10"/>
      <c r="J466" s="142"/>
      <c r="K466" s="15"/>
      <c r="L466" s="15"/>
      <c r="M466" s="15"/>
      <c r="N466" s="16"/>
      <c r="O466" s="8"/>
      <c r="P466" s="8"/>
      <c r="Q466" s="8"/>
      <c r="R466" s="16"/>
      <c r="S466" s="16"/>
      <c r="T466" s="19"/>
      <c r="U466" s="16"/>
      <c r="V466" s="19"/>
      <c r="W466" s="160"/>
      <c r="X466" s="160"/>
      <c r="Y466" s="160"/>
      <c r="Z466" s="160"/>
      <c r="AA466" s="160"/>
      <c r="AB466" s="10"/>
      <c r="AD466" s="160"/>
    </row>
    <row r="467" spans="4:30" x14ac:dyDescent="0.2">
      <c r="D467" s="8"/>
      <c r="E467" s="6"/>
      <c r="G467" s="10"/>
      <c r="J467" s="142"/>
      <c r="K467" s="15"/>
      <c r="L467" s="15"/>
      <c r="M467" s="15"/>
      <c r="N467" s="16"/>
      <c r="O467" s="8"/>
      <c r="P467" s="8"/>
      <c r="Q467" s="8"/>
      <c r="R467" s="16"/>
      <c r="S467" s="16"/>
      <c r="T467" s="19"/>
      <c r="U467" s="16"/>
      <c r="V467" s="19"/>
      <c r="W467" s="160"/>
      <c r="X467" s="160"/>
      <c r="Y467" s="160"/>
      <c r="Z467" s="160"/>
      <c r="AA467" s="160"/>
      <c r="AB467" s="10"/>
      <c r="AD467" s="160"/>
    </row>
    <row r="468" spans="4:30" x14ac:dyDescent="0.2">
      <c r="D468" s="8"/>
      <c r="E468" s="6"/>
      <c r="G468" s="10"/>
      <c r="J468" s="142"/>
      <c r="K468" s="15"/>
      <c r="L468" s="15"/>
      <c r="M468" s="15"/>
      <c r="N468" s="16"/>
      <c r="O468" s="8"/>
      <c r="P468" s="8"/>
      <c r="Q468" s="8"/>
      <c r="R468" s="16"/>
      <c r="S468" s="16"/>
      <c r="T468" s="19"/>
      <c r="U468" s="16"/>
      <c r="V468" s="19"/>
      <c r="W468" s="160"/>
      <c r="X468" s="160"/>
      <c r="Y468" s="160"/>
      <c r="Z468" s="160"/>
      <c r="AA468" s="160"/>
      <c r="AB468" s="10"/>
      <c r="AD468" s="160"/>
    </row>
    <row r="469" spans="4:30" x14ac:dyDescent="0.2">
      <c r="D469" s="8"/>
      <c r="E469" s="6"/>
      <c r="G469" s="10"/>
      <c r="J469" s="142"/>
      <c r="K469" s="15"/>
      <c r="L469" s="15"/>
      <c r="M469" s="15"/>
      <c r="N469" s="16"/>
      <c r="O469" s="8"/>
      <c r="P469" s="8"/>
      <c r="Q469" s="8"/>
      <c r="R469" s="16"/>
      <c r="S469" s="16"/>
      <c r="T469" s="19"/>
      <c r="U469" s="16"/>
      <c r="V469" s="19"/>
      <c r="W469" s="160"/>
      <c r="X469" s="160"/>
      <c r="Y469" s="160"/>
      <c r="Z469" s="160"/>
      <c r="AA469" s="160"/>
      <c r="AB469" s="10"/>
      <c r="AD469" s="160"/>
    </row>
    <row r="470" spans="4:30" x14ac:dyDescent="0.2">
      <c r="D470" s="8"/>
      <c r="E470" s="6"/>
      <c r="G470" s="10"/>
      <c r="J470" s="142"/>
      <c r="K470" s="15"/>
      <c r="L470" s="15"/>
      <c r="M470" s="15"/>
      <c r="N470" s="16"/>
      <c r="O470" s="8"/>
      <c r="P470" s="8"/>
      <c r="Q470" s="8"/>
      <c r="R470" s="16"/>
      <c r="S470" s="16"/>
      <c r="T470" s="19"/>
      <c r="U470" s="16"/>
      <c r="V470" s="19"/>
      <c r="W470" s="160"/>
      <c r="X470" s="160"/>
      <c r="Y470" s="160"/>
      <c r="Z470" s="160"/>
      <c r="AA470" s="160"/>
      <c r="AB470" s="10"/>
      <c r="AD470" s="160"/>
    </row>
    <row r="471" spans="4:30" x14ac:dyDescent="0.2">
      <c r="D471" s="8"/>
      <c r="E471" s="6"/>
      <c r="G471" s="10"/>
      <c r="J471" s="142"/>
      <c r="K471" s="15"/>
      <c r="L471" s="15"/>
      <c r="M471" s="15"/>
      <c r="N471" s="16"/>
      <c r="O471" s="8"/>
      <c r="P471" s="8"/>
      <c r="Q471" s="8"/>
      <c r="R471" s="16"/>
      <c r="S471" s="16"/>
      <c r="T471" s="19"/>
      <c r="U471" s="16"/>
      <c r="V471" s="19"/>
      <c r="W471" s="160"/>
      <c r="X471" s="160"/>
      <c r="Y471" s="160"/>
      <c r="Z471" s="160"/>
      <c r="AA471" s="160"/>
      <c r="AB471" s="10"/>
      <c r="AD471" s="160"/>
    </row>
    <row r="472" spans="4:30" x14ac:dyDescent="0.2">
      <c r="D472" s="8"/>
      <c r="E472" s="6"/>
      <c r="G472" s="10"/>
      <c r="J472" s="142"/>
      <c r="K472" s="15"/>
      <c r="L472" s="15"/>
      <c r="M472" s="15"/>
      <c r="N472" s="16"/>
      <c r="O472" s="8"/>
      <c r="P472" s="8"/>
      <c r="Q472" s="8"/>
      <c r="R472" s="16"/>
      <c r="S472" s="16"/>
      <c r="T472" s="19"/>
      <c r="U472" s="16"/>
      <c r="V472" s="19"/>
      <c r="W472" s="160"/>
      <c r="X472" s="160"/>
      <c r="Y472" s="160"/>
      <c r="Z472" s="160"/>
      <c r="AA472" s="160"/>
      <c r="AB472" s="10"/>
      <c r="AD472" s="160"/>
    </row>
    <row r="473" spans="4:30" x14ac:dyDescent="0.2">
      <c r="D473" s="8"/>
      <c r="E473" s="6"/>
      <c r="G473" s="10"/>
      <c r="J473" s="142"/>
      <c r="K473" s="15"/>
      <c r="L473" s="15"/>
      <c r="M473" s="15"/>
      <c r="N473" s="16"/>
      <c r="O473" s="8"/>
      <c r="P473" s="8"/>
      <c r="Q473" s="8"/>
      <c r="R473" s="16"/>
      <c r="S473" s="16"/>
      <c r="T473" s="19"/>
      <c r="U473" s="16"/>
      <c r="V473" s="19"/>
      <c r="W473" s="160"/>
      <c r="X473" s="160"/>
      <c r="Y473" s="160"/>
      <c r="Z473" s="160"/>
      <c r="AA473" s="160"/>
      <c r="AB473" s="10"/>
      <c r="AD473" s="160"/>
    </row>
    <row r="474" spans="4:30" x14ac:dyDescent="0.2">
      <c r="D474" s="8"/>
      <c r="E474" s="6"/>
      <c r="G474" s="10"/>
      <c r="J474" s="142"/>
      <c r="K474" s="15"/>
      <c r="L474" s="15"/>
      <c r="M474" s="15"/>
      <c r="N474" s="16"/>
      <c r="O474" s="8"/>
      <c r="P474" s="8"/>
      <c r="Q474" s="8"/>
      <c r="R474" s="16"/>
      <c r="S474" s="16"/>
      <c r="T474" s="19"/>
      <c r="U474" s="16"/>
      <c r="V474" s="19"/>
      <c r="W474" s="160"/>
      <c r="X474" s="160"/>
      <c r="Y474" s="160"/>
      <c r="Z474" s="160"/>
      <c r="AA474" s="160"/>
      <c r="AB474" s="10"/>
      <c r="AD474" s="160"/>
    </row>
    <row r="475" spans="4:30" x14ac:dyDescent="0.2">
      <c r="D475" s="8"/>
      <c r="E475" s="6"/>
      <c r="G475" s="10"/>
      <c r="J475" s="142"/>
      <c r="K475" s="15"/>
      <c r="L475" s="15"/>
      <c r="M475" s="15"/>
      <c r="N475" s="16"/>
      <c r="O475" s="8"/>
      <c r="P475" s="8"/>
      <c r="Q475" s="8"/>
      <c r="R475" s="16"/>
      <c r="S475" s="16"/>
      <c r="T475" s="19"/>
      <c r="U475" s="16"/>
      <c r="V475" s="19"/>
      <c r="W475" s="160"/>
      <c r="X475" s="160"/>
      <c r="Y475" s="160"/>
      <c r="Z475" s="160"/>
      <c r="AA475" s="160"/>
      <c r="AB475" s="10"/>
      <c r="AD475" s="160"/>
    </row>
    <row r="476" spans="4:30" x14ac:dyDescent="0.2">
      <c r="D476" s="8"/>
      <c r="E476" s="6"/>
      <c r="G476" s="10"/>
      <c r="J476" s="142"/>
      <c r="K476" s="15"/>
      <c r="L476" s="15"/>
      <c r="M476" s="15"/>
      <c r="N476" s="16"/>
      <c r="O476" s="8"/>
      <c r="P476" s="8"/>
      <c r="Q476" s="8"/>
      <c r="R476" s="16"/>
      <c r="S476" s="16"/>
      <c r="T476" s="19"/>
      <c r="U476" s="16"/>
      <c r="V476" s="19"/>
      <c r="W476" s="160"/>
      <c r="X476" s="160"/>
      <c r="Y476" s="160"/>
      <c r="Z476" s="160"/>
      <c r="AA476" s="160"/>
      <c r="AB476" s="10"/>
      <c r="AD476" s="160"/>
    </row>
    <row r="477" spans="4:30" x14ac:dyDescent="0.2">
      <c r="D477" s="8"/>
      <c r="E477" s="6"/>
      <c r="G477" s="10"/>
      <c r="J477" s="142"/>
      <c r="K477" s="15"/>
      <c r="L477" s="15"/>
      <c r="M477" s="15"/>
      <c r="N477" s="16"/>
      <c r="O477" s="8"/>
      <c r="P477" s="8"/>
      <c r="Q477" s="8"/>
      <c r="R477" s="16"/>
      <c r="S477" s="16"/>
      <c r="T477" s="19"/>
      <c r="U477" s="16"/>
      <c r="V477" s="19"/>
      <c r="W477" s="160"/>
      <c r="X477" s="160"/>
      <c r="Y477" s="160"/>
      <c r="Z477" s="160"/>
      <c r="AA477" s="160"/>
      <c r="AB477" s="10"/>
      <c r="AD477" s="160"/>
    </row>
    <row r="478" spans="4:30" x14ac:dyDescent="0.2">
      <c r="D478" s="8"/>
      <c r="E478" s="6"/>
      <c r="G478" s="10"/>
      <c r="J478" s="142"/>
      <c r="K478" s="15"/>
      <c r="L478" s="15"/>
      <c r="M478" s="15"/>
      <c r="N478" s="16"/>
      <c r="O478" s="8"/>
      <c r="P478" s="8"/>
      <c r="Q478" s="8"/>
      <c r="R478" s="16"/>
      <c r="S478" s="16"/>
      <c r="T478" s="19"/>
      <c r="U478" s="16"/>
      <c r="V478" s="19"/>
      <c r="W478" s="160"/>
      <c r="X478" s="160"/>
      <c r="Y478" s="160"/>
      <c r="Z478" s="160"/>
      <c r="AA478" s="160"/>
      <c r="AB478" s="10"/>
      <c r="AD478" s="160"/>
    </row>
    <row r="479" spans="4:30" x14ac:dyDescent="0.2">
      <c r="D479" s="8"/>
      <c r="E479" s="6"/>
      <c r="G479" s="10"/>
      <c r="J479" s="142"/>
      <c r="K479" s="15"/>
      <c r="L479" s="15"/>
      <c r="M479" s="15"/>
      <c r="N479" s="16"/>
      <c r="O479" s="8"/>
      <c r="P479" s="8"/>
      <c r="Q479" s="8"/>
      <c r="R479" s="16"/>
      <c r="S479" s="16"/>
      <c r="T479" s="19"/>
      <c r="U479" s="16"/>
      <c r="V479" s="19"/>
      <c r="W479" s="160"/>
      <c r="X479" s="160"/>
      <c r="Y479" s="160"/>
      <c r="Z479" s="160"/>
      <c r="AA479" s="160"/>
      <c r="AB479" s="10"/>
      <c r="AD479" s="160"/>
    </row>
    <row r="480" spans="4:30" x14ac:dyDescent="0.2">
      <c r="D480" s="8"/>
      <c r="E480" s="6"/>
      <c r="G480" s="10"/>
      <c r="J480" s="142"/>
      <c r="K480" s="15"/>
      <c r="L480" s="15"/>
      <c r="M480" s="15"/>
      <c r="N480" s="16"/>
      <c r="O480" s="8"/>
      <c r="P480" s="8"/>
      <c r="Q480" s="8"/>
      <c r="R480" s="16"/>
      <c r="S480" s="16"/>
      <c r="T480" s="19"/>
      <c r="U480" s="16"/>
      <c r="V480" s="19"/>
      <c r="W480" s="160"/>
      <c r="X480" s="160"/>
      <c r="Y480" s="160"/>
      <c r="Z480" s="160"/>
      <c r="AA480" s="160"/>
      <c r="AB480" s="10"/>
      <c r="AD480" s="160"/>
    </row>
    <row r="481" spans="4:30" x14ac:dyDescent="0.2">
      <c r="D481" s="8"/>
      <c r="E481" s="6"/>
      <c r="G481" s="10"/>
      <c r="J481" s="142"/>
      <c r="K481" s="15"/>
      <c r="L481" s="15"/>
      <c r="M481" s="15"/>
      <c r="N481" s="16"/>
      <c r="O481" s="8"/>
      <c r="P481" s="8"/>
      <c r="Q481" s="8"/>
      <c r="R481" s="16"/>
      <c r="S481" s="16"/>
      <c r="T481" s="19"/>
      <c r="U481" s="16"/>
      <c r="V481" s="19"/>
      <c r="W481" s="160"/>
      <c r="X481" s="160"/>
      <c r="Y481" s="160"/>
      <c r="Z481" s="160"/>
      <c r="AA481" s="160"/>
      <c r="AB481" s="10"/>
      <c r="AD481" s="160"/>
    </row>
    <row r="482" spans="4:30" x14ac:dyDescent="0.2">
      <c r="D482" s="8"/>
      <c r="E482" s="6"/>
      <c r="G482" s="10"/>
      <c r="J482" s="142"/>
      <c r="K482" s="15"/>
      <c r="L482" s="15"/>
      <c r="M482" s="15"/>
      <c r="N482" s="16"/>
      <c r="O482" s="8"/>
      <c r="P482" s="8"/>
      <c r="Q482" s="8"/>
      <c r="R482" s="16"/>
      <c r="S482" s="16"/>
      <c r="T482" s="19"/>
      <c r="U482" s="16"/>
      <c r="V482" s="19"/>
      <c r="W482" s="160"/>
      <c r="X482" s="160"/>
      <c r="Y482" s="160"/>
      <c r="Z482" s="160"/>
      <c r="AA482" s="160"/>
      <c r="AB482" s="10"/>
      <c r="AD482" s="160"/>
    </row>
    <row r="483" spans="4:30" x14ac:dyDescent="0.2">
      <c r="D483" s="8"/>
      <c r="E483" s="6"/>
      <c r="G483" s="10"/>
      <c r="J483" s="142"/>
      <c r="K483" s="15"/>
      <c r="L483" s="15"/>
      <c r="M483" s="15"/>
      <c r="N483" s="16"/>
      <c r="O483" s="8"/>
      <c r="P483" s="8"/>
      <c r="Q483" s="8"/>
      <c r="R483" s="16"/>
      <c r="S483" s="16"/>
      <c r="T483" s="19"/>
      <c r="U483" s="16"/>
      <c r="V483" s="19"/>
      <c r="W483" s="160"/>
      <c r="X483" s="160"/>
      <c r="Y483" s="160"/>
      <c r="Z483" s="160"/>
      <c r="AA483" s="160"/>
      <c r="AB483" s="10"/>
      <c r="AD483" s="160"/>
    </row>
    <row r="484" spans="4:30" x14ac:dyDescent="0.2">
      <c r="D484" s="8"/>
      <c r="E484" s="6"/>
      <c r="G484" s="10"/>
      <c r="J484" s="142"/>
      <c r="K484" s="15"/>
      <c r="L484" s="15"/>
      <c r="M484" s="15"/>
      <c r="N484" s="16"/>
      <c r="O484" s="8"/>
      <c r="P484" s="8"/>
      <c r="Q484" s="8"/>
      <c r="R484" s="16"/>
      <c r="S484" s="16"/>
      <c r="T484" s="19"/>
      <c r="U484" s="16"/>
      <c r="V484" s="19"/>
      <c r="W484" s="160"/>
      <c r="X484" s="160"/>
      <c r="Y484" s="160"/>
      <c r="Z484" s="160"/>
      <c r="AA484" s="160"/>
      <c r="AB484" s="10"/>
      <c r="AD484" s="160"/>
    </row>
    <row r="485" spans="4:30" x14ac:dyDescent="0.2">
      <c r="D485" s="8"/>
      <c r="E485" s="6"/>
      <c r="G485" s="10"/>
      <c r="J485" s="142"/>
      <c r="K485" s="15"/>
      <c r="L485" s="15"/>
      <c r="M485" s="15"/>
      <c r="N485" s="16"/>
      <c r="O485" s="8"/>
      <c r="P485" s="8"/>
      <c r="Q485" s="8"/>
      <c r="R485" s="16"/>
      <c r="S485" s="16"/>
      <c r="T485" s="19"/>
      <c r="U485" s="16"/>
      <c r="V485" s="19"/>
      <c r="W485" s="160"/>
      <c r="X485" s="160"/>
      <c r="Y485" s="160"/>
      <c r="Z485" s="160"/>
      <c r="AA485" s="160"/>
      <c r="AB485" s="10"/>
      <c r="AD485" s="160"/>
    </row>
    <row r="486" spans="4:30" x14ac:dyDescent="0.2">
      <c r="D486" s="8"/>
      <c r="E486" s="6"/>
      <c r="G486" s="10"/>
      <c r="J486" s="142"/>
      <c r="K486" s="15"/>
      <c r="L486" s="15"/>
      <c r="M486" s="15"/>
      <c r="N486" s="16"/>
      <c r="O486" s="8"/>
      <c r="P486" s="8"/>
      <c r="Q486" s="8"/>
      <c r="R486" s="16"/>
      <c r="S486" s="16"/>
      <c r="T486" s="19"/>
      <c r="U486" s="16"/>
      <c r="V486" s="19"/>
      <c r="W486" s="160"/>
      <c r="X486" s="160"/>
      <c r="Y486" s="160"/>
      <c r="Z486" s="160"/>
      <c r="AA486" s="160"/>
      <c r="AB486" s="10"/>
      <c r="AD486" s="160"/>
    </row>
    <row r="487" spans="4:30" x14ac:dyDescent="0.2">
      <c r="D487" s="8"/>
      <c r="E487" s="6"/>
      <c r="G487" s="10"/>
      <c r="J487" s="142"/>
      <c r="K487" s="15"/>
      <c r="L487" s="15"/>
      <c r="M487" s="15"/>
      <c r="N487" s="16"/>
      <c r="O487" s="8"/>
      <c r="P487" s="8"/>
      <c r="Q487" s="8"/>
      <c r="R487" s="16"/>
      <c r="S487" s="16"/>
      <c r="T487" s="19"/>
      <c r="U487" s="16"/>
      <c r="V487" s="19"/>
      <c r="W487" s="160"/>
      <c r="X487" s="160"/>
      <c r="Y487" s="160"/>
      <c r="Z487" s="160"/>
      <c r="AA487" s="160"/>
      <c r="AB487" s="10"/>
      <c r="AD487" s="160"/>
    </row>
    <row r="488" spans="4:30" x14ac:dyDescent="0.2">
      <c r="D488" s="8"/>
      <c r="E488" s="6"/>
      <c r="G488" s="10"/>
      <c r="J488" s="142"/>
      <c r="K488" s="15"/>
      <c r="L488" s="15"/>
      <c r="M488" s="15"/>
      <c r="N488" s="16"/>
      <c r="O488" s="8"/>
      <c r="P488" s="8"/>
      <c r="Q488" s="8"/>
      <c r="R488" s="16"/>
      <c r="S488" s="16"/>
      <c r="T488" s="19"/>
      <c r="U488" s="16"/>
      <c r="V488" s="19"/>
      <c r="W488" s="160"/>
      <c r="X488" s="160"/>
      <c r="Y488" s="160"/>
      <c r="Z488" s="160"/>
      <c r="AA488" s="160"/>
      <c r="AB488" s="10"/>
      <c r="AD488" s="160"/>
    </row>
    <row r="489" spans="4:30" x14ac:dyDescent="0.2">
      <c r="D489" s="8"/>
      <c r="E489" s="6"/>
      <c r="G489" s="10"/>
      <c r="J489" s="142"/>
      <c r="K489" s="15"/>
      <c r="L489" s="15"/>
      <c r="M489" s="15"/>
      <c r="N489" s="16"/>
      <c r="O489" s="8"/>
      <c r="P489" s="8"/>
      <c r="Q489" s="8"/>
      <c r="R489" s="16"/>
      <c r="S489" s="16"/>
      <c r="T489" s="19"/>
      <c r="U489" s="16"/>
      <c r="V489" s="19"/>
      <c r="W489" s="160"/>
      <c r="X489" s="160"/>
      <c r="Y489" s="160"/>
      <c r="Z489" s="160"/>
      <c r="AA489" s="160"/>
      <c r="AB489" s="10"/>
      <c r="AD489" s="160"/>
    </row>
    <row r="490" spans="4:30" x14ac:dyDescent="0.2">
      <c r="D490" s="8"/>
      <c r="E490" s="6"/>
      <c r="G490" s="10"/>
      <c r="J490" s="142"/>
      <c r="K490" s="15"/>
      <c r="L490" s="15"/>
      <c r="M490" s="15"/>
      <c r="N490" s="16"/>
      <c r="O490" s="8"/>
      <c r="P490" s="8"/>
      <c r="Q490" s="8"/>
      <c r="R490" s="16"/>
      <c r="S490" s="16"/>
      <c r="T490" s="19"/>
      <c r="U490" s="16"/>
      <c r="V490" s="19"/>
      <c r="W490" s="160"/>
      <c r="X490" s="160"/>
      <c r="Y490" s="160"/>
      <c r="Z490" s="160"/>
      <c r="AA490" s="160"/>
      <c r="AB490" s="10"/>
      <c r="AD490" s="160"/>
    </row>
    <row r="491" spans="4:30" x14ac:dyDescent="0.2">
      <c r="D491" s="8"/>
      <c r="E491" s="6"/>
      <c r="G491" s="10"/>
      <c r="J491" s="142"/>
      <c r="K491" s="15"/>
      <c r="L491" s="15"/>
      <c r="M491" s="15"/>
      <c r="N491" s="16"/>
      <c r="O491" s="8"/>
      <c r="P491" s="8"/>
      <c r="Q491" s="8"/>
      <c r="R491" s="16"/>
      <c r="S491" s="16"/>
      <c r="T491" s="19"/>
      <c r="U491" s="16"/>
      <c r="V491" s="19"/>
      <c r="W491" s="160"/>
      <c r="X491" s="160"/>
      <c r="Y491" s="160"/>
      <c r="Z491" s="160"/>
      <c r="AA491" s="160"/>
      <c r="AB491" s="10"/>
      <c r="AD491" s="160"/>
    </row>
    <row r="492" spans="4:30" x14ac:dyDescent="0.2">
      <c r="D492" s="8"/>
      <c r="E492" s="6"/>
      <c r="G492" s="10"/>
      <c r="J492" s="142"/>
      <c r="K492" s="15"/>
      <c r="L492" s="15"/>
      <c r="M492" s="15"/>
      <c r="N492" s="16"/>
      <c r="O492" s="8"/>
      <c r="P492" s="8"/>
      <c r="Q492" s="8"/>
      <c r="R492" s="16"/>
      <c r="S492" s="16"/>
      <c r="T492" s="19"/>
      <c r="U492" s="16"/>
      <c r="V492" s="19"/>
      <c r="W492" s="160"/>
      <c r="X492" s="160"/>
      <c r="Y492" s="160"/>
      <c r="Z492" s="160"/>
      <c r="AA492" s="160"/>
      <c r="AB492" s="10"/>
      <c r="AD492" s="160"/>
    </row>
    <row r="493" spans="4:30" x14ac:dyDescent="0.2">
      <c r="D493" s="8"/>
      <c r="E493" s="6"/>
      <c r="G493" s="10"/>
      <c r="J493" s="142"/>
      <c r="K493" s="15"/>
      <c r="L493" s="15"/>
      <c r="M493" s="15"/>
      <c r="N493" s="16"/>
      <c r="O493" s="8"/>
      <c r="P493" s="8"/>
      <c r="Q493" s="8"/>
      <c r="R493" s="16"/>
      <c r="S493" s="16"/>
      <c r="T493" s="19"/>
      <c r="U493" s="16"/>
      <c r="V493" s="19"/>
      <c r="W493" s="160"/>
      <c r="X493" s="160"/>
      <c r="Y493" s="160"/>
      <c r="Z493" s="160"/>
      <c r="AA493" s="160"/>
      <c r="AB493" s="10"/>
      <c r="AD493" s="160"/>
    </row>
    <row r="494" spans="4:30" x14ac:dyDescent="0.2">
      <c r="D494" s="8"/>
      <c r="E494" s="6"/>
      <c r="G494" s="10"/>
      <c r="J494" s="142"/>
      <c r="K494" s="15"/>
      <c r="L494" s="15"/>
      <c r="M494" s="15"/>
      <c r="N494" s="16"/>
      <c r="O494" s="8"/>
      <c r="P494" s="8"/>
      <c r="Q494" s="8"/>
      <c r="R494" s="16"/>
      <c r="S494" s="16"/>
      <c r="T494" s="19"/>
      <c r="U494" s="16"/>
      <c r="V494" s="19"/>
      <c r="W494" s="160"/>
      <c r="X494" s="160"/>
      <c r="Y494" s="160"/>
      <c r="Z494" s="160"/>
      <c r="AA494" s="160"/>
      <c r="AB494" s="10"/>
      <c r="AD494" s="160"/>
    </row>
    <row r="495" spans="4:30" x14ac:dyDescent="0.2">
      <c r="D495" s="8"/>
      <c r="E495" s="6"/>
      <c r="G495" s="10"/>
      <c r="J495" s="142"/>
      <c r="K495" s="15"/>
      <c r="L495" s="15"/>
      <c r="M495" s="15"/>
      <c r="N495" s="16"/>
      <c r="O495" s="8"/>
      <c r="P495" s="8"/>
      <c r="Q495" s="8"/>
      <c r="R495" s="16"/>
      <c r="S495" s="16"/>
      <c r="T495" s="19"/>
      <c r="U495" s="16"/>
      <c r="V495" s="19"/>
      <c r="W495" s="160"/>
      <c r="X495" s="160"/>
      <c r="Y495" s="160"/>
      <c r="Z495" s="160"/>
      <c r="AA495" s="160"/>
      <c r="AB495" s="10"/>
      <c r="AD495" s="160"/>
    </row>
    <row r="496" spans="4:30" x14ac:dyDescent="0.2">
      <c r="D496" s="8"/>
      <c r="E496" s="6"/>
      <c r="G496" s="10"/>
      <c r="J496" s="142"/>
      <c r="K496" s="15"/>
      <c r="L496" s="15"/>
      <c r="M496" s="15"/>
      <c r="N496" s="16"/>
      <c r="O496" s="8"/>
      <c r="P496" s="8"/>
      <c r="Q496" s="8"/>
      <c r="R496" s="16"/>
      <c r="S496" s="16"/>
      <c r="T496" s="19"/>
      <c r="U496" s="16"/>
      <c r="V496" s="19"/>
      <c r="W496" s="160"/>
      <c r="X496" s="160"/>
      <c r="Y496" s="160"/>
      <c r="Z496" s="160"/>
      <c r="AA496" s="160"/>
      <c r="AB496" s="10"/>
      <c r="AD496" s="160"/>
    </row>
    <row r="497" spans="4:30" x14ac:dyDescent="0.2">
      <c r="D497" s="8"/>
      <c r="E497" s="6"/>
      <c r="G497" s="10"/>
      <c r="J497" s="142"/>
      <c r="K497" s="15"/>
      <c r="L497" s="15"/>
      <c r="M497" s="15"/>
      <c r="N497" s="16"/>
      <c r="O497" s="8"/>
      <c r="P497" s="8"/>
      <c r="Q497" s="8"/>
      <c r="R497" s="16"/>
      <c r="S497" s="16"/>
      <c r="T497" s="19"/>
      <c r="U497" s="16"/>
      <c r="V497" s="19"/>
      <c r="W497" s="160"/>
      <c r="X497" s="160"/>
      <c r="Y497" s="160"/>
      <c r="Z497" s="160"/>
      <c r="AA497" s="160"/>
      <c r="AB497" s="10"/>
      <c r="AD497" s="160"/>
    </row>
    <row r="498" spans="4:30" x14ac:dyDescent="0.2">
      <c r="D498" s="8"/>
      <c r="E498" s="6"/>
      <c r="G498" s="10"/>
      <c r="J498" s="142"/>
      <c r="K498" s="15"/>
      <c r="L498" s="15"/>
      <c r="M498" s="15"/>
      <c r="N498" s="16"/>
      <c r="O498" s="8"/>
      <c r="P498" s="8"/>
      <c r="Q498" s="8"/>
      <c r="R498" s="16"/>
      <c r="S498" s="16"/>
      <c r="T498" s="19"/>
      <c r="U498" s="16"/>
      <c r="V498" s="19"/>
      <c r="W498" s="160"/>
      <c r="X498" s="160"/>
      <c r="Y498" s="160"/>
      <c r="Z498" s="160"/>
      <c r="AA498" s="160"/>
      <c r="AB498" s="10"/>
      <c r="AD498" s="160"/>
    </row>
    <row r="499" spans="4:30" x14ac:dyDescent="0.2">
      <c r="D499" s="8"/>
      <c r="E499" s="6"/>
      <c r="G499" s="10"/>
      <c r="J499" s="142"/>
      <c r="K499" s="15"/>
      <c r="L499" s="15"/>
      <c r="M499" s="15"/>
      <c r="N499" s="16"/>
      <c r="O499" s="8"/>
      <c r="P499" s="8"/>
      <c r="Q499" s="8"/>
      <c r="R499" s="16"/>
      <c r="S499" s="16"/>
      <c r="T499" s="19"/>
      <c r="U499" s="16"/>
      <c r="V499" s="19"/>
      <c r="W499" s="160"/>
      <c r="X499" s="160"/>
      <c r="Y499" s="160"/>
      <c r="Z499" s="160"/>
      <c r="AA499" s="160"/>
      <c r="AB499" s="10"/>
      <c r="AD499" s="160"/>
    </row>
    <row r="500" spans="4:30" x14ac:dyDescent="0.2">
      <c r="D500" s="8"/>
      <c r="E500" s="6"/>
      <c r="G500" s="10"/>
      <c r="J500" s="142"/>
      <c r="K500" s="15"/>
      <c r="L500" s="15"/>
      <c r="M500" s="15"/>
      <c r="N500" s="16"/>
      <c r="O500" s="8"/>
      <c r="P500" s="8"/>
      <c r="Q500" s="8"/>
      <c r="R500" s="16"/>
      <c r="S500" s="16"/>
      <c r="T500" s="19"/>
      <c r="U500" s="16"/>
      <c r="V500" s="19"/>
      <c r="W500" s="160"/>
      <c r="X500" s="160"/>
      <c r="Y500" s="160"/>
      <c r="Z500" s="160"/>
      <c r="AA500" s="160"/>
      <c r="AB500" s="10"/>
      <c r="AD500" s="160"/>
    </row>
    <row r="501" spans="4:30" x14ac:dyDescent="0.2">
      <c r="D501" s="8"/>
      <c r="E501" s="6"/>
      <c r="G501" s="10"/>
      <c r="J501" s="142"/>
      <c r="K501" s="15"/>
      <c r="L501" s="15"/>
      <c r="M501" s="15"/>
      <c r="N501" s="16"/>
      <c r="O501" s="8"/>
      <c r="P501" s="8"/>
      <c r="Q501" s="8"/>
      <c r="R501" s="16"/>
      <c r="S501" s="16"/>
      <c r="T501" s="19"/>
      <c r="U501" s="16"/>
      <c r="V501" s="19"/>
      <c r="W501" s="160"/>
      <c r="X501" s="160"/>
      <c r="Y501" s="160"/>
      <c r="Z501" s="160"/>
      <c r="AA501" s="160"/>
      <c r="AB501" s="10"/>
      <c r="AD501" s="160"/>
    </row>
    <row r="502" spans="4:30" x14ac:dyDescent="0.2">
      <c r="D502" s="8"/>
      <c r="E502" s="6"/>
      <c r="G502" s="10"/>
      <c r="J502" s="142"/>
      <c r="K502" s="15"/>
      <c r="L502" s="15"/>
      <c r="M502" s="15"/>
      <c r="N502" s="16"/>
      <c r="O502" s="8"/>
      <c r="P502" s="8"/>
      <c r="Q502" s="8"/>
      <c r="R502" s="16"/>
      <c r="S502" s="16"/>
      <c r="T502" s="19"/>
      <c r="U502" s="16"/>
      <c r="V502" s="19"/>
      <c r="W502" s="160"/>
      <c r="X502" s="160"/>
      <c r="Y502" s="160"/>
      <c r="Z502" s="160"/>
      <c r="AA502" s="160"/>
      <c r="AB502" s="10"/>
      <c r="AD502" s="160"/>
    </row>
    <row r="503" spans="4:30" x14ac:dyDescent="0.2">
      <c r="D503" s="8"/>
      <c r="E503" s="6"/>
      <c r="G503" s="10"/>
      <c r="J503" s="142"/>
      <c r="K503" s="15"/>
      <c r="L503" s="15"/>
      <c r="M503" s="15"/>
      <c r="N503" s="16"/>
      <c r="O503" s="8"/>
      <c r="P503" s="8"/>
      <c r="Q503" s="8"/>
      <c r="R503" s="16"/>
      <c r="S503" s="16"/>
      <c r="T503" s="19"/>
      <c r="U503" s="16"/>
      <c r="V503" s="19"/>
      <c r="W503" s="160"/>
      <c r="X503" s="160"/>
      <c r="Y503" s="160"/>
      <c r="Z503" s="160"/>
      <c r="AA503" s="160"/>
      <c r="AB503" s="10"/>
      <c r="AD503" s="160"/>
    </row>
    <row r="504" spans="4:30" x14ac:dyDescent="0.2">
      <c r="D504" s="8"/>
      <c r="E504" s="6"/>
      <c r="G504" s="10"/>
      <c r="J504" s="142"/>
      <c r="K504" s="15"/>
      <c r="L504" s="15"/>
      <c r="M504" s="15"/>
      <c r="N504" s="16"/>
      <c r="O504" s="8"/>
      <c r="P504" s="8"/>
      <c r="Q504" s="8"/>
      <c r="R504" s="16"/>
      <c r="S504" s="16"/>
      <c r="T504" s="19"/>
      <c r="U504" s="16"/>
      <c r="V504" s="19"/>
      <c r="W504" s="160"/>
      <c r="X504" s="160"/>
      <c r="Y504" s="160"/>
      <c r="Z504" s="160"/>
      <c r="AA504" s="160"/>
      <c r="AB504" s="10"/>
      <c r="AD504" s="160"/>
    </row>
    <row r="505" spans="4:30" x14ac:dyDescent="0.2">
      <c r="D505" s="8"/>
      <c r="E505" s="6"/>
      <c r="G505" s="10"/>
      <c r="J505" s="142"/>
      <c r="K505" s="15"/>
      <c r="L505" s="15"/>
      <c r="M505" s="15"/>
      <c r="N505" s="16"/>
      <c r="O505" s="8"/>
      <c r="P505" s="8"/>
      <c r="Q505" s="8"/>
      <c r="R505" s="16"/>
      <c r="S505" s="16"/>
      <c r="T505" s="19"/>
      <c r="U505" s="16"/>
      <c r="V505" s="19"/>
      <c r="W505" s="160"/>
      <c r="X505" s="160"/>
      <c r="Y505" s="160"/>
      <c r="Z505" s="160"/>
      <c r="AA505" s="160"/>
      <c r="AB505" s="10"/>
      <c r="AD505" s="160"/>
    </row>
    <row r="506" spans="4:30" x14ac:dyDescent="0.2">
      <c r="D506" s="8"/>
      <c r="E506" s="6"/>
      <c r="G506" s="10"/>
      <c r="J506" s="142"/>
      <c r="K506" s="15"/>
      <c r="L506" s="15"/>
      <c r="M506" s="15"/>
      <c r="N506" s="16"/>
      <c r="O506" s="8"/>
      <c r="P506" s="8"/>
      <c r="Q506" s="8"/>
      <c r="R506" s="16"/>
      <c r="S506" s="16"/>
      <c r="T506" s="19"/>
      <c r="U506" s="16"/>
      <c r="V506" s="19"/>
      <c r="W506" s="160"/>
      <c r="X506" s="160"/>
      <c r="Y506" s="160"/>
      <c r="Z506" s="160"/>
      <c r="AA506" s="160"/>
      <c r="AB506" s="10"/>
      <c r="AD506" s="160"/>
    </row>
    <row r="507" spans="4:30" x14ac:dyDescent="0.2">
      <c r="D507" s="8"/>
      <c r="E507" s="6"/>
      <c r="G507" s="10"/>
      <c r="J507" s="142"/>
      <c r="K507" s="15"/>
      <c r="L507" s="15"/>
      <c r="M507" s="15"/>
      <c r="N507" s="16"/>
      <c r="O507" s="8"/>
      <c r="P507" s="8"/>
      <c r="Q507" s="8"/>
      <c r="R507" s="16"/>
      <c r="S507" s="16"/>
      <c r="T507" s="19"/>
      <c r="U507" s="16"/>
      <c r="V507" s="19"/>
      <c r="W507" s="160"/>
      <c r="X507" s="160"/>
      <c r="Y507" s="160"/>
      <c r="Z507" s="160"/>
      <c r="AA507" s="160"/>
      <c r="AB507" s="10"/>
      <c r="AD507" s="160"/>
    </row>
    <row r="508" spans="4:30" x14ac:dyDescent="0.2">
      <c r="D508" s="8"/>
      <c r="E508" s="6"/>
      <c r="G508" s="10"/>
      <c r="J508" s="142"/>
      <c r="K508" s="15"/>
      <c r="L508" s="15"/>
      <c r="M508" s="15"/>
      <c r="N508" s="16"/>
      <c r="O508" s="8"/>
      <c r="P508" s="8"/>
      <c r="Q508" s="8"/>
      <c r="R508" s="16"/>
      <c r="S508" s="16"/>
      <c r="T508" s="19"/>
      <c r="U508" s="16"/>
      <c r="V508" s="19"/>
      <c r="W508" s="160"/>
      <c r="X508" s="160"/>
      <c r="Y508" s="160"/>
      <c r="Z508" s="160"/>
      <c r="AA508" s="160"/>
      <c r="AB508" s="10"/>
      <c r="AD508" s="160"/>
    </row>
    <row r="509" spans="4:30" x14ac:dyDescent="0.2">
      <c r="D509" s="8"/>
      <c r="E509" s="6"/>
      <c r="G509" s="10"/>
      <c r="J509" s="142"/>
      <c r="K509" s="15"/>
      <c r="L509" s="15"/>
      <c r="M509" s="15"/>
      <c r="N509" s="16"/>
      <c r="O509" s="8"/>
      <c r="P509" s="8"/>
      <c r="Q509" s="8"/>
      <c r="R509" s="16"/>
      <c r="S509" s="16"/>
      <c r="T509" s="19"/>
      <c r="U509" s="16"/>
      <c r="V509" s="19"/>
      <c r="W509" s="160"/>
      <c r="X509" s="160"/>
      <c r="Y509" s="160"/>
      <c r="Z509" s="160"/>
      <c r="AA509" s="160"/>
      <c r="AB509" s="10"/>
      <c r="AD509" s="160"/>
    </row>
    <row r="510" spans="4:30" x14ac:dyDescent="0.2">
      <c r="D510" s="8"/>
      <c r="E510" s="6"/>
      <c r="G510" s="10"/>
      <c r="J510" s="142"/>
      <c r="K510" s="15"/>
      <c r="L510" s="15"/>
      <c r="M510" s="15"/>
      <c r="N510" s="16"/>
      <c r="O510" s="8"/>
      <c r="P510" s="8"/>
      <c r="Q510" s="8"/>
      <c r="R510" s="16"/>
      <c r="S510" s="16"/>
      <c r="T510" s="19"/>
      <c r="U510" s="16"/>
      <c r="V510" s="19"/>
      <c r="W510" s="160"/>
      <c r="X510" s="160"/>
      <c r="Y510" s="160"/>
      <c r="Z510" s="160"/>
      <c r="AA510" s="160"/>
      <c r="AB510" s="10"/>
      <c r="AD510" s="160"/>
    </row>
    <row r="511" spans="4:30" x14ac:dyDescent="0.2">
      <c r="D511" s="8"/>
      <c r="E511" s="6"/>
      <c r="G511" s="10"/>
      <c r="J511" s="142"/>
      <c r="K511" s="15"/>
      <c r="L511" s="15"/>
      <c r="M511" s="15"/>
      <c r="N511" s="16"/>
      <c r="O511" s="8"/>
      <c r="P511" s="8"/>
      <c r="Q511" s="8"/>
      <c r="R511" s="16"/>
      <c r="S511" s="16"/>
      <c r="T511" s="19"/>
      <c r="U511" s="16"/>
      <c r="V511" s="19"/>
      <c r="W511" s="160"/>
      <c r="X511" s="160"/>
      <c r="Y511" s="160"/>
      <c r="Z511" s="160"/>
      <c r="AA511" s="160"/>
      <c r="AB511" s="10"/>
      <c r="AD511" s="160"/>
    </row>
    <row r="512" spans="4:30" x14ac:dyDescent="0.2">
      <c r="D512" s="8"/>
      <c r="E512" s="6"/>
      <c r="G512" s="10"/>
      <c r="J512" s="142"/>
      <c r="K512" s="15"/>
      <c r="L512" s="15"/>
      <c r="M512" s="15"/>
      <c r="N512" s="16"/>
      <c r="O512" s="8"/>
      <c r="P512" s="8"/>
      <c r="Q512" s="8"/>
      <c r="R512" s="16"/>
      <c r="S512" s="16"/>
      <c r="T512" s="19"/>
      <c r="U512" s="16"/>
      <c r="V512" s="19"/>
      <c r="W512" s="160"/>
      <c r="X512" s="160"/>
      <c r="Y512" s="160"/>
      <c r="Z512" s="160"/>
      <c r="AA512" s="160"/>
      <c r="AB512" s="10"/>
      <c r="AD512" s="160"/>
    </row>
    <row r="513" spans="4:30" x14ac:dyDescent="0.2">
      <c r="D513" s="8"/>
      <c r="E513" s="6"/>
      <c r="G513" s="10"/>
      <c r="J513" s="142"/>
      <c r="K513" s="15"/>
      <c r="L513" s="15"/>
      <c r="M513" s="15"/>
      <c r="N513" s="16"/>
      <c r="O513" s="8"/>
      <c r="P513" s="8"/>
      <c r="Q513" s="8"/>
      <c r="R513" s="16"/>
      <c r="S513" s="16"/>
      <c r="T513" s="19"/>
      <c r="U513" s="16"/>
      <c r="V513" s="19"/>
      <c r="W513" s="160"/>
      <c r="X513" s="160"/>
      <c r="Y513" s="160"/>
      <c r="Z513" s="160"/>
      <c r="AA513" s="160"/>
      <c r="AB513" s="10"/>
      <c r="AD513" s="160"/>
    </row>
    <row r="514" spans="4:30" x14ac:dyDescent="0.2">
      <c r="D514" s="8"/>
      <c r="E514" s="6"/>
      <c r="G514" s="10"/>
      <c r="J514" s="142"/>
      <c r="K514" s="15"/>
      <c r="L514" s="15"/>
      <c r="M514" s="15"/>
      <c r="N514" s="16"/>
      <c r="O514" s="8"/>
      <c r="P514" s="8"/>
      <c r="Q514" s="8"/>
      <c r="R514" s="16"/>
      <c r="S514" s="16"/>
      <c r="T514" s="19"/>
      <c r="U514" s="16"/>
      <c r="V514" s="19"/>
      <c r="W514" s="160"/>
      <c r="X514" s="160"/>
      <c r="Y514" s="160"/>
      <c r="Z514" s="160"/>
      <c r="AA514" s="160"/>
      <c r="AB514" s="10"/>
      <c r="AD514" s="160"/>
    </row>
    <row r="515" spans="4:30" x14ac:dyDescent="0.2">
      <c r="D515" s="8"/>
      <c r="E515" s="6"/>
      <c r="G515" s="10"/>
      <c r="J515" s="142"/>
      <c r="K515" s="15"/>
      <c r="L515" s="15"/>
      <c r="M515" s="15"/>
      <c r="N515" s="16"/>
      <c r="O515" s="8"/>
      <c r="P515" s="8"/>
      <c r="Q515" s="8"/>
      <c r="R515" s="16"/>
      <c r="S515" s="16"/>
      <c r="T515" s="19"/>
      <c r="U515" s="16"/>
      <c r="V515" s="19"/>
      <c r="W515" s="160"/>
      <c r="X515" s="160"/>
      <c r="Y515" s="160"/>
      <c r="Z515" s="160"/>
      <c r="AA515" s="160"/>
      <c r="AB515" s="10"/>
      <c r="AD515" s="160"/>
    </row>
    <row r="516" spans="4:30" x14ac:dyDescent="0.2">
      <c r="D516" s="8"/>
      <c r="E516" s="6"/>
      <c r="G516" s="10"/>
      <c r="J516" s="142"/>
      <c r="K516" s="15"/>
      <c r="L516" s="15"/>
      <c r="M516" s="15"/>
      <c r="N516" s="16"/>
      <c r="O516" s="8"/>
      <c r="P516" s="8"/>
      <c r="Q516" s="8"/>
      <c r="R516" s="16"/>
      <c r="S516" s="16"/>
      <c r="T516" s="19"/>
      <c r="U516" s="16"/>
      <c r="V516" s="19"/>
      <c r="W516" s="160"/>
      <c r="X516" s="160"/>
      <c r="Y516" s="160"/>
      <c r="Z516" s="160"/>
      <c r="AA516" s="160"/>
      <c r="AB516" s="10"/>
      <c r="AD516" s="160"/>
    </row>
    <row r="517" spans="4:30" x14ac:dyDescent="0.2">
      <c r="D517" s="8"/>
      <c r="E517" s="6"/>
      <c r="G517" s="10"/>
      <c r="J517" s="142"/>
      <c r="K517" s="15"/>
      <c r="L517" s="15"/>
      <c r="M517" s="15"/>
      <c r="N517" s="16"/>
      <c r="O517" s="8"/>
      <c r="P517" s="8"/>
      <c r="Q517" s="8"/>
      <c r="R517" s="16"/>
      <c r="S517" s="16"/>
      <c r="T517" s="19"/>
      <c r="U517" s="16"/>
      <c r="V517" s="19"/>
      <c r="W517" s="160"/>
      <c r="X517" s="160"/>
      <c r="Y517" s="160"/>
      <c r="Z517" s="160"/>
      <c r="AA517" s="160"/>
      <c r="AB517" s="10"/>
      <c r="AD517" s="160"/>
    </row>
    <row r="518" spans="4:30" x14ac:dyDescent="0.2">
      <c r="D518" s="8"/>
      <c r="E518" s="6"/>
      <c r="G518" s="10"/>
      <c r="J518" s="142"/>
      <c r="K518" s="15"/>
      <c r="L518" s="15"/>
      <c r="M518" s="15"/>
      <c r="N518" s="16"/>
      <c r="O518" s="8"/>
      <c r="P518" s="8"/>
      <c r="Q518" s="8"/>
      <c r="R518" s="16"/>
      <c r="S518" s="16"/>
      <c r="T518" s="19"/>
      <c r="U518" s="16"/>
      <c r="V518" s="19"/>
      <c r="W518" s="160"/>
      <c r="X518" s="160"/>
      <c r="Y518" s="160"/>
      <c r="Z518" s="160"/>
      <c r="AA518" s="160"/>
      <c r="AB518" s="10"/>
      <c r="AD518" s="160"/>
    </row>
    <row r="519" spans="4:30" x14ac:dyDescent="0.2">
      <c r="D519" s="8"/>
      <c r="E519" s="6"/>
      <c r="G519" s="10"/>
      <c r="J519" s="142"/>
      <c r="K519" s="15"/>
      <c r="L519" s="15"/>
      <c r="M519" s="15"/>
      <c r="N519" s="16"/>
      <c r="O519" s="8"/>
      <c r="P519" s="8"/>
      <c r="Q519" s="8"/>
      <c r="R519" s="16"/>
      <c r="S519" s="16"/>
      <c r="T519" s="19"/>
      <c r="U519" s="16"/>
      <c r="V519" s="19"/>
      <c r="W519" s="160"/>
      <c r="X519" s="160"/>
      <c r="Y519" s="160"/>
      <c r="Z519" s="160"/>
      <c r="AA519" s="160"/>
      <c r="AB519" s="10"/>
      <c r="AD519" s="160"/>
    </row>
    <row r="520" spans="4:30" x14ac:dyDescent="0.2">
      <c r="D520" s="8"/>
      <c r="E520" s="6"/>
      <c r="G520" s="10"/>
      <c r="J520" s="142"/>
      <c r="K520" s="15"/>
      <c r="L520" s="15"/>
      <c r="M520" s="15"/>
      <c r="N520" s="16"/>
      <c r="O520" s="8"/>
      <c r="P520" s="8"/>
      <c r="Q520" s="8"/>
      <c r="R520" s="16"/>
      <c r="S520" s="16"/>
      <c r="T520" s="19"/>
      <c r="U520" s="16"/>
      <c r="V520" s="19"/>
      <c r="W520" s="160"/>
      <c r="X520" s="160"/>
      <c r="Y520" s="160"/>
      <c r="Z520" s="160"/>
      <c r="AA520" s="160"/>
      <c r="AB520" s="10"/>
      <c r="AD520" s="160"/>
    </row>
    <row r="521" spans="4:30" x14ac:dyDescent="0.2">
      <c r="D521" s="8"/>
      <c r="E521" s="6"/>
      <c r="G521" s="10"/>
      <c r="J521" s="142"/>
      <c r="K521" s="15"/>
      <c r="L521" s="15"/>
      <c r="M521" s="15"/>
      <c r="N521" s="16"/>
      <c r="O521" s="8"/>
      <c r="P521" s="8"/>
      <c r="Q521" s="8"/>
      <c r="R521" s="16"/>
      <c r="S521" s="16"/>
      <c r="T521" s="19"/>
      <c r="U521" s="16"/>
      <c r="V521" s="19"/>
      <c r="W521" s="160"/>
      <c r="X521" s="160"/>
      <c r="Y521" s="160"/>
      <c r="Z521" s="160"/>
      <c r="AA521" s="160"/>
      <c r="AB521" s="10"/>
      <c r="AD521" s="160"/>
    </row>
    <row r="522" spans="4:30" x14ac:dyDescent="0.2">
      <c r="D522" s="8"/>
      <c r="E522" s="6"/>
      <c r="G522" s="10"/>
      <c r="J522" s="142"/>
      <c r="K522" s="15"/>
      <c r="L522" s="15"/>
      <c r="M522" s="15"/>
      <c r="N522" s="16"/>
      <c r="O522" s="8"/>
      <c r="P522" s="8"/>
      <c r="Q522" s="8"/>
      <c r="R522" s="16"/>
      <c r="S522" s="16"/>
      <c r="T522" s="19"/>
      <c r="U522" s="16"/>
      <c r="V522" s="19"/>
      <c r="W522" s="160"/>
      <c r="X522" s="160"/>
      <c r="Y522" s="160"/>
      <c r="Z522" s="160"/>
      <c r="AA522" s="160"/>
      <c r="AB522" s="10"/>
      <c r="AD522" s="160"/>
    </row>
    <row r="523" spans="4:30" x14ac:dyDescent="0.2">
      <c r="D523" s="8"/>
      <c r="E523" s="6"/>
      <c r="G523" s="10"/>
      <c r="J523" s="142"/>
      <c r="K523" s="15"/>
      <c r="L523" s="15"/>
      <c r="M523" s="15"/>
      <c r="N523" s="16"/>
      <c r="O523" s="8"/>
      <c r="P523" s="8"/>
      <c r="Q523" s="8"/>
      <c r="R523" s="16"/>
      <c r="S523" s="16"/>
      <c r="T523" s="19"/>
      <c r="U523" s="16"/>
      <c r="V523" s="19"/>
      <c r="W523" s="160"/>
      <c r="X523" s="160"/>
      <c r="Y523" s="160"/>
      <c r="Z523" s="160"/>
      <c r="AA523" s="160"/>
      <c r="AB523" s="10"/>
      <c r="AD523" s="160"/>
    </row>
    <row r="524" spans="4:30" x14ac:dyDescent="0.2">
      <c r="D524" s="8"/>
      <c r="E524" s="6"/>
      <c r="G524" s="10"/>
      <c r="J524" s="142"/>
      <c r="K524" s="15"/>
      <c r="L524" s="15"/>
      <c r="M524" s="15"/>
      <c r="N524" s="16"/>
      <c r="O524" s="8"/>
      <c r="P524" s="8"/>
      <c r="Q524" s="8"/>
      <c r="R524" s="16"/>
      <c r="S524" s="16"/>
      <c r="T524" s="19"/>
      <c r="U524" s="16"/>
      <c r="V524" s="19"/>
      <c r="W524" s="160"/>
      <c r="X524" s="160"/>
      <c r="Y524" s="160"/>
      <c r="Z524" s="160"/>
      <c r="AA524" s="160"/>
      <c r="AB524" s="10"/>
      <c r="AD524" s="160"/>
    </row>
    <row r="525" spans="4:30" x14ac:dyDescent="0.2">
      <c r="D525" s="8"/>
      <c r="E525" s="6"/>
      <c r="G525" s="10"/>
      <c r="J525" s="142"/>
      <c r="K525" s="15"/>
      <c r="L525" s="15"/>
      <c r="M525" s="15"/>
      <c r="N525" s="16"/>
      <c r="O525" s="8"/>
      <c r="P525" s="8"/>
      <c r="Q525" s="8"/>
      <c r="R525" s="16"/>
      <c r="S525" s="16"/>
      <c r="T525" s="19"/>
      <c r="U525" s="16"/>
      <c r="V525" s="19"/>
      <c r="W525" s="160"/>
      <c r="X525" s="160"/>
      <c r="Y525" s="160"/>
      <c r="Z525" s="160"/>
      <c r="AA525" s="160"/>
      <c r="AB525" s="10"/>
      <c r="AD525" s="160"/>
    </row>
    <row r="526" spans="4:30" x14ac:dyDescent="0.2">
      <c r="D526" s="8"/>
      <c r="E526" s="6"/>
      <c r="G526" s="10"/>
      <c r="J526" s="142"/>
      <c r="K526" s="15"/>
      <c r="L526" s="15"/>
      <c r="M526" s="15"/>
      <c r="N526" s="16"/>
      <c r="O526" s="8"/>
      <c r="P526" s="8"/>
      <c r="Q526" s="8"/>
      <c r="R526" s="16"/>
      <c r="S526" s="16"/>
      <c r="T526" s="19"/>
      <c r="U526" s="16"/>
      <c r="V526" s="19"/>
      <c r="W526" s="160"/>
      <c r="X526" s="160"/>
      <c r="Y526" s="160"/>
      <c r="Z526" s="160"/>
      <c r="AA526" s="160"/>
      <c r="AB526" s="10"/>
      <c r="AD526" s="160"/>
    </row>
    <row r="527" spans="4:30" x14ac:dyDescent="0.2">
      <c r="D527" s="8"/>
      <c r="E527" s="6"/>
      <c r="G527" s="10"/>
      <c r="J527" s="142"/>
      <c r="K527" s="15"/>
      <c r="L527" s="15"/>
      <c r="M527" s="15"/>
      <c r="N527" s="16"/>
      <c r="O527" s="8"/>
      <c r="P527" s="8"/>
      <c r="Q527" s="8"/>
      <c r="R527" s="16"/>
      <c r="S527" s="16"/>
      <c r="T527" s="19"/>
      <c r="U527" s="16"/>
      <c r="V527" s="19"/>
      <c r="W527" s="160"/>
      <c r="X527" s="160"/>
      <c r="Y527" s="160"/>
      <c r="Z527" s="160"/>
      <c r="AA527" s="160"/>
      <c r="AB527" s="10"/>
      <c r="AD527" s="160"/>
    </row>
    <row r="528" spans="4:30" x14ac:dyDescent="0.2">
      <c r="D528" s="8"/>
      <c r="E528" s="6"/>
      <c r="G528" s="10"/>
      <c r="J528" s="142"/>
      <c r="K528" s="15"/>
      <c r="L528" s="15"/>
      <c r="M528" s="15"/>
      <c r="N528" s="16"/>
      <c r="O528" s="8"/>
      <c r="P528" s="8"/>
      <c r="Q528" s="8"/>
      <c r="R528" s="16"/>
      <c r="S528" s="16"/>
      <c r="T528" s="19"/>
      <c r="U528" s="16"/>
      <c r="V528" s="19"/>
      <c r="W528" s="160"/>
      <c r="X528" s="160"/>
      <c r="Y528" s="160"/>
      <c r="Z528" s="160"/>
      <c r="AA528" s="160"/>
      <c r="AB528" s="10"/>
      <c r="AD528" s="160"/>
    </row>
    <row r="529" spans="4:30" x14ac:dyDescent="0.2">
      <c r="D529" s="8"/>
      <c r="E529" s="6"/>
      <c r="G529" s="10"/>
      <c r="J529" s="142"/>
      <c r="K529" s="15"/>
      <c r="L529" s="15"/>
      <c r="M529" s="15"/>
      <c r="N529" s="16"/>
      <c r="O529" s="8"/>
      <c r="P529" s="8"/>
      <c r="Q529" s="8"/>
      <c r="R529" s="16"/>
      <c r="S529" s="16"/>
      <c r="T529" s="19"/>
      <c r="U529" s="16"/>
      <c r="V529" s="19"/>
      <c r="W529" s="160"/>
      <c r="X529" s="160"/>
      <c r="Y529" s="160"/>
      <c r="Z529" s="160"/>
      <c r="AA529" s="160"/>
      <c r="AB529" s="10"/>
      <c r="AD529" s="160"/>
    </row>
    <row r="530" spans="4:30" x14ac:dyDescent="0.2">
      <c r="D530" s="8"/>
      <c r="E530" s="6"/>
      <c r="G530" s="10"/>
      <c r="J530" s="142"/>
      <c r="K530" s="15"/>
      <c r="L530" s="15"/>
      <c r="M530" s="15"/>
      <c r="N530" s="16"/>
      <c r="O530" s="8"/>
      <c r="P530" s="8"/>
      <c r="Q530" s="8"/>
      <c r="R530" s="16"/>
      <c r="S530" s="16"/>
      <c r="T530" s="19"/>
      <c r="U530" s="16"/>
      <c r="V530" s="19"/>
      <c r="W530" s="160"/>
      <c r="X530" s="160"/>
      <c r="Y530" s="160"/>
      <c r="Z530" s="160"/>
      <c r="AA530" s="160"/>
      <c r="AB530" s="10"/>
      <c r="AD530" s="160"/>
    </row>
    <row r="531" spans="4:30" x14ac:dyDescent="0.2">
      <c r="D531" s="8"/>
      <c r="E531" s="6"/>
      <c r="G531" s="10"/>
      <c r="J531" s="142"/>
      <c r="K531" s="15"/>
      <c r="L531" s="15"/>
      <c r="M531" s="15"/>
      <c r="N531" s="16"/>
      <c r="O531" s="8"/>
      <c r="P531" s="8"/>
      <c r="Q531" s="8"/>
      <c r="R531" s="16"/>
      <c r="S531" s="16"/>
      <c r="T531" s="19"/>
      <c r="U531" s="16"/>
      <c r="V531" s="19"/>
      <c r="W531" s="160"/>
      <c r="X531" s="160"/>
      <c r="Y531" s="160"/>
      <c r="Z531" s="160"/>
      <c r="AA531" s="160"/>
      <c r="AB531" s="10"/>
      <c r="AD531" s="160"/>
    </row>
    <row r="532" spans="4:30" x14ac:dyDescent="0.2">
      <c r="D532" s="8"/>
      <c r="E532" s="6"/>
      <c r="G532" s="10"/>
      <c r="J532" s="142"/>
      <c r="K532" s="15"/>
      <c r="L532" s="15"/>
      <c r="M532" s="15"/>
      <c r="N532" s="16"/>
      <c r="O532" s="8"/>
      <c r="P532" s="8"/>
      <c r="Q532" s="8"/>
      <c r="R532" s="16"/>
      <c r="S532" s="16"/>
      <c r="T532" s="19"/>
      <c r="U532" s="16"/>
      <c r="V532" s="19"/>
      <c r="W532" s="160"/>
      <c r="X532" s="160"/>
      <c r="Y532" s="160"/>
      <c r="Z532" s="160"/>
      <c r="AA532" s="160"/>
      <c r="AB532" s="10"/>
      <c r="AD532" s="160"/>
    </row>
    <row r="533" spans="4:30" x14ac:dyDescent="0.2">
      <c r="D533" s="8"/>
      <c r="E533" s="6"/>
      <c r="G533" s="10"/>
      <c r="J533" s="142"/>
      <c r="K533" s="15"/>
      <c r="L533" s="15"/>
      <c r="M533" s="15"/>
      <c r="N533" s="16"/>
      <c r="O533" s="8"/>
      <c r="P533" s="8"/>
      <c r="Q533" s="8"/>
      <c r="R533" s="16"/>
      <c r="S533" s="16"/>
      <c r="T533" s="19"/>
      <c r="U533" s="16"/>
      <c r="V533" s="19"/>
      <c r="W533" s="160"/>
      <c r="X533" s="160"/>
      <c r="Y533" s="160"/>
      <c r="Z533" s="160"/>
      <c r="AA533" s="160"/>
      <c r="AB533" s="10"/>
      <c r="AD533" s="160"/>
    </row>
    <row r="534" spans="4:30" x14ac:dyDescent="0.2">
      <c r="D534" s="8"/>
      <c r="E534" s="6"/>
      <c r="G534" s="10"/>
      <c r="J534" s="142"/>
      <c r="K534" s="15"/>
      <c r="L534" s="15"/>
      <c r="M534" s="15"/>
      <c r="N534" s="16"/>
      <c r="O534" s="8"/>
      <c r="P534" s="8"/>
      <c r="Q534" s="8"/>
      <c r="R534" s="16"/>
      <c r="S534" s="16"/>
      <c r="T534" s="19"/>
      <c r="U534" s="16"/>
      <c r="V534" s="19"/>
      <c r="W534" s="160"/>
      <c r="X534" s="160"/>
      <c r="Y534" s="160"/>
      <c r="Z534" s="160"/>
      <c r="AA534" s="160"/>
      <c r="AB534" s="10"/>
      <c r="AD534" s="160"/>
    </row>
    <row r="535" spans="4:30" x14ac:dyDescent="0.2">
      <c r="D535" s="8"/>
      <c r="E535" s="6"/>
      <c r="G535" s="10"/>
      <c r="J535" s="142"/>
      <c r="K535" s="15"/>
      <c r="L535" s="15"/>
      <c r="M535" s="15"/>
      <c r="N535" s="16"/>
      <c r="O535" s="8"/>
      <c r="P535" s="8"/>
      <c r="Q535" s="8"/>
      <c r="R535" s="16"/>
      <c r="S535" s="16"/>
      <c r="T535" s="19"/>
      <c r="U535" s="16"/>
      <c r="V535" s="19"/>
      <c r="W535" s="160"/>
      <c r="X535" s="160"/>
      <c r="Y535" s="160"/>
      <c r="Z535" s="160"/>
      <c r="AA535" s="160"/>
      <c r="AB535" s="10"/>
      <c r="AD535" s="160"/>
    </row>
    <row r="536" spans="4:30" x14ac:dyDescent="0.2">
      <c r="D536" s="8"/>
      <c r="E536" s="6"/>
      <c r="G536" s="10"/>
      <c r="J536" s="142"/>
      <c r="K536" s="15"/>
      <c r="L536" s="15"/>
      <c r="M536" s="15"/>
      <c r="N536" s="16"/>
      <c r="O536" s="8"/>
      <c r="P536" s="8"/>
      <c r="Q536" s="8"/>
      <c r="R536" s="16"/>
      <c r="S536" s="16"/>
      <c r="T536" s="19"/>
      <c r="U536" s="16"/>
      <c r="V536" s="19"/>
      <c r="W536" s="160"/>
      <c r="X536" s="160"/>
      <c r="Y536" s="160"/>
      <c r="Z536" s="160"/>
      <c r="AA536" s="160"/>
      <c r="AB536" s="10"/>
      <c r="AD536" s="160"/>
    </row>
    <row r="537" spans="4:30" x14ac:dyDescent="0.2">
      <c r="D537" s="8"/>
      <c r="E537" s="6"/>
      <c r="G537" s="10"/>
      <c r="J537" s="142"/>
      <c r="K537" s="15"/>
      <c r="L537" s="15"/>
      <c r="M537" s="15"/>
      <c r="N537" s="16"/>
      <c r="O537" s="8"/>
      <c r="P537" s="8"/>
      <c r="Q537" s="8"/>
      <c r="R537" s="16"/>
      <c r="S537" s="16"/>
      <c r="T537" s="19"/>
      <c r="U537" s="16"/>
      <c r="V537" s="19"/>
      <c r="W537" s="160"/>
      <c r="X537" s="160"/>
      <c r="Y537" s="160"/>
      <c r="Z537" s="160"/>
      <c r="AA537" s="160"/>
      <c r="AB537" s="10"/>
      <c r="AD537" s="160"/>
    </row>
    <row r="538" spans="4:30" x14ac:dyDescent="0.2">
      <c r="D538" s="8"/>
      <c r="E538" s="6"/>
      <c r="G538" s="10"/>
      <c r="J538" s="142"/>
      <c r="K538" s="15"/>
      <c r="L538" s="15"/>
      <c r="M538" s="15"/>
      <c r="N538" s="16"/>
      <c r="O538" s="8"/>
      <c r="P538" s="8"/>
      <c r="Q538" s="8"/>
      <c r="R538" s="16"/>
      <c r="S538" s="16"/>
      <c r="T538" s="19"/>
      <c r="U538" s="16"/>
      <c r="V538" s="19"/>
      <c r="W538" s="160"/>
      <c r="X538" s="160"/>
      <c r="Y538" s="160"/>
      <c r="Z538" s="160"/>
      <c r="AA538" s="160"/>
      <c r="AB538" s="10"/>
      <c r="AD538" s="160"/>
    </row>
    <row r="539" spans="4:30" x14ac:dyDescent="0.2">
      <c r="D539" s="8"/>
      <c r="E539" s="6"/>
      <c r="G539" s="10"/>
      <c r="J539" s="142"/>
      <c r="K539" s="15"/>
      <c r="L539" s="15"/>
      <c r="M539" s="15"/>
      <c r="N539" s="16"/>
      <c r="O539" s="8"/>
      <c r="P539" s="8"/>
      <c r="Q539" s="8"/>
      <c r="R539" s="16"/>
      <c r="S539" s="16"/>
      <c r="T539" s="19"/>
      <c r="U539" s="16"/>
      <c r="V539" s="19"/>
      <c r="W539" s="160"/>
      <c r="X539" s="160"/>
      <c r="Y539" s="160"/>
      <c r="Z539" s="160"/>
      <c r="AA539" s="160"/>
      <c r="AB539" s="10"/>
      <c r="AD539" s="160"/>
    </row>
    <row r="540" spans="4:30" x14ac:dyDescent="0.2">
      <c r="D540" s="8"/>
      <c r="E540" s="6"/>
      <c r="G540" s="10"/>
      <c r="J540" s="142"/>
      <c r="K540" s="15"/>
      <c r="L540" s="15"/>
      <c r="M540" s="15"/>
      <c r="N540" s="16"/>
      <c r="O540" s="8"/>
      <c r="P540" s="8"/>
      <c r="Q540" s="8"/>
      <c r="R540" s="16"/>
      <c r="S540" s="16"/>
      <c r="T540" s="19"/>
      <c r="U540" s="16"/>
      <c r="V540" s="19"/>
      <c r="W540" s="160"/>
      <c r="X540" s="160"/>
      <c r="Y540" s="160"/>
      <c r="Z540" s="160"/>
      <c r="AA540" s="160"/>
      <c r="AB540" s="10"/>
      <c r="AD540" s="160"/>
    </row>
    <row r="541" spans="4:30" x14ac:dyDescent="0.2">
      <c r="D541" s="8"/>
      <c r="E541" s="6"/>
      <c r="G541" s="10"/>
      <c r="J541" s="142"/>
      <c r="K541" s="15"/>
      <c r="L541" s="15"/>
      <c r="M541" s="15"/>
      <c r="N541" s="16"/>
      <c r="O541" s="8"/>
      <c r="P541" s="8"/>
      <c r="Q541" s="8"/>
      <c r="R541" s="16"/>
      <c r="S541" s="16"/>
      <c r="T541" s="19"/>
      <c r="U541" s="16"/>
      <c r="V541" s="19"/>
      <c r="W541" s="160"/>
      <c r="X541" s="160"/>
      <c r="Y541" s="160"/>
      <c r="Z541" s="160"/>
      <c r="AA541" s="160"/>
      <c r="AB541" s="10"/>
      <c r="AD541" s="160"/>
    </row>
    <row r="542" spans="4:30" x14ac:dyDescent="0.2">
      <c r="D542" s="8"/>
      <c r="E542" s="6"/>
      <c r="G542" s="10"/>
      <c r="J542" s="142"/>
      <c r="K542" s="15"/>
      <c r="L542" s="15"/>
      <c r="M542" s="15"/>
      <c r="N542" s="16"/>
      <c r="O542" s="8"/>
      <c r="P542" s="8"/>
      <c r="Q542" s="8"/>
      <c r="R542" s="16"/>
      <c r="S542" s="16"/>
      <c r="T542" s="19"/>
      <c r="U542" s="16"/>
      <c r="V542" s="19"/>
      <c r="W542" s="160"/>
      <c r="X542" s="160"/>
      <c r="Y542" s="160"/>
      <c r="Z542" s="160"/>
      <c r="AA542" s="160"/>
      <c r="AB542" s="10"/>
      <c r="AD542" s="160"/>
    </row>
    <row r="543" spans="4:30" x14ac:dyDescent="0.2">
      <c r="D543" s="8"/>
      <c r="E543" s="6"/>
      <c r="G543" s="10"/>
      <c r="J543" s="142"/>
      <c r="K543" s="15"/>
      <c r="L543" s="15"/>
      <c r="M543" s="15"/>
      <c r="N543" s="16"/>
      <c r="O543" s="8"/>
      <c r="P543" s="8"/>
      <c r="Q543" s="8"/>
      <c r="R543" s="16"/>
      <c r="S543" s="16"/>
      <c r="T543" s="19"/>
      <c r="U543" s="16"/>
      <c r="V543" s="19"/>
      <c r="W543" s="160"/>
      <c r="X543" s="160"/>
      <c r="Y543" s="160"/>
      <c r="Z543" s="160"/>
      <c r="AA543" s="160"/>
      <c r="AB543" s="10"/>
      <c r="AD543" s="160"/>
    </row>
    <row r="544" spans="4:30" x14ac:dyDescent="0.2">
      <c r="D544" s="8"/>
      <c r="E544" s="6"/>
      <c r="G544" s="10"/>
      <c r="J544" s="142"/>
      <c r="K544" s="15"/>
      <c r="L544" s="15"/>
      <c r="M544" s="15"/>
      <c r="N544" s="16"/>
      <c r="O544" s="8"/>
      <c r="P544" s="8"/>
      <c r="Q544" s="8"/>
      <c r="R544" s="16"/>
      <c r="S544" s="16"/>
      <c r="T544" s="19"/>
      <c r="U544" s="16"/>
      <c r="V544" s="19"/>
      <c r="W544" s="160"/>
      <c r="X544" s="160"/>
      <c r="Y544" s="160"/>
      <c r="Z544" s="160"/>
      <c r="AA544" s="160"/>
      <c r="AB544" s="10"/>
      <c r="AD544" s="160"/>
    </row>
    <row r="545" spans="4:30" x14ac:dyDescent="0.2">
      <c r="D545" s="8"/>
      <c r="E545" s="6"/>
      <c r="G545" s="10"/>
      <c r="J545" s="142"/>
      <c r="K545" s="15"/>
      <c r="L545" s="15"/>
      <c r="M545" s="15"/>
      <c r="N545" s="16"/>
      <c r="O545" s="8"/>
      <c r="P545" s="8"/>
      <c r="Q545" s="8"/>
      <c r="R545" s="16"/>
      <c r="S545" s="16"/>
      <c r="T545" s="19"/>
      <c r="U545" s="16"/>
      <c r="V545" s="19"/>
      <c r="W545" s="160"/>
      <c r="X545" s="160"/>
      <c r="Y545" s="160"/>
      <c r="Z545" s="160"/>
      <c r="AA545" s="160"/>
      <c r="AB545" s="10"/>
      <c r="AD545" s="160"/>
    </row>
    <row r="546" spans="4:30" x14ac:dyDescent="0.2">
      <c r="D546" s="8"/>
      <c r="E546" s="6"/>
      <c r="G546" s="10"/>
      <c r="J546" s="142"/>
      <c r="K546" s="15"/>
      <c r="L546" s="15"/>
      <c r="M546" s="15"/>
      <c r="N546" s="16"/>
      <c r="O546" s="8"/>
      <c r="P546" s="8"/>
      <c r="Q546" s="8"/>
      <c r="R546" s="16"/>
      <c r="S546" s="16"/>
      <c r="T546" s="19"/>
      <c r="U546" s="16"/>
      <c r="V546" s="19"/>
      <c r="W546" s="160"/>
      <c r="X546" s="160"/>
      <c r="Y546" s="160"/>
      <c r="Z546" s="160"/>
      <c r="AA546" s="160"/>
      <c r="AB546" s="10"/>
      <c r="AD546" s="160"/>
    </row>
    <row r="547" spans="4:30" x14ac:dyDescent="0.2">
      <c r="D547" s="8"/>
      <c r="E547" s="6"/>
      <c r="G547" s="10"/>
      <c r="J547" s="142"/>
      <c r="K547" s="15"/>
      <c r="L547" s="15"/>
      <c r="M547" s="15"/>
      <c r="N547" s="16"/>
      <c r="O547" s="8"/>
      <c r="P547" s="8"/>
      <c r="Q547" s="8"/>
      <c r="R547" s="16"/>
      <c r="S547" s="16"/>
      <c r="T547" s="19"/>
      <c r="U547" s="16"/>
      <c r="V547" s="19"/>
      <c r="W547" s="160"/>
      <c r="X547" s="160"/>
      <c r="Y547" s="160"/>
      <c r="Z547" s="160"/>
      <c r="AA547" s="160"/>
      <c r="AB547" s="10"/>
      <c r="AD547" s="160"/>
    </row>
    <row r="548" spans="4:30" x14ac:dyDescent="0.2">
      <c r="D548" s="8"/>
      <c r="E548" s="6"/>
      <c r="G548" s="10"/>
      <c r="J548" s="142"/>
      <c r="K548" s="15"/>
      <c r="L548" s="15"/>
      <c r="M548" s="15"/>
      <c r="N548" s="16"/>
      <c r="O548" s="8"/>
      <c r="P548" s="8"/>
      <c r="Q548" s="8"/>
      <c r="R548" s="16"/>
      <c r="S548" s="16"/>
      <c r="T548" s="19"/>
      <c r="U548" s="16"/>
      <c r="V548" s="19"/>
      <c r="W548" s="160"/>
      <c r="X548" s="160"/>
      <c r="Y548" s="160"/>
      <c r="Z548" s="160"/>
      <c r="AA548" s="160"/>
      <c r="AB548" s="10"/>
      <c r="AD548" s="160"/>
    </row>
    <row r="549" spans="4:30" x14ac:dyDescent="0.2">
      <c r="D549" s="8"/>
      <c r="E549" s="6"/>
      <c r="G549" s="10"/>
      <c r="J549" s="142"/>
      <c r="K549" s="15"/>
      <c r="L549" s="15"/>
      <c r="M549" s="15"/>
      <c r="N549" s="16"/>
      <c r="O549" s="8"/>
      <c r="P549" s="8"/>
      <c r="Q549" s="8"/>
      <c r="R549" s="16"/>
      <c r="S549" s="16"/>
      <c r="T549" s="19"/>
      <c r="U549" s="16"/>
      <c r="V549" s="19"/>
      <c r="W549" s="160"/>
      <c r="X549" s="160"/>
      <c r="Y549" s="160"/>
      <c r="Z549" s="160"/>
      <c r="AA549" s="160"/>
      <c r="AB549" s="10"/>
      <c r="AD549" s="160"/>
    </row>
    <row r="550" spans="4:30" x14ac:dyDescent="0.2">
      <c r="D550" s="8"/>
      <c r="E550" s="6"/>
      <c r="G550" s="10"/>
      <c r="J550" s="142"/>
      <c r="K550" s="15"/>
      <c r="L550" s="15"/>
      <c r="M550" s="15"/>
      <c r="N550" s="16"/>
      <c r="O550" s="8"/>
      <c r="P550" s="8"/>
      <c r="Q550" s="8"/>
      <c r="R550" s="16"/>
      <c r="S550" s="16"/>
      <c r="T550" s="19"/>
      <c r="U550" s="16"/>
      <c r="V550" s="19"/>
      <c r="W550" s="160"/>
      <c r="X550" s="160"/>
      <c r="Y550" s="160"/>
      <c r="Z550" s="160"/>
      <c r="AA550" s="160"/>
      <c r="AB550" s="10"/>
      <c r="AD550" s="160"/>
    </row>
    <row r="551" spans="4:30" x14ac:dyDescent="0.2">
      <c r="D551" s="8"/>
      <c r="E551" s="6"/>
      <c r="G551" s="10"/>
      <c r="J551" s="142"/>
      <c r="K551" s="15"/>
      <c r="L551" s="15"/>
      <c r="M551" s="15"/>
      <c r="N551" s="16"/>
      <c r="O551" s="8"/>
      <c r="P551" s="8"/>
      <c r="Q551" s="8"/>
      <c r="R551" s="16"/>
      <c r="S551" s="16"/>
      <c r="T551" s="19"/>
      <c r="U551" s="16"/>
      <c r="V551" s="19"/>
      <c r="W551" s="160"/>
      <c r="X551" s="160"/>
      <c r="Y551" s="160"/>
      <c r="Z551" s="160"/>
      <c r="AA551" s="160"/>
      <c r="AB551" s="10"/>
      <c r="AD551" s="160"/>
    </row>
    <row r="552" spans="4:30" x14ac:dyDescent="0.2">
      <c r="D552" s="8"/>
      <c r="E552" s="6"/>
      <c r="G552" s="10"/>
      <c r="J552" s="142"/>
      <c r="K552" s="15"/>
      <c r="L552" s="15"/>
      <c r="M552" s="15"/>
      <c r="N552" s="16"/>
      <c r="O552" s="8"/>
      <c r="P552" s="8"/>
      <c r="Q552" s="8"/>
      <c r="R552" s="16"/>
      <c r="S552" s="16"/>
      <c r="T552" s="19"/>
      <c r="U552" s="16"/>
      <c r="V552" s="19"/>
      <c r="W552" s="160"/>
      <c r="X552" s="160"/>
      <c r="Y552" s="160"/>
      <c r="Z552" s="160"/>
      <c r="AA552" s="160"/>
      <c r="AB552" s="10"/>
      <c r="AD552" s="160"/>
    </row>
    <row r="553" spans="4:30" x14ac:dyDescent="0.2">
      <c r="D553" s="8"/>
      <c r="E553" s="6"/>
      <c r="G553" s="10"/>
      <c r="J553" s="142"/>
      <c r="K553" s="15"/>
      <c r="L553" s="15"/>
      <c r="M553" s="15"/>
      <c r="N553" s="16"/>
      <c r="O553" s="8"/>
      <c r="P553" s="8"/>
      <c r="Q553" s="8"/>
      <c r="R553" s="16"/>
      <c r="S553" s="16"/>
      <c r="T553" s="19"/>
      <c r="U553" s="16"/>
      <c r="V553" s="19"/>
      <c r="W553" s="160"/>
      <c r="X553" s="160"/>
      <c r="Y553" s="160"/>
      <c r="Z553" s="160"/>
      <c r="AA553" s="160"/>
      <c r="AB553" s="10"/>
      <c r="AD553" s="160"/>
    </row>
    <row r="554" spans="4:30" x14ac:dyDescent="0.2">
      <c r="D554" s="8"/>
      <c r="E554" s="6"/>
      <c r="G554" s="10"/>
      <c r="J554" s="142"/>
      <c r="K554" s="15"/>
      <c r="L554" s="15"/>
      <c r="M554" s="15"/>
      <c r="N554" s="16"/>
      <c r="O554" s="8"/>
      <c r="P554" s="8"/>
      <c r="Q554" s="8"/>
      <c r="R554" s="16"/>
      <c r="S554" s="16"/>
      <c r="T554" s="19"/>
      <c r="U554" s="16"/>
      <c r="V554" s="19"/>
      <c r="W554" s="160"/>
      <c r="X554" s="160"/>
      <c r="Y554" s="160"/>
      <c r="Z554" s="160"/>
      <c r="AA554" s="160"/>
      <c r="AB554" s="10"/>
      <c r="AD554" s="160"/>
    </row>
    <row r="555" spans="4:30" x14ac:dyDescent="0.2">
      <c r="D555" s="8"/>
      <c r="E555" s="6"/>
      <c r="G555" s="10"/>
      <c r="J555" s="142"/>
      <c r="K555" s="15"/>
      <c r="L555" s="15"/>
      <c r="M555" s="15"/>
      <c r="N555" s="16"/>
      <c r="O555" s="8"/>
      <c r="P555" s="8"/>
      <c r="Q555" s="8"/>
      <c r="R555" s="16"/>
      <c r="S555" s="16"/>
      <c r="T555" s="19"/>
      <c r="U555" s="16"/>
      <c r="V555" s="19"/>
      <c r="W555" s="160"/>
      <c r="X555" s="160"/>
      <c r="Y555" s="160"/>
      <c r="Z555" s="160"/>
      <c r="AA555" s="160"/>
      <c r="AB555" s="10"/>
      <c r="AD555" s="160"/>
    </row>
    <row r="556" spans="4:30" x14ac:dyDescent="0.2">
      <c r="D556" s="8"/>
      <c r="E556" s="6"/>
      <c r="G556" s="10"/>
      <c r="J556" s="142"/>
      <c r="K556" s="15"/>
      <c r="L556" s="15"/>
      <c r="M556" s="15"/>
      <c r="N556" s="16"/>
      <c r="O556" s="8"/>
      <c r="P556" s="8"/>
      <c r="Q556" s="8"/>
      <c r="R556" s="16"/>
      <c r="S556" s="16"/>
      <c r="T556" s="19"/>
      <c r="U556" s="16"/>
      <c r="V556" s="19"/>
      <c r="W556" s="160"/>
      <c r="X556" s="160"/>
      <c r="Y556" s="160"/>
      <c r="Z556" s="160"/>
      <c r="AA556" s="160"/>
      <c r="AB556" s="10"/>
      <c r="AD556" s="160"/>
    </row>
    <row r="557" spans="4:30" x14ac:dyDescent="0.2">
      <c r="D557" s="8"/>
      <c r="E557" s="6"/>
      <c r="G557" s="10"/>
      <c r="J557" s="142"/>
      <c r="K557" s="15"/>
      <c r="L557" s="15"/>
      <c r="M557" s="15"/>
      <c r="N557" s="16"/>
      <c r="O557" s="8"/>
      <c r="P557" s="8"/>
      <c r="Q557" s="8"/>
      <c r="R557" s="16"/>
      <c r="S557" s="16"/>
      <c r="T557" s="19"/>
      <c r="U557" s="16"/>
      <c r="V557" s="19"/>
      <c r="W557" s="160"/>
      <c r="X557" s="160"/>
      <c r="Y557" s="160"/>
      <c r="Z557" s="160"/>
      <c r="AA557" s="160"/>
      <c r="AB557" s="10"/>
      <c r="AD557" s="160"/>
    </row>
    <row r="558" spans="4:30" x14ac:dyDescent="0.2">
      <c r="D558" s="8"/>
      <c r="E558" s="6"/>
      <c r="G558" s="10"/>
      <c r="J558" s="142"/>
      <c r="K558" s="15"/>
      <c r="L558" s="15"/>
      <c r="M558" s="15"/>
      <c r="N558" s="16"/>
      <c r="O558" s="8"/>
      <c r="P558" s="8"/>
      <c r="Q558" s="8"/>
      <c r="R558" s="16"/>
      <c r="S558" s="16"/>
      <c r="T558" s="19"/>
      <c r="U558" s="16"/>
      <c r="V558" s="19"/>
      <c r="W558" s="160"/>
      <c r="X558" s="160"/>
      <c r="Y558" s="160"/>
      <c r="Z558" s="160"/>
      <c r="AA558" s="160"/>
      <c r="AB558" s="10"/>
      <c r="AD558" s="160"/>
    </row>
    <row r="559" spans="4:30" x14ac:dyDescent="0.2">
      <c r="D559" s="8"/>
      <c r="E559" s="6"/>
      <c r="G559" s="10"/>
      <c r="J559" s="142"/>
      <c r="K559" s="15"/>
      <c r="L559" s="15"/>
      <c r="M559" s="15"/>
      <c r="N559" s="16"/>
      <c r="O559" s="8"/>
      <c r="P559" s="8"/>
      <c r="Q559" s="8"/>
      <c r="R559" s="16"/>
      <c r="S559" s="16"/>
      <c r="T559" s="19"/>
      <c r="U559" s="16"/>
      <c r="V559" s="19"/>
      <c r="W559" s="160"/>
      <c r="X559" s="160"/>
      <c r="Y559" s="160"/>
      <c r="Z559" s="160"/>
      <c r="AA559" s="160"/>
      <c r="AB559" s="10"/>
      <c r="AD559" s="160"/>
    </row>
    <row r="560" spans="4:30" x14ac:dyDescent="0.2">
      <c r="D560" s="8"/>
      <c r="E560" s="6"/>
      <c r="G560" s="10"/>
      <c r="J560" s="142"/>
      <c r="K560" s="15"/>
      <c r="L560" s="15"/>
      <c r="M560" s="15"/>
      <c r="N560" s="16"/>
      <c r="O560" s="8"/>
      <c r="P560" s="8"/>
      <c r="Q560" s="8"/>
      <c r="R560" s="16"/>
      <c r="S560" s="16"/>
      <c r="T560" s="19"/>
      <c r="U560" s="16"/>
      <c r="V560" s="19"/>
      <c r="W560" s="160"/>
      <c r="X560" s="160"/>
      <c r="Y560" s="160"/>
      <c r="Z560" s="160"/>
      <c r="AA560" s="160"/>
      <c r="AB560" s="10"/>
      <c r="AD560" s="160"/>
    </row>
    <row r="561" spans="4:30" x14ac:dyDescent="0.2">
      <c r="D561" s="8"/>
      <c r="E561" s="6"/>
      <c r="G561" s="10"/>
      <c r="J561" s="142"/>
      <c r="K561" s="15"/>
      <c r="L561" s="15"/>
      <c r="M561" s="15"/>
      <c r="N561" s="16"/>
      <c r="O561" s="8"/>
      <c r="P561" s="8"/>
      <c r="Q561" s="8"/>
      <c r="R561" s="16"/>
      <c r="S561" s="16"/>
      <c r="T561" s="19"/>
      <c r="U561" s="16"/>
      <c r="V561" s="19"/>
      <c r="W561" s="160"/>
      <c r="X561" s="160"/>
      <c r="Y561" s="160"/>
      <c r="Z561" s="160"/>
      <c r="AA561" s="160"/>
      <c r="AB561" s="10"/>
      <c r="AD561" s="160"/>
    </row>
    <row r="562" spans="4:30" x14ac:dyDescent="0.2">
      <c r="D562" s="8"/>
      <c r="E562" s="6"/>
      <c r="G562" s="10"/>
      <c r="J562" s="142"/>
      <c r="K562" s="15"/>
      <c r="L562" s="15"/>
      <c r="M562" s="15"/>
      <c r="N562" s="16"/>
      <c r="O562" s="8"/>
      <c r="P562" s="8"/>
      <c r="Q562" s="8"/>
      <c r="R562" s="16"/>
      <c r="S562" s="16"/>
      <c r="T562" s="19"/>
      <c r="U562" s="16"/>
      <c r="V562" s="19"/>
      <c r="W562" s="160"/>
      <c r="X562" s="160"/>
      <c r="Y562" s="160"/>
      <c r="Z562" s="160"/>
      <c r="AA562" s="160"/>
      <c r="AB562" s="10"/>
      <c r="AD562" s="160"/>
    </row>
    <row r="563" spans="4:30" x14ac:dyDescent="0.2">
      <c r="D563" s="8"/>
      <c r="E563" s="6"/>
      <c r="G563" s="10"/>
      <c r="J563" s="142"/>
      <c r="K563" s="15"/>
      <c r="L563" s="15"/>
      <c r="M563" s="15"/>
      <c r="N563" s="16"/>
      <c r="O563" s="8"/>
      <c r="P563" s="8"/>
      <c r="Q563" s="8"/>
      <c r="R563" s="16"/>
      <c r="S563" s="16"/>
      <c r="T563" s="19"/>
      <c r="U563" s="16"/>
      <c r="V563" s="19"/>
      <c r="W563" s="160"/>
      <c r="X563" s="160"/>
      <c r="Y563" s="160"/>
      <c r="Z563" s="160"/>
      <c r="AA563" s="160"/>
      <c r="AB563" s="10"/>
      <c r="AD563" s="160"/>
    </row>
    <row r="564" spans="4:30" x14ac:dyDescent="0.2">
      <c r="D564" s="8"/>
      <c r="E564" s="6"/>
      <c r="G564" s="10"/>
      <c r="J564" s="142"/>
      <c r="K564" s="15"/>
      <c r="L564" s="15"/>
      <c r="M564" s="15"/>
      <c r="N564" s="16"/>
      <c r="O564" s="8"/>
      <c r="P564" s="8"/>
      <c r="Q564" s="8"/>
      <c r="R564" s="16"/>
      <c r="S564" s="16"/>
      <c r="T564" s="19"/>
      <c r="U564" s="16"/>
      <c r="V564" s="19"/>
      <c r="W564" s="160"/>
      <c r="X564" s="160"/>
      <c r="Y564" s="160"/>
      <c r="Z564" s="160"/>
      <c r="AA564" s="160"/>
      <c r="AB564" s="10"/>
      <c r="AD564" s="160"/>
    </row>
    <row r="565" spans="4:30" x14ac:dyDescent="0.2">
      <c r="D565" s="8"/>
      <c r="E565" s="6"/>
      <c r="G565" s="10"/>
      <c r="J565" s="142"/>
      <c r="K565" s="15"/>
      <c r="L565" s="15"/>
      <c r="M565" s="15"/>
      <c r="N565" s="16"/>
      <c r="O565" s="8"/>
      <c r="P565" s="8"/>
      <c r="Q565" s="8"/>
      <c r="R565" s="16"/>
      <c r="S565" s="16"/>
      <c r="T565" s="19"/>
      <c r="U565" s="16"/>
      <c r="V565" s="19"/>
      <c r="W565" s="160"/>
      <c r="X565" s="160"/>
      <c r="Y565" s="160"/>
      <c r="Z565" s="160"/>
      <c r="AA565" s="160"/>
      <c r="AB565" s="10"/>
      <c r="AD565" s="160"/>
    </row>
    <row r="566" spans="4:30" x14ac:dyDescent="0.2">
      <c r="D566" s="8"/>
      <c r="E566" s="6"/>
      <c r="G566" s="10"/>
      <c r="J566" s="142"/>
      <c r="K566" s="15"/>
      <c r="L566" s="15"/>
      <c r="M566" s="15"/>
      <c r="N566" s="16"/>
      <c r="O566" s="8"/>
      <c r="P566" s="8"/>
      <c r="Q566" s="8"/>
      <c r="R566" s="16"/>
      <c r="S566" s="16"/>
      <c r="T566" s="19"/>
      <c r="U566" s="16"/>
      <c r="V566" s="19"/>
      <c r="W566" s="160"/>
      <c r="X566" s="160"/>
      <c r="Y566" s="160"/>
      <c r="Z566" s="160"/>
      <c r="AA566" s="160"/>
      <c r="AB566" s="10"/>
      <c r="AD566" s="160"/>
    </row>
    <row r="567" spans="4:30" x14ac:dyDescent="0.2">
      <c r="D567" s="8"/>
      <c r="E567" s="6"/>
      <c r="G567" s="10"/>
      <c r="J567" s="142"/>
      <c r="K567" s="15"/>
      <c r="L567" s="15"/>
      <c r="M567" s="15"/>
      <c r="N567" s="16"/>
      <c r="O567" s="8"/>
      <c r="P567" s="8"/>
      <c r="Q567" s="8"/>
      <c r="R567" s="16"/>
      <c r="S567" s="16"/>
      <c r="T567" s="19"/>
      <c r="U567" s="16"/>
      <c r="V567" s="19"/>
      <c r="W567" s="160"/>
      <c r="X567" s="160"/>
      <c r="Y567" s="160"/>
      <c r="Z567" s="160"/>
      <c r="AA567" s="160"/>
      <c r="AB567" s="10"/>
      <c r="AD567" s="160"/>
    </row>
    <row r="568" spans="4:30" x14ac:dyDescent="0.2">
      <c r="D568" s="8"/>
      <c r="E568" s="6"/>
      <c r="G568" s="10"/>
      <c r="J568" s="142"/>
      <c r="K568" s="15"/>
      <c r="L568" s="15"/>
      <c r="M568" s="15"/>
      <c r="N568" s="16"/>
      <c r="O568" s="8"/>
      <c r="P568" s="8"/>
      <c r="Q568" s="8"/>
      <c r="R568" s="16"/>
      <c r="S568" s="16"/>
      <c r="T568" s="19"/>
      <c r="U568" s="16"/>
      <c r="V568" s="19"/>
      <c r="W568" s="160"/>
      <c r="X568" s="160"/>
      <c r="Y568" s="160"/>
      <c r="Z568" s="160"/>
      <c r="AA568" s="160"/>
      <c r="AB568" s="10"/>
      <c r="AD568" s="160"/>
    </row>
    <row r="569" spans="4:30" x14ac:dyDescent="0.2">
      <c r="D569" s="8"/>
      <c r="E569" s="6"/>
      <c r="G569" s="10"/>
      <c r="J569" s="142"/>
      <c r="K569" s="15"/>
      <c r="L569" s="15"/>
      <c r="M569" s="15"/>
      <c r="N569" s="16"/>
      <c r="O569" s="8"/>
      <c r="P569" s="8"/>
      <c r="Q569" s="8"/>
      <c r="R569" s="16"/>
      <c r="S569" s="16"/>
      <c r="T569" s="19"/>
      <c r="U569" s="16"/>
      <c r="V569" s="19"/>
      <c r="W569" s="160"/>
      <c r="X569" s="160"/>
      <c r="Y569" s="160"/>
      <c r="Z569" s="160"/>
      <c r="AA569" s="160"/>
      <c r="AB569" s="10"/>
      <c r="AD569" s="160"/>
    </row>
    <row r="570" spans="4:30" x14ac:dyDescent="0.2">
      <c r="D570" s="8"/>
      <c r="E570" s="6"/>
      <c r="G570" s="10"/>
      <c r="J570" s="142"/>
      <c r="K570" s="15"/>
      <c r="L570" s="15"/>
      <c r="M570" s="15"/>
      <c r="N570" s="16"/>
      <c r="O570" s="8"/>
      <c r="P570" s="8"/>
      <c r="Q570" s="8"/>
      <c r="R570" s="16"/>
      <c r="S570" s="16"/>
      <c r="T570" s="19"/>
      <c r="U570" s="16"/>
      <c r="V570" s="19"/>
      <c r="W570" s="160"/>
      <c r="X570" s="160"/>
      <c r="Y570" s="160"/>
      <c r="Z570" s="160"/>
      <c r="AA570" s="160"/>
      <c r="AB570" s="10"/>
      <c r="AD570" s="160"/>
    </row>
    <row r="571" spans="4:30" x14ac:dyDescent="0.2">
      <c r="D571" s="8"/>
      <c r="E571" s="6"/>
      <c r="G571" s="10"/>
      <c r="J571" s="142"/>
      <c r="K571" s="15"/>
      <c r="L571" s="15"/>
      <c r="M571" s="15"/>
      <c r="N571" s="16"/>
      <c r="O571" s="8"/>
      <c r="P571" s="8"/>
      <c r="Q571" s="8"/>
      <c r="R571" s="16"/>
      <c r="S571" s="16"/>
      <c r="T571" s="19"/>
      <c r="U571" s="16"/>
      <c r="V571" s="19"/>
      <c r="W571" s="160"/>
      <c r="X571" s="160"/>
      <c r="Y571" s="160"/>
      <c r="Z571" s="160"/>
      <c r="AA571" s="160"/>
      <c r="AB571" s="10"/>
      <c r="AD571" s="160"/>
    </row>
    <row r="572" spans="4:30" x14ac:dyDescent="0.2">
      <c r="D572" s="8"/>
      <c r="E572" s="6"/>
      <c r="G572" s="10"/>
      <c r="J572" s="142"/>
      <c r="K572" s="15"/>
      <c r="L572" s="15"/>
      <c r="M572" s="15"/>
      <c r="N572" s="16"/>
      <c r="O572" s="8"/>
      <c r="P572" s="8"/>
      <c r="Q572" s="8"/>
      <c r="R572" s="16"/>
      <c r="S572" s="16"/>
      <c r="T572" s="19"/>
      <c r="U572" s="16"/>
      <c r="V572" s="19"/>
      <c r="W572" s="160"/>
      <c r="X572" s="160"/>
      <c r="Y572" s="160"/>
      <c r="Z572" s="160"/>
      <c r="AA572" s="160"/>
      <c r="AB572" s="10"/>
      <c r="AD572" s="160"/>
    </row>
    <row r="573" spans="4:30" x14ac:dyDescent="0.2">
      <c r="D573" s="8"/>
      <c r="E573" s="6"/>
      <c r="G573" s="10"/>
      <c r="J573" s="142"/>
      <c r="K573" s="15"/>
      <c r="L573" s="15"/>
      <c r="M573" s="15"/>
      <c r="N573" s="16"/>
      <c r="O573" s="8"/>
      <c r="P573" s="8"/>
      <c r="Q573" s="8"/>
      <c r="R573" s="16"/>
      <c r="S573" s="16"/>
      <c r="T573" s="19"/>
      <c r="U573" s="16"/>
      <c r="V573" s="19"/>
      <c r="W573" s="160"/>
      <c r="X573" s="160"/>
      <c r="Y573" s="160"/>
      <c r="Z573" s="160"/>
      <c r="AA573" s="160"/>
      <c r="AB573" s="10"/>
      <c r="AD573" s="160"/>
    </row>
    <row r="574" spans="4:30" x14ac:dyDescent="0.2">
      <c r="D574" s="8"/>
      <c r="E574" s="6"/>
      <c r="G574" s="10"/>
      <c r="J574" s="142"/>
      <c r="K574" s="15"/>
      <c r="L574" s="15"/>
      <c r="M574" s="15"/>
      <c r="N574" s="16"/>
      <c r="O574" s="8"/>
      <c r="P574" s="8"/>
      <c r="Q574" s="8"/>
      <c r="R574" s="16"/>
      <c r="S574" s="16"/>
      <c r="T574" s="19"/>
      <c r="U574" s="16"/>
      <c r="V574" s="19"/>
      <c r="W574" s="160"/>
      <c r="X574" s="160"/>
      <c r="Y574" s="160"/>
      <c r="Z574" s="160"/>
      <c r="AA574" s="160"/>
      <c r="AB574" s="10"/>
      <c r="AD574" s="160"/>
    </row>
    <row r="575" spans="4:30" x14ac:dyDescent="0.2">
      <c r="D575" s="8"/>
      <c r="E575" s="6"/>
      <c r="G575" s="10"/>
      <c r="J575" s="142"/>
      <c r="K575" s="15"/>
      <c r="L575" s="15"/>
      <c r="M575" s="15"/>
      <c r="N575" s="16"/>
      <c r="O575" s="8"/>
      <c r="P575" s="8"/>
      <c r="Q575" s="8"/>
      <c r="R575" s="16"/>
      <c r="S575" s="16"/>
      <c r="T575" s="19"/>
      <c r="U575" s="16"/>
      <c r="V575" s="19"/>
      <c r="W575" s="160"/>
      <c r="X575" s="160"/>
      <c r="Y575" s="160"/>
      <c r="Z575" s="160"/>
      <c r="AA575" s="160"/>
      <c r="AB575" s="10"/>
      <c r="AD575" s="160"/>
    </row>
    <row r="576" spans="4:30" x14ac:dyDescent="0.2">
      <c r="D576" s="8"/>
      <c r="E576" s="6"/>
      <c r="G576" s="10"/>
      <c r="J576" s="142"/>
      <c r="K576" s="15"/>
      <c r="L576" s="15"/>
      <c r="M576" s="15"/>
      <c r="N576" s="16"/>
      <c r="O576" s="8"/>
      <c r="P576" s="8"/>
      <c r="Q576" s="8"/>
      <c r="R576" s="16"/>
      <c r="S576" s="16"/>
      <c r="T576" s="19"/>
      <c r="U576" s="16"/>
      <c r="V576" s="19"/>
      <c r="W576" s="160"/>
      <c r="X576" s="160"/>
      <c r="Y576" s="160"/>
      <c r="Z576" s="160"/>
      <c r="AA576" s="160"/>
      <c r="AB576" s="10"/>
      <c r="AD576" s="160"/>
    </row>
    <row r="577" spans="4:30" x14ac:dyDescent="0.2">
      <c r="D577" s="8"/>
      <c r="E577" s="6"/>
      <c r="G577" s="10"/>
      <c r="J577" s="142"/>
      <c r="K577" s="15"/>
      <c r="L577" s="15"/>
      <c r="M577" s="15"/>
      <c r="N577" s="16"/>
      <c r="O577" s="8"/>
      <c r="P577" s="8"/>
      <c r="Q577" s="8"/>
      <c r="R577" s="16"/>
      <c r="S577" s="16"/>
      <c r="T577" s="19"/>
      <c r="U577" s="16"/>
      <c r="V577" s="19"/>
      <c r="W577" s="160"/>
      <c r="X577" s="160"/>
      <c r="Y577" s="160"/>
      <c r="Z577" s="160"/>
      <c r="AA577" s="160"/>
      <c r="AB577" s="10"/>
      <c r="AD577" s="160"/>
    </row>
    <row r="578" spans="4:30" x14ac:dyDescent="0.2">
      <c r="D578" s="8"/>
      <c r="E578" s="6"/>
      <c r="G578" s="10"/>
      <c r="J578" s="142"/>
      <c r="K578" s="15"/>
      <c r="L578" s="15"/>
      <c r="M578" s="15"/>
      <c r="N578" s="16"/>
      <c r="O578" s="8"/>
      <c r="P578" s="8"/>
      <c r="Q578" s="8"/>
      <c r="R578" s="16"/>
      <c r="S578" s="16"/>
      <c r="T578" s="19"/>
      <c r="U578" s="16"/>
      <c r="V578" s="19"/>
      <c r="W578" s="160"/>
      <c r="X578" s="160"/>
      <c r="Y578" s="160"/>
      <c r="Z578" s="160"/>
      <c r="AA578" s="160"/>
      <c r="AB578" s="10"/>
      <c r="AD578" s="160"/>
    </row>
    <row r="579" spans="4:30" x14ac:dyDescent="0.2">
      <c r="D579" s="8"/>
      <c r="E579" s="6"/>
      <c r="G579" s="10"/>
      <c r="J579" s="142"/>
      <c r="K579" s="15"/>
      <c r="L579" s="15"/>
      <c r="M579" s="15"/>
      <c r="N579" s="16"/>
      <c r="O579" s="8"/>
      <c r="P579" s="8"/>
      <c r="Q579" s="8"/>
      <c r="R579" s="16"/>
      <c r="S579" s="16"/>
      <c r="T579" s="19"/>
      <c r="U579" s="16"/>
      <c r="V579" s="19"/>
      <c r="W579" s="160"/>
      <c r="X579" s="160"/>
      <c r="Y579" s="160"/>
      <c r="Z579" s="160"/>
      <c r="AA579" s="160"/>
      <c r="AB579" s="10"/>
      <c r="AD579" s="160"/>
    </row>
    <row r="580" spans="4:30" x14ac:dyDescent="0.2">
      <c r="D580" s="8"/>
      <c r="E580" s="6"/>
      <c r="G580" s="10"/>
      <c r="J580" s="142"/>
      <c r="K580" s="15"/>
      <c r="L580" s="15"/>
      <c r="M580" s="15"/>
      <c r="N580" s="16"/>
      <c r="O580" s="8"/>
      <c r="P580" s="8"/>
      <c r="Q580" s="8"/>
      <c r="R580" s="16"/>
      <c r="S580" s="16"/>
      <c r="T580" s="19"/>
      <c r="U580" s="16"/>
      <c r="V580" s="19"/>
      <c r="W580" s="160"/>
      <c r="X580" s="160"/>
      <c r="Y580" s="160"/>
      <c r="Z580" s="160"/>
      <c r="AA580" s="160"/>
      <c r="AB580" s="10"/>
      <c r="AD580" s="160"/>
    </row>
    <row r="581" spans="4:30" x14ac:dyDescent="0.2">
      <c r="D581" s="8"/>
      <c r="E581" s="6"/>
      <c r="G581" s="10"/>
      <c r="J581" s="142"/>
      <c r="K581" s="15"/>
      <c r="L581" s="15"/>
      <c r="M581" s="15"/>
      <c r="N581" s="16"/>
      <c r="O581" s="8"/>
      <c r="P581" s="8"/>
      <c r="Q581" s="8"/>
      <c r="R581" s="16"/>
      <c r="S581" s="16"/>
      <c r="T581" s="19"/>
      <c r="U581" s="16"/>
      <c r="V581" s="19"/>
      <c r="W581" s="160"/>
      <c r="X581" s="160"/>
      <c r="Y581" s="160"/>
      <c r="Z581" s="160"/>
      <c r="AA581" s="160"/>
      <c r="AB581" s="10"/>
      <c r="AD581" s="160"/>
    </row>
    <row r="582" spans="4:30" x14ac:dyDescent="0.2">
      <c r="D582" s="8"/>
      <c r="E582" s="6"/>
      <c r="G582" s="10"/>
      <c r="J582" s="142"/>
      <c r="K582" s="15"/>
      <c r="L582" s="15"/>
      <c r="M582" s="15"/>
      <c r="N582" s="16"/>
      <c r="O582" s="8"/>
      <c r="P582" s="8"/>
      <c r="Q582" s="8"/>
      <c r="R582" s="16"/>
      <c r="S582" s="16"/>
      <c r="T582" s="19"/>
      <c r="U582" s="16"/>
      <c r="V582" s="19"/>
      <c r="W582" s="160"/>
      <c r="X582" s="160"/>
      <c r="Y582" s="160"/>
      <c r="Z582" s="160"/>
      <c r="AA582" s="160"/>
      <c r="AB582" s="10"/>
      <c r="AD582" s="160"/>
    </row>
    <row r="583" spans="4:30" x14ac:dyDescent="0.2">
      <c r="D583" s="8"/>
      <c r="E583" s="6"/>
      <c r="G583" s="10"/>
      <c r="J583" s="142"/>
      <c r="K583" s="15"/>
      <c r="L583" s="15"/>
      <c r="M583" s="15"/>
      <c r="N583" s="16"/>
      <c r="O583" s="8"/>
      <c r="P583" s="8"/>
      <c r="Q583" s="8"/>
      <c r="R583" s="16"/>
      <c r="S583" s="16"/>
      <c r="T583" s="19"/>
      <c r="U583" s="16"/>
      <c r="V583" s="19"/>
      <c r="W583" s="160"/>
      <c r="X583" s="160"/>
      <c r="Y583" s="160"/>
      <c r="Z583" s="160"/>
      <c r="AA583" s="160"/>
      <c r="AB583" s="10"/>
      <c r="AD583" s="160"/>
    </row>
    <row r="584" spans="4:30" x14ac:dyDescent="0.2">
      <c r="D584" s="8"/>
      <c r="E584" s="6"/>
      <c r="G584" s="10"/>
      <c r="J584" s="142"/>
      <c r="K584" s="15"/>
      <c r="L584" s="15"/>
      <c r="M584" s="15"/>
      <c r="N584" s="16"/>
      <c r="O584" s="8"/>
      <c r="P584" s="8"/>
      <c r="Q584" s="8"/>
      <c r="R584" s="16"/>
      <c r="S584" s="16"/>
      <c r="T584" s="19"/>
      <c r="U584" s="16"/>
      <c r="V584" s="19"/>
      <c r="W584" s="160"/>
      <c r="X584" s="160"/>
      <c r="Y584" s="160"/>
      <c r="Z584" s="160"/>
      <c r="AA584" s="160"/>
      <c r="AB584" s="10"/>
      <c r="AD584" s="160"/>
    </row>
    <row r="585" spans="4:30" x14ac:dyDescent="0.2">
      <c r="D585" s="8"/>
      <c r="E585" s="6"/>
      <c r="G585" s="10"/>
      <c r="J585" s="142"/>
      <c r="K585" s="15"/>
      <c r="L585" s="15"/>
      <c r="M585" s="15"/>
      <c r="N585" s="16"/>
      <c r="O585" s="8"/>
      <c r="P585" s="8"/>
      <c r="Q585" s="8"/>
      <c r="R585" s="16"/>
      <c r="S585" s="16"/>
      <c r="T585" s="19"/>
      <c r="U585" s="16"/>
      <c r="V585" s="19"/>
      <c r="W585" s="160"/>
      <c r="X585" s="160"/>
      <c r="Y585" s="160"/>
      <c r="Z585" s="160"/>
      <c r="AA585" s="160"/>
      <c r="AB585" s="10"/>
      <c r="AD585" s="160"/>
    </row>
    <row r="586" spans="4:30" x14ac:dyDescent="0.2">
      <c r="D586" s="8"/>
      <c r="E586" s="6"/>
      <c r="G586" s="10"/>
      <c r="J586" s="142"/>
      <c r="K586" s="15"/>
      <c r="L586" s="15"/>
      <c r="M586" s="15"/>
      <c r="N586" s="16"/>
      <c r="O586" s="8"/>
      <c r="P586" s="8"/>
      <c r="Q586" s="8"/>
      <c r="R586" s="16"/>
      <c r="S586" s="16"/>
      <c r="T586" s="19"/>
      <c r="U586" s="16"/>
      <c r="V586" s="19"/>
      <c r="W586" s="160"/>
      <c r="X586" s="160"/>
      <c r="Y586" s="160"/>
      <c r="Z586" s="160"/>
      <c r="AA586" s="160"/>
      <c r="AB586" s="10"/>
      <c r="AD586" s="160"/>
    </row>
    <row r="587" spans="4:30" x14ac:dyDescent="0.2">
      <c r="D587" s="8"/>
      <c r="E587" s="6"/>
      <c r="G587" s="10"/>
      <c r="J587" s="142"/>
      <c r="K587" s="15"/>
      <c r="L587" s="15"/>
      <c r="M587" s="15"/>
      <c r="N587" s="16"/>
      <c r="O587" s="8"/>
      <c r="P587" s="8"/>
      <c r="Q587" s="8"/>
      <c r="R587" s="16"/>
      <c r="S587" s="16"/>
      <c r="T587" s="19"/>
      <c r="U587" s="16"/>
      <c r="V587" s="19"/>
      <c r="W587" s="160"/>
      <c r="X587" s="160"/>
      <c r="Y587" s="160"/>
      <c r="Z587" s="160"/>
      <c r="AA587" s="160"/>
      <c r="AB587" s="10"/>
      <c r="AD587" s="160"/>
    </row>
    <row r="588" spans="4:30" x14ac:dyDescent="0.2">
      <c r="D588" s="8"/>
      <c r="E588" s="6"/>
      <c r="G588" s="10"/>
      <c r="J588" s="142"/>
      <c r="K588" s="15"/>
      <c r="L588" s="15"/>
      <c r="M588" s="15"/>
      <c r="N588" s="16"/>
      <c r="O588" s="8"/>
      <c r="P588" s="8"/>
      <c r="Q588" s="8"/>
      <c r="R588" s="16"/>
      <c r="S588" s="16"/>
      <c r="T588" s="19"/>
      <c r="U588" s="16"/>
      <c r="V588" s="19"/>
      <c r="W588" s="160"/>
      <c r="X588" s="160"/>
      <c r="Y588" s="160"/>
      <c r="Z588" s="160"/>
      <c r="AA588" s="160"/>
      <c r="AB588" s="10"/>
      <c r="AD588" s="160"/>
    </row>
    <row r="589" spans="4:30" x14ac:dyDescent="0.2">
      <c r="D589" s="8"/>
      <c r="E589" s="6"/>
      <c r="G589" s="10"/>
      <c r="J589" s="142"/>
      <c r="K589" s="15"/>
      <c r="L589" s="15"/>
      <c r="M589" s="15"/>
      <c r="N589" s="16"/>
      <c r="O589" s="8"/>
      <c r="P589" s="8"/>
      <c r="Q589" s="8"/>
      <c r="R589" s="16"/>
      <c r="S589" s="16"/>
      <c r="T589" s="19"/>
      <c r="U589" s="16"/>
      <c r="V589" s="19"/>
      <c r="W589" s="160"/>
      <c r="X589" s="160"/>
      <c r="Y589" s="160"/>
      <c r="Z589" s="160"/>
      <c r="AA589" s="160"/>
      <c r="AB589" s="10"/>
      <c r="AD589" s="160"/>
    </row>
    <row r="590" spans="4:30" x14ac:dyDescent="0.2">
      <c r="D590" s="8"/>
      <c r="E590" s="6"/>
      <c r="G590" s="10"/>
      <c r="J590" s="142"/>
      <c r="K590" s="15"/>
      <c r="L590" s="15"/>
      <c r="M590" s="15"/>
      <c r="N590" s="16"/>
      <c r="O590" s="8"/>
      <c r="P590" s="8"/>
      <c r="Q590" s="8"/>
      <c r="R590" s="16"/>
      <c r="S590" s="16"/>
      <c r="T590" s="19"/>
      <c r="U590" s="16"/>
      <c r="V590" s="19"/>
      <c r="W590" s="160"/>
      <c r="X590" s="160"/>
      <c r="Y590" s="160"/>
      <c r="Z590" s="160"/>
      <c r="AA590" s="160"/>
      <c r="AB590" s="10"/>
      <c r="AD590" s="160"/>
    </row>
    <row r="591" spans="4:30" x14ac:dyDescent="0.2">
      <c r="D591" s="8"/>
      <c r="E591" s="6"/>
      <c r="G591" s="10"/>
      <c r="J591" s="142"/>
      <c r="K591" s="15"/>
      <c r="L591" s="15"/>
      <c r="M591" s="15"/>
      <c r="N591" s="16"/>
      <c r="O591" s="8"/>
      <c r="P591" s="8"/>
      <c r="Q591" s="8"/>
      <c r="R591" s="16"/>
      <c r="S591" s="16"/>
      <c r="T591" s="19"/>
      <c r="U591" s="16"/>
      <c r="V591" s="19"/>
      <c r="W591" s="160"/>
      <c r="X591" s="160"/>
      <c r="Y591" s="160"/>
      <c r="Z591" s="160"/>
      <c r="AA591" s="160"/>
      <c r="AB591" s="10"/>
      <c r="AD591" s="160"/>
    </row>
    <row r="592" spans="4:30" x14ac:dyDescent="0.2">
      <c r="D592" s="8"/>
      <c r="E592" s="6"/>
      <c r="G592" s="10"/>
      <c r="J592" s="142"/>
      <c r="K592" s="15"/>
      <c r="L592" s="15"/>
      <c r="M592" s="15"/>
      <c r="N592" s="16"/>
      <c r="O592" s="8"/>
      <c r="P592" s="8"/>
      <c r="Q592" s="8"/>
      <c r="R592" s="16"/>
      <c r="S592" s="16"/>
      <c r="T592" s="19"/>
      <c r="U592" s="16"/>
      <c r="V592" s="19"/>
      <c r="W592" s="160"/>
      <c r="X592" s="160"/>
      <c r="Y592" s="160"/>
      <c r="Z592" s="160"/>
      <c r="AA592" s="160"/>
      <c r="AB592" s="10"/>
      <c r="AD592" s="160"/>
    </row>
    <row r="593" spans="4:30" x14ac:dyDescent="0.2">
      <c r="D593" s="8"/>
      <c r="E593" s="6"/>
      <c r="G593" s="10"/>
      <c r="J593" s="142"/>
      <c r="K593" s="15"/>
      <c r="L593" s="15"/>
      <c r="M593" s="15"/>
      <c r="N593" s="16"/>
      <c r="O593" s="8"/>
      <c r="P593" s="8"/>
      <c r="Q593" s="8"/>
      <c r="R593" s="16"/>
      <c r="S593" s="16"/>
      <c r="T593" s="19"/>
      <c r="U593" s="16"/>
      <c r="V593" s="19"/>
      <c r="W593" s="160"/>
      <c r="X593" s="160"/>
      <c r="Y593" s="160"/>
      <c r="Z593" s="160"/>
      <c r="AA593" s="160"/>
      <c r="AB593" s="10"/>
      <c r="AD593" s="160"/>
    </row>
    <row r="594" spans="4:30" x14ac:dyDescent="0.2">
      <c r="D594" s="8"/>
      <c r="E594" s="6"/>
      <c r="G594" s="10"/>
      <c r="J594" s="142"/>
      <c r="K594" s="15"/>
      <c r="L594" s="15"/>
      <c r="M594" s="15"/>
      <c r="N594" s="16"/>
      <c r="O594" s="8"/>
      <c r="P594" s="8"/>
      <c r="Q594" s="8"/>
      <c r="R594" s="16"/>
      <c r="S594" s="16"/>
      <c r="T594" s="19"/>
      <c r="U594" s="16"/>
      <c r="V594" s="19"/>
      <c r="W594" s="160"/>
      <c r="X594" s="160"/>
      <c r="Y594" s="160"/>
      <c r="Z594" s="160"/>
      <c r="AA594" s="160"/>
      <c r="AB594" s="10"/>
      <c r="AD594" s="160"/>
    </row>
    <row r="595" spans="4:30" x14ac:dyDescent="0.2">
      <c r="D595" s="8"/>
      <c r="E595" s="6"/>
      <c r="G595" s="10"/>
      <c r="J595" s="142"/>
      <c r="K595" s="15"/>
      <c r="L595" s="15"/>
      <c r="M595" s="15"/>
      <c r="N595" s="16"/>
      <c r="O595" s="8"/>
      <c r="P595" s="8"/>
      <c r="Q595" s="8"/>
      <c r="R595" s="16"/>
      <c r="S595" s="16"/>
      <c r="T595" s="19"/>
      <c r="U595" s="16"/>
      <c r="V595" s="19"/>
      <c r="W595" s="160"/>
      <c r="X595" s="160"/>
      <c r="Y595" s="160"/>
      <c r="Z595" s="160"/>
      <c r="AA595" s="160"/>
      <c r="AB595" s="10"/>
      <c r="AD595" s="160"/>
    </row>
    <row r="596" spans="4:30" x14ac:dyDescent="0.2">
      <c r="D596" s="8"/>
      <c r="E596" s="6"/>
      <c r="G596" s="10"/>
      <c r="J596" s="142"/>
      <c r="K596" s="15"/>
      <c r="L596" s="15"/>
      <c r="M596" s="15"/>
      <c r="N596" s="16"/>
      <c r="O596" s="8"/>
      <c r="P596" s="8"/>
      <c r="Q596" s="8"/>
      <c r="R596" s="16"/>
      <c r="S596" s="16"/>
      <c r="T596" s="19"/>
      <c r="U596" s="16"/>
      <c r="V596" s="19"/>
      <c r="W596" s="160"/>
      <c r="X596" s="160"/>
      <c r="Y596" s="160"/>
      <c r="Z596" s="160"/>
      <c r="AA596" s="160"/>
      <c r="AB596" s="10"/>
      <c r="AD596" s="160"/>
    </row>
    <row r="597" spans="4:30" x14ac:dyDescent="0.2">
      <c r="D597" s="8"/>
      <c r="E597" s="6"/>
      <c r="G597" s="10"/>
      <c r="J597" s="142"/>
      <c r="K597" s="15"/>
      <c r="L597" s="15"/>
      <c r="M597" s="15"/>
      <c r="N597" s="16"/>
      <c r="O597" s="8"/>
      <c r="P597" s="8"/>
      <c r="Q597" s="8"/>
      <c r="R597" s="16"/>
      <c r="S597" s="16"/>
      <c r="T597" s="19"/>
      <c r="U597" s="16"/>
      <c r="V597" s="19"/>
      <c r="W597" s="160"/>
      <c r="X597" s="160"/>
      <c r="Y597" s="160"/>
      <c r="Z597" s="160"/>
      <c r="AA597" s="160"/>
      <c r="AB597" s="10"/>
      <c r="AD597" s="160"/>
    </row>
    <row r="598" spans="4:30" x14ac:dyDescent="0.2">
      <c r="D598" s="8"/>
      <c r="E598" s="6"/>
      <c r="G598" s="10"/>
      <c r="J598" s="142"/>
      <c r="K598" s="15"/>
      <c r="L598" s="15"/>
      <c r="M598" s="15"/>
      <c r="N598" s="16"/>
      <c r="O598" s="8"/>
      <c r="P598" s="8"/>
      <c r="Q598" s="8"/>
      <c r="R598" s="16"/>
      <c r="S598" s="16"/>
      <c r="T598" s="19"/>
      <c r="U598" s="16"/>
      <c r="V598" s="19"/>
      <c r="W598" s="160"/>
      <c r="X598" s="160"/>
      <c r="Y598" s="160"/>
      <c r="Z598" s="160"/>
      <c r="AA598" s="160"/>
      <c r="AB598" s="10"/>
      <c r="AD598" s="160"/>
    </row>
    <row r="599" spans="4:30" x14ac:dyDescent="0.2">
      <c r="D599" s="8"/>
      <c r="E599" s="6"/>
      <c r="G599" s="10"/>
      <c r="J599" s="142"/>
      <c r="K599" s="15"/>
      <c r="L599" s="15"/>
      <c r="M599" s="15"/>
      <c r="N599" s="16"/>
      <c r="O599" s="8"/>
      <c r="P599" s="8"/>
      <c r="Q599" s="8"/>
      <c r="R599" s="16"/>
      <c r="S599" s="16"/>
      <c r="T599" s="19"/>
      <c r="U599" s="16"/>
      <c r="V599" s="19"/>
      <c r="W599" s="160"/>
      <c r="X599" s="160"/>
      <c r="Y599" s="160"/>
      <c r="Z599" s="160"/>
      <c r="AA599" s="160"/>
      <c r="AB599" s="10"/>
      <c r="AD599" s="160"/>
    </row>
    <row r="600" spans="4:30" x14ac:dyDescent="0.2">
      <c r="D600" s="8"/>
      <c r="E600" s="6"/>
      <c r="G600" s="10"/>
      <c r="J600" s="142"/>
      <c r="K600" s="15"/>
      <c r="L600" s="15"/>
      <c r="M600" s="15"/>
      <c r="N600" s="16"/>
      <c r="O600" s="8"/>
      <c r="P600" s="8"/>
      <c r="Q600" s="8"/>
      <c r="R600" s="16"/>
      <c r="S600" s="16"/>
      <c r="T600" s="19"/>
      <c r="U600" s="16"/>
      <c r="V600" s="19"/>
      <c r="W600" s="160"/>
      <c r="X600" s="160"/>
      <c r="Y600" s="160"/>
      <c r="Z600" s="160"/>
      <c r="AA600" s="160"/>
      <c r="AB600" s="10"/>
      <c r="AD600" s="160"/>
    </row>
    <row r="601" spans="4:30" x14ac:dyDescent="0.2">
      <c r="D601" s="8"/>
      <c r="E601" s="6"/>
      <c r="G601" s="10"/>
      <c r="J601" s="142"/>
      <c r="K601" s="15"/>
      <c r="L601" s="15"/>
      <c r="M601" s="15"/>
      <c r="N601" s="16"/>
      <c r="O601" s="8"/>
      <c r="P601" s="8"/>
      <c r="Q601" s="8"/>
      <c r="R601" s="16"/>
      <c r="S601" s="16"/>
      <c r="T601" s="19"/>
      <c r="U601" s="16"/>
      <c r="V601" s="19"/>
      <c r="W601" s="160"/>
      <c r="X601" s="160"/>
      <c r="Y601" s="160"/>
      <c r="Z601" s="160"/>
      <c r="AA601" s="160"/>
      <c r="AB601" s="10"/>
      <c r="AD601" s="160"/>
    </row>
    <row r="602" spans="4:30" x14ac:dyDescent="0.2">
      <c r="D602" s="8"/>
      <c r="E602" s="6"/>
      <c r="G602" s="10"/>
      <c r="J602" s="142"/>
      <c r="K602" s="15"/>
      <c r="L602" s="15"/>
      <c r="M602" s="15"/>
      <c r="N602" s="16"/>
      <c r="O602" s="8"/>
      <c r="P602" s="8"/>
      <c r="Q602" s="8"/>
      <c r="R602" s="16"/>
      <c r="S602" s="16"/>
      <c r="T602" s="19"/>
      <c r="U602" s="16"/>
      <c r="V602" s="19"/>
      <c r="W602" s="160"/>
      <c r="X602" s="160"/>
      <c r="Y602" s="160"/>
      <c r="Z602" s="160"/>
      <c r="AA602" s="160"/>
      <c r="AB602" s="10"/>
      <c r="AD602" s="160"/>
    </row>
    <row r="603" spans="4:30" x14ac:dyDescent="0.2">
      <c r="D603" s="8"/>
      <c r="E603" s="6"/>
      <c r="G603" s="10"/>
      <c r="J603" s="142"/>
      <c r="K603" s="15"/>
      <c r="L603" s="15"/>
      <c r="M603" s="15"/>
      <c r="N603" s="16"/>
      <c r="O603" s="8"/>
      <c r="P603" s="8"/>
      <c r="Q603" s="8"/>
      <c r="R603" s="16"/>
      <c r="S603" s="16"/>
      <c r="T603" s="19"/>
      <c r="U603" s="16"/>
      <c r="V603" s="19"/>
      <c r="W603" s="160"/>
      <c r="X603" s="160"/>
      <c r="Y603" s="160"/>
      <c r="Z603" s="160"/>
      <c r="AA603" s="160"/>
      <c r="AB603" s="10"/>
      <c r="AD603" s="160"/>
    </row>
    <row r="604" spans="4:30" x14ac:dyDescent="0.2">
      <c r="D604" s="8"/>
      <c r="E604" s="6"/>
      <c r="G604" s="10"/>
      <c r="J604" s="142"/>
      <c r="K604" s="15"/>
      <c r="L604" s="15"/>
      <c r="M604" s="15"/>
      <c r="N604" s="16"/>
      <c r="O604" s="8"/>
      <c r="P604" s="8"/>
      <c r="Q604" s="8"/>
      <c r="R604" s="16"/>
      <c r="S604" s="16"/>
      <c r="T604" s="19"/>
      <c r="U604" s="16"/>
      <c r="V604" s="19"/>
      <c r="W604" s="160"/>
      <c r="X604" s="160"/>
      <c r="Y604" s="160"/>
      <c r="Z604" s="160"/>
      <c r="AA604" s="160"/>
      <c r="AB604" s="10"/>
      <c r="AD604" s="160"/>
    </row>
    <row r="605" spans="4:30" x14ac:dyDescent="0.2">
      <c r="D605" s="8"/>
      <c r="E605" s="6"/>
      <c r="G605" s="10"/>
      <c r="J605" s="142"/>
      <c r="K605" s="15"/>
      <c r="L605" s="15"/>
      <c r="M605" s="15"/>
      <c r="N605" s="16"/>
      <c r="O605" s="8"/>
      <c r="P605" s="8"/>
      <c r="Q605" s="8"/>
      <c r="R605" s="16"/>
      <c r="S605" s="16"/>
      <c r="T605" s="19"/>
      <c r="U605" s="16"/>
      <c r="V605" s="19"/>
      <c r="W605" s="160"/>
      <c r="X605" s="160"/>
      <c r="Y605" s="160"/>
      <c r="Z605" s="160"/>
      <c r="AA605" s="160"/>
      <c r="AB605" s="10"/>
      <c r="AD605" s="160"/>
    </row>
    <row r="606" spans="4:30" x14ac:dyDescent="0.2">
      <c r="D606" s="8"/>
      <c r="E606" s="6"/>
      <c r="G606" s="10"/>
      <c r="J606" s="142"/>
      <c r="K606" s="15"/>
      <c r="L606" s="15"/>
      <c r="M606" s="15"/>
      <c r="N606" s="16"/>
      <c r="O606" s="8"/>
      <c r="P606" s="8"/>
      <c r="Q606" s="8"/>
      <c r="R606" s="16"/>
      <c r="S606" s="16"/>
      <c r="T606" s="19"/>
      <c r="U606" s="16"/>
      <c r="V606" s="19"/>
      <c r="W606" s="160"/>
      <c r="X606" s="160"/>
      <c r="Y606" s="160"/>
      <c r="Z606" s="160"/>
      <c r="AA606" s="160"/>
      <c r="AB606" s="10"/>
      <c r="AD606" s="160"/>
    </row>
    <row r="607" spans="4:30" x14ac:dyDescent="0.2">
      <c r="D607" s="8"/>
      <c r="E607" s="6"/>
      <c r="G607" s="10"/>
      <c r="J607" s="142"/>
      <c r="K607" s="15"/>
      <c r="L607" s="15"/>
      <c r="M607" s="15"/>
      <c r="N607" s="16"/>
      <c r="O607" s="8"/>
      <c r="P607" s="8"/>
      <c r="Q607" s="8"/>
      <c r="R607" s="16"/>
      <c r="S607" s="16"/>
      <c r="T607" s="19"/>
      <c r="U607" s="16"/>
      <c r="V607" s="19"/>
      <c r="W607" s="160"/>
      <c r="X607" s="160"/>
      <c r="Y607" s="160"/>
      <c r="Z607" s="160"/>
      <c r="AA607" s="160"/>
      <c r="AB607" s="10"/>
      <c r="AD607" s="160"/>
    </row>
    <row r="608" spans="4:30" x14ac:dyDescent="0.2">
      <c r="D608" s="8"/>
      <c r="E608" s="6"/>
      <c r="G608" s="10"/>
      <c r="J608" s="142"/>
      <c r="K608" s="15"/>
      <c r="L608" s="15"/>
      <c r="M608" s="15"/>
      <c r="N608" s="16"/>
      <c r="O608" s="8"/>
      <c r="P608" s="8"/>
      <c r="Q608" s="8"/>
      <c r="R608" s="16"/>
      <c r="S608" s="16"/>
      <c r="T608" s="19"/>
      <c r="U608" s="16"/>
      <c r="V608" s="19"/>
      <c r="W608" s="160"/>
      <c r="X608" s="160"/>
      <c r="Y608" s="160"/>
      <c r="Z608" s="160"/>
      <c r="AA608" s="160"/>
      <c r="AB608" s="10"/>
      <c r="AD608" s="160"/>
    </row>
    <row r="609" spans="4:30" x14ac:dyDescent="0.2">
      <c r="D609" s="8"/>
      <c r="E609" s="6"/>
      <c r="G609" s="10"/>
      <c r="J609" s="142"/>
      <c r="K609" s="15"/>
      <c r="L609" s="15"/>
      <c r="M609" s="15"/>
      <c r="N609" s="16"/>
      <c r="O609" s="8"/>
      <c r="P609" s="8"/>
      <c r="Q609" s="8"/>
      <c r="R609" s="16"/>
      <c r="S609" s="16"/>
      <c r="T609" s="19"/>
      <c r="U609" s="16"/>
      <c r="V609" s="19"/>
      <c r="W609" s="160"/>
      <c r="X609" s="160"/>
      <c r="Y609" s="160"/>
      <c r="Z609" s="160"/>
      <c r="AA609" s="160"/>
      <c r="AB609" s="10"/>
      <c r="AD609" s="160"/>
    </row>
    <row r="610" spans="4:30" x14ac:dyDescent="0.2">
      <c r="D610" s="8"/>
      <c r="E610" s="6"/>
      <c r="G610" s="10"/>
      <c r="J610" s="142"/>
      <c r="K610" s="15"/>
      <c r="L610" s="15"/>
      <c r="M610" s="15"/>
      <c r="N610" s="16"/>
      <c r="O610" s="8"/>
      <c r="P610" s="8"/>
      <c r="Q610" s="8"/>
      <c r="R610" s="16"/>
      <c r="S610" s="16"/>
      <c r="T610" s="19"/>
      <c r="U610" s="16"/>
      <c r="V610" s="19"/>
      <c r="W610" s="160"/>
      <c r="X610" s="160"/>
      <c r="Y610" s="160"/>
      <c r="Z610" s="160"/>
      <c r="AA610" s="160"/>
      <c r="AB610" s="10"/>
      <c r="AD610" s="160"/>
    </row>
    <row r="611" spans="4:30" x14ac:dyDescent="0.2">
      <c r="D611" s="8"/>
      <c r="E611" s="6"/>
      <c r="G611" s="10"/>
      <c r="J611" s="142"/>
      <c r="K611" s="15"/>
      <c r="L611" s="15"/>
      <c r="M611" s="15"/>
      <c r="N611" s="16"/>
      <c r="O611" s="8"/>
      <c r="P611" s="8"/>
      <c r="Q611" s="8"/>
      <c r="R611" s="16"/>
      <c r="S611" s="16"/>
      <c r="T611" s="19"/>
      <c r="U611" s="16"/>
      <c r="V611" s="19"/>
      <c r="W611" s="160"/>
      <c r="X611" s="160"/>
      <c r="Y611" s="160"/>
      <c r="Z611" s="160"/>
      <c r="AA611" s="160"/>
      <c r="AB611" s="10"/>
      <c r="AD611" s="160"/>
    </row>
    <row r="612" spans="4:30" x14ac:dyDescent="0.2">
      <c r="D612" s="8"/>
      <c r="E612" s="6"/>
      <c r="G612" s="10"/>
      <c r="J612" s="142"/>
      <c r="K612" s="15"/>
      <c r="L612" s="15"/>
      <c r="M612" s="15"/>
      <c r="N612" s="16"/>
      <c r="O612" s="8"/>
      <c r="P612" s="8"/>
      <c r="Q612" s="8"/>
      <c r="R612" s="16"/>
      <c r="S612" s="16"/>
      <c r="T612" s="19"/>
      <c r="U612" s="16"/>
      <c r="V612" s="19"/>
      <c r="W612" s="160"/>
      <c r="X612" s="160"/>
      <c r="Y612" s="160"/>
      <c r="Z612" s="160"/>
      <c r="AA612" s="160"/>
      <c r="AB612" s="10"/>
      <c r="AD612" s="160"/>
    </row>
    <row r="613" spans="4:30" x14ac:dyDescent="0.2">
      <c r="D613" s="8"/>
      <c r="E613" s="6"/>
      <c r="G613" s="10"/>
      <c r="J613" s="142"/>
      <c r="K613" s="15"/>
      <c r="L613" s="15"/>
      <c r="M613" s="15"/>
      <c r="N613" s="16"/>
      <c r="O613" s="8"/>
      <c r="P613" s="8"/>
      <c r="Q613" s="8"/>
      <c r="R613" s="16"/>
      <c r="S613" s="16"/>
      <c r="T613" s="19"/>
      <c r="U613" s="16"/>
      <c r="V613" s="19"/>
      <c r="W613" s="160"/>
      <c r="X613" s="160"/>
      <c r="Y613" s="160"/>
      <c r="Z613" s="160"/>
      <c r="AA613" s="160"/>
      <c r="AB613" s="10"/>
      <c r="AD613" s="160"/>
    </row>
    <row r="614" spans="4:30" x14ac:dyDescent="0.2">
      <c r="D614" s="8"/>
      <c r="E614" s="6"/>
      <c r="G614" s="10"/>
      <c r="J614" s="142"/>
      <c r="K614" s="15"/>
      <c r="L614" s="15"/>
      <c r="M614" s="15"/>
      <c r="N614" s="16"/>
      <c r="O614" s="8"/>
      <c r="P614" s="8"/>
      <c r="Q614" s="8"/>
      <c r="R614" s="16"/>
      <c r="S614" s="16"/>
      <c r="T614" s="19"/>
      <c r="U614" s="16"/>
      <c r="V614" s="19"/>
      <c r="W614" s="160"/>
      <c r="X614" s="160"/>
      <c r="Y614" s="160"/>
      <c r="Z614" s="160"/>
      <c r="AA614" s="160"/>
      <c r="AB614" s="10"/>
      <c r="AD614" s="160"/>
    </row>
    <row r="615" spans="4:30" x14ac:dyDescent="0.2">
      <c r="D615" s="8"/>
      <c r="E615" s="6"/>
      <c r="G615" s="10"/>
      <c r="J615" s="142"/>
      <c r="K615" s="15"/>
      <c r="L615" s="15"/>
      <c r="M615" s="15"/>
      <c r="N615" s="16"/>
      <c r="O615" s="8"/>
      <c r="P615" s="8"/>
      <c r="Q615" s="8"/>
      <c r="R615" s="16"/>
      <c r="S615" s="16"/>
      <c r="T615" s="19"/>
      <c r="U615" s="16"/>
      <c r="V615" s="19"/>
      <c r="W615" s="160"/>
      <c r="X615" s="160"/>
      <c r="Y615" s="160"/>
      <c r="Z615" s="160"/>
      <c r="AA615" s="160"/>
      <c r="AB615" s="10"/>
      <c r="AD615" s="160"/>
    </row>
    <row r="616" spans="4:30" x14ac:dyDescent="0.2">
      <c r="D616" s="8"/>
      <c r="E616" s="6"/>
      <c r="G616" s="10"/>
      <c r="J616" s="142"/>
      <c r="K616" s="15"/>
      <c r="L616" s="15"/>
      <c r="M616" s="15"/>
      <c r="N616" s="16"/>
      <c r="O616" s="8"/>
      <c r="P616" s="8"/>
      <c r="Q616" s="8"/>
      <c r="R616" s="16"/>
      <c r="S616" s="16"/>
      <c r="T616" s="19"/>
      <c r="U616" s="16"/>
      <c r="V616" s="19"/>
      <c r="W616" s="160"/>
      <c r="X616" s="160"/>
      <c r="Y616" s="160"/>
      <c r="Z616" s="160"/>
      <c r="AA616" s="160"/>
      <c r="AB616" s="10"/>
      <c r="AD616" s="160"/>
    </row>
    <row r="617" spans="4:30" x14ac:dyDescent="0.2">
      <c r="D617" s="8"/>
      <c r="E617" s="6"/>
      <c r="G617" s="10"/>
      <c r="J617" s="142"/>
      <c r="K617" s="15"/>
      <c r="L617" s="15"/>
      <c r="M617" s="15"/>
      <c r="N617" s="16"/>
      <c r="O617" s="8"/>
      <c r="P617" s="8"/>
      <c r="Q617" s="8"/>
      <c r="R617" s="16"/>
      <c r="S617" s="16"/>
      <c r="T617" s="19"/>
      <c r="U617" s="16"/>
      <c r="V617" s="19"/>
      <c r="W617" s="160"/>
      <c r="X617" s="160"/>
      <c r="Y617" s="160"/>
      <c r="Z617" s="160"/>
      <c r="AA617" s="160"/>
      <c r="AB617" s="10"/>
      <c r="AD617" s="160"/>
    </row>
    <row r="618" spans="4:30" x14ac:dyDescent="0.2">
      <c r="D618" s="8"/>
      <c r="E618" s="6"/>
      <c r="G618" s="10"/>
      <c r="J618" s="142"/>
      <c r="K618" s="15"/>
      <c r="L618" s="15"/>
      <c r="M618" s="15"/>
      <c r="N618" s="16"/>
      <c r="O618" s="8"/>
      <c r="P618" s="8"/>
      <c r="Q618" s="8"/>
      <c r="R618" s="16"/>
      <c r="S618" s="16"/>
      <c r="T618" s="19"/>
      <c r="U618" s="16"/>
      <c r="V618" s="19"/>
      <c r="W618" s="160"/>
      <c r="X618" s="160"/>
      <c r="Y618" s="160"/>
      <c r="Z618" s="160"/>
      <c r="AA618" s="160"/>
      <c r="AB618" s="10"/>
      <c r="AD618" s="160"/>
    </row>
    <row r="619" spans="4:30" x14ac:dyDescent="0.2">
      <c r="D619" s="8"/>
      <c r="E619" s="6"/>
      <c r="G619" s="10"/>
      <c r="J619" s="142"/>
      <c r="K619" s="15"/>
      <c r="L619" s="15"/>
      <c r="M619" s="15"/>
      <c r="N619" s="16"/>
      <c r="O619" s="8"/>
      <c r="P619" s="8"/>
      <c r="Q619" s="8"/>
      <c r="R619" s="16"/>
      <c r="S619" s="16"/>
      <c r="T619" s="19"/>
      <c r="U619" s="16"/>
      <c r="V619" s="19"/>
      <c r="W619" s="160"/>
      <c r="X619" s="160"/>
      <c r="Y619" s="160"/>
      <c r="Z619" s="160"/>
      <c r="AA619" s="160"/>
      <c r="AB619" s="10"/>
      <c r="AD619" s="160"/>
    </row>
    <row r="620" spans="4:30" x14ac:dyDescent="0.2">
      <c r="D620" s="8"/>
      <c r="E620" s="6"/>
      <c r="G620" s="10"/>
      <c r="J620" s="142"/>
      <c r="K620" s="15"/>
      <c r="L620" s="15"/>
      <c r="M620" s="15"/>
      <c r="N620" s="16"/>
      <c r="O620" s="8"/>
      <c r="P620" s="8"/>
      <c r="Q620" s="8"/>
      <c r="R620" s="16"/>
      <c r="S620" s="16"/>
      <c r="T620" s="19"/>
      <c r="U620" s="16"/>
      <c r="V620" s="19"/>
      <c r="W620" s="160"/>
      <c r="X620" s="160"/>
      <c r="Y620" s="160"/>
      <c r="Z620" s="160"/>
      <c r="AA620" s="160"/>
      <c r="AB620" s="10"/>
      <c r="AD620" s="160"/>
    </row>
    <row r="621" spans="4:30" x14ac:dyDescent="0.2">
      <c r="D621" s="8"/>
      <c r="E621" s="6"/>
      <c r="G621" s="10"/>
      <c r="J621" s="142"/>
      <c r="K621" s="15"/>
      <c r="L621" s="15"/>
      <c r="M621" s="15"/>
      <c r="N621" s="16"/>
      <c r="O621" s="8"/>
      <c r="P621" s="8"/>
      <c r="Q621" s="8"/>
      <c r="R621" s="16"/>
      <c r="S621" s="16"/>
      <c r="T621" s="19"/>
      <c r="U621" s="16"/>
      <c r="V621" s="19"/>
      <c r="W621" s="160"/>
      <c r="X621" s="160"/>
      <c r="Y621" s="160"/>
      <c r="Z621" s="160"/>
      <c r="AA621" s="160"/>
      <c r="AB621" s="10"/>
      <c r="AD621" s="160"/>
    </row>
    <row r="622" spans="4:30" x14ac:dyDescent="0.2">
      <c r="D622" s="8"/>
      <c r="E622" s="6"/>
      <c r="G622" s="10"/>
      <c r="J622" s="142"/>
      <c r="K622" s="15"/>
      <c r="L622" s="15"/>
      <c r="M622" s="15"/>
      <c r="N622" s="16"/>
      <c r="O622" s="8"/>
      <c r="P622" s="8"/>
      <c r="Q622" s="8"/>
      <c r="R622" s="16"/>
      <c r="S622" s="16"/>
      <c r="T622" s="19"/>
      <c r="U622" s="16"/>
      <c r="V622" s="19"/>
      <c r="W622" s="160"/>
      <c r="X622" s="160"/>
      <c r="Y622" s="160"/>
      <c r="Z622" s="160"/>
      <c r="AA622" s="160"/>
      <c r="AB622" s="10"/>
      <c r="AD622" s="160"/>
    </row>
    <row r="623" spans="4:30" x14ac:dyDescent="0.2">
      <c r="D623" s="8"/>
      <c r="E623" s="6"/>
      <c r="G623" s="10"/>
      <c r="J623" s="142"/>
      <c r="K623" s="15"/>
      <c r="L623" s="15"/>
      <c r="M623" s="15"/>
      <c r="N623" s="16"/>
      <c r="O623" s="8"/>
      <c r="P623" s="8"/>
      <c r="Q623" s="8"/>
      <c r="R623" s="16"/>
      <c r="S623" s="16"/>
      <c r="T623" s="19"/>
      <c r="U623" s="16"/>
      <c r="V623" s="19"/>
      <c r="W623" s="160"/>
      <c r="X623" s="160"/>
      <c r="Y623" s="160"/>
      <c r="Z623" s="160"/>
      <c r="AA623" s="160"/>
      <c r="AB623" s="10"/>
      <c r="AD623" s="160"/>
    </row>
    <row r="624" spans="4:30" x14ac:dyDescent="0.2">
      <c r="D624" s="8"/>
      <c r="E624" s="6"/>
      <c r="G624" s="10"/>
      <c r="J624" s="142"/>
      <c r="K624" s="15"/>
      <c r="L624" s="15"/>
      <c r="M624" s="15"/>
      <c r="N624" s="16"/>
      <c r="O624" s="8"/>
      <c r="P624" s="8"/>
      <c r="Q624" s="8"/>
      <c r="R624" s="16"/>
      <c r="S624" s="16"/>
      <c r="T624" s="19"/>
      <c r="U624" s="16"/>
      <c r="V624" s="19"/>
      <c r="W624" s="160"/>
      <c r="X624" s="160"/>
      <c r="Y624" s="160"/>
      <c r="Z624" s="160"/>
      <c r="AA624" s="160"/>
      <c r="AB624" s="10"/>
      <c r="AD624" s="160"/>
    </row>
    <row r="625" spans="4:30" x14ac:dyDescent="0.2">
      <c r="D625" s="8"/>
      <c r="E625" s="6"/>
      <c r="G625" s="10"/>
      <c r="J625" s="142"/>
      <c r="K625" s="15"/>
      <c r="L625" s="15"/>
      <c r="M625" s="15"/>
      <c r="N625" s="16"/>
      <c r="O625" s="8"/>
      <c r="P625" s="8"/>
      <c r="Q625" s="8"/>
      <c r="R625" s="16"/>
      <c r="S625" s="16"/>
      <c r="T625" s="19"/>
      <c r="U625" s="16"/>
      <c r="V625" s="19"/>
      <c r="W625" s="160"/>
      <c r="X625" s="160"/>
      <c r="Y625" s="160"/>
      <c r="Z625" s="160"/>
      <c r="AA625" s="160"/>
      <c r="AB625" s="10"/>
      <c r="AD625" s="160"/>
    </row>
    <row r="626" spans="4:30" x14ac:dyDescent="0.2">
      <c r="D626" s="8"/>
      <c r="E626" s="6"/>
      <c r="G626" s="10"/>
      <c r="J626" s="142"/>
      <c r="K626" s="15"/>
      <c r="L626" s="15"/>
      <c r="M626" s="15"/>
      <c r="N626" s="16"/>
      <c r="O626" s="8"/>
      <c r="P626" s="8"/>
      <c r="Q626" s="8"/>
      <c r="R626" s="16"/>
      <c r="S626" s="16"/>
      <c r="T626" s="19"/>
      <c r="U626" s="16"/>
      <c r="V626" s="19"/>
      <c r="W626" s="160"/>
      <c r="X626" s="160"/>
      <c r="Y626" s="160"/>
      <c r="Z626" s="160"/>
      <c r="AA626" s="160"/>
      <c r="AB626" s="10"/>
      <c r="AD626" s="160"/>
    </row>
    <row r="627" spans="4:30" x14ac:dyDescent="0.2">
      <c r="D627" s="8"/>
      <c r="E627" s="6"/>
      <c r="G627" s="10"/>
      <c r="J627" s="142"/>
      <c r="K627" s="15"/>
      <c r="L627" s="15"/>
      <c r="M627" s="15"/>
      <c r="N627" s="16"/>
      <c r="O627" s="8"/>
      <c r="P627" s="8"/>
      <c r="Q627" s="8"/>
      <c r="R627" s="16"/>
      <c r="S627" s="16"/>
      <c r="T627" s="19"/>
      <c r="U627" s="16"/>
      <c r="V627" s="19"/>
      <c r="W627" s="160"/>
      <c r="X627" s="160"/>
      <c r="Y627" s="160"/>
      <c r="Z627" s="160"/>
      <c r="AA627" s="160"/>
      <c r="AB627" s="10"/>
      <c r="AD627" s="160"/>
    </row>
    <row r="628" spans="4:30" x14ac:dyDescent="0.2">
      <c r="D628" s="8"/>
      <c r="E628" s="6"/>
      <c r="G628" s="10"/>
      <c r="J628" s="142"/>
      <c r="K628" s="15"/>
      <c r="L628" s="15"/>
      <c r="M628" s="15"/>
      <c r="N628" s="16"/>
      <c r="O628" s="8"/>
      <c r="P628" s="8"/>
      <c r="Q628" s="8"/>
      <c r="R628" s="16"/>
      <c r="S628" s="16"/>
      <c r="T628" s="19"/>
      <c r="U628" s="16"/>
      <c r="V628" s="19"/>
      <c r="W628" s="160"/>
      <c r="X628" s="160"/>
      <c r="Y628" s="160"/>
      <c r="Z628" s="160"/>
      <c r="AA628" s="160"/>
      <c r="AB628" s="10"/>
      <c r="AD628" s="160"/>
    </row>
    <row r="629" spans="4:30" x14ac:dyDescent="0.2">
      <c r="D629" s="8"/>
      <c r="E629" s="6"/>
      <c r="G629" s="10"/>
      <c r="J629" s="142"/>
      <c r="K629" s="15"/>
      <c r="L629" s="15"/>
      <c r="M629" s="15"/>
      <c r="N629" s="16"/>
      <c r="O629" s="8"/>
      <c r="P629" s="8"/>
      <c r="Q629" s="8"/>
      <c r="R629" s="16"/>
      <c r="S629" s="16"/>
      <c r="T629" s="19"/>
      <c r="U629" s="16"/>
      <c r="V629" s="19"/>
      <c r="W629" s="160"/>
      <c r="X629" s="160"/>
      <c r="Y629" s="160"/>
      <c r="Z629" s="160"/>
      <c r="AA629" s="160"/>
      <c r="AB629" s="10"/>
      <c r="AD629" s="160"/>
    </row>
    <row r="630" spans="4:30" x14ac:dyDescent="0.2">
      <c r="D630" s="8"/>
      <c r="E630" s="6"/>
      <c r="G630" s="10"/>
      <c r="J630" s="142"/>
      <c r="K630" s="15"/>
      <c r="L630" s="15"/>
      <c r="M630" s="15"/>
      <c r="N630" s="16"/>
      <c r="O630" s="8"/>
      <c r="P630" s="8"/>
      <c r="Q630" s="8"/>
      <c r="R630" s="16"/>
      <c r="S630" s="16"/>
      <c r="T630" s="19"/>
      <c r="U630" s="16"/>
      <c r="V630" s="19"/>
      <c r="W630" s="160"/>
      <c r="X630" s="160"/>
      <c r="Y630" s="160"/>
      <c r="Z630" s="160"/>
      <c r="AA630" s="160"/>
      <c r="AB630" s="10"/>
      <c r="AD630" s="160"/>
    </row>
    <row r="631" spans="4:30" x14ac:dyDescent="0.2">
      <c r="D631" s="8"/>
      <c r="E631" s="6"/>
      <c r="G631" s="10"/>
      <c r="J631" s="142"/>
      <c r="K631" s="15"/>
      <c r="L631" s="15"/>
      <c r="M631" s="15"/>
      <c r="N631" s="16"/>
      <c r="O631" s="8"/>
      <c r="P631" s="8"/>
      <c r="Q631" s="8"/>
      <c r="R631" s="16"/>
      <c r="S631" s="16"/>
      <c r="T631" s="19"/>
      <c r="U631" s="16"/>
      <c r="V631" s="19"/>
      <c r="W631" s="160"/>
      <c r="X631" s="160"/>
      <c r="Y631" s="160"/>
      <c r="Z631" s="160"/>
      <c r="AA631" s="160"/>
      <c r="AB631" s="10"/>
      <c r="AD631" s="160"/>
    </row>
    <row r="632" spans="4:30" x14ac:dyDescent="0.2">
      <c r="D632" s="8"/>
      <c r="E632" s="6"/>
      <c r="G632" s="10"/>
      <c r="J632" s="142"/>
      <c r="K632" s="15"/>
      <c r="L632" s="15"/>
      <c r="M632" s="15"/>
      <c r="N632" s="16"/>
      <c r="O632" s="8"/>
      <c r="P632" s="8"/>
      <c r="Q632" s="8"/>
      <c r="R632" s="16"/>
      <c r="S632" s="16"/>
      <c r="T632" s="19"/>
      <c r="U632" s="16"/>
      <c r="V632" s="19"/>
      <c r="W632" s="160"/>
      <c r="X632" s="160"/>
      <c r="Y632" s="160"/>
      <c r="Z632" s="160"/>
      <c r="AA632" s="160"/>
      <c r="AB632" s="10"/>
      <c r="AD632" s="160"/>
    </row>
    <row r="633" spans="4:30" x14ac:dyDescent="0.2">
      <c r="D633" s="8"/>
      <c r="E633" s="6"/>
      <c r="G633" s="10"/>
      <c r="J633" s="142"/>
      <c r="K633" s="15"/>
      <c r="L633" s="15"/>
      <c r="M633" s="15"/>
      <c r="N633" s="16"/>
      <c r="O633" s="8"/>
      <c r="P633" s="8"/>
      <c r="Q633" s="8"/>
      <c r="R633" s="16"/>
      <c r="S633" s="16"/>
      <c r="T633" s="19"/>
      <c r="U633" s="16"/>
      <c r="V633" s="19"/>
      <c r="W633" s="160"/>
      <c r="X633" s="160"/>
      <c r="Y633" s="160"/>
      <c r="Z633" s="160"/>
      <c r="AA633" s="160"/>
      <c r="AB633" s="10"/>
      <c r="AD633" s="160"/>
    </row>
    <row r="634" spans="4:30" x14ac:dyDescent="0.2">
      <c r="D634" s="8"/>
      <c r="E634" s="6"/>
      <c r="G634" s="10"/>
      <c r="J634" s="142"/>
      <c r="K634" s="15"/>
      <c r="L634" s="15"/>
      <c r="M634" s="15"/>
      <c r="N634" s="16"/>
      <c r="O634" s="8"/>
      <c r="P634" s="8"/>
      <c r="Q634" s="8"/>
      <c r="R634" s="16"/>
      <c r="S634" s="16"/>
      <c r="T634" s="19"/>
      <c r="U634" s="16"/>
      <c r="V634" s="19"/>
      <c r="W634" s="160"/>
      <c r="X634" s="160"/>
      <c r="Y634" s="160"/>
      <c r="Z634" s="160"/>
      <c r="AA634" s="160"/>
      <c r="AB634" s="10"/>
      <c r="AD634" s="160"/>
    </row>
    <row r="635" spans="4:30" x14ac:dyDescent="0.2">
      <c r="D635" s="8"/>
      <c r="E635" s="6"/>
      <c r="G635" s="10"/>
      <c r="J635" s="142"/>
      <c r="K635" s="15"/>
      <c r="L635" s="15"/>
      <c r="M635" s="15"/>
      <c r="N635" s="16"/>
      <c r="O635" s="8"/>
      <c r="P635" s="8"/>
      <c r="Q635" s="8"/>
      <c r="R635" s="16"/>
      <c r="S635" s="16"/>
      <c r="T635" s="19"/>
      <c r="U635" s="16"/>
      <c r="V635" s="19"/>
      <c r="W635" s="160"/>
      <c r="X635" s="160"/>
      <c r="Y635" s="160"/>
      <c r="Z635" s="160"/>
      <c r="AA635" s="160"/>
      <c r="AB635" s="10"/>
      <c r="AD635" s="160"/>
    </row>
    <row r="636" spans="4:30" x14ac:dyDescent="0.2">
      <c r="D636" s="8"/>
      <c r="E636" s="6"/>
      <c r="G636" s="10"/>
      <c r="J636" s="142"/>
      <c r="K636" s="15"/>
      <c r="L636" s="15"/>
      <c r="M636" s="15"/>
      <c r="N636" s="16"/>
      <c r="O636" s="8"/>
      <c r="P636" s="8"/>
      <c r="Q636" s="8"/>
      <c r="R636" s="16"/>
      <c r="S636" s="16"/>
      <c r="T636" s="19"/>
      <c r="U636" s="16"/>
      <c r="V636" s="19"/>
      <c r="W636" s="160"/>
      <c r="X636" s="160"/>
      <c r="Y636" s="160"/>
      <c r="Z636" s="160"/>
      <c r="AA636" s="160"/>
      <c r="AB636" s="10"/>
      <c r="AD636" s="160"/>
    </row>
    <row r="637" spans="4:30" x14ac:dyDescent="0.2">
      <c r="D637" s="8"/>
      <c r="E637" s="6"/>
      <c r="G637" s="10"/>
      <c r="J637" s="142"/>
      <c r="K637" s="15"/>
      <c r="L637" s="15"/>
      <c r="M637" s="15"/>
      <c r="N637" s="16"/>
      <c r="O637" s="8"/>
      <c r="P637" s="8"/>
      <c r="Q637" s="8"/>
      <c r="R637" s="16"/>
      <c r="S637" s="16"/>
      <c r="T637" s="19"/>
      <c r="U637" s="16"/>
      <c r="V637" s="19"/>
      <c r="W637" s="160"/>
      <c r="X637" s="160"/>
      <c r="Y637" s="160"/>
      <c r="Z637" s="160"/>
      <c r="AA637" s="160"/>
      <c r="AB637" s="10"/>
      <c r="AD637" s="160"/>
    </row>
    <row r="638" spans="4:30" x14ac:dyDescent="0.2">
      <c r="D638" s="8"/>
      <c r="E638" s="6"/>
      <c r="G638" s="10"/>
      <c r="J638" s="142"/>
      <c r="K638" s="15"/>
      <c r="L638" s="15"/>
      <c r="M638" s="15"/>
      <c r="N638" s="16"/>
      <c r="O638" s="8"/>
      <c r="P638" s="8"/>
      <c r="Q638" s="8"/>
      <c r="R638" s="16"/>
      <c r="S638" s="16"/>
      <c r="T638" s="19"/>
      <c r="U638" s="16"/>
      <c r="V638" s="19"/>
      <c r="W638" s="160"/>
      <c r="X638" s="160"/>
      <c r="Y638" s="160"/>
      <c r="Z638" s="160"/>
      <c r="AA638" s="160"/>
      <c r="AB638" s="10"/>
      <c r="AD638" s="160"/>
    </row>
    <row r="639" spans="4:30" x14ac:dyDescent="0.2">
      <c r="D639" s="8"/>
      <c r="E639" s="6"/>
      <c r="G639" s="10"/>
      <c r="J639" s="142"/>
      <c r="K639" s="15"/>
      <c r="L639" s="15"/>
      <c r="M639" s="15"/>
      <c r="N639" s="16"/>
      <c r="O639" s="8"/>
      <c r="P639" s="8"/>
      <c r="Q639" s="8"/>
      <c r="R639" s="16"/>
      <c r="S639" s="16"/>
      <c r="T639" s="19"/>
      <c r="U639" s="16"/>
      <c r="V639" s="19"/>
      <c r="W639" s="160"/>
      <c r="X639" s="160"/>
      <c r="Y639" s="160"/>
      <c r="Z639" s="160"/>
      <c r="AA639" s="160"/>
      <c r="AB639" s="10"/>
      <c r="AD639" s="160"/>
    </row>
    <row r="640" spans="4:30" x14ac:dyDescent="0.2">
      <c r="D640" s="8"/>
      <c r="E640" s="6"/>
      <c r="G640" s="10"/>
      <c r="J640" s="142"/>
      <c r="K640" s="15"/>
      <c r="L640" s="15"/>
      <c r="M640" s="15"/>
      <c r="N640" s="16"/>
      <c r="O640" s="8"/>
      <c r="P640" s="8"/>
      <c r="Q640" s="8"/>
      <c r="R640" s="16"/>
      <c r="S640" s="16"/>
      <c r="T640" s="19"/>
      <c r="U640" s="16"/>
      <c r="V640" s="19"/>
      <c r="W640" s="160"/>
      <c r="X640" s="160"/>
      <c r="Y640" s="160"/>
      <c r="Z640" s="160"/>
      <c r="AA640" s="160"/>
      <c r="AB640" s="10"/>
      <c r="AD640" s="160"/>
    </row>
    <row r="641" spans="4:30" x14ac:dyDescent="0.2">
      <c r="D641" s="8"/>
      <c r="E641" s="6"/>
      <c r="G641" s="10"/>
      <c r="J641" s="142"/>
      <c r="K641" s="15"/>
      <c r="L641" s="15"/>
      <c r="M641" s="15"/>
      <c r="N641" s="16"/>
      <c r="O641" s="8"/>
      <c r="P641" s="8"/>
      <c r="Q641" s="8"/>
      <c r="R641" s="16"/>
      <c r="S641" s="16"/>
      <c r="T641" s="19"/>
      <c r="U641" s="16"/>
      <c r="V641" s="19"/>
      <c r="W641" s="160"/>
      <c r="X641" s="160"/>
      <c r="Y641" s="160"/>
      <c r="Z641" s="160"/>
      <c r="AA641" s="160"/>
      <c r="AB641" s="10"/>
      <c r="AD641" s="160"/>
    </row>
    <row r="642" spans="4:30" x14ac:dyDescent="0.2">
      <c r="D642" s="8"/>
      <c r="E642" s="6"/>
      <c r="G642" s="10"/>
      <c r="J642" s="142"/>
      <c r="K642" s="15"/>
      <c r="L642" s="15"/>
      <c r="M642" s="15"/>
      <c r="N642" s="16"/>
      <c r="O642" s="8"/>
      <c r="P642" s="8"/>
      <c r="Q642" s="8"/>
      <c r="R642" s="16"/>
      <c r="S642" s="16"/>
      <c r="T642" s="19"/>
      <c r="U642" s="16"/>
      <c r="V642" s="19"/>
      <c r="W642" s="160"/>
      <c r="X642" s="160"/>
      <c r="Y642" s="160"/>
      <c r="Z642" s="160"/>
      <c r="AA642" s="160"/>
      <c r="AB642" s="10"/>
      <c r="AD642" s="160"/>
    </row>
    <row r="643" spans="4:30" x14ac:dyDescent="0.2">
      <c r="D643" s="8"/>
      <c r="E643" s="6"/>
      <c r="G643" s="10"/>
      <c r="J643" s="142"/>
      <c r="K643" s="15"/>
      <c r="L643" s="15"/>
      <c r="M643" s="15"/>
      <c r="N643" s="16"/>
      <c r="O643" s="8"/>
      <c r="P643" s="8"/>
      <c r="Q643" s="8"/>
      <c r="R643" s="16"/>
      <c r="S643" s="16"/>
      <c r="T643" s="19"/>
      <c r="U643" s="16"/>
      <c r="V643" s="19"/>
      <c r="W643" s="160"/>
      <c r="X643" s="160"/>
      <c r="Y643" s="160"/>
      <c r="Z643" s="160"/>
      <c r="AA643" s="160"/>
      <c r="AB643" s="10"/>
      <c r="AD643" s="160"/>
    </row>
    <row r="644" spans="4:30" x14ac:dyDescent="0.2">
      <c r="D644" s="8"/>
      <c r="E644" s="6"/>
      <c r="G644" s="10"/>
      <c r="J644" s="142"/>
      <c r="K644" s="15"/>
      <c r="L644" s="15"/>
      <c r="M644" s="15"/>
      <c r="N644" s="16"/>
      <c r="O644" s="8"/>
      <c r="P644" s="8"/>
      <c r="Q644" s="8"/>
      <c r="R644" s="16"/>
      <c r="S644" s="16"/>
      <c r="T644" s="19"/>
      <c r="U644" s="16"/>
      <c r="V644" s="19"/>
      <c r="W644" s="160"/>
      <c r="X644" s="160"/>
      <c r="Y644" s="160"/>
      <c r="Z644" s="160"/>
      <c r="AA644" s="160"/>
      <c r="AB644" s="10"/>
      <c r="AD644" s="160"/>
    </row>
    <row r="645" spans="4:30" x14ac:dyDescent="0.2">
      <c r="D645" s="8"/>
      <c r="E645" s="6"/>
      <c r="G645" s="10"/>
      <c r="J645" s="142"/>
      <c r="K645" s="15"/>
      <c r="L645" s="15"/>
      <c r="M645" s="15"/>
      <c r="N645" s="16"/>
      <c r="O645" s="8"/>
      <c r="P645" s="8"/>
      <c r="Q645" s="8"/>
      <c r="R645" s="16"/>
      <c r="S645" s="16"/>
      <c r="T645" s="19"/>
      <c r="U645" s="16"/>
      <c r="V645" s="19"/>
      <c r="W645" s="160"/>
      <c r="X645" s="160"/>
      <c r="Y645" s="160"/>
      <c r="Z645" s="160"/>
      <c r="AA645" s="160"/>
      <c r="AB645" s="10"/>
      <c r="AD645" s="160"/>
    </row>
    <row r="646" spans="4:30" x14ac:dyDescent="0.2">
      <c r="D646" s="8"/>
      <c r="E646" s="6"/>
      <c r="G646" s="10"/>
      <c r="J646" s="142"/>
      <c r="K646" s="15"/>
      <c r="L646" s="15"/>
      <c r="M646" s="15"/>
      <c r="N646" s="16"/>
      <c r="O646" s="8"/>
      <c r="P646" s="8"/>
      <c r="Q646" s="8"/>
      <c r="R646" s="16"/>
      <c r="S646" s="16"/>
      <c r="T646" s="19"/>
      <c r="U646" s="16"/>
      <c r="V646" s="19"/>
      <c r="W646" s="160"/>
      <c r="X646" s="160"/>
      <c r="Y646" s="160"/>
      <c r="Z646" s="160"/>
      <c r="AA646" s="160"/>
      <c r="AB646" s="10"/>
      <c r="AD646" s="160"/>
    </row>
    <row r="647" spans="4:30" x14ac:dyDescent="0.2">
      <c r="D647" s="8"/>
      <c r="E647" s="6"/>
      <c r="G647" s="10"/>
      <c r="J647" s="142"/>
      <c r="K647" s="15"/>
      <c r="L647" s="15"/>
      <c r="M647" s="15"/>
      <c r="N647" s="16"/>
      <c r="O647" s="8"/>
      <c r="P647" s="8"/>
      <c r="Q647" s="8"/>
      <c r="R647" s="16"/>
      <c r="S647" s="16"/>
      <c r="T647" s="19"/>
      <c r="U647" s="16"/>
      <c r="V647" s="19"/>
      <c r="W647" s="160"/>
      <c r="X647" s="160"/>
      <c r="Y647" s="160"/>
      <c r="Z647" s="160"/>
      <c r="AA647" s="160"/>
      <c r="AB647" s="10"/>
      <c r="AD647" s="160"/>
    </row>
    <row r="648" spans="4:30" x14ac:dyDescent="0.2">
      <c r="D648" s="8"/>
      <c r="E648" s="6"/>
      <c r="G648" s="10"/>
      <c r="J648" s="142"/>
      <c r="K648" s="15"/>
      <c r="L648" s="15"/>
      <c r="M648" s="15"/>
      <c r="N648" s="16"/>
      <c r="O648" s="8"/>
      <c r="P648" s="8"/>
      <c r="Q648" s="8"/>
      <c r="R648" s="16"/>
      <c r="S648" s="16"/>
      <c r="T648" s="19"/>
      <c r="U648" s="16"/>
      <c r="V648" s="19"/>
      <c r="W648" s="160"/>
      <c r="X648" s="160"/>
      <c r="Y648" s="160"/>
      <c r="Z648" s="160"/>
      <c r="AA648" s="160"/>
      <c r="AB648" s="10"/>
      <c r="AD648" s="160"/>
    </row>
    <row r="649" spans="4:30" x14ac:dyDescent="0.2">
      <c r="D649" s="8"/>
      <c r="E649" s="6"/>
      <c r="G649" s="10"/>
      <c r="J649" s="142"/>
      <c r="K649" s="15"/>
      <c r="L649" s="15"/>
      <c r="M649" s="15"/>
      <c r="N649" s="16"/>
      <c r="O649" s="8"/>
      <c r="P649" s="8"/>
      <c r="Q649" s="8"/>
      <c r="R649" s="16"/>
      <c r="S649" s="16"/>
      <c r="T649" s="19"/>
      <c r="U649" s="16"/>
      <c r="V649" s="19"/>
      <c r="W649" s="160"/>
      <c r="X649" s="160"/>
      <c r="Y649" s="160"/>
      <c r="Z649" s="160"/>
      <c r="AA649" s="160"/>
      <c r="AB649" s="10"/>
      <c r="AD649" s="160"/>
    </row>
    <row r="650" spans="4:30" x14ac:dyDescent="0.2">
      <c r="D650" s="8"/>
      <c r="E650" s="6"/>
      <c r="G650" s="10"/>
      <c r="J650" s="142"/>
      <c r="K650" s="15"/>
      <c r="L650" s="15"/>
      <c r="M650" s="15"/>
      <c r="N650" s="16"/>
      <c r="O650" s="8"/>
      <c r="P650" s="8"/>
      <c r="Q650" s="8"/>
      <c r="R650" s="16"/>
      <c r="S650" s="16"/>
      <c r="T650" s="19"/>
      <c r="U650" s="16"/>
      <c r="V650" s="19"/>
      <c r="W650" s="160"/>
      <c r="X650" s="160"/>
      <c r="Y650" s="160"/>
      <c r="Z650" s="160"/>
      <c r="AA650" s="160"/>
      <c r="AB650" s="10"/>
      <c r="AD650" s="160"/>
    </row>
    <row r="651" spans="4:30" x14ac:dyDescent="0.2">
      <c r="D651" s="8"/>
      <c r="E651" s="6"/>
      <c r="G651" s="10"/>
      <c r="J651" s="142"/>
      <c r="K651" s="15"/>
      <c r="L651" s="15"/>
      <c r="M651" s="15"/>
      <c r="N651" s="16"/>
      <c r="O651" s="8"/>
      <c r="P651" s="8"/>
      <c r="Q651" s="8"/>
      <c r="R651" s="16"/>
      <c r="S651" s="16"/>
      <c r="T651" s="19"/>
      <c r="U651" s="16"/>
      <c r="V651" s="19"/>
      <c r="W651" s="160"/>
      <c r="X651" s="160"/>
      <c r="Y651" s="160"/>
      <c r="Z651" s="160"/>
      <c r="AA651" s="160"/>
      <c r="AB651" s="10"/>
      <c r="AD651" s="160"/>
    </row>
    <row r="652" spans="4:30" x14ac:dyDescent="0.2">
      <c r="D652" s="8"/>
      <c r="E652" s="6"/>
      <c r="G652" s="10"/>
      <c r="J652" s="142"/>
      <c r="K652" s="15"/>
      <c r="L652" s="15"/>
      <c r="M652" s="15"/>
      <c r="N652" s="16"/>
      <c r="O652" s="8"/>
      <c r="P652" s="8"/>
      <c r="Q652" s="8"/>
      <c r="R652" s="16"/>
      <c r="S652" s="16"/>
      <c r="T652" s="19"/>
      <c r="U652" s="16"/>
      <c r="V652" s="19"/>
      <c r="W652" s="160"/>
      <c r="X652" s="160"/>
      <c r="Y652" s="160"/>
      <c r="Z652" s="160"/>
      <c r="AA652" s="160"/>
      <c r="AB652" s="10"/>
      <c r="AD652" s="160"/>
    </row>
    <row r="653" spans="4:30" x14ac:dyDescent="0.2">
      <c r="D653" s="8"/>
      <c r="E653" s="6"/>
      <c r="G653" s="10"/>
      <c r="J653" s="142"/>
      <c r="K653" s="15"/>
      <c r="L653" s="15"/>
      <c r="M653" s="15"/>
      <c r="N653" s="16"/>
      <c r="O653" s="8"/>
      <c r="P653" s="8"/>
      <c r="Q653" s="8"/>
      <c r="R653" s="16"/>
      <c r="S653" s="16"/>
      <c r="T653" s="19"/>
      <c r="U653" s="16"/>
      <c r="V653" s="19"/>
      <c r="W653" s="160"/>
      <c r="X653" s="160"/>
      <c r="Y653" s="160"/>
      <c r="Z653" s="160"/>
      <c r="AA653" s="160"/>
      <c r="AB653" s="10"/>
      <c r="AD653" s="160"/>
    </row>
    <row r="654" spans="4:30" x14ac:dyDescent="0.2">
      <c r="D654" s="8"/>
      <c r="E654" s="6"/>
      <c r="G654" s="10"/>
      <c r="J654" s="142"/>
      <c r="K654" s="15"/>
      <c r="L654" s="15"/>
      <c r="M654" s="15"/>
      <c r="N654" s="16"/>
      <c r="O654" s="8"/>
      <c r="P654" s="8"/>
      <c r="Q654" s="8"/>
      <c r="R654" s="16"/>
      <c r="S654" s="16"/>
      <c r="T654" s="19"/>
      <c r="U654" s="16"/>
      <c r="V654" s="19"/>
      <c r="W654" s="160"/>
      <c r="X654" s="160"/>
      <c r="Y654" s="160"/>
      <c r="Z654" s="160"/>
      <c r="AA654" s="160"/>
      <c r="AB654" s="10"/>
      <c r="AD654" s="160"/>
    </row>
    <row r="655" spans="4:30" x14ac:dyDescent="0.2">
      <c r="D655" s="8"/>
      <c r="E655" s="6"/>
      <c r="G655" s="10"/>
      <c r="J655" s="142"/>
      <c r="K655" s="15"/>
      <c r="L655" s="15"/>
      <c r="M655" s="15"/>
      <c r="N655" s="16"/>
      <c r="O655" s="8"/>
      <c r="P655" s="8"/>
      <c r="Q655" s="8"/>
      <c r="R655" s="16"/>
      <c r="S655" s="16"/>
      <c r="T655" s="19"/>
      <c r="U655" s="16"/>
      <c r="V655" s="19"/>
      <c r="W655" s="160"/>
      <c r="X655" s="160"/>
      <c r="Y655" s="160"/>
      <c r="Z655" s="160"/>
      <c r="AA655" s="160"/>
      <c r="AB655" s="10"/>
      <c r="AD655" s="160"/>
    </row>
    <row r="656" spans="4:30" x14ac:dyDescent="0.2">
      <c r="D656" s="8"/>
      <c r="E656" s="6"/>
      <c r="G656" s="10"/>
      <c r="J656" s="142"/>
      <c r="K656" s="15"/>
      <c r="L656" s="15"/>
      <c r="M656" s="15"/>
      <c r="N656" s="16"/>
      <c r="O656" s="8"/>
      <c r="P656" s="8"/>
      <c r="Q656" s="8"/>
      <c r="R656" s="16"/>
      <c r="S656" s="16"/>
      <c r="T656" s="19"/>
      <c r="U656" s="16"/>
      <c r="V656" s="19"/>
      <c r="W656" s="160"/>
      <c r="X656" s="160"/>
      <c r="Y656" s="160"/>
      <c r="Z656" s="160"/>
      <c r="AA656" s="160"/>
      <c r="AB656" s="10"/>
      <c r="AD656" s="160"/>
    </row>
    <row r="657" spans="4:30" x14ac:dyDescent="0.2">
      <c r="D657" s="8"/>
      <c r="E657" s="6"/>
      <c r="G657" s="10"/>
      <c r="J657" s="142"/>
      <c r="K657" s="15"/>
      <c r="L657" s="15"/>
      <c r="M657" s="15"/>
      <c r="N657" s="16"/>
      <c r="O657" s="8"/>
      <c r="P657" s="8"/>
      <c r="Q657" s="8"/>
      <c r="R657" s="16"/>
      <c r="S657" s="16"/>
      <c r="T657" s="19"/>
      <c r="U657" s="16"/>
      <c r="V657" s="19"/>
      <c r="W657" s="160"/>
      <c r="X657" s="160"/>
      <c r="Y657" s="160"/>
      <c r="Z657" s="160"/>
      <c r="AA657" s="160"/>
      <c r="AB657" s="10"/>
      <c r="AD657" s="160"/>
    </row>
    <row r="658" spans="4:30" x14ac:dyDescent="0.2">
      <c r="D658" s="8"/>
      <c r="E658" s="6"/>
      <c r="G658" s="10"/>
      <c r="J658" s="142"/>
      <c r="K658" s="15"/>
      <c r="L658" s="15"/>
      <c r="M658" s="15"/>
      <c r="N658" s="16"/>
      <c r="O658" s="8"/>
      <c r="P658" s="8"/>
      <c r="Q658" s="8"/>
      <c r="R658" s="16"/>
      <c r="S658" s="16"/>
      <c r="T658" s="19"/>
      <c r="U658" s="16"/>
      <c r="V658" s="19"/>
      <c r="W658" s="160"/>
      <c r="X658" s="160"/>
      <c r="Y658" s="160"/>
      <c r="Z658" s="160"/>
      <c r="AA658" s="160"/>
      <c r="AB658" s="10"/>
      <c r="AD658" s="160"/>
    </row>
    <row r="659" spans="4:30" x14ac:dyDescent="0.2">
      <c r="D659" s="8"/>
      <c r="E659" s="6"/>
      <c r="G659" s="10"/>
      <c r="J659" s="142"/>
      <c r="K659" s="15"/>
      <c r="L659" s="15"/>
      <c r="M659" s="15"/>
      <c r="N659" s="16"/>
      <c r="O659" s="8"/>
      <c r="P659" s="8"/>
      <c r="Q659" s="8"/>
      <c r="R659" s="16"/>
      <c r="S659" s="16"/>
      <c r="T659" s="19"/>
      <c r="U659" s="16"/>
      <c r="V659" s="19"/>
      <c r="W659" s="160"/>
      <c r="X659" s="160"/>
      <c r="Y659" s="160"/>
      <c r="Z659" s="160"/>
      <c r="AA659" s="160"/>
      <c r="AB659" s="10"/>
      <c r="AD659" s="160"/>
    </row>
    <row r="660" spans="4:30" x14ac:dyDescent="0.2">
      <c r="D660" s="8"/>
      <c r="E660" s="6"/>
      <c r="G660" s="10"/>
      <c r="J660" s="142"/>
      <c r="K660" s="15"/>
      <c r="L660" s="15"/>
      <c r="M660" s="15"/>
      <c r="N660" s="16"/>
      <c r="O660" s="8"/>
      <c r="P660" s="8"/>
      <c r="Q660" s="8"/>
      <c r="R660" s="16"/>
      <c r="S660" s="16"/>
      <c r="T660" s="19"/>
      <c r="U660" s="16"/>
      <c r="V660" s="19"/>
      <c r="W660" s="160"/>
      <c r="X660" s="160"/>
      <c r="Y660" s="160"/>
      <c r="Z660" s="160"/>
      <c r="AA660" s="160"/>
      <c r="AB660" s="10"/>
      <c r="AD660" s="160"/>
    </row>
    <row r="661" spans="4:30" x14ac:dyDescent="0.2">
      <c r="D661" s="8"/>
      <c r="E661" s="6"/>
      <c r="G661" s="10"/>
      <c r="J661" s="142"/>
      <c r="K661" s="15"/>
      <c r="L661" s="15"/>
      <c r="M661" s="15"/>
      <c r="N661" s="16"/>
      <c r="O661" s="8"/>
      <c r="P661" s="8"/>
      <c r="Q661" s="8"/>
      <c r="R661" s="16"/>
      <c r="S661" s="16"/>
      <c r="T661" s="19"/>
      <c r="U661" s="16"/>
      <c r="V661" s="19"/>
      <c r="W661" s="160"/>
      <c r="X661" s="160"/>
      <c r="Y661" s="160"/>
      <c r="Z661" s="160"/>
      <c r="AA661" s="160"/>
      <c r="AB661" s="10"/>
      <c r="AD661" s="160"/>
    </row>
    <row r="662" spans="4:30" x14ac:dyDescent="0.2">
      <c r="D662" s="8"/>
      <c r="E662" s="6"/>
      <c r="G662" s="10"/>
      <c r="J662" s="142"/>
      <c r="K662" s="15"/>
      <c r="L662" s="15"/>
      <c r="M662" s="15"/>
      <c r="N662" s="16"/>
      <c r="O662" s="8"/>
      <c r="P662" s="8"/>
      <c r="Q662" s="8"/>
      <c r="R662" s="16"/>
      <c r="S662" s="16"/>
      <c r="T662" s="19"/>
      <c r="U662" s="16"/>
      <c r="V662" s="19"/>
      <c r="W662" s="160"/>
      <c r="X662" s="160"/>
      <c r="Y662" s="160"/>
      <c r="Z662" s="160"/>
      <c r="AA662" s="160"/>
      <c r="AB662" s="10"/>
      <c r="AD662" s="160"/>
    </row>
    <row r="663" spans="4:30" x14ac:dyDescent="0.2">
      <c r="D663" s="8"/>
      <c r="E663" s="6"/>
      <c r="G663" s="10"/>
      <c r="J663" s="142"/>
      <c r="K663" s="15"/>
      <c r="L663" s="15"/>
      <c r="M663" s="15"/>
      <c r="N663" s="16"/>
      <c r="O663" s="8"/>
      <c r="P663" s="8"/>
      <c r="Q663" s="8"/>
      <c r="R663" s="16"/>
      <c r="S663" s="16"/>
      <c r="T663" s="19"/>
      <c r="U663" s="16"/>
      <c r="V663" s="19"/>
      <c r="W663" s="160"/>
      <c r="X663" s="160"/>
      <c r="Y663" s="160"/>
      <c r="Z663" s="160"/>
      <c r="AA663" s="160"/>
      <c r="AB663" s="10"/>
      <c r="AD663" s="160"/>
    </row>
    <row r="664" spans="4:30" x14ac:dyDescent="0.2">
      <c r="D664" s="8"/>
      <c r="E664" s="6"/>
      <c r="G664" s="10"/>
      <c r="J664" s="142"/>
      <c r="K664" s="15"/>
      <c r="L664" s="15"/>
      <c r="M664" s="15"/>
      <c r="N664" s="16"/>
      <c r="O664" s="8"/>
      <c r="P664" s="8"/>
      <c r="Q664" s="8"/>
      <c r="R664" s="16"/>
      <c r="S664" s="16"/>
      <c r="T664" s="19"/>
      <c r="U664" s="16"/>
      <c r="V664" s="19"/>
      <c r="W664" s="160"/>
      <c r="X664" s="160"/>
      <c r="Y664" s="160"/>
      <c r="Z664" s="160"/>
      <c r="AA664" s="160"/>
      <c r="AB664" s="10"/>
      <c r="AD664" s="160"/>
    </row>
    <row r="665" spans="4:30" x14ac:dyDescent="0.2">
      <c r="D665" s="8"/>
      <c r="E665" s="6"/>
      <c r="G665" s="10"/>
      <c r="J665" s="142"/>
      <c r="K665" s="15"/>
      <c r="L665" s="15"/>
      <c r="M665" s="15"/>
      <c r="N665" s="16"/>
      <c r="O665" s="8"/>
      <c r="P665" s="8"/>
      <c r="Q665" s="8"/>
      <c r="R665" s="16"/>
      <c r="S665" s="16"/>
      <c r="T665" s="19"/>
      <c r="U665" s="16"/>
      <c r="V665" s="19"/>
      <c r="W665" s="160"/>
      <c r="X665" s="160"/>
      <c r="Y665" s="160"/>
      <c r="Z665" s="160"/>
      <c r="AA665" s="160"/>
      <c r="AB665" s="10"/>
      <c r="AD665" s="160"/>
    </row>
    <row r="666" spans="4:30" x14ac:dyDescent="0.2">
      <c r="D666" s="8"/>
      <c r="E666" s="6"/>
      <c r="G666" s="10"/>
      <c r="J666" s="142"/>
      <c r="K666" s="15"/>
      <c r="L666" s="15"/>
      <c r="M666" s="15"/>
      <c r="N666" s="16"/>
      <c r="O666" s="8"/>
      <c r="P666" s="8"/>
      <c r="Q666" s="8"/>
      <c r="R666" s="16"/>
      <c r="S666" s="16"/>
      <c r="T666" s="19"/>
      <c r="U666" s="16"/>
      <c r="V666" s="19"/>
      <c r="W666" s="160"/>
      <c r="X666" s="160"/>
      <c r="Y666" s="160"/>
      <c r="Z666" s="160"/>
      <c r="AA666" s="160"/>
      <c r="AB666" s="10"/>
      <c r="AD666" s="160"/>
    </row>
    <row r="667" spans="4:30" x14ac:dyDescent="0.2">
      <c r="D667" s="8"/>
      <c r="E667" s="6"/>
      <c r="G667" s="10"/>
      <c r="J667" s="142"/>
      <c r="K667" s="15"/>
      <c r="L667" s="15"/>
      <c r="M667" s="15"/>
      <c r="N667" s="16"/>
      <c r="O667" s="8"/>
      <c r="P667" s="8"/>
      <c r="Q667" s="8"/>
      <c r="R667" s="16"/>
      <c r="S667" s="16"/>
      <c r="T667" s="19"/>
      <c r="U667" s="16"/>
      <c r="V667" s="19"/>
      <c r="W667" s="160"/>
      <c r="X667" s="160"/>
      <c r="Y667" s="160"/>
      <c r="Z667" s="160"/>
      <c r="AA667" s="160"/>
      <c r="AB667" s="10"/>
      <c r="AD667" s="160"/>
    </row>
    <row r="668" spans="4:30" x14ac:dyDescent="0.2">
      <c r="D668" s="8"/>
      <c r="E668" s="6"/>
      <c r="G668" s="10"/>
      <c r="J668" s="142"/>
      <c r="K668" s="15"/>
      <c r="L668" s="15"/>
      <c r="M668" s="15"/>
      <c r="N668" s="16"/>
      <c r="O668" s="8"/>
      <c r="P668" s="8"/>
      <c r="Q668" s="8"/>
      <c r="R668" s="16"/>
      <c r="S668" s="16"/>
      <c r="T668" s="19"/>
      <c r="U668" s="16"/>
      <c r="V668" s="19"/>
      <c r="W668" s="160"/>
      <c r="X668" s="160"/>
      <c r="Y668" s="160"/>
      <c r="Z668" s="160"/>
      <c r="AA668" s="160"/>
      <c r="AB668" s="10"/>
      <c r="AD668" s="160"/>
    </row>
    <row r="669" spans="4:30" x14ac:dyDescent="0.2">
      <c r="D669" s="8"/>
      <c r="E669" s="6"/>
      <c r="G669" s="10"/>
      <c r="J669" s="142"/>
      <c r="K669" s="15"/>
      <c r="L669" s="15"/>
      <c r="M669" s="15"/>
      <c r="N669" s="16"/>
      <c r="O669" s="8"/>
      <c r="P669" s="8"/>
      <c r="Q669" s="8"/>
      <c r="R669" s="16"/>
      <c r="S669" s="16"/>
      <c r="T669" s="19"/>
      <c r="U669" s="16"/>
      <c r="V669" s="19"/>
      <c r="W669" s="160"/>
      <c r="X669" s="160"/>
      <c r="Y669" s="160"/>
      <c r="Z669" s="160"/>
      <c r="AA669" s="160"/>
      <c r="AB669" s="10"/>
      <c r="AD669" s="160"/>
    </row>
    <row r="670" spans="4:30" x14ac:dyDescent="0.2">
      <c r="D670" s="8"/>
      <c r="E670" s="6"/>
      <c r="G670" s="10"/>
      <c r="J670" s="142"/>
      <c r="K670" s="15"/>
      <c r="L670" s="15"/>
      <c r="M670" s="15"/>
      <c r="N670" s="16"/>
      <c r="O670" s="8"/>
      <c r="P670" s="8"/>
      <c r="Q670" s="8"/>
      <c r="R670" s="16"/>
      <c r="S670" s="16"/>
      <c r="T670" s="19"/>
      <c r="U670" s="16"/>
      <c r="V670" s="19"/>
      <c r="W670" s="160"/>
      <c r="X670" s="160"/>
      <c r="Y670" s="160"/>
      <c r="Z670" s="160"/>
      <c r="AA670" s="160"/>
      <c r="AB670" s="10"/>
      <c r="AD670" s="160"/>
    </row>
    <row r="671" spans="4:30" x14ac:dyDescent="0.2">
      <c r="D671" s="8"/>
      <c r="E671" s="6"/>
      <c r="G671" s="10"/>
      <c r="J671" s="142"/>
      <c r="K671" s="15"/>
      <c r="L671" s="15"/>
      <c r="M671" s="15"/>
      <c r="N671" s="16"/>
      <c r="O671" s="8"/>
      <c r="P671" s="8"/>
      <c r="Q671" s="8"/>
      <c r="R671" s="16"/>
      <c r="S671" s="16"/>
      <c r="T671" s="19"/>
      <c r="U671" s="16"/>
      <c r="V671" s="19"/>
      <c r="W671" s="160"/>
      <c r="X671" s="160"/>
      <c r="Y671" s="160"/>
      <c r="Z671" s="160"/>
      <c r="AA671" s="160"/>
      <c r="AB671" s="10"/>
      <c r="AD671" s="160"/>
    </row>
    <row r="672" spans="4:30" x14ac:dyDescent="0.2">
      <c r="D672" s="8"/>
      <c r="E672" s="6"/>
      <c r="G672" s="10"/>
      <c r="J672" s="142"/>
      <c r="K672" s="15"/>
      <c r="L672" s="15"/>
      <c r="M672" s="15"/>
      <c r="N672" s="16"/>
      <c r="O672" s="8"/>
      <c r="P672" s="8"/>
      <c r="Q672" s="8"/>
      <c r="R672" s="16"/>
      <c r="S672" s="16"/>
      <c r="T672" s="19"/>
      <c r="U672" s="16"/>
      <c r="V672" s="19"/>
      <c r="W672" s="160"/>
      <c r="X672" s="160"/>
      <c r="Y672" s="160"/>
      <c r="Z672" s="160"/>
      <c r="AA672" s="160"/>
      <c r="AB672" s="10"/>
      <c r="AD672" s="160"/>
    </row>
    <row r="673" spans="4:30" x14ac:dyDescent="0.2">
      <c r="D673" s="8"/>
      <c r="E673" s="6"/>
      <c r="G673" s="10"/>
      <c r="J673" s="142"/>
      <c r="K673" s="15"/>
      <c r="L673" s="15"/>
      <c r="M673" s="15"/>
      <c r="N673" s="16"/>
      <c r="O673" s="8"/>
      <c r="P673" s="8"/>
      <c r="Q673" s="8"/>
      <c r="R673" s="16"/>
      <c r="S673" s="16"/>
      <c r="T673" s="19"/>
      <c r="U673" s="16"/>
      <c r="V673" s="19"/>
      <c r="W673" s="160"/>
      <c r="X673" s="160"/>
      <c r="Y673" s="160"/>
      <c r="Z673" s="160"/>
      <c r="AA673" s="160"/>
      <c r="AB673" s="10"/>
      <c r="AD673" s="160"/>
    </row>
    <row r="674" spans="4:30" x14ac:dyDescent="0.2">
      <c r="D674" s="8"/>
      <c r="E674" s="6"/>
      <c r="G674" s="10"/>
      <c r="J674" s="142"/>
      <c r="K674" s="15"/>
      <c r="L674" s="15"/>
      <c r="M674" s="15"/>
      <c r="N674" s="16"/>
      <c r="O674" s="8"/>
      <c r="P674" s="8"/>
      <c r="Q674" s="8"/>
      <c r="R674" s="16"/>
      <c r="S674" s="16"/>
      <c r="T674" s="19"/>
      <c r="U674" s="16"/>
      <c r="V674" s="19"/>
      <c r="W674" s="160"/>
      <c r="X674" s="160"/>
      <c r="Y674" s="160"/>
      <c r="Z674" s="160"/>
      <c r="AA674" s="160"/>
      <c r="AB674" s="10"/>
      <c r="AD674" s="160"/>
    </row>
    <row r="675" spans="4:30" x14ac:dyDescent="0.2">
      <c r="D675" s="8"/>
      <c r="E675" s="6"/>
      <c r="G675" s="10"/>
      <c r="J675" s="142"/>
      <c r="K675" s="15"/>
      <c r="L675" s="15"/>
      <c r="M675" s="15"/>
      <c r="N675" s="16"/>
      <c r="O675" s="8"/>
      <c r="P675" s="8"/>
      <c r="Q675" s="8"/>
      <c r="R675" s="16"/>
      <c r="S675" s="16"/>
      <c r="T675" s="19"/>
      <c r="U675" s="16"/>
      <c r="V675" s="19"/>
      <c r="W675" s="160"/>
      <c r="X675" s="160"/>
      <c r="Y675" s="160"/>
      <c r="Z675" s="160"/>
      <c r="AA675" s="160"/>
      <c r="AB675" s="10"/>
      <c r="AD675" s="160"/>
    </row>
    <row r="676" spans="4:30" x14ac:dyDescent="0.2">
      <c r="D676" s="8"/>
      <c r="E676" s="6"/>
      <c r="G676" s="10"/>
      <c r="J676" s="142"/>
      <c r="K676" s="15"/>
      <c r="L676" s="15"/>
      <c r="M676" s="15"/>
      <c r="N676" s="16"/>
      <c r="O676" s="8"/>
      <c r="P676" s="8"/>
      <c r="Q676" s="8"/>
      <c r="R676" s="16"/>
      <c r="S676" s="16"/>
      <c r="T676" s="19"/>
      <c r="U676" s="16"/>
      <c r="V676" s="19"/>
      <c r="W676" s="160"/>
      <c r="X676" s="160"/>
      <c r="Y676" s="160"/>
      <c r="Z676" s="160"/>
      <c r="AA676" s="160"/>
      <c r="AB676" s="10"/>
      <c r="AD676" s="160"/>
    </row>
    <row r="677" spans="4:30" x14ac:dyDescent="0.2">
      <c r="D677" s="8"/>
      <c r="E677" s="6"/>
      <c r="G677" s="10"/>
      <c r="J677" s="142"/>
      <c r="K677" s="15"/>
      <c r="L677" s="15"/>
      <c r="M677" s="15"/>
      <c r="N677" s="16"/>
      <c r="O677" s="8"/>
      <c r="P677" s="8"/>
      <c r="Q677" s="8"/>
      <c r="R677" s="16"/>
      <c r="S677" s="16"/>
      <c r="T677" s="19"/>
      <c r="U677" s="16"/>
      <c r="V677" s="19"/>
      <c r="W677" s="160"/>
      <c r="X677" s="160"/>
      <c r="Y677" s="160"/>
      <c r="Z677" s="160"/>
      <c r="AA677" s="160"/>
      <c r="AB677" s="10"/>
      <c r="AD677" s="160"/>
    </row>
    <row r="678" spans="4:30" x14ac:dyDescent="0.2">
      <c r="D678" s="8"/>
      <c r="E678" s="6"/>
      <c r="G678" s="10"/>
      <c r="J678" s="142"/>
      <c r="K678" s="15"/>
      <c r="L678" s="15"/>
      <c r="M678" s="15"/>
      <c r="N678" s="16"/>
      <c r="O678" s="8"/>
      <c r="P678" s="8"/>
      <c r="Q678" s="8"/>
      <c r="R678" s="16"/>
      <c r="S678" s="16"/>
      <c r="T678" s="19"/>
      <c r="U678" s="16"/>
      <c r="V678" s="19"/>
      <c r="W678" s="160"/>
      <c r="X678" s="160"/>
      <c r="Y678" s="160"/>
      <c r="Z678" s="160"/>
      <c r="AA678" s="160"/>
      <c r="AB678" s="10"/>
      <c r="AD678" s="160"/>
    </row>
    <row r="679" spans="4:30" x14ac:dyDescent="0.2">
      <c r="D679" s="8"/>
      <c r="E679" s="6"/>
      <c r="G679" s="10"/>
      <c r="J679" s="142"/>
      <c r="K679" s="15"/>
      <c r="L679" s="15"/>
      <c r="M679" s="15"/>
      <c r="N679" s="16"/>
      <c r="O679" s="8"/>
      <c r="P679" s="8"/>
      <c r="Q679" s="8"/>
      <c r="R679" s="16"/>
      <c r="S679" s="16"/>
      <c r="T679" s="19"/>
      <c r="U679" s="16"/>
      <c r="V679" s="19"/>
      <c r="W679" s="160"/>
      <c r="X679" s="160"/>
      <c r="Y679" s="160"/>
      <c r="Z679" s="160"/>
      <c r="AA679" s="160"/>
      <c r="AB679" s="10"/>
      <c r="AD679" s="160"/>
    </row>
    <row r="680" spans="4:30" x14ac:dyDescent="0.2">
      <c r="D680" s="8"/>
      <c r="E680" s="6"/>
      <c r="G680" s="10"/>
      <c r="J680" s="142"/>
      <c r="K680" s="15"/>
      <c r="L680" s="15"/>
      <c r="M680" s="15"/>
      <c r="N680" s="16"/>
      <c r="O680" s="8"/>
      <c r="P680" s="8"/>
      <c r="Q680" s="8"/>
      <c r="R680" s="16"/>
      <c r="S680" s="16"/>
      <c r="T680" s="19"/>
      <c r="U680" s="16"/>
      <c r="V680" s="19"/>
      <c r="W680" s="160"/>
      <c r="X680" s="160"/>
      <c r="Y680" s="160"/>
      <c r="Z680" s="160"/>
      <c r="AA680" s="160"/>
      <c r="AB680" s="10"/>
      <c r="AD680" s="160"/>
    </row>
    <row r="681" spans="4:30" x14ac:dyDescent="0.2">
      <c r="D681" s="8"/>
      <c r="E681" s="6"/>
      <c r="G681" s="10"/>
      <c r="J681" s="142"/>
      <c r="K681" s="15"/>
      <c r="L681" s="15"/>
      <c r="M681" s="15"/>
      <c r="N681" s="16"/>
      <c r="O681" s="8"/>
      <c r="P681" s="8"/>
      <c r="Q681" s="8"/>
      <c r="R681" s="16"/>
      <c r="S681" s="16"/>
      <c r="T681" s="19"/>
      <c r="U681" s="16"/>
      <c r="V681" s="19"/>
      <c r="W681" s="160"/>
      <c r="X681" s="160"/>
      <c r="Y681" s="160"/>
      <c r="Z681" s="160"/>
      <c r="AA681" s="160"/>
      <c r="AB681" s="10"/>
      <c r="AD681" s="160"/>
    </row>
    <row r="682" spans="4:30" x14ac:dyDescent="0.2">
      <c r="D682" s="8"/>
      <c r="E682" s="6"/>
      <c r="G682" s="10"/>
      <c r="J682" s="142"/>
      <c r="K682" s="15"/>
      <c r="L682" s="15"/>
      <c r="M682" s="15"/>
      <c r="N682" s="16"/>
      <c r="O682" s="8"/>
      <c r="P682" s="8"/>
      <c r="Q682" s="8"/>
      <c r="R682" s="16"/>
      <c r="S682" s="16"/>
      <c r="T682" s="19"/>
      <c r="U682" s="16"/>
      <c r="V682" s="19"/>
      <c r="W682" s="160"/>
      <c r="X682" s="160"/>
      <c r="Y682" s="160"/>
      <c r="Z682" s="160"/>
      <c r="AA682" s="160"/>
      <c r="AB682" s="10"/>
      <c r="AD682" s="160"/>
    </row>
    <row r="683" spans="4:30" x14ac:dyDescent="0.2">
      <c r="D683" s="8"/>
      <c r="E683" s="6"/>
      <c r="G683" s="10"/>
      <c r="J683" s="142"/>
      <c r="K683" s="15"/>
      <c r="L683" s="15"/>
      <c r="M683" s="15"/>
      <c r="N683" s="16"/>
      <c r="O683" s="8"/>
      <c r="P683" s="8"/>
      <c r="Q683" s="8"/>
      <c r="R683" s="16"/>
      <c r="S683" s="16"/>
      <c r="T683" s="19"/>
      <c r="U683" s="16"/>
      <c r="V683" s="19"/>
      <c r="W683" s="160"/>
      <c r="X683" s="160"/>
      <c r="Y683" s="160"/>
      <c r="Z683" s="160"/>
      <c r="AA683" s="160"/>
      <c r="AB683" s="10"/>
      <c r="AD683" s="160"/>
    </row>
    <row r="684" spans="4:30" x14ac:dyDescent="0.2">
      <c r="D684" s="8"/>
      <c r="E684" s="6"/>
      <c r="G684" s="10"/>
      <c r="J684" s="142"/>
      <c r="K684" s="15"/>
      <c r="L684" s="15"/>
      <c r="M684" s="15"/>
      <c r="N684" s="16"/>
      <c r="O684" s="8"/>
      <c r="P684" s="8"/>
      <c r="Q684" s="8"/>
      <c r="R684" s="16"/>
      <c r="S684" s="16"/>
      <c r="T684" s="19"/>
      <c r="U684" s="16"/>
      <c r="V684" s="19"/>
      <c r="W684" s="160"/>
      <c r="X684" s="160"/>
      <c r="Y684" s="160"/>
      <c r="Z684" s="160"/>
      <c r="AA684" s="160"/>
      <c r="AB684" s="10"/>
      <c r="AD684" s="160"/>
    </row>
    <row r="685" spans="4:30" x14ac:dyDescent="0.2">
      <c r="D685" s="8"/>
      <c r="E685" s="6"/>
      <c r="G685" s="10"/>
      <c r="J685" s="142"/>
      <c r="K685" s="15"/>
      <c r="L685" s="15"/>
      <c r="M685" s="15"/>
      <c r="N685" s="16"/>
      <c r="O685" s="8"/>
      <c r="P685" s="8"/>
      <c r="Q685" s="8"/>
      <c r="R685" s="16"/>
      <c r="S685" s="16"/>
      <c r="T685" s="19"/>
      <c r="U685" s="16"/>
      <c r="V685" s="19"/>
      <c r="W685" s="160"/>
      <c r="X685" s="160"/>
      <c r="Y685" s="160"/>
      <c r="Z685" s="160"/>
      <c r="AA685" s="160"/>
      <c r="AB685" s="10"/>
      <c r="AD685" s="160"/>
    </row>
    <row r="686" spans="4:30" x14ac:dyDescent="0.2">
      <c r="D686" s="8"/>
      <c r="E686" s="6"/>
      <c r="G686" s="10"/>
      <c r="J686" s="142"/>
      <c r="K686" s="15"/>
      <c r="L686" s="15"/>
      <c r="M686" s="15"/>
      <c r="N686" s="16"/>
      <c r="O686" s="8"/>
      <c r="P686" s="8"/>
      <c r="Q686" s="8"/>
      <c r="R686" s="16"/>
      <c r="S686" s="16"/>
      <c r="T686" s="19"/>
      <c r="U686" s="16"/>
      <c r="V686" s="19"/>
      <c r="W686" s="160"/>
      <c r="X686" s="160"/>
      <c r="Y686" s="160"/>
      <c r="Z686" s="160"/>
      <c r="AA686" s="160"/>
      <c r="AB686" s="10"/>
      <c r="AD686" s="160"/>
    </row>
    <row r="687" spans="4:30" x14ac:dyDescent="0.2">
      <c r="D687" s="8"/>
      <c r="E687" s="6"/>
      <c r="G687" s="10"/>
      <c r="J687" s="142"/>
      <c r="K687" s="15"/>
      <c r="L687" s="15"/>
      <c r="M687" s="15"/>
      <c r="N687" s="16"/>
      <c r="O687" s="8"/>
      <c r="P687" s="8"/>
      <c r="Q687" s="8"/>
      <c r="R687" s="16"/>
      <c r="S687" s="16"/>
      <c r="T687" s="19"/>
      <c r="U687" s="16"/>
      <c r="V687" s="19"/>
      <c r="W687" s="160"/>
      <c r="X687" s="160"/>
      <c r="Y687" s="160"/>
      <c r="Z687" s="160"/>
      <c r="AA687" s="160"/>
      <c r="AB687" s="10"/>
      <c r="AD687" s="160"/>
    </row>
    <row r="688" spans="4:30" x14ac:dyDescent="0.2">
      <c r="D688" s="8"/>
      <c r="E688" s="6"/>
      <c r="G688" s="10"/>
      <c r="J688" s="142"/>
      <c r="K688" s="15"/>
      <c r="L688" s="15"/>
      <c r="M688" s="15"/>
      <c r="N688" s="16"/>
      <c r="O688" s="8"/>
      <c r="P688" s="8"/>
      <c r="Q688" s="8"/>
      <c r="R688" s="16"/>
      <c r="S688" s="16"/>
      <c r="T688" s="19"/>
      <c r="U688" s="16"/>
      <c r="V688" s="19"/>
      <c r="W688" s="160"/>
      <c r="X688" s="160"/>
      <c r="Y688" s="160"/>
      <c r="Z688" s="160"/>
      <c r="AA688" s="160"/>
      <c r="AB688" s="10"/>
      <c r="AD688" s="160"/>
    </row>
    <row r="689" spans="4:30" x14ac:dyDescent="0.2">
      <c r="D689" s="8"/>
      <c r="E689" s="6"/>
      <c r="G689" s="10"/>
      <c r="J689" s="142"/>
      <c r="K689" s="15"/>
      <c r="L689" s="15"/>
      <c r="M689" s="15"/>
      <c r="N689" s="16"/>
      <c r="O689" s="8"/>
      <c r="P689" s="8"/>
      <c r="Q689" s="8"/>
      <c r="R689" s="16"/>
      <c r="S689" s="16"/>
      <c r="T689" s="19"/>
      <c r="U689" s="16"/>
      <c r="V689" s="19"/>
      <c r="W689" s="160"/>
      <c r="X689" s="160"/>
      <c r="Y689" s="160"/>
      <c r="Z689" s="160"/>
      <c r="AA689" s="160"/>
      <c r="AB689" s="10"/>
      <c r="AD689" s="160"/>
    </row>
    <row r="690" spans="4:30" x14ac:dyDescent="0.2">
      <c r="D690" s="8"/>
      <c r="E690" s="6"/>
      <c r="G690" s="10"/>
      <c r="J690" s="142"/>
      <c r="K690" s="15"/>
      <c r="L690" s="15"/>
      <c r="M690" s="15"/>
      <c r="N690" s="16"/>
      <c r="O690" s="8"/>
      <c r="P690" s="8"/>
      <c r="Q690" s="8"/>
      <c r="R690" s="16"/>
      <c r="S690" s="16"/>
      <c r="T690" s="19"/>
      <c r="U690" s="16"/>
      <c r="V690" s="19"/>
      <c r="W690" s="160"/>
      <c r="X690" s="160"/>
      <c r="Y690" s="160"/>
      <c r="Z690" s="160"/>
      <c r="AA690" s="160"/>
      <c r="AB690" s="10"/>
      <c r="AD690" s="160"/>
    </row>
    <row r="691" spans="4:30" x14ac:dyDescent="0.2">
      <c r="D691" s="8"/>
      <c r="E691" s="6"/>
      <c r="G691" s="10"/>
      <c r="J691" s="142"/>
      <c r="K691" s="15"/>
      <c r="L691" s="15"/>
      <c r="M691" s="15"/>
      <c r="N691" s="16"/>
      <c r="O691" s="8"/>
      <c r="P691" s="8"/>
      <c r="Q691" s="8"/>
      <c r="R691" s="16"/>
      <c r="S691" s="16"/>
      <c r="T691" s="19"/>
      <c r="U691" s="16"/>
      <c r="V691" s="19"/>
      <c r="W691" s="160"/>
      <c r="X691" s="160"/>
      <c r="Y691" s="160"/>
      <c r="Z691" s="160"/>
      <c r="AA691" s="160"/>
      <c r="AB691" s="10"/>
      <c r="AD691" s="160"/>
    </row>
    <row r="692" spans="4:30" x14ac:dyDescent="0.2">
      <c r="D692" s="8"/>
      <c r="E692" s="6"/>
      <c r="G692" s="10"/>
      <c r="J692" s="142"/>
      <c r="K692" s="15"/>
      <c r="L692" s="15"/>
      <c r="M692" s="15"/>
      <c r="N692" s="16"/>
      <c r="O692" s="8"/>
      <c r="P692" s="8"/>
      <c r="Q692" s="8"/>
      <c r="R692" s="16"/>
      <c r="S692" s="16"/>
      <c r="T692" s="19"/>
      <c r="U692" s="16"/>
      <c r="V692" s="19"/>
      <c r="W692" s="160"/>
      <c r="X692" s="160"/>
      <c r="Y692" s="160"/>
      <c r="Z692" s="160"/>
      <c r="AA692" s="160"/>
      <c r="AB692" s="10"/>
      <c r="AD692" s="160"/>
    </row>
    <row r="693" spans="4:30" x14ac:dyDescent="0.2">
      <c r="D693" s="8"/>
      <c r="E693" s="6"/>
      <c r="G693" s="10"/>
      <c r="J693" s="142"/>
      <c r="K693" s="15"/>
      <c r="L693" s="15"/>
      <c r="M693" s="15"/>
      <c r="N693" s="16"/>
      <c r="O693" s="8"/>
      <c r="P693" s="8"/>
      <c r="Q693" s="8"/>
      <c r="R693" s="16"/>
      <c r="S693" s="16"/>
      <c r="T693" s="19"/>
      <c r="U693" s="16"/>
      <c r="V693" s="19"/>
      <c r="W693" s="160"/>
      <c r="X693" s="160"/>
      <c r="Y693" s="160"/>
      <c r="Z693" s="160"/>
      <c r="AA693" s="160"/>
      <c r="AB693" s="10"/>
      <c r="AD693" s="160"/>
    </row>
    <row r="694" spans="4:30" x14ac:dyDescent="0.2">
      <c r="D694" s="8"/>
      <c r="E694" s="6"/>
      <c r="G694" s="10"/>
      <c r="J694" s="142"/>
      <c r="K694" s="15"/>
      <c r="L694" s="15"/>
      <c r="M694" s="15"/>
      <c r="N694" s="16"/>
      <c r="O694" s="8"/>
      <c r="P694" s="8"/>
      <c r="Q694" s="8"/>
      <c r="R694" s="16"/>
      <c r="S694" s="16"/>
      <c r="T694" s="19"/>
      <c r="U694" s="16"/>
      <c r="V694" s="19"/>
      <c r="W694" s="160"/>
      <c r="X694" s="160"/>
      <c r="Y694" s="160"/>
      <c r="Z694" s="160"/>
      <c r="AA694" s="160"/>
      <c r="AB694" s="10"/>
      <c r="AD694" s="160"/>
    </row>
    <row r="695" spans="4:30" x14ac:dyDescent="0.2">
      <c r="D695" s="8"/>
      <c r="E695" s="6"/>
      <c r="G695" s="10"/>
      <c r="J695" s="142"/>
      <c r="K695" s="15"/>
      <c r="L695" s="15"/>
      <c r="M695" s="15"/>
      <c r="N695" s="16"/>
      <c r="O695" s="8"/>
      <c r="P695" s="8"/>
      <c r="Q695" s="8"/>
      <c r="R695" s="16"/>
      <c r="S695" s="16"/>
      <c r="T695" s="19"/>
      <c r="U695" s="16"/>
      <c r="V695" s="19"/>
      <c r="W695" s="160"/>
      <c r="X695" s="160"/>
      <c r="Y695" s="160"/>
      <c r="Z695" s="160"/>
      <c r="AA695" s="160"/>
      <c r="AB695" s="10"/>
      <c r="AD695" s="160"/>
    </row>
    <row r="696" spans="4:30" x14ac:dyDescent="0.2">
      <c r="D696" s="8"/>
      <c r="E696" s="6"/>
      <c r="G696" s="10"/>
      <c r="J696" s="142"/>
      <c r="K696" s="15"/>
      <c r="L696" s="15"/>
      <c r="M696" s="15"/>
      <c r="N696" s="16"/>
      <c r="O696" s="8"/>
      <c r="P696" s="8"/>
      <c r="Q696" s="8"/>
      <c r="R696" s="16"/>
      <c r="S696" s="16"/>
      <c r="T696" s="19"/>
      <c r="U696" s="16"/>
      <c r="V696" s="19"/>
      <c r="W696" s="160"/>
      <c r="X696" s="160"/>
      <c r="Y696" s="160"/>
      <c r="Z696" s="160"/>
      <c r="AA696" s="160"/>
      <c r="AB696" s="10"/>
      <c r="AD696" s="160"/>
    </row>
    <row r="697" spans="4:30" x14ac:dyDescent="0.2">
      <c r="D697" s="8"/>
      <c r="E697" s="6"/>
      <c r="G697" s="10"/>
      <c r="J697" s="142"/>
      <c r="K697" s="15"/>
      <c r="L697" s="15"/>
      <c r="M697" s="15"/>
      <c r="N697" s="16"/>
      <c r="O697" s="8"/>
      <c r="P697" s="8"/>
      <c r="Q697" s="8"/>
      <c r="R697" s="16"/>
      <c r="S697" s="16"/>
      <c r="T697" s="19"/>
      <c r="U697" s="16"/>
      <c r="V697" s="19"/>
      <c r="W697" s="160"/>
      <c r="X697" s="160"/>
      <c r="Y697" s="160"/>
      <c r="Z697" s="160"/>
      <c r="AA697" s="160"/>
      <c r="AB697" s="10"/>
      <c r="AD697" s="160"/>
    </row>
    <row r="698" spans="4:30" x14ac:dyDescent="0.2">
      <c r="D698" s="8"/>
      <c r="E698" s="6"/>
      <c r="G698" s="10"/>
      <c r="J698" s="142"/>
      <c r="K698" s="15"/>
      <c r="L698" s="15"/>
      <c r="M698" s="15"/>
      <c r="N698" s="16"/>
      <c r="O698" s="8"/>
      <c r="P698" s="8"/>
      <c r="Q698" s="8"/>
      <c r="R698" s="16"/>
      <c r="S698" s="16"/>
      <c r="T698" s="19"/>
      <c r="U698" s="16"/>
      <c r="V698" s="19"/>
      <c r="W698" s="160"/>
      <c r="X698" s="160"/>
      <c r="Y698" s="160"/>
      <c r="Z698" s="160"/>
      <c r="AA698" s="160"/>
      <c r="AB698" s="10"/>
      <c r="AD698" s="160"/>
    </row>
    <row r="699" spans="4:30" x14ac:dyDescent="0.2">
      <c r="D699" s="8"/>
      <c r="E699" s="6"/>
      <c r="G699" s="10"/>
      <c r="J699" s="142"/>
      <c r="K699" s="15"/>
      <c r="L699" s="15"/>
      <c r="M699" s="15"/>
      <c r="N699" s="16"/>
      <c r="O699" s="8"/>
      <c r="P699" s="8"/>
      <c r="Q699" s="8"/>
      <c r="R699" s="16"/>
      <c r="S699" s="16"/>
      <c r="T699" s="19"/>
      <c r="U699" s="16"/>
      <c r="V699" s="19"/>
      <c r="W699" s="160"/>
      <c r="X699" s="160"/>
      <c r="Y699" s="160"/>
      <c r="Z699" s="160"/>
      <c r="AA699" s="160"/>
      <c r="AB699" s="10"/>
      <c r="AD699" s="160"/>
    </row>
    <row r="700" spans="4:30" x14ac:dyDescent="0.2">
      <c r="D700" s="8"/>
      <c r="E700" s="6"/>
      <c r="G700" s="10"/>
      <c r="J700" s="142"/>
      <c r="K700" s="15"/>
      <c r="L700" s="15"/>
      <c r="M700" s="15"/>
      <c r="N700" s="16"/>
      <c r="O700" s="8"/>
      <c r="P700" s="8"/>
      <c r="Q700" s="8"/>
      <c r="R700" s="16"/>
      <c r="S700" s="16"/>
      <c r="T700" s="19"/>
      <c r="U700" s="16"/>
      <c r="V700" s="19"/>
      <c r="W700" s="160"/>
      <c r="X700" s="160"/>
      <c r="Y700" s="160"/>
      <c r="Z700" s="160"/>
      <c r="AA700" s="160"/>
      <c r="AB700" s="10"/>
      <c r="AD700" s="160"/>
    </row>
    <row r="701" spans="4:30" x14ac:dyDescent="0.2">
      <c r="D701" s="8"/>
      <c r="E701" s="6"/>
      <c r="G701" s="10"/>
      <c r="J701" s="142"/>
      <c r="K701" s="15"/>
      <c r="L701" s="15"/>
      <c r="M701" s="15"/>
      <c r="N701" s="16"/>
      <c r="O701" s="8"/>
      <c r="P701" s="8"/>
      <c r="Q701" s="8"/>
      <c r="R701" s="16"/>
      <c r="S701" s="16"/>
      <c r="T701" s="19"/>
      <c r="U701" s="16"/>
      <c r="V701" s="19"/>
      <c r="W701" s="160"/>
      <c r="X701" s="160"/>
      <c r="Y701" s="160"/>
      <c r="Z701" s="160"/>
      <c r="AA701" s="160"/>
      <c r="AB701" s="10"/>
      <c r="AD701" s="160"/>
    </row>
    <row r="702" spans="4:30" x14ac:dyDescent="0.2">
      <c r="D702" s="8"/>
      <c r="E702" s="6"/>
      <c r="G702" s="10"/>
      <c r="J702" s="142"/>
      <c r="K702" s="15"/>
      <c r="L702" s="15"/>
      <c r="M702" s="15"/>
      <c r="N702" s="16"/>
      <c r="O702" s="8"/>
      <c r="P702" s="8"/>
      <c r="Q702" s="8"/>
      <c r="R702" s="16"/>
      <c r="S702" s="16"/>
      <c r="T702" s="19"/>
      <c r="U702" s="16"/>
      <c r="V702" s="19"/>
      <c r="W702" s="160"/>
      <c r="X702" s="160"/>
      <c r="Y702" s="160"/>
      <c r="Z702" s="160"/>
      <c r="AA702" s="160"/>
      <c r="AB702" s="10"/>
      <c r="AD702" s="160"/>
    </row>
    <row r="703" spans="4:30" x14ac:dyDescent="0.2">
      <c r="D703" s="8"/>
      <c r="E703" s="6"/>
      <c r="G703" s="10"/>
      <c r="J703" s="142"/>
      <c r="K703" s="15"/>
      <c r="L703" s="15"/>
      <c r="M703" s="15"/>
      <c r="N703" s="16"/>
      <c r="O703" s="8"/>
      <c r="P703" s="8"/>
      <c r="Q703" s="8"/>
      <c r="R703" s="16"/>
      <c r="S703" s="16"/>
      <c r="T703" s="19"/>
      <c r="U703" s="16"/>
      <c r="V703" s="19"/>
      <c r="W703" s="160"/>
      <c r="X703" s="160"/>
      <c r="Y703" s="160"/>
      <c r="Z703" s="160"/>
      <c r="AA703" s="160"/>
      <c r="AB703" s="10"/>
      <c r="AD703" s="160"/>
    </row>
    <row r="704" spans="4:30" x14ac:dyDescent="0.2">
      <c r="D704" s="8"/>
      <c r="E704" s="6"/>
      <c r="G704" s="10"/>
      <c r="J704" s="142"/>
      <c r="K704" s="15"/>
      <c r="L704" s="15"/>
      <c r="M704" s="15"/>
      <c r="N704" s="16"/>
      <c r="O704" s="8"/>
      <c r="P704" s="8"/>
      <c r="Q704" s="8"/>
      <c r="R704" s="16"/>
      <c r="S704" s="16"/>
      <c r="T704" s="19"/>
      <c r="U704" s="16"/>
      <c r="V704" s="19"/>
      <c r="W704" s="160"/>
      <c r="X704" s="160"/>
      <c r="Y704" s="160"/>
      <c r="Z704" s="160"/>
      <c r="AA704" s="160"/>
      <c r="AB704" s="10"/>
      <c r="AD704" s="160"/>
    </row>
    <row r="705" spans="4:30" x14ac:dyDescent="0.2">
      <c r="D705" s="8"/>
      <c r="E705" s="6"/>
      <c r="G705" s="10"/>
      <c r="J705" s="142"/>
      <c r="K705" s="15"/>
      <c r="L705" s="15"/>
      <c r="M705" s="15"/>
      <c r="N705" s="16"/>
      <c r="O705" s="8"/>
      <c r="P705" s="8"/>
      <c r="Q705" s="8"/>
      <c r="R705" s="16"/>
      <c r="S705" s="16"/>
      <c r="T705" s="19"/>
      <c r="U705" s="16"/>
      <c r="V705" s="19"/>
      <c r="W705" s="160"/>
      <c r="X705" s="160"/>
      <c r="Y705" s="160"/>
      <c r="Z705" s="160"/>
      <c r="AA705" s="160"/>
      <c r="AB705" s="10"/>
      <c r="AD705" s="160"/>
    </row>
    <row r="706" spans="4:30" x14ac:dyDescent="0.2">
      <c r="D706" s="8"/>
      <c r="E706" s="6"/>
      <c r="G706" s="10"/>
      <c r="J706" s="142"/>
      <c r="K706" s="15"/>
      <c r="L706" s="15"/>
      <c r="M706" s="15"/>
      <c r="N706" s="16"/>
      <c r="O706" s="8"/>
      <c r="P706" s="8"/>
      <c r="Q706" s="8"/>
      <c r="R706" s="16"/>
      <c r="S706" s="16"/>
      <c r="T706" s="19"/>
      <c r="U706" s="16"/>
      <c r="V706" s="19"/>
      <c r="W706" s="160"/>
      <c r="X706" s="160"/>
      <c r="Y706" s="160"/>
      <c r="Z706" s="160"/>
      <c r="AA706" s="160"/>
      <c r="AB706" s="10"/>
      <c r="AD706" s="160"/>
    </row>
    <row r="707" spans="4:30" x14ac:dyDescent="0.2">
      <c r="D707" s="8"/>
      <c r="E707" s="6"/>
      <c r="G707" s="10"/>
      <c r="J707" s="142"/>
      <c r="K707" s="15"/>
      <c r="L707" s="15"/>
      <c r="M707" s="15"/>
      <c r="N707" s="16"/>
      <c r="O707" s="8"/>
      <c r="P707" s="8"/>
      <c r="Q707" s="8"/>
      <c r="R707" s="16"/>
      <c r="S707" s="16"/>
      <c r="T707" s="19"/>
      <c r="U707" s="16"/>
      <c r="V707" s="19"/>
      <c r="W707" s="160"/>
      <c r="X707" s="160"/>
      <c r="Y707" s="160"/>
      <c r="Z707" s="160"/>
      <c r="AA707" s="160"/>
      <c r="AB707" s="10"/>
      <c r="AD707" s="160"/>
    </row>
    <row r="708" spans="4:30" x14ac:dyDescent="0.2">
      <c r="D708" s="8"/>
      <c r="E708" s="6"/>
      <c r="G708" s="10"/>
      <c r="J708" s="142"/>
      <c r="K708" s="15"/>
      <c r="L708" s="15"/>
      <c r="M708" s="15"/>
      <c r="N708" s="16"/>
      <c r="O708" s="8"/>
      <c r="P708" s="8"/>
      <c r="Q708" s="8"/>
      <c r="R708" s="16"/>
      <c r="S708" s="16"/>
      <c r="T708" s="19"/>
      <c r="U708" s="16"/>
      <c r="V708" s="19"/>
      <c r="W708" s="160"/>
      <c r="X708" s="160"/>
      <c r="Y708" s="160"/>
      <c r="Z708" s="160"/>
      <c r="AA708" s="160"/>
      <c r="AB708" s="10"/>
      <c r="AD708" s="160"/>
    </row>
    <row r="709" spans="4:30" x14ac:dyDescent="0.2">
      <c r="D709" s="8"/>
      <c r="E709" s="6"/>
      <c r="G709" s="10"/>
      <c r="J709" s="142"/>
      <c r="K709" s="15"/>
      <c r="L709" s="15"/>
      <c r="M709" s="15"/>
      <c r="N709" s="16"/>
      <c r="O709" s="8"/>
      <c r="P709" s="8"/>
      <c r="Q709" s="8"/>
      <c r="R709" s="16"/>
      <c r="S709" s="16"/>
      <c r="T709" s="19"/>
      <c r="U709" s="16"/>
      <c r="V709" s="19"/>
      <c r="W709" s="160"/>
      <c r="X709" s="160"/>
      <c r="Y709" s="160"/>
      <c r="Z709" s="160"/>
      <c r="AA709" s="160"/>
      <c r="AB709" s="10"/>
      <c r="AD709" s="160"/>
    </row>
    <row r="710" spans="4:30" x14ac:dyDescent="0.2">
      <c r="D710" s="8"/>
      <c r="E710" s="6"/>
      <c r="G710" s="10"/>
      <c r="J710" s="142"/>
      <c r="K710" s="15"/>
      <c r="L710" s="15"/>
      <c r="M710" s="15"/>
      <c r="N710" s="16"/>
      <c r="O710" s="8"/>
      <c r="P710" s="8"/>
      <c r="Q710" s="8"/>
      <c r="R710" s="16"/>
      <c r="S710" s="16"/>
      <c r="T710" s="19"/>
      <c r="U710" s="16"/>
      <c r="V710" s="19"/>
      <c r="W710" s="160"/>
      <c r="X710" s="160"/>
      <c r="Y710" s="160"/>
      <c r="Z710" s="160"/>
      <c r="AA710" s="160"/>
      <c r="AB710" s="10"/>
      <c r="AD710" s="160"/>
    </row>
    <row r="711" spans="4:30" x14ac:dyDescent="0.2">
      <c r="D711" s="8"/>
      <c r="E711" s="6"/>
      <c r="G711" s="10"/>
      <c r="J711" s="142"/>
      <c r="K711" s="15"/>
      <c r="L711" s="15"/>
      <c r="M711" s="15"/>
      <c r="N711" s="16"/>
      <c r="O711" s="8"/>
      <c r="P711" s="8"/>
      <c r="Q711" s="8"/>
      <c r="R711" s="16"/>
      <c r="S711" s="16"/>
      <c r="T711" s="19"/>
      <c r="U711" s="16"/>
      <c r="V711" s="19"/>
      <c r="W711" s="160"/>
      <c r="X711" s="160"/>
      <c r="Y711" s="160"/>
      <c r="Z711" s="160"/>
      <c r="AA711" s="160"/>
      <c r="AB711" s="10"/>
      <c r="AD711" s="160"/>
    </row>
    <row r="712" spans="4:30" x14ac:dyDescent="0.2">
      <c r="D712" s="8"/>
      <c r="E712" s="6"/>
      <c r="G712" s="10"/>
      <c r="J712" s="142"/>
      <c r="K712" s="15"/>
      <c r="L712" s="15"/>
      <c r="M712" s="15"/>
      <c r="N712" s="16"/>
      <c r="O712" s="8"/>
      <c r="P712" s="8"/>
      <c r="Q712" s="8"/>
      <c r="R712" s="16"/>
      <c r="S712" s="16"/>
      <c r="T712" s="19"/>
      <c r="U712" s="16"/>
      <c r="V712" s="19"/>
      <c r="W712" s="160"/>
      <c r="X712" s="160"/>
      <c r="Y712" s="160"/>
      <c r="Z712" s="160"/>
      <c r="AA712" s="160"/>
      <c r="AB712" s="10"/>
      <c r="AD712" s="160"/>
    </row>
    <row r="713" spans="4:30" x14ac:dyDescent="0.2">
      <c r="D713" s="8"/>
      <c r="E713" s="6"/>
      <c r="G713" s="10"/>
      <c r="J713" s="142"/>
      <c r="K713" s="15"/>
      <c r="L713" s="15"/>
      <c r="M713" s="15"/>
      <c r="N713" s="16"/>
      <c r="O713" s="8"/>
      <c r="P713" s="8"/>
      <c r="Q713" s="8"/>
      <c r="R713" s="16"/>
      <c r="S713" s="16"/>
      <c r="T713" s="19"/>
      <c r="U713" s="16"/>
      <c r="V713" s="19"/>
      <c r="W713" s="160"/>
      <c r="X713" s="160"/>
      <c r="Y713" s="160"/>
      <c r="Z713" s="160"/>
      <c r="AA713" s="160"/>
      <c r="AB713" s="10"/>
      <c r="AD713" s="160"/>
    </row>
    <row r="714" spans="4:30" x14ac:dyDescent="0.2">
      <c r="D714" s="8"/>
      <c r="E714" s="6"/>
      <c r="G714" s="10"/>
      <c r="J714" s="142"/>
      <c r="K714" s="15"/>
      <c r="L714" s="15"/>
      <c r="M714" s="15"/>
      <c r="N714" s="16"/>
      <c r="O714" s="8"/>
      <c r="P714" s="8"/>
      <c r="Q714" s="8"/>
      <c r="R714" s="16"/>
      <c r="S714" s="16"/>
      <c r="T714" s="19"/>
      <c r="U714" s="16"/>
      <c r="V714" s="19"/>
      <c r="W714" s="160"/>
      <c r="X714" s="160"/>
      <c r="Y714" s="160"/>
      <c r="Z714" s="160"/>
      <c r="AA714" s="160"/>
      <c r="AB714" s="10"/>
      <c r="AD714" s="160"/>
    </row>
    <row r="715" spans="4:30" x14ac:dyDescent="0.2">
      <c r="D715" s="8"/>
      <c r="E715" s="6"/>
      <c r="G715" s="10"/>
      <c r="J715" s="142"/>
      <c r="K715" s="15"/>
      <c r="L715" s="15"/>
      <c r="M715" s="15"/>
      <c r="N715" s="16"/>
      <c r="O715" s="8"/>
      <c r="P715" s="8"/>
      <c r="Q715" s="8"/>
      <c r="R715" s="16"/>
      <c r="S715" s="16"/>
      <c r="T715" s="19"/>
      <c r="U715" s="16"/>
      <c r="V715" s="19"/>
      <c r="W715" s="160"/>
      <c r="X715" s="160"/>
      <c r="Y715" s="160"/>
      <c r="Z715" s="160"/>
      <c r="AA715" s="160"/>
      <c r="AB715" s="10"/>
      <c r="AD715" s="160"/>
    </row>
    <row r="716" spans="4:30" x14ac:dyDescent="0.2">
      <c r="D716" s="8"/>
      <c r="E716" s="6"/>
      <c r="G716" s="10"/>
      <c r="J716" s="142"/>
      <c r="K716" s="15"/>
      <c r="L716" s="15"/>
      <c r="M716" s="15"/>
      <c r="N716" s="16"/>
      <c r="O716" s="8"/>
      <c r="P716" s="8"/>
      <c r="Q716" s="8"/>
      <c r="R716" s="16"/>
      <c r="S716" s="16"/>
      <c r="T716" s="19"/>
      <c r="U716" s="16"/>
      <c r="V716" s="19"/>
      <c r="W716" s="160"/>
      <c r="X716" s="160"/>
      <c r="Y716" s="160"/>
      <c r="Z716" s="160"/>
      <c r="AA716" s="160"/>
      <c r="AB716" s="10"/>
      <c r="AD716" s="160"/>
    </row>
    <row r="717" spans="4:30" x14ac:dyDescent="0.2">
      <c r="D717" s="8"/>
      <c r="E717" s="6"/>
      <c r="G717" s="10"/>
      <c r="J717" s="142"/>
      <c r="K717" s="15"/>
      <c r="L717" s="15"/>
      <c r="M717" s="15"/>
      <c r="N717" s="16"/>
      <c r="O717" s="8"/>
      <c r="P717" s="8"/>
      <c r="Q717" s="8"/>
      <c r="R717" s="16"/>
      <c r="S717" s="16"/>
      <c r="T717" s="19"/>
      <c r="U717" s="16"/>
      <c r="V717" s="19"/>
      <c r="W717" s="160"/>
      <c r="X717" s="160"/>
      <c r="Y717" s="160"/>
      <c r="Z717" s="160"/>
      <c r="AA717" s="160"/>
      <c r="AB717" s="10"/>
      <c r="AD717" s="160"/>
    </row>
    <row r="718" spans="4:30" x14ac:dyDescent="0.2">
      <c r="D718" s="8"/>
      <c r="E718" s="6"/>
      <c r="G718" s="10"/>
      <c r="J718" s="142"/>
      <c r="K718" s="15"/>
      <c r="L718" s="15"/>
      <c r="M718" s="15"/>
      <c r="N718" s="16"/>
      <c r="O718" s="8"/>
      <c r="P718" s="8"/>
      <c r="Q718" s="8"/>
      <c r="R718" s="16"/>
      <c r="S718" s="16"/>
      <c r="T718" s="19"/>
      <c r="U718" s="16"/>
      <c r="V718" s="19"/>
      <c r="W718" s="160"/>
      <c r="X718" s="160"/>
      <c r="Y718" s="160"/>
      <c r="Z718" s="160"/>
      <c r="AA718" s="160"/>
      <c r="AB718" s="10"/>
      <c r="AD718" s="160"/>
    </row>
    <row r="719" spans="4:30" x14ac:dyDescent="0.2">
      <c r="D719" s="8"/>
      <c r="E719" s="6"/>
      <c r="G719" s="10"/>
      <c r="J719" s="142"/>
      <c r="K719" s="15"/>
      <c r="L719" s="15"/>
      <c r="M719" s="15"/>
      <c r="N719" s="16"/>
      <c r="O719" s="8"/>
      <c r="P719" s="8"/>
      <c r="Q719" s="8"/>
      <c r="R719" s="16"/>
      <c r="S719" s="16"/>
      <c r="T719" s="19"/>
      <c r="U719" s="16"/>
      <c r="V719" s="19"/>
      <c r="W719" s="160"/>
      <c r="X719" s="160"/>
      <c r="Y719" s="160"/>
      <c r="Z719" s="160"/>
      <c r="AA719" s="160"/>
      <c r="AB719" s="10"/>
      <c r="AD719" s="160"/>
    </row>
    <row r="720" spans="4:30" x14ac:dyDescent="0.2">
      <c r="D720" s="8"/>
      <c r="E720" s="6"/>
      <c r="G720" s="10"/>
      <c r="J720" s="142"/>
      <c r="K720" s="15"/>
      <c r="L720" s="15"/>
      <c r="M720" s="15"/>
      <c r="N720" s="16"/>
      <c r="O720" s="8"/>
      <c r="P720" s="8"/>
      <c r="Q720" s="8"/>
      <c r="R720" s="16"/>
      <c r="S720" s="16"/>
      <c r="T720" s="19"/>
      <c r="U720" s="16"/>
      <c r="V720" s="19"/>
      <c r="W720" s="160"/>
      <c r="X720" s="160"/>
      <c r="Y720" s="160"/>
      <c r="Z720" s="160"/>
      <c r="AA720" s="160"/>
      <c r="AB720" s="10"/>
      <c r="AD720" s="160"/>
    </row>
    <row r="721" spans="4:30" x14ac:dyDescent="0.2">
      <c r="D721" s="8"/>
      <c r="E721" s="6"/>
      <c r="G721" s="10"/>
      <c r="J721" s="142"/>
      <c r="K721" s="15"/>
      <c r="L721" s="15"/>
      <c r="M721" s="15"/>
      <c r="N721" s="16"/>
      <c r="O721" s="8"/>
      <c r="P721" s="8"/>
      <c r="Q721" s="8"/>
      <c r="R721" s="16"/>
      <c r="S721" s="16"/>
      <c r="T721" s="19"/>
      <c r="U721" s="16"/>
      <c r="V721" s="19"/>
      <c r="W721" s="160"/>
      <c r="X721" s="160"/>
      <c r="Y721" s="160"/>
      <c r="Z721" s="160"/>
      <c r="AA721" s="160"/>
      <c r="AB721" s="10"/>
      <c r="AD721" s="160"/>
    </row>
    <row r="722" spans="4:30" x14ac:dyDescent="0.2">
      <c r="D722" s="8"/>
      <c r="E722" s="6"/>
      <c r="G722" s="10"/>
      <c r="J722" s="142"/>
      <c r="K722" s="15"/>
      <c r="L722" s="15"/>
      <c r="M722" s="15"/>
      <c r="N722" s="16"/>
      <c r="O722" s="8"/>
      <c r="P722" s="8"/>
      <c r="Q722" s="8"/>
      <c r="R722" s="16"/>
      <c r="S722" s="16"/>
      <c r="T722" s="19"/>
      <c r="U722" s="16"/>
      <c r="V722" s="19"/>
      <c r="W722" s="160"/>
      <c r="X722" s="160"/>
      <c r="Y722" s="160"/>
      <c r="Z722" s="160"/>
      <c r="AA722" s="160"/>
      <c r="AB722" s="10"/>
      <c r="AD722" s="160"/>
    </row>
    <row r="723" spans="4:30" x14ac:dyDescent="0.2">
      <c r="D723" s="8"/>
      <c r="E723" s="6"/>
      <c r="G723" s="10"/>
      <c r="J723" s="142"/>
      <c r="K723" s="15"/>
      <c r="L723" s="15"/>
      <c r="M723" s="15"/>
      <c r="N723" s="16"/>
      <c r="O723" s="8"/>
      <c r="P723" s="8"/>
      <c r="Q723" s="8"/>
      <c r="R723" s="16"/>
      <c r="S723" s="16"/>
      <c r="T723" s="19"/>
      <c r="U723" s="16"/>
      <c r="V723" s="19"/>
      <c r="W723" s="160"/>
      <c r="X723" s="160"/>
      <c r="Y723" s="160"/>
      <c r="Z723" s="160"/>
      <c r="AA723" s="160"/>
      <c r="AB723" s="10"/>
      <c r="AD723" s="160"/>
    </row>
    <row r="724" spans="4:30" x14ac:dyDescent="0.2">
      <c r="D724" s="8"/>
      <c r="E724" s="6"/>
      <c r="G724" s="10"/>
      <c r="J724" s="142"/>
      <c r="K724" s="15"/>
      <c r="L724" s="15"/>
      <c r="M724" s="15"/>
      <c r="N724" s="16"/>
      <c r="O724" s="8"/>
      <c r="P724" s="8"/>
      <c r="Q724" s="8"/>
      <c r="R724" s="16"/>
      <c r="S724" s="16"/>
      <c r="T724" s="19"/>
      <c r="U724" s="16"/>
      <c r="V724" s="19"/>
      <c r="W724" s="160"/>
      <c r="X724" s="160"/>
      <c r="Y724" s="160"/>
      <c r="Z724" s="160"/>
      <c r="AA724" s="160"/>
      <c r="AB724" s="10"/>
      <c r="AD724" s="160"/>
    </row>
    <row r="725" spans="4:30" x14ac:dyDescent="0.2">
      <c r="D725" s="8"/>
      <c r="E725" s="6"/>
      <c r="G725" s="10"/>
      <c r="J725" s="142"/>
      <c r="K725" s="15"/>
      <c r="L725" s="15"/>
      <c r="M725" s="15"/>
      <c r="N725" s="16"/>
      <c r="O725" s="8"/>
      <c r="P725" s="8"/>
      <c r="Q725" s="8"/>
      <c r="R725" s="16"/>
      <c r="S725" s="16"/>
      <c r="T725" s="19"/>
      <c r="U725" s="16"/>
      <c r="V725" s="19"/>
      <c r="W725" s="160"/>
      <c r="X725" s="160"/>
      <c r="Y725" s="160"/>
      <c r="Z725" s="160"/>
      <c r="AA725" s="160"/>
      <c r="AB725" s="10"/>
      <c r="AD725" s="160"/>
    </row>
    <row r="726" spans="4:30" x14ac:dyDescent="0.2">
      <c r="D726" s="8"/>
      <c r="E726" s="6"/>
      <c r="G726" s="10"/>
      <c r="J726" s="142"/>
      <c r="K726" s="15"/>
      <c r="L726" s="15"/>
      <c r="M726" s="15"/>
      <c r="N726" s="16"/>
      <c r="O726" s="8"/>
      <c r="P726" s="8"/>
      <c r="Q726" s="8"/>
      <c r="R726" s="16"/>
      <c r="S726" s="16"/>
      <c r="T726" s="19"/>
      <c r="U726" s="16"/>
      <c r="V726" s="19"/>
      <c r="W726" s="160"/>
      <c r="X726" s="160"/>
      <c r="Y726" s="160"/>
      <c r="Z726" s="160"/>
      <c r="AA726" s="160"/>
      <c r="AB726" s="10"/>
      <c r="AD726" s="160"/>
    </row>
    <row r="727" spans="4:30" x14ac:dyDescent="0.2">
      <c r="D727" s="8"/>
      <c r="E727" s="6"/>
      <c r="G727" s="10"/>
      <c r="J727" s="142"/>
      <c r="K727" s="15"/>
      <c r="L727" s="15"/>
      <c r="M727" s="15"/>
      <c r="N727" s="16"/>
      <c r="O727" s="8"/>
      <c r="P727" s="8"/>
      <c r="Q727" s="8"/>
      <c r="R727" s="16"/>
      <c r="S727" s="16"/>
      <c r="T727" s="19"/>
      <c r="U727" s="16"/>
      <c r="V727" s="19"/>
      <c r="W727" s="160"/>
      <c r="X727" s="160"/>
      <c r="Y727" s="160"/>
      <c r="Z727" s="160"/>
      <c r="AA727" s="160"/>
      <c r="AB727" s="10"/>
      <c r="AD727" s="160"/>
    </row>
    <row r="728" spans="4:30" x14ac:dyDescent="0.2">
      <c r="D728" s="8"/>
      <c r="E728" s="6"/>
      <c r="G728" s="10"/>
      <c r="J728" s="142"/>
      <c r="K728" s="15"/>
      <c r="L728" s="15"/>
      <c r="M728" s="15"/>
      <c r="N728" s="16"/>
      <c r="O728" s="8"/>
      <c r="P728" s="8"/>
      <c r="Q728" s="8"/>
      <c r="R728" s="16"/>
      <c r="S728" s="16"/>
      <c r="T728" s="19"/>
      <c r="U728" s="16"/>
      <c r="V728" s="19"/>
      <c r="W728" s="160"/>
      <c r="X728" s="160"/>
      <c r="Y728" s="160"/>
      <c r="Z728" s="160"/>
      <c r="AA728" s="160"/>
      <c r="AB728" s="10"/>
      <c r="AD728" s="160"/>
    </row>
    <row r="729" spans="4:30" x14ac:dyDescent="0.2">
      <c r="D729" s="8"/>
      <c r="E729" s="6"/>
      <c r="G729" s="10"/>
      <c r="J729" s="142"/>
      <c r="K729" s="15"/>
      <c r="L729" s="15"/>
      <c r="M729" s="15"/>
      <c r="N729" s="16"/>
      <c r="O729" s="8"/>
      <c r="P729" s="8"/>
      <c r="Q729" s="8"/>
      <c r="R729" s="16"/>
      <c r="S729" s="16"/>
      <c r="T729" s="19"/>
      <c r="U729" s="16"/>
      <c r="V729" s="19"/>
      <c r="W729" s="160"/>
      <c r="X729" s="160"/>
      <c r="Y729" s="160"/>
      <c r="Z729" s="160"/>
      <c r="AA729" s="160"/>
      <c r="AB729" s="10"/>
      <c r="AD729" s="160"/>
    </row>
    <row r="730" spans="4:30" x14ac:dyDescent="0.2">
      <c r="D730" s="8"/>
      <c r="E730" s="6"/>
      <c r="G730" s="10"/>
      <c r="J730" s="142"/>
      <c r="K730" s="15"/>
      <c r="L730" s="15"/>
      <c r="M730" s="15"/>
      <c r="N730" s="16"/>
      <c r="O730" s="8"/>
      <c r="P730" s="8"/>
      <c r="Q730" s="8"/>
      <c r="R730" s="16"/>
      <c r="S730" s="16"/>
      <c r="T730" s="19"/>
      <c r="U730" s="16"/>
      <c r="V730" s="19"/>
      <c r="W730" s="160"/>
      <c r="X730" s="160"/>
      <c r="Y730" s="160"/>
      <c r="Z730" s="160"/>
      <c r="AA730" s="160"/>
      <c r="AB730" s="10"/>
      <c r="AD730" s="160"/>
    </row>
    <row r="731" spans="4:30" x14ac:dyDescent="0.2">
      <c r="D731" s="8"/>
      <c r="E731" s="6"/>
      <c r="G731" s="10"/>
      <c r="J731" s="142"/>
      <c r="K731" s="15"/>
      <c r="L731" s="15"/>
      <c r="M731" s="15"/>
      <c r="N731" s="16"/>
      <c r="O731" s="8"/>
      <c r="P731" s="8"/>
      <c r="Q731" s="8"/>
      <c r="R731" s="16"/>
      <c r="S731" s="16"/>
      <c r="T731" s="19"/>
      <c r="U731" s="16"/>
      <c r="V731" s="19"/>
      <c r="W731" s="160"/>
      <c r="X731" s="160"/>
      <c r="Y731" s="160"/>
      <c r="Z731" s="160"/>
      <c r="AA731" s="160"/>
      <c r="AB731" s="10"/>
      <c r="AD731" s="160"/>
    </row>
    <row r="732" spans="4:30" x14ac:dyDescent="0.2">
      <c r="D732" s="8"/>
      <c r="E732" s="6"/>
      <c r="G732" s="10"/>
      <c r="J732" s="142"/>
      <c r="K732" s="15"/>
      <c r="L732" s="15"/>
      <c r="M732" s="15"/>
      <c r="N732" s="16"/>
      <c r="O732" s="8"/>
      <c r="P732" s="8"/>
      <c r="Q732" s="8"/>
      <c r="R732" s="16"/>
      <c r="S732" s="16"/>
      <c r="T732" s="19"/>
      <c r="U732" s="16"/>
      <c r="V732" s="19"/>
      <c r="W732" s="160"/>
      <c r="X732" s="160"/>
      <c r="Y732" s="160"/>
      <c r="Z732" s="160"/>
      <c r="AA732" s="160"/>
      <c r="AB732" s="10"/>
      <c r="AD732" s="160"/>
    </row>
    <row r="733" spans="4:30" x14ac:dyDescent="0.2">
      <c r="D733" s="8"/>
      <c r="E733" s="6"/>
      <c r="G733" s="10"/>
      <c r="J733" s="142"/>
      <c r="K733" s="15"/>
      <c r="L733" s="15"/>
      <c r="M733" s="15"/>
      <c r="N733" s="16"/>
      <c r="O733" s="8"/>
      <c r="P733" s="8"/>
      <c r="Q733" s="8"/>
      <c r="R733" s="16"/>
      <c r="S733" s="16"/>
      <c r="T733" s="19"/>
      <c r="U733" s="16"/>
      <c r="V733" s="19"/>
      <c r="W733" s="160"/>
      <c r="X733" s="160"/>
      <c r="Y733" s="160"/>
      <c r="Z733" s="160"/>
      <c r="AA733" s="160"/>
      <c r="AB733" s="10"/>
      <c r="AD733" s="160"/>
    </row>
    <row r="734" spans="4:30" x14ac:dyDescent="0.2">
      <c r="D734" s="8"/>
      <c r="E734" s="6"/>
      <c r="G734" s="10"/>
      <c r="J734" s="142"/>
      <c r="K734" s="15"/>
      <c r="L734" s="15"/>
      <c r="M734" s="15"/>
      <c r="N734" s="16"/>
      <c r="O734" s="8"/>
      <c r="P734" s="8"/>
      <c r="Q734" s="8"/>
      <c r="R734" s="16"/>
      <c r="S734" s="16"/>
      <c r="T734" s="19"/>
      <c r="U734" s="16"/>
      <c r="V734" s="19"/>
      <c r="W734" s="160"/>
      <c r="X734" s="160"/>
      <c r="Y734" s="160"/>
      <c r="Z734" s="160"/>
      <c r="AA734" s="160"/>
      <c r="AB734" s="10"/>
      <c r="AD734" s="160"/>
    </row>
    <row r="735" spans="4:30" x14ac:dyDescent="0.2">
      <c r="D735" s="8"/>
      <c r="E735" s="6"/>
      <c r="G735" s="10"/>
      <c r="J735" s="142"/>
      <c r="K735" s="15"/>
      <c r="L735" s="15"/>
      <c r="M735" s="15"/>
      <c r="N735" s="16"/>
      <c r="O735" s="8"/>
      <c r="P735" s="8"/>
      <c r="Q735" s="8"/>
      <c r="R735" s="16"/>
      <c r="S735" s="16"/>
      <c r="T735" s="19"/>
      <c r="U735" s="16"/>
      <c r="V735" s="19"/>
      <c r="W735" s="160"/>
      <c r="X735" s="160"/>
      <c r="Y735" s="160"/>
      <c r="Z735" s="160"/>
      <c r="AA735" s="160"/>
      <c r="AB735" s="10"/>
      <c r="AD735" s="160"/>
    </row>
    <row r="736" spans="4:30" x14ac:dyDescent="0.2">
      <c r="D736" s="8"/>
      <c r="E736" s="6"/>
      <c r="G736" s="10"/>
      <c r="J736" s="142"/>
      <c r="K736" s="15"/>
      <c r="L736" s="15"/>
      <c r="M736" s="15"/>
      <c r="N736" s="16"/>
      <c r="O736" s="8"/>
      <c r="P736" s="8"/>
      <c r="Q736" s="8"/>
      <c r="R736" s="16"/>
      <c r="S736" s="16"/>
      <c r="T736" s="19"/>
      <c r="U736" s="16"/>
      <c r="V736" s="19"/>
      <c r="W736" s="160"/>
      <c r="X736" s="160"/>
      <c r="Y736" s="160"/>
      <c r="Z736" s="160"/>
      <c r="AA736" s="160"/>
      <c r="AB736" s="10"/>
      <c r="AD736" s="160"/>
    </row>
    <row r="737" spans="4:30" x14ac:dyDescent="0.2">
      <c r="D737" s="8"/>
      <c r="E737" s="6"/>
      <c r="G737" s="10"/>
      <c r="J737" s="142"/>
      <c r="K737" s="15"/>
      <c r="L737" s="15"/>
      <c r="M737" s="15"/>
      <c r="N737" s="16"/>
      <c r="O737" s="8"/>
      <c r="P737" s="8"/>
      <c r="Q737" s="8"/>
      <c r="R737" s="16"/>
      <c r="S737" s="16"/>
      <c r="T737" s="19"/>
      <c r="U737" s="16"/>
      <c r="V737" s="19"/>
      <c r="W737" s="160"/>
      <c r="X737" s="160"/>
      <c r="Y737" s="160"/>
      <c r="Z737" s="160"/>
      <c r="AA737" s="160"/>
      <c r="AB737" s="10"/>
      <c r="AD737" s="160"/>
    </row>
    <row r="738" spans="4:30" x14ac:dyDescent="0.2">
      <c r="D738" s="8"/>
      <c r="E738" s="6"/>
      <c r="G738" s="10"/>
      <c r="J738" s="142"/>
      <c r="K738" s="15"/>
      <c r="L738" s="15"/>
      <c r="M738" s="15"/>
      <c r="N738" s="16"/>
      <c r="O738" s="8"/>
      <c r="P738" s="8"/>
      <c r="Q738" s="8"/>
      <c r="R738" s="16"/>
      <c r="S738" s="16"/>
      <c r="T738" s="19"/>
      <c r="U738" s="16"/>
      <c r="V738" s="19"/>
      <c r="W738" s="160"/>
      <c r="X738" s="160"/>
      <c r="Y738" s="160"/>
      <c r="Z738" s="160"/>
      <c r="AA738" s="160"/>
      <c r="AB738" s="10"/>
      <c r="AD738" s="160"/>
    </row>
    <row r="739" spans="4:30" x14ac:dyDescent="0.2">
      <c r="D739" s="8"/>
      <c r="E739" s="6"/>
      <c r="G739" s="10"/>
      <c r="J739" s="142"/>
      <c r="K739" s="15"/>
      <c r="L739" s="15"/>
      <c r="M739" s="15"/>
      <c r="N739" s="16"/>
      <c r="O739" s="8"/>
      <c r="P739" s="8"/>
      <c r="Q739" s="8"/>
      <c r="R739" s="16"/>
      <c r="S739" s="16"/>
      <c r="T739" s="19"/>
      <c r="U739" s="16"/>
      <c r="V739" s="19"/>
      <c r="W739" s="160"/>
      <c r="X739" s="160"/>
      <c r="Y739" s="160"/>
      <c r="Z739" s="160"/>
      <c r="AA739" s="160"/>
      <c r="AB739" s="10"/>
      <c r="AD739" s="160"/>
    </row>
    <row r="740" spans="4:30" x14ac:dyDescent="0.2">
      <c r="D740" s="8"/>
      <c r="E740" s="6"/>
      <c r="G740" s="10"/>
      <c r="J740" s="142"/>
      <c r="K740" s="15"/>
      <c r="L740" s="15"/>
      <c r="M740" s="15"/>
      <c r="N740" s="16"/>
      <c r="O740" s="8"/>
      <c r="P740" s="8"/>
      <c r="Q740" s="8"/>
      <c r="R740" s="16"/>
      <c r="S740" s="16"/>
      <c r="T740" s="19"/>
      <c r="U740" s="16"/>
      <c r="V740" s="19"/>
      <c r="W740" s="160"/>
      <c r="X740" s="160"/>
      <c r="Y740" s="160"/>
      <c r="Z740" s="160"/>
      <c r="AA740" s="160"/>
      <c r="AB740" s="10"/>
      <c r="AD740" s="160"/>
    </row>
    <row r="741" spans="4:30" x14ac:dyDescent="0.2">
      <c r="D741" s="8"/>
      <c r="E741" s="6"/>
      <c r="G741" s="10"/>
      <c r="J741" s="142"/>
      <c r="K741" s="15"/>
      <c r="L741" s="15"/>
      <c r="M741" s="15"/>
      <c r="N741" s="16"/>
      <c r="O741" s="8"/>
      <c r="P741" s="8"/>
      <c r="Q741" s="8"/>
      <c r="R741" s="16"/>
      <c r="S741" s="16"/>
      <c r="T741" s="19"/>
      <c r="U741" s="16"/>
      <c r="V741" s="19"/>
      <c r="W741" s="160"/>
      <c r="X741" s="160"/>
      <c r="Y741" s="160"/>
      <c r="Z741" s="160"/>
      <c r="AA741" s="160"/>
      <c r="AB741" s="10"/>
      <c r="AD741" s="160"/>
    </row>
    <row r="742" spans="4:30" x14ac:dyDescent="0.2">
      <c r="D742" s="8"/>
      <c r="E742" s="6"/>
      <c r="G742" s="10"/>
      <c r="J742" s="142"/>
      <c r="K742" s="15"/>
      <c r="L742" s="15"/>
      <c r="M742" s="15"/>
      <c r="N742" s="16"/>
      <c r="O742" s="8"/>
      <c r="P742" s="8"/>
      <c r="Q742" s="8"/>
      <c r="R742" s="16"/>
      <c r="S742" s="16"/>
      <c r="T742" s="19"/>
      <c r="U742" s="16"/>
      <c r="V742" s="19"/>
      <c r="W742" s="160"/>
      <c r="X742" s="160"/>
      <c r="Y742" s="160"/>
      <c r="Z742" s="160"/>
      <c r="AA742" s="160"/>
      <c r="AB742" s="10"/>
      <c r="AD742" s="160"/>
    </row>
    <row r="743" spans="4:30" x14ac:dyDescent="0.2">
      <c r="D743" s="8"/>
      <c r="E743" s="6"/>
      <c r="G743" s="10"/>
      <c r="J743" s="142"/>
      <c r="K743" s="15"/>
      <c r="L743" s="15"/>
      <c r="M743" s="15"/>
      <c r="N743" s="16"/>
      <c r="O743" s="8"/>
      <c r="P743" s="8"/>
      <c r="Q743" s="8"/>
      <c r="R743" s="16"/>
      <c r="S743" s="16"/>
      <c r="T743" s="19"/>
      <c r="U743" s="16"/>
      <c r="V743" s="19"/>
      <c r="W743" s="160"/>
      <c r="X743" s="160"/>
      <c r="Y743" s="160"/>
      <c r="Z743" s="160"/>
      <c r="AA743" s="160"/>
      <c r="AB743" s="10"/>
      <c r="AD743" s="160"/>
    </row>
    <row r="744" spans="4:30" x14ac:dyDescent="0.2">
      <c r="D744" s="8"/>
      <c r="E744" s="6"/>
      <c r="G744" s="10"/>
      <c r="J744" s="142"/>
      <c r="K744" s="15"/>
      <c r="L744" s="15"/>
      <c r="M744" s="15"/>
      <c r="N744" s="16"/>
      <c r="O744" s="8"/>
      <c r="P744" s="8"/>
      <c r="Q744" s="8"/>
      <c r="R744" s="16"/>
      <c r="S744" s="16"/>
      <c r="T744" s="19"/>
      <c r="U744" s="16"/>
      <c r="V744" s="19"/>
      <c r="W744" s="160"/>
      <c r="X744" s="160"/>
      <c r="Y744" s="160"/>
      <c r="Z744" s="160"/>
      <c r="AA744" s="160"/>
      <c r="AB744" s="10"/>
      <c r="AD744" s="160"/>
    </row>
    <row r="745" spans="4:30" x14ac:dyDescent="0.2">
      <c r="D745" s="8"/>
      <c r="E745" s="6"/>
      <c r="G745" s="10"/>
      <c r="J745" s="142"/>
      <c r="K745" s="15"/>
      <c r="L745" s="15"/>
      <c r="M745" s="15"/>
      <c r="N745" s="16"/>
      <c r="O745" s="8"/>
      <c r="P745" s="8"/>
      <c r="Q745" s="8"/>
      <c r="R745" s="16"/>
      <c r="S745" s="16"/>
      <c r="T745" s="19"/>
      <c r="U745" s="16"/>
      <c r="V745" s="19"/>
      <c r="W745" s="160"/>
      <c r="X745" s="160"/>
      <c r="Y745" s="160"/>
      <c r="Z745" s="160"/>
      <c r="AA745" s="160"/>
      <c r="AB745" s="10"/>
      <c r="AD745" s="160"/>
    </row>
    <row r="746" spans="4:30" x14ac:dyDescent="0.2">
      <c r="D746" s="8"/>
      <c r="E746" s="6"/>
      <c r="G746" s="10"/>
      <c r="J746" s="142"/>
      <c r="K746" s="15"/>
      <c r="L746" s="15"/>
      <c r="M746" s="15"/>
      <c r="N746" s="16"/>
      <c r="O746" s="8"/>
      <c r="P746" s="8"/>
      <c r="Q746" s="8"/>
      <c r="R746" s="16"/>
      <c r="S746" s="16"/>
      <c r="T746" s="19"/>
      <c r="U746" s="16"/>
      <c r="V746" s="19"/>
      <c r="W746" s="160"/>
      <c r="X746" s="160"/>
      <c r="Y746" s="160"/>
      <c r="Z746" s="160"/>
      <c r="AA746" s="160"/>
      <c r="AB746" s="10"/>
      <c r="AD746" s="160"/>
    </row>
    <row r="747" spans="4:30" x14ac:dyDescent="0.2">
      <c r="D747" s="8"/>
      <c r="E747" s="6"/>
      <c r="G747" s="10"/>
      <c r="J747" s="142"/>
      <c r="K747" s="15"/>
      <c r="L747" s="15"/>
      <c r="M747" s="15"/>
      <c r="N747" s="16"/>
      <c r="O747" s="8"/>
      <c r="P747" s="8"/>
      <c r="Q747" s="8"/>
      <c r="R747" s="16"/>
      <c r="S747" s="16"/>
      <c r="T747" s="19"/>
      <c r="U747" s="16"/>
      <c r="V747" s="19"/>
      <c r="W747" s="160"/>
      <c r="X747" s="160"/>
      <c r="Y747" s="160"/>
      <c r="Z747" s="160"/>
      <c r="AA747" s="160"/>
      <c r="AB747" s="10"/>
      <c r="AD747" s="160"/>
    </row>
    <row r="748" spans="4:30" x14ac:dyDescent="0.2">
      <c r="D748" s="8"/>
      <c r="E748" s="6"/>
      <c r="G748" s="10"/>
      <c r="J748" s="142"/>
      <c r="K748" s="15"/>
      <c r="L748" s="15"/>
      <c r="M748" s="15"/>
      <c r="N748" s="16"/>
      <c r="O748" s="8"/>
      <c r="P748" s="8"/>
      <c r="Q748" s="8"/>
      <c r="R748" s="16"/>
      <c r="S748" s="16"/>
      <c r="T748" s="19"/>
      <c r="U748" s="16"/>
      <c r="V748" s="19"/>
      <c r="W748" s="160"/>
      <c r="X748" s="160"/>
      <c r="Y748" s="160"/>
      <c r="Z748" s="160"/>
      <c r="AA748" s="160"/>
      <c r="AB748" s="10"/>
      <c r="AD748" s="160"/>
    </row>
    <row r="749" spans="4:30" x14ac:dyDescent="0.2">
      <c r="D749" s="8"/>
      <c r="E749" s="6"/>
      <c r="G749" s="10"/>
      <c r="J749" s="142"/>
      <c r="K749" s="15"/>
      <c r="L749" s="15"/>
      <c r="M749" s="15"/>
      <c r="N749" s="16"/>
      <c r="O749" s="8"/>
      <c r="P749" s="8"/>
      <c r="Q749" s="8"/>
      <c r="R749" s="16"/>
      <c r="S749" s="16"/>
      <c r="T749" s="19"/>
      <c r="U749" s="16"/>
      <c r="V749" s="19"/>
      <c r="W749" s="160"/>
      <c r="X749" s="160"/>
      <c r="Y749" s="160"/>
      <c r="Z749" s="160"/>
      <c r="AA749" s="160"/>
      <c r="AB749" s="10"/>
      <c r="AD749" s="160"/>
    </row>
    <row r="750" spans="4:30" x14ac:dyDescent="0.2">
      <c r="D750" s="8"/>
      <c r="E750" s="6"/>
      <c r="G750" s="10"/>
      <c r="J750" s="142"/>
      <c r="K750" s="15"/>
      <c r="L750" s="15"/>
      <c r="M750" s="15"/>
      <c r="N750" s="16"/>
      <c r="O750" s="8"/>
      <c r="P750" s="8"/>
      <c r="Q750" s="8"/>
      <c r="R750" s="16"/>
      <c r="S750" s="16"/>
      <c r="T750" s="19"/>
      <c r="U750" s="16"/>
      <c r="V750" s="19"/>
      <c r="W750" s="160"/>
      <c r="X750" s="160"/>
      <c r="Y750" s="160"/>
      <c r="Z750" s="160"/>
      <c r="AA750" s="160"/>
      <c r="AB750" s="10"/>
      <c r="AD750" s="160"/>
    </row>
    <row r="751" spans="4:30" x14ac:dyDescent="0.2">
      <c r="D751" s="8"/>
      <c r="E751" s="6"/>
      <c r="G751" s="10"/>
      <c r="J751" s="142"/>
      <c r="K751" s="15"/>
      <c r="L751" s="15"/>
      <c r="M751" s="15"/>
      <c r="N751" s="16"/>
      <c r="O751" s="8"/>
      <c r="P751" s="8"/>
      <c r="Q751" s="8"/>
      <c r="R751" s="16"/>
      <c r="S751" s="16"/>
      <c r="T751" s="19"/>
      <c r="U751" s="16"/>
      <c r="V751" s="19"/>
      <c r="W751" s="160"/>
      <c r="X751" s="160"/>
      <c r="Y751" s="160"/>
      <c r="Z751" s="160"/>
      <c r="AA751" s="160"/>
      <c r="AB751" s="10"/>
      <c r="AD751" s="160"/>
    </row>
    <row r="752" spans="4:30" x14ac:dyDescent="0.2">
      <c r="D752" s="8"/>
      <c r="E752" s="6"/>
      <c r="G752" s="10"/>
      <c r="J752" s="142"/>
      <c r="K752" s="15"/>
      <c r="L752" s="15"/>
      <c r="M752" s="15"/>
      <c r="N752" s="16"/>
      <c r="O752" s="8"/>
      <c r="P752" s="8"/>
      <c r="Q752" s="8"/>
      <c r="R752" s="16"/>
      <c r="S752" s="16"/>
      <c r="T752" s="19"/>
      <c r="U752" s="16"/>
      <c r="V752" s="19"/>
      <c r="W752" s="160"/>
      <c r="X752" s="160"/>
      <c r="Y752" s="160"/>
      <c r="Z752" s="160"/>
      <c r="AA752" s="160"/>
      <c r="AB752" s="10"/>
      <c r="AD752" s="160"/>
    </row>
    <row r="753" spans="4:30" x14ac:dyDescent="0.2">
      <c r="D753" s="8"/>
      <c r="E753" s="6"/>
      <c r="G753" s="10"/>
      <c r="J753" s="142"/>
      <c r="K753" s="15"/>
      <c r="L753" s="15"/>
      <c r="M753" s="15"/>
      <c r="N753" s="16"/>
      <c r="O753" s="8"/>
      <c r="P753" s="8"/>
      <c r="Q753" s="8"/>
      <c r="R753" s="16"/>
      <c r="S753" s="16"/>
      <c r="T753" s="19"/>
      <c r="U753" s="16"/>
      <c r="V753" s="19"/>
      <c r="W753" s="160"/>
      <c r="X753" s="160"/>
      <c r="Y753" s="160"/>
      <c r="Z753" s="160"/>
      <c r="AA753" s="160"/>
      <c r="AB753" s="10"/>
      <c r="AD753" s="160"/>
    </row>
    <row r="754" spans="4:30" x14ac:dyDescent="0.2">
      <c r="D754" s="8"/>
      <c r="E754" s="6"/>
      <c r="G754" s="10"/>
      <c r="J754" s="142"/>
      <c r="K754" s="15"/>
      <c r="L754" s="15"/>
      <c r="M754" s="15"/>
      <c r="N754" s="16"/>
      <c r="O754" s="8"/>
      <c r="P754" s="8"/>
      <c r="Q754" s="8"/>
      <c r="R754" s="16"/>
      <c r="S754" s="16"/>
      <c r="T754" s="19"/>
      <c r="U754" s="16"/>
      <c r="V754" s="19"/>
      <c r="W754" s="160"/>
      <c r="X754" s="160"/>
      <c r="Y754" s="160"/>
      <c r="Z754" s="160"/>
      <c r="AA754" s="160"/>
      <c r="AB754" s="10"/>
      <c r="AD754" s="160"/>
    </row>
    <row r="755" spans="4:30" x14ac:dyDescent="0.2">
      <c r="D755" s="8"/>
      <c r="E755" s="6"/>
      <c r="G755" s="10"/>
      <c r="J755" s="142"/>
      <c r="K755" s="15"/>
      <c r="L755" s="15"/>
      <c r="M755" s="15"/>
      <c r="N755" s="16"/>
      <c r="O755" s="8"/>
      <c r="P755" s="8"/>
      <c r="Q755" s="8"/>
      <c r="R755" s="16"/>
      <c r="S755" s="16"/>
      <c r="T755" s="19"/>
      <c r="U755" s="16"/>
      <c r="V755" s="19"/>
      <c r="W755" s="160"/>
      <c r="X755" s="160"/>
      <c r="Y755" s="160"/>
      <c r="Z755" s="160"/>
      <c r="AA755" s="160"/>
      <c r="AB755" s="10"/>
      <c r="AD755" s="160"/>
    </row>
    <row r="756" spans="4:30" x14ac:dyDescent="0.2">
      <c r="D756" s="8"/>
      <c r="E756" s="6"/>
      <c r="G756" s="10"/>
      <c r="J756" s="142"/>
      <c r="K756" s="15"/>
      <c r="L756" s="15"/>
      <c r="M756" s="15"/>
      <c r="N756" s="16"/>
      <c r="O756" s="8"/>
      <c r="P756" s="8"/>
      <c r="Q756" s="8"/>
      <c r="R756" s="16"/>
      <c r="S756" s="16"/>
      <c r="T756" s="19"/>
      <c r="U756" s="16"/>
      <c r="V756" s="19"/>
      <c r="W756" s="160"/>
      <c r="X756" s="160"/>
      <c r="Y756" s="160"/>
      <c r="Z756" s="160"/>
      <c r="AA756" s="160"/>
      <c r="AB756" s="10"/>
      <c r="AD756" s="160"/>
    </row>
    <row r="757" spans="4:30" x14ac:dyDescent="0.2">
      <c r="D757" s="8"/>
      <c r="E757" s="6"/>
      <c r="G757" s="10"/>
      <c r="J757" s="142"/>
      <c r="K757" s="15"/>
      <c r="L757" s="15"/>
      <c r="M757" s="15"/>
      <c r="N757" s="16"/>
      <c r="O757" s="8"/>
      <c r="P757" s="8"/>
      <c r="Q757" s="8"/>
      <c r="R757" s="16"/>
      <c r="S757" s="16"/>
      <c r="T757" s="19"/>
      <c r="U757" s="16"/>
      <c r="V757" s="19"/>
      <c r="W757" s="160"/>
      <c r="X757" s="160"/>
      <c r="Y757" s="160"/>
      <c r="Z757" s="160"/>
      <c r="AA757" s="160"/>
      <c r="AB757" s="10"/>
      <c r="AD757" s="160"/>
    </row>
    <row r="758" spans="4:30" x14ac:dyDescent="0.2">
      <c r="D758" s="8"/>
      <c r="E758" s="6"/>
      <c r="G758" s="10"/>
      <c r="J758" s="142"/>
      <c r="K758" s="15"/>
      <c r="L758" s="15"/>
      <c r="M758" s="15"/>
      <c r="N758" s="16"/>
      <c r="O758" s="8"/>
      <c r="P758" s="8"/>
      <c r="Q758" s="8"/>
      <c r="R758" s="16"/>
      <c r="S758" s="16"/>
      <c r="T758" s="19"/>
      <c r="U758" s="16"/>
      <c r="V758" s="19"/>
      <c r="W758" s="160"/>
      <c r="X758" s="160"/>
      <c r="Y758" s="160"/>
      <c r="Z758" s="160"/>
      <c r="AA758" s="160"/>
      <c r="AB758" s="10"/>
      <c r="AD758" s="160"/>
    </row>
    <row r="759" spans="4:30" x14ac:dyDescent="0.2">
      <c r="D759" s="8"/>
      <c r="E759" s="6"/>
      <c r="G759" s="10"/>
      <c r="J759" s="142"/>
      <c r="K759" s="15"/>
      <c r="L759" s="15"/>
      <c r="M759" s="15"/>
      <c r="N759" s="16"/>
      <c r="O759" s="8"/>
      <c r="P759" s="8"/>
      <c r="Q759" s="8"/>
      <c r="R759" s="16"/>
      <c r="S759" s="16"/>
      <c r="T759" s="19"/>
      <c r="U759" s="16"/>
      <c r="V759" s="19"/>
      <c r="W759" s="160"/>
      <c r="X759" s="160"/>
      <c r="Y759" s="160"/>
      <c r="Z759" s="160"/>
      <c r="AA759" s="160"/>
      <c r="AB759" s="10"/>
      <c r="AD759" s="160"/>
    </row>
    <row r="760" spans="4:30" x14ac:dyDescent="0.2">
      <c r="D760" s="8"/>
      <c r="E760" s="6"/>
      <c r="G760" s="10"/>
      <c r="J760" s="142"/>
      <c r="K760" s="15"/>
      <c r="L760" s="15"/>
      <c r="M760" s="15"/>
      <c r="N760" s="16"/>
      <c r="O760" s="8"/>
      <c r="P760" s="8"/>
      <c r="Q760" s="8"/>
      <c r="R760" s="16"/>
      <c r="S760" s="16"/>
      <c r="T760" s="19"/>
      <c r="U760" s="16"/>
      <c r="V760" s="19"/>
      <c r="W760" s="160"/>
      <c r="X760" s="160"/>
      <c r="Y760" s="160"/>
      <c r="Z760" s="160"/>
      <c r="AA760" s="160"/>
      <c r="AB760" s="10"/>
      <c r="AD760" s="160"/>
    </row>
    <row r="761" spans="4:30" x14ac:dyDescent="0.2">
      <c r="D761" s="8"/>
      <c r="E761" s="6"/>
      <c r="G761" s="10"/>
      <c r="J761" s="142"/>
      <c r="K761" s="15"/>
      <c r="L761" s="15"/>
      <c r="M761" s="15"/>
      <c r="N761" s="16"/>
      <c r="O761" s="8"/>
      <c r="P761" s="8"/>
      <c r="Q761" s="8"/>
      <c r="R761" s="16"/>
      <c r="S761" s="16"/>
      <c r="T761" s="19"/>
      <c r="U761" s="16"/>
      <c r="V761" s="19"/>
      <c r="W761" s="160"/>
      <c r="X761" s="160"/>
      <c r="Y761" s="160"/>
      <c r="Z761" s="160"/>
      <c r="AA761" s="160"/>
      <c r="AB761" s="10"/>
      <c r="AD761" s="160"/>
    </row>
    <row r="762" spans="4:30" x14ac:dyDescent="0.2">
      <c r="D762" s="8"/>
      <c r="E762" s="6"/>
      <c r="G762" s="10"/>
      <c r="J762" s="142"/>
      <c r="K762" s="15"/>
      <c r="L762" s="15"/>
      <c r="M762" s="15"/>
      <c r="N762" s="16"/>
      <c r="O762" s="8"/>
      <c r="P762" s="8"/>
      <c r="Q762" s="8"/>
      <c r="R762" s="16"/>
      <c r="S762" s="16"/>
      <c r="T762" s="19"/>
      <c r="U762" s="16"/>
      <c r="V762" s="19"/>
      <c r="W762" s="160"/>
      <c r="X762" s="160"/>
      <c r="Y762" s="160"/>
      <c r="Z762" s="160"/>
      <c r="AA762" s="160"/>
      <c r="AB762" s="10"/>
      <c r="AD762" s="160"/>
    </row>
    <row r="763" spans="4:30" x14ac:dyDescent="0.2">
      <c r="D763" s="8"/>
      <c r="E763" s="6"/>
      <c r="G763" s="10"/>
      <c r="J763" s="142"/>
      <c r="K763" s="15"/>
      <c r="L763" s="15"/>
      <c r="M763" s="15"/>
      <c r="N763" s="16"/>
      <c r="O763" s="8"/>
      <c r="P763" s="8"/>
      <c r="Q763" s="8"/>
      <c r="R763" s="16"/>
      <c r="S763" s="16"/>
      <c r="T763" s="19"/>
      <c r="U763" s="16"/>
      <c r="V763" s="19"/>
      <c r="W763" s="160"/>
      <c r="X763" s="160"/>
      <c r="Y763" s="160"/>
      <c r="Z763" s="160"/>
      <c r="AA763" s="160"/>
      <c r="AB763" s="10"/>
      <c r="AD763" s="160"/>
    </row>
    <row r="764" spans="4:30" x14ac:dyDescent="0.2">
      <c r="D764" s="8"/>
      <c r="E764" s="6"/>
      <c r="G764" s="10"/>
      <c r="J764" s="142"/>
      <c r="K764" s="15"/>
      <c r="L764" s="15"/>
      <c r="M764" s="15"/>
      <c r="N764" s="16"/>
      <c r="O764" s="8"/>
      <c r="P764" s="8"/>
      <c r="Q764" s="8"/>
      <c r="R764" s="16"/>
      <c r="S764" s="16"/>
      <c r="T764" s="19"/>
      <c r="U764" s="16"/>
      <c r="V764" s="19"/>
      <c r="W764" s="160"/>
      <c r="X764" s="160"/>
      <c r="Y764" s="160"/>
      <c r="Z764" s="160"/>
      <c r="AA764" s="160"/>
      <c r="AB764" s="10"/>
      <c r="AD764" s="160"/>
    </row>
    <row r="765" spans="4:30" x14ac:dyDescent="0.2">
      <c r="D765" s="8"/>
      <c r="E765" s="6"/>
      <c r="G765" s="10"/>
      <c r="J765" s="142"/>
      <c r="K765" s="15"/>
      <c r="L765" s="15"/>
      <c r="M765" s="15"/>
      <c r="N765" s="16"/>
      <c r="O765" s="8"/>
      <c r="P765" s="8"/>
      <c r="Q765" s="8"/>
      <c r="R765" s="16"/>
      <c r="S765" s="16"/>
      <c r="T765" s="19"/>
      <c r="U765" s="16"/>
      <c r="V765" s="19"/>
      <c r="W765" s="160"/>
      <c r="X765" s="160"/>
      <c r="Y765" s="160"/>
      <c r="Z765" s="160"/>
      <c r="AA765" s="160"/>
      <c r="AB765" s="10"/>
      <c r="AD765" s="160"/>
    </row>
    <row r="766" spans="4:30" x14ac:dyDescent="0.2">
      <c r="D766" s="8"/>
      <c r="E766" s="6"/>
      <c r="G766" s="10"/>
      <c r="J766" s="142"/>
      <c r="K766" s="15"/>
      <c r="L766" s="15"/>
      <c r="M766" s="15"/>
      <c r="N766" s="16"/>
      <c r="O766" s="8"/>
      <c r="P766" s="8"/>
      <c r="Q766" s="8"/>
      <c r="R766" s="16"/>
      <c r="S766" s="16"/>
      <c r="T766" s="19"/>
      <c r="U766" s="16"/>
      <c r="V766" s="19"/>
      <c r="W766" s="160"/>
      <c r="X766" s="160"/>
      <c r="Y766" s="160"/>
      <c r="Z766" s="160"/>
      <c r="AA766" s="160"/>
      <c r="AB766" s="10"/>
      <c r="AD766" s="160"/>
    </row>
    <row r="767" spans="4:30" x14ac:dyDescent="0.2">
      <c r="D767" s="8"/>
      <c r="E767" s="6"/>
      <c r="G767" s="10"/>
      <c r="J767" s="142"/>
      <c r="K767" s="15"/>
      <c r="L767" s="15"/>
      <c r="M767" s="15"/>
      <c r="N767" s="16"/>
      <c r="O767" s="8"/>
      <c r="P767" s="8"/>
      <c r="Q767" s="8"/>
      <c r="R767" s="16"/>
      <c r="S767" s="16"/>
      <c r="T767" s="19"/>
      <c r="U767" s="16"/>
      <c r="V767" s="19"/>
      <c r="W767" s="160"/>
      <c r="X767" s="160"/>
      <c r="Y767" s="160"/>
      <c r="Z767" s="160"/>
      <c r="AA767" s="160"/>
      <c r="AB767" s="10"/>
      <c r="AD767" s="160"/>
    </row>
    <row r="768" spans="4:30" x14ac:dyDescent="0.2">
      <c r="D768" s="8"/>
      <c r="E768" s="6"/>
      <c r="G768" s="10"/>
      <c r="J768" s="142"/>
      <c r="K768" s="15"/>
      <c r="L768" s="15"/>
      <c r="M768" s="15"/>
      <c r="N768" s="16"/>
      <c r="O768" s="8"/>
      <c r="P768" s="8"/>
      <c r="Q768" s="8"/>
      <c r="R768" s="16"/>
      <c r="S768" s="16"/>
      <c r="T768" s="19"/>
      <c r="U768" s="16"/>
      <c r="V768" s="19"/>
      <c r="W768" s="160"/>
      <c r="X768" s="160"/>
      <c r="Y768" s="160"/>
      <c r="Z768" s="160"/>
      <c r="AA768" s="160"/>
      <c r="AB768" s="10"/>
      <c r="AD768" s="160"/>
    </row>
    <row r="769" spans="4:30" x14ac:dyDescent="0.2">
      <c r="D769" s="8"/>
      <c r="E769" s="6"/>
      <c r="G769" s="10"/>
      <c r="J769" s="142"/>
      <c r="K769" s="15"/>
      <c r="L769" s="15"/>
      <c r="M769" s="15"/>
      <c r="N769" s="16"/>
      <c r="O769" s="8"/>
      <c r="P769" s="8"/>
      <c r="Q769" s="8"/>
      <c r="R769" s="16"/>
      <c r="S769" s="16"/>
      <c r="T769" s="19"/>
      <c r="U769" s="16"/>
      <c r="V769" s="19"/>
      <c r="W769" s="160"/>
      <c r="X769" s="160"/>
      <c r="Y769" s="160"/>
      <c r="Z769" s="160"/>
      <c r="AA769" s="160"/>
      <c r="AB769" s="10"/>
      <c r="AD769" s="160"/>
    </row>
    <row r="770" spans="4:30" x14ac:dyDescent="0.2">
      <c r="D770" s="8"/>
      <c r="E770" s="6"/>
      <c r="G770" s="10"/>
      <c r="J770" s="142"/>
      <c r="K770" s="15"/>
      <c r="L770" s="15"/>
      <c r="M770" s="15"/>
      <c r="N770" s="16"/>
      <c r="O770" s="8"/>
      <c r="P770" s="8"/>
      <c r="Q770" s="8"/>
      <c r="R770" s="16"/>
      <c r="S770" s="16"/>
      <c r="T770" s="19"/>
      <c r="U770" s="16"/>
      <c r="V770" s="19"/>
      <c r="W770" s="160"/>
      <c r="X770" s="160"/>
      <c r="Y770" s="160"/>
      <c r="Z770" s="160"/>
      <c r="AA770" s="160"/>
      <c r="AB770" s="10"/>
      <c r="AD770" s="160"/>
    </row>
    <row r="771" spans="4:30" x14ac:dyDescent="0.2">
      <c r="D771" s="8"/>
      <c r="E771" s="6"/>
      <c r="G771" s="10"/>
      <c r="J771" s="142"/>
      <c r="K771" s="15"/>
      <c r="L771" s="15"/>
      <c r="M771" s="15"/>
      <c r="N771" s="16"/>
      <c r="O771" s="8"/>
      <c r="P771" s="8"/>
      <c r="Q771" s="8"/>
      <c r="R771" s="16"/>
      <c r="S771" s="16"/>
      <c r="T771" s="19"/>
      <c r="U771" s="16"/>
      <c r="V771" s="19"/>
      <c r="W771" s="160"/>
      <c r="X771" s="160"/>
      <c r="Y771" s="160"/>
      <c r="Z771" s="160"/>
      <c r="AA771" s="160"/>
      <c r="AB771" s="10"/>
      <c r="AD771" s="160"/>
    </row>
    <row r="772" spans="4:30" x14ac:dyDescent="0.2">
      <c r="D772" s="8"/>
      <c r="E772" s="6"/>
      <c r="G772" s="10"/>
      <c r="J772" s="142"/>
      <c r="K772" s="15"/>
      <c r="L772" s="15"/>
      <c r="M772" s="15"/>
      <c r="N772" s="16"/>
      <c r="O772" s="8"/>
      <c r="P772" s="8"/>
      <c r="Q772" s="8"/>
      <c r="R772" s="16"/>
      <c r="S772" s="16"/>
      <c r="T772" s="19"/>
      <c r="U772" s="16"/>
      <c r="V772" s="19"/>
      <c r="W772" s="160"/>
      <c r="X772" s="160"/>
      <c r="Y772" s="160"/>
      <c r="Z772" s="160"/>
      <c r="AA772" s="160"/>
      <c r="AB772" s="10"/>
      <c r="AD772" s="160"/>
    </row>
    <row r="773" spans="4:30" x14ac:dyDescent="0.2">
      <c r="D773" s="8"/>
      <c r="E773" s="6"/>
      <c r="G773" s="10"/>
      <c r="J773" s="142"/>
      <c r="K773" s="15"/>
      <c r="L773" s="15"/>
      <c r="M773" s="15"/>
      <c r="N773" s="16"/>
      <c r="O773" s="8"/>
      <c r="P773" s="8"/>
      <c r="Q773" s="8"/>
      <c r="R773" s="16"/>
      <c r="S773" s="16"/>
      <c r="T773" s="19"/>
      <c r="U773" s="16"/>
      <c r="V773" s="19"/>
      <c r="W773" s="160"/>
      <c r="X773" s="160"/>
      <c r="Y773" s="160"/>
      <c r="Z773" s="160"/>
      <c r="AA773" s="160"/>
      <c r="AB773" s="10"/>
      <c r="AD773" s="160"/>
    </row>
    <row r="774" spans="4:30" x14ac:dyDescent="0.2">
      <c r="D774" s="8"/>
      <c r="E774" s="6"/>
      <c r="G774" s="10"/>
      <c r="J774" s="142"/>
      <c r="K774" s="15"/>
      <c r="L774" s="15"/>
      <c r="M774" s="15"/>
      <c r="N774" s="16"/>
      <c r="O774" s="8"/>
      <c r="P774" s="8"/>
      <c r="Q774" s="8"/>
      <c r="R774" s="16"/>
      <c r="S774" s="16"/>
      <c r="T774" s="19"/>
      <c r="U774" s="16"/>
      <c r="V774" s="19"/>
      <c r="W774" s="160"/>
      <c r="X774" s="160"/>
      <c r="Y774" s="160"/>
      <c r="Z774" s="160"/>
      <c r="AA774" s="160"/>
      <c r="AB774" s="10"/>
      <c r="AD774" s="160"/>
    </row>
    <row r="775" spans="4:30" x14ac:dyDescent="0.2">
      <c r="D775" s="8"/>
      <c r="E775" s="6"/>
      <c r="G775" s="10"/>
      <c r="J775" s="142"/>
      <c r="K775" s="15"/>
      <c r="L775" s="15"/>
      <c r="M775" s="15"/>
      <c r="N775" s="16"/>
      <c r="O775" s="8"/>
      <c r="P775" s="8"/>
      <c r="Q775" s="8"/>
      <c r="R775" s="16"/>
      <c r="S775" s="16"/>
      <c r="T775" s="19"/>
      <c r="U775" s="16"/>
      <c r="V775" s="19"/>
      <c r="W775" s="160"/>
      <c r="X775" s="160"/>
      <c r="Y775" s="160"/>
      <c r="Z775" s="160"/>
      <c r="AA775" s="160"/>
      <c r="AB775" s="10"/>
      <c r="AD775" s="160"/>
    </row>
    <row r="776" spans="4:30" x14ac:dyDescent="0.2">
      <c r="D776" s="8"/>
      <c r="E776" s="6"/>
      <c r="G776" s="10"/>
      <c r="J776" s="142"/>
      <c r="K776" s="15"/>
      <c r="L776" s="15"/>
      <c r="M776" s="15"/>
      <c r="N776" s="16"/>
      <c r="O776" s="8"/>
      <c r="P776" s="8"/>
      <c r="Q776" s="8"/>
      <c r="R776" s="16"/>
      <c r="S776" s="16"/>
      <c r="T776" s="19"/>
      <c r="U776" s="16"/>
      <c r="V776" s="19"/>
      <c r="W776" s="160"/>
      <c r="X776" s="160"/>
      <c r="Y776" s="160"/>
      <c r="Z776" s="160"/>
      <c r="AA776" s="160"/>
      <c r="AB776" s="10"/>
      <c r="AD776" s="160"/>
    </row>
    <row r="777" spans="4:30" x14ac:dyDescent="0.2">
      <c r="D777" s="8"/>
      <c r="E777" s="6"/>
      <c r="G777" s="10"/>
      <c r="J777" s="142"/>
      <c r="K777" s="15"/>
      <c r="L777" s="15"/>
      <c r="M777" s="15"/>
      <c r="N777" s="16"/>
      <c r="O777" s="8"/>
      <c r="P777" s="8"/>
      <c r="Q777" s="8"/>
      <c r="R777" s="16"/>
      <c r="S777" s="16"/>
      <c r="T777" s="19"/>
      <c r="U777" s="16"/>
      <c r="V777" s="19"/>
      <c r="W777" s="160"/>
      <c r="X777" s="160"/>
      <c r="Y777" s="160"/>
      <c r="Z777" s="160"/>
      <c r="AA777" s="160"/>
      <c r="AB777" s="10"/>
      <c r="AD777" s="160"/>
    </row>
    <row r="778" spans="4:30" x14ac:dyDescent="0.2">
      <c r="D778" s="8"/>
      <c r="E778" s="6"/>
      <c r="G778" s="10"/>
      <c r="J778" s="142"/>
      <c r="K778" s="15"/>
      <c r="L778" s="15"/>
      <c r="M778" s="15"/>
      <c r="N778" s="16"/>
      <c r="O778" s="8"/>
      <c r="P778" s="8"/>
      <c r="Q778" s="8"/>
      <c r="R778" s="16"/>
      <c r="S778" s="16"/>
      <c r="T778" s="19"/>
      <c r="U778" s="16"/>
      <c r="V778" s="19"/>
      <c r="W778" s="160"/>
      <c r="X778" s="160"/>
      <c r="Y778" s="160"/>
      <c r="Z778" s="160"/>
      <c r="AA778" s="160"/>
      <c r="AB778" s="10"/>
      <c r="AD778" s="160"/>
    </row>
    <row r="779" spans="4:30" x14ac:dyDescent="0.2">
      <c r="D779" s="8"/>
      <c r="E779" s="6"/>
      <c r="G779" s="10"/>
      <c r="J779" s="142"/>
      <c r="K779" s="15"/>
      <c r="L779" s="15"/>
      <c r="M779" s="15"/>
      <c r="N779" s="16"/>
      <c r="O779" s="8"/>
      <c r="P779" s="8"/>
      <c r="Q779" s="8"/>
      <c r="R779" s="16"/>
      <c r="S779" s="16"/>
      <c r="T779" s="19"/>
      <c r="U779" s="16"/>
      <c r="V779" s="19"/>
      <c r="W779" s="160"/>
      <c r="X779" s="160"/>
      <c r="Y779" s="160"/>
      <c r="Z779" s="160"/>
      <c r="AA779" s="160"/>
      <c r="AB779" s="10"/>
      <c r="AD779" s="160"/>
    </row>
    <row r="780" spans="4:30" x14ac:dyDescent="0.2">
      <c r="D780" s="8"/>
      <c r="E780" s="6"/>
      <c r="G780" s="10"/>
      <c r="J780" s="142"/>
      <c r="K780" s="15"/>
      <c r="L780" s="15"/>
      <c r="M780" s="15"/>
      <c r="N780" s="16"/>
      <c r="O780" s="8"/>
      <c r="P780" s="8"/>
      <c r="Q780" s="8"/>
      <c r="R780" s="16"/>
      <c r="S780" s="16"/>
      <c r="T780" s="19"/>
      <c r="U780" s="16"/>
      <c r="V780" s="19"/>
      <c r="W780" s="160"/>
      <c r="X780" s="160"/>
      <c r="Y780" s="160"/>
      <c r="Z780" s="160"/>
      <c r="AA780" s="160"/>
      <c r="AB780" s="10"/>
      <c r="AD780" s="160"/>
    </row>
    <row r="781" spans="4:30" x14ac:dyDescent="0.2">
      <c r="D781" s="8"/>
      <c r="E781" s="6"/>
      <c r="G781" s="10"/>
      <c r="J781" s="142"/>
      <c r="K781" s="15"/>
      <c r="L781" s="15"/>
      <c r="M781" s="15"/>
      <c r="N781" s="16"/>
      <c r="O781" s="8"/>
      <c r="P781" s="8"/>
      <c r="Q781" s="8"/>
      <c r="R781" s="16"/>
      <c r="S781" s="16"/>
      <c r="T781" s="19"/>
      <c r="U781" s="16"/>
      <c r="V781" s="19"/>
      <c r="W781" s="160"/>
      <c r="X781" s="160"/>
      <c r="Y781" s="160"/>
      <c r="Z781" s="160"/>
      <c r="AA781" s="160"/>
      <c r="AB781" s="10"/>
      <c r="AD781" s="160"/>
    </row>
    <row r="782" spans="4:30" x14ac:dyDescent="0.2">
      <c r="D782" s="8"/>
      <c r="E782" s="6"/>
      <c r="G782" s="10"/>
      <c r="J782" s="142"/>
      <c r="K782" s="15"/>
      <c r="L782" s="15"/>
      <c r="M782" s="15"/>
      <c r="N782" s="16"/>
      <c r="O782" s="8"/>
      <c r="P782" s="8"/>
      <c r="Q782" s="8"/>
      <c r="R782" s="16"/>
      <c r="S782" s="16"/>
      <c r="T782" s="19"/>
      <c r="U782" s="16"/>
      <c r="V782" s="19"/>
      <c r="W782" s="160"/>
      <c r="X782" s="160"/>
      <c r="Y782" s="160"/>
      <c r="Z782" s="160"/>
      <c r="AA782" s="160"/>
      <c r="AB782" s="10"/>
      <c r="AD782" s="160"/>
    </row>
    <row r="783" spans="4:30" x14ac:dyDescent="0.2">
      <c r="D783" s="8"/>
      <c r="E783" s="6"/>
      <c r="G783" s="10"/>
      <c r="J783" s="142"/>
      <c r="K783" s="15"/>
      <c r="L783" s="15"/>
      <c r="M783" s="15"/>
      <c r="N783" s="16"/>
      <c r="O783" s="8"/>
      <c r="P783" s="8"/>
      <c r="Q783" s="8"/>
      <c r="R783" s="16"/>
      <c r="S783" s="16"/>
      <c r="T783" s="19"/>
      <c r="U783" s="16"/>
      <c r="V783" s="19"/>
      <c r="W783" s="160"/>
      <c r="X783" s="160"/>
      <c r="Y783" s="160"/>
      <c r="Z783" s="160"/>
      <c r="AA783" s="160"/>
      <c r="AB783" s="10"/>
      <c r="AD783" s="160"/>
    </row>
    <row r="784" spans="4:30" x14ac:dyDescent="0.2">
      <c r="D784" s="8"/>
      <c r="E784" s="6"/>
      <c r="G784" s="10"/>
      <c r="J784" s="142"/>
      <c r="K784" s="15"/>
      <c r="L784" s="15"/>
      <c r="M784" s="15"/>
      <c r="N784" s="16"/>
      <c r="O784" s="8"/>
      <c r="P784" s="8"/>
      <c r="Q784" s="8"/>
      <c r="R784" s="16"/>
      <c r="S784" s="16"/>
      <c r="T784" s="19"/>
      <c r="U784" s="16"/>
      <c r="V784" s="19"/>
      <c r="W784" s="160"/>
      <c r="X784" s="160"/>
      <c r="Y784" s="160"/>
      <c r="Z784" s="160"/>
      <c r="AA784" s="160"/>
      <c r="AB784" s="10"/>
      <c r="AD784" s="160"/>
    </row>
    <row r="785" spans="4:30" x14ac:dyDescent="0.2">
      <c r="D785" s="8"/>
      <c r="E785" s="6"/>
      <c r="G785" s="10"/>
      <c r="J785" s="142"/>
      <c r="K785" s="15"/>
      <c r="L785" s="15"/>
      <c r="M785" s="15"/>
      <c r="N785" s="16"/>
      <c r="O785" s="8"/>
      <c r="P785" s="8"/>
      <c r="Q785" s="8"/>
      <c r="R785" s="16"/>
      <c r="S785" s="16"/>
      <c r="T785" s="19"/>
      <c r="U785" s="16"/>
      <c r="V785" s="19"/>
      <c r="W785" s="160"/>
      <c r="X785" s="160"/>
      <c r="Y785" s="160"/>
      <c r="Z785" s="160"/>
      <c r="AA785" s="160"/>
      <c r="AB785" s="10"/>
      <c r="AD785" s="160"/>
    </row>
    <row r="786" spans="4:30" x14ac:dyDescent="0.2">
      <c r="D786" s="8"/>
      <c r="E786" s="6"/>
      <c r="G786" s="10"/>
      <c r="J786" s="142"/>
      <c r="K786" s="15"/>
      <c r="L786" s="15"/>
      <c r="M786" s="15"/>
      <c r="N786" s="16"/>
      <c r="O786" s="8"/>
      <c r="P786" s="8"/>
      <c r="Q786" s="8"/>
      <c r="R786" s="16"/>
      <c r="S786" s="16"/>
      <c r="T786" s="19"/>
      <c r="U786" s="16"/>
      <c r="V786" s="19"/>
      <c r="W786" s="160"/>
      <c r="X786" s="160"/>
      <c r="Y786" s="160"/>
      <c r="Z786" s="160"/>
      <c r="AA786" s="160"/>
      <c r="AB786" s="10"/>
      <c r="AD786" s="160"/>
    </row>
    <row r="787" spans="4:30" x14ac:dyDescent="0.2">
      <c r="D787" s="8"/>
      <c r="E787" s="6"/>
      <c r="G787" s="10"/>
      <c r="J787" s="142"/>
      <c r="K787" s="15"/>
      <c r="L787" s="15"/>
      <c r="M787" s="15"/>
      <c r="N787" s="16"/>
      <c r="O787" s="8"/>
      <c r="P787" s="8"/>
      <c r="Q787" s="8"/>
      <c r="R787" s="16"/>
      <c r="S787" s="16"/>
      <c r="T787" s="19"/>
      <c r="U787" s="16"/>
      <c r="V787" s="19"/>
      <c r="W787" s="160"/>
      <c r="X787" s="160"/>
      <c r="Y787" s="160"/>
      <c r="Z787" s="160"/>
      <c r="AA787" s="160"/>
      <c r="AB787" s="10"/>
      <c r="AD787" s="160"/>
    </row>
    <row r="788" spans="4:30" x14ac:dyDescent="0.2">
      <c r="D788" s="8"/>
      <c r="E788" s="6"/>
      <c r="G788" s="10"/>
      <c r="J788" s="142"/>
      <c r="K788" s="15"/>
      <c r="L788" s="15"/>
      <c r="M788" s="15"/>
      <c r="N788" s="16"/>
      <c r="O788" s="8"/>
      <c r="P788" s="8"/>
      <c r="Q788" s="8"/>
      <c r="R788" s="16"/>
      <c r="S788" s="16"/>
      <c r="T788" s="19"/>
      <c r="U788" s="16"/>
      <c r="V788" s="19"/>
      <c r="W788" s="160"/>
      <c r="X788" s="160"/>
      <c r="Y788" s="160"/>
      <c r="Z788" s="160"/>
      <c r="AA788" s="160"/>
      <c r="AB788" s="10"/>
      <c r="AD788" s="160"/>
    </row>
    <row r="789" spans="4:30" x14ac:dyDescent="0.2">
      <c r="D789" s="8"/>
      <c r="E789" s="6"/>
      <c r="G789" s="10"/>
      <c r="J789" s="142"/>
      <c r="K789" s="15"/>
      <c r="L789" s="15"/>
      <c r="M789" s="15"/>
      <c r="N789" s="16"/>
      <c r="O789" s="8"/>
      <c r="P789" s="8"/>
      <c r="Q789" s="8"/>
      <c r="R789" s="16"/>
      <c r="S789" s="16"/>
      <c r="T789" s="19"/>
      <c r="U789" s="16"/>
      <c r="V789" s="19"/>
      <c r="W789" s="160"/>
      <c r="X789" s="160"/>
      <c r="Y789" s="160"/>
      <c r="Z789" s="160"/>
      <c r="AA789" s="160"/>
      <c r="AB789" s="10"/>
      <c r="AD789" s="160"/>
    </row>
    <row r="790" spans="4:30" x14ac:dyDescent="0.2">
      <c r="D790" s="8"/>
      <c r="E790" s="6"/>
      <c r="G790" s="10"/>
      <c r="J790" s="142"/>
      <c r="K790" s="15"/>
      <c r="L790" s="15"/>
      <c r="M790" s="15"/>
      <c r="N790" s="16"/>
      <c r="O790" s="8"/>
      <c r="P790" s="8"/>
      <c r="Q790" s="8"/>
      <c r="R790" s="16"/>
      <c r="S790" s="16"/>
      <c r="T790" s="19"/>
      <c r="U790" s="16"/>
      <c r="V790" s="19"/>
      <c r="W790" s="160"/>
      <c r="X790" s="160"/>
      <c r="Y790" s="160"/>
      <c r="Z790" s="160"/>
      <c r="AA790" s="160"/>
      <c r="AB790" s="10"/>
      <c r="AD790" s="160"/>
    </row>
    <row r="791" spans="4:30" x14ac:dyDescent="0.2">
      <c r="D791" s="8"/>
      <c r="E791" s="6"/>
      <c r="G791" s="10"/>
      <c r="J791" s="142"/>
      <c r="K791" s="15"/>
      <c r="L791" s="15"/>
      <c r="M791" s="15"/>
      <c r="N791" s="16"/>
      <c r="O791" s="8"/>
      <c r="P791" s="8"/>
      <c r="Q791" s="8"/>
      <c r="R791" s="16"/>
      <c r="S791" s="16"/>
      <c r="T791" s="19"/>
      <c r="U791" s="16"/>
      <c r="V791" s="19"/>
      <c r="W791" s="160"/>
      <c r="X791" s="160"/>
      <c r="Y791" s="160"/>
      <c r="Z791" s="160"/>
      <c r="AA791" s="160"/>
      <c r="AB791" s="10"/>
      <c r="AD791" s="160"/>
    </row>
    <row r="792" spans="4:30" x14ac:dyDescent="0.2">
      <c r="D792" s="8"/>
      <c r="E792" s="6"/>
      <c r="G792" s="10"/>
      <c r="J792" s="142"/>
      <c r="K792" s="15"/>
      <c r="L792" s="15"/>
      <c r="M792" s="15"/>
      <c r="N792" s="16"/>
      <c r="O792" s="8"/>
      <c r="P792" s="8"/>
      <c r="Q792" s="8"/>
      <c r="R792" s="16"/>
      <c r="S792" s="16"/>
      <c r="T792" s="19"/>
      <c r="U792" s="16"/>
      <c r="V792" s="19"/>
      <c r="W792" s="160"/>
      <c r="X792" s="160"/>
      <c r="Y792" s="160"/>
      <c r="Z792" s="160"/>
      <c r="AA792" s="160"/>
      <c r="AB792" s="10"/>
      <c r="AD792" s="160"/>
    </row>
    <row r="793" spans="4:30" x14ac:dyDescent="0.2">
      <c r="D793" s="8"/>
      <c r="E793" s="6"/>
      <c r="G793" s="10"/>
      <c r="J793" s="142"/>
      <c r="K793" s="15"/>
      <c r="L793" s="15"/>
      <c r="M793" s="15"/>
      <c r="N793" s="16"/>
      <c r="O793" s="8"/>
      <c r="P793" s="8"/>
      <c r="Q793" s="8"/>
      <c r="R793" s="16"/>
      <c r="S793" s="16"/>
      <c r="T793" s="19"/>
      <c r="U793" s="16"/>
      <c r="V793" s="19"/>
      <c r="W793" s="160"/>
      <c r="X793" s="160"/>
      <c r="Y793" s="160"/>
      <c r="Z793" s="160"/>
      <c r="AA793" s="160"/>
      <c r="AB793" s="10"/>
      <c r="AD793" s="160"/>
    </row>
    <row r="794" spans="4:30" x14ac:dyDescent="0.2">
      <c r="D794" s="8"/>
      <c r="E794" s="6"/>
      <c r="G794" s="10"/>
      <c r="J794" s="142"/>
      <c r="K794" s="15"/>
      <c r="L794" s="15"/>
      <c r="M794" s="15"/>
      <c r="N794" s="16"/>
      <c r="O794" s="8"/>
      <c r="P794" s="8"/>
      <c r="Q794" s="8"/>
      <c r="R794" s="16"/>
      <c r="S794" s="16"/>
      <c r="T794" s="19"/>
      <c r="U794" s="16"/>
      <c r="V794" s="19"/>
      <c r="W794" s="160"/>
      <c r="X794" s="160"/>
      <c r="Y794" s="160"/>
      <c r="Z794" s="160"/>
      <c r="AA794" s="160"/>
      <c r="AB794" s="10"/>
      <c r="AD794" s="160"/>
    </row>
    <row r="795" spans="4:30" x14ac:dyDescent="0.2">
      <c r="D795" s="8"/>
      <c r="E795" s="6"/>
      <c r="G795" s="10"/>
      <c r="J795" s="142"/>
      <c r="K795" s="15"/>
      <c r="L795" s="15"/>
      <c r="M795" s="15"/>
      <c r="N795" s="16"/>
      <c r="O795" s="8"/>
      <c r="P795" s="8"/>
      <c r="Q795" s="8"/>
      <c r="R795" s="16"/>
      <c r="S795" s="16"/>
      <c r="T795" s="19"/>
      <c r="U795" s="16"/>
      <c r="V795" s="19"/>
      <c r="W795" s="160"/>
      <c r="X795" s="160"/>
      <c r="Y795" s="160"/>
      <c r="Z795" s="160"/>
      <c r="AA795" s="160"/>
      <c r="AB795" s="10"/>
      <c r="AD795" s="160"/>
    </row>
    <row r="796" spans="4:30" x14ac:dyDescent="0.2">
      <c r="D796" s="8"/>
      <c r="E796" s="6"/>
      <c r="G796" s="10"/>
      <c r="J796" s="142"/>
      <c r="K796" s="15"/>
      <c r="L796" s="15"/>
      <c r="M796" s="15"/>
      <c r="N796" s="16"/>
      <c r="O796" s="8"/>
      <c r="P796" s="8"/>
      <c r="Q796" s="8"/>
      <c r="R796" s="16"/>
      <c r="S796" s="16"/>
      <c r="T796" s="19"/>
      <c r="U796" s="16"/>
      <c r="V796" s="19"/>
      <c r="W796" s="160"/>
      <c r="X796" s="160"/>
      <c r="Y796" s="160"/>
      <c r="Z796" s="160"/>
      <c r="AA796" s="160"/>
      <c r="AB796" s="10"/>
      <c r="AD796" s="160"/>
    </row>
    <row r="797" spans="4:30" x14ac:dyDescent="0.2">
      <c r="D797" s="8"/>
      <c r="E797" s="6"/>
      <c r="G797" s="10"/>
      <c r="J797" s="142"/>
      <c r="K797" s="15"/>
      <c r="L797" s="15"/>
      <c r="M797" s="15"/>
      <c r="N797" s="16"/>
      <c r="O797" s="8"/>
      <c r="P797" s="8"/>
      <c r="Q797" s="8"/>
      <c r="R797" s="16"/>
      <c r="S797" s="16"/>
      <c r="T797" s="19"/>
      <c r="U797" s="16"/>
      <c r="V797" s="19"/>
      <c r="W797" s="160"/>
      <c r="X797" s="160"/>
      <c r="Y797" s="160"/>
      <c r="Z797" s="160"/>
      <c r="AA797" s="160"/>
      <c r="AB797" s="10"/>
      <c r="AD797" s="160"/>
    </row>
    <row r="798" spans="4:30" x14ac:dyDescent="0.2">
      <c r="D798" s="8"/>
      <c r="E798" s="6"/>
      <c r="G798" s="10"/>
      <c r="J798" s="142"/>
      <c r="K798" s="15"/>
      <c r="L798" s="15"/>
      <c r="M798" s="15"/>
      <c r="N798" s="16"/>
      <c r="O798" s="8"/>
      <c r="P798" s="8"/>
      <c r="Q798" s="8"/>
      <c r="R798" s="16"/>
      <c r="S798" s="16"/>
      <c r="T798" s="19"/>
      <c r="U798" s="16"/>
      <c r="V798" s="19"/>
      <c r="W798" s="160"/>
      <c r="X798" s="160"/>
      <c r="Y798" s="160"/>
      <c r="Z798" s="160"/>
      <c r="AA798" s="160"/>
      <c r="AB798" s="10"/>
      <c r="AD798" s="160"/>
    </row>
    <row r="799" spans="4:30" x14ac:dyDescent="0.2">
      <c r="D799" s="8"/>
      <c r="E799" s="6"/>
      <c r="G799" s="10"/>
      <c r="J799" s="142"/>
      <c r="K799" s="15"/>
      <c r="L799" s="15"/>
      <c r="M799" s="15"/>
      <c r="N799" s="16"/>
      <c r="O799" s="8"/>
      <c r="P799" s="8"/>
      <c r="Q799" s="8"/>
      <c r="R799" s="16"/>
      <c r="S799" s="16"/>
      <c r="T799" s="19"/>
      <c r="U799" s="16"/>
      <c r="V799" s="19"/>
      <c r="W799" s="160"/>
      <c r="X799" s="160"/>
      <c r="Y799" s="160"/>
      <c r="Z799" s="160"/>
      <c r="AA799" s="160"/>
      <c r="AB799" s="10"/>
      <c r="AD799" s="160"/>
    </row>
    <row r="800" spans="4:30" x14ac:dyDescent="0.2">
      <c r="D800" s="8"/>
      <c r="E800" s="6"/>
      <c r="G800" s="10"/>
      <c r="J800" s="142"/>
      <c r="K800" s="15"/>
      <c r="L800" s="15"/>
      <c r="M800" s="15"/>
      <c r="N800" s="16"/>
      <c r="O800" s="8"/>
      <c r="P800" s="8"/>
      <c r="Q800" s="8"/>
      <c r="R800" s="16"/>
      <c r="S800" s="16"/>
      <c r="T800" s="19"/>
      <c r="U800" s="16"/>
      <c r="V800" s="19"/>
      <c r="W800" s="160"/>
      <c r="X800" s="160"/>
      <c r="Y800" s="160"/>
      <c r="Z800" s="160"/>
      <c r="AA800" s="160"/>
      <c r="AB800" s="10"/>
      <c r="AD800" s="160"/>
    </row>
    <row r="801" spans="4:30" x14ac:dyDescent="0.2">
      <c r="D801" s="8"/>
      <c r="E801" s="6"/>
      <c r="G801" s="10"/>
      <c r="J801" s="142"/>
      <c r="K801" s="15"/>
      <c r="L801" s="15"/>
      <c r="M801" s="15"/>
      <c r="N801" s="16"/>
      <c r="O801" s="8"/>
      <c r="P801" s="8"/>
      <c r="Q801" s="8"/>
      <c r="R801" s="16"/>
      <c r="S801" s="16"/>
      <c r="T801" s="19"/>
      <c r="U801" s="16"/>
      <c r="V801" s="19"/>
      <c r="W801" s="160"/>
      <c r="X801" s="160"/>
      <c r="Y801" s="160"/>
      <c r="Z801" s="160"/>
      <c r="AA801" s="160"/>
      <c r="AB801" s="10"/>
      <c r="AD801" s="160"/>
    </row>
    <row r="802" spans="4:30" x14ac:dyDescent="0.2">
      <c r="D802" s="8"/>
      <c r="E802" s="6"/>
      <c r="G802" s="10"/>
      <c r="J802" s="142"/>
      <c r="K802" s="15"/>
      <c r="L802" s="15"/>
      <c r="M802" s="15"/>
      <c r="N802" s="16"/>
      <c r="O802" s="8"/>
      <c r="P802" s="8"/>
      <c r="Q802" s="8"/>
      <c r="R802" s="16"/>
      <c r="S802" s="16"/>
      <c r="T802" s="19"/>
      <c r="U802" s="16"/>
      <c r="V802" s="19"/>
      <c r="W802" s="160"/>
      <c r="X802" s="160"/>
      <c r="Y802" s="160"/>
      <c r="Z802" s="160"/>
      <c r="AA802" s="160"/>
      <c r="AB802" s="10"/>
      <c r="AD802" s="160"/>
    </row>
    <row r="803" spans="4:30" x14ac:dyDescent="0.2">
      <c r="D803" s="8"/>
      <c r="E803" s="6"/>
      <c r="G803" s="10"/>
      <c r="J803" s="142"/>
      <c r="K803" s="15"/>
      <c r="L803" s="15"/>
      <c r="M803" s="15"/>
      <c r="N803" s="16"/>
      <c r="O803" s="8"/>
      <c r="P803" s="8"/>
      <c r="Q803" s="8"/>
      <c r="R803" s="16"/>
      <c r="S803" s="16"/>
      <c r="T803" s="19"/>
      <c r="U803" s="16"/>
      <c r="V803" s="19"/>
      <c r="W803" s="160"/>
      <c r="X803" s="160"/>
      <c r="Y803" s="160"/>
      <c r="Z803" s="160"/>
      <c r="AA803" s="160"/>
      <c r="AB803" s="10"/>
      <c r="AD803" s="160"/>
    </row>
    <row r="804" spans="4:30" x14ac:dyDescent="0.2">
      <c r="D804" s="8"/>
      <c r="E804" s="6"/>
      <c r="G804" s="10"/>
      <c r="J804" s="142"/>
      <c r="K804" s="15"/>
      <c r="L804" s="15"/>
      <c r="M804" s="15"/>
      <c r="N804" s="16"/>
      <c r="O804" s="8"/>
      <c r="P804" s="8"/>
      <c r="Q804" s="8"/>
      <c r="R804" s="16"/>
      <c r="S804" s="16"/>
      <c r="T804" s="19"/>
      <c r="U804" s="16"/>
      <c r="V804" s="19"/>
      <c r="W804" s="160"/>
      <c r="X804" s="160"/>
      <c r="Y804" s="160"/>
      <c r="Z804" s="160"/>
      <c r="AA804" s="160"/>
      <c r="AB804" s="10"/>
      <c r="AD804" s="160"/>
    </row>
    <row r="805" spans="4:30" x14ac:dyDescent="0.2">
      <c r="D805" s="8"/>
      <c r="E805" s="6"/>
      <c r="G805" s="10"/>
      <c r="J805" s="142"/>
      <c r="K805" s="15"/>
      <c r="L805" s="15"/>
      <c r="M805" s="15"/>
      <c r="N805" s="16"/>
      <c r="O805" s="8"/>
      <c r="P805" s="8"/>
      <c r="Q805" s="8"/>
      <c r="R805" s="16"/>
      <c r="S805" s="16"/>
      <c r="T805" s="19"/>
      <c r="U805" s="16"/>
      <c r="V805" s="19"/>
      <c r="W805" s="160"/>
      <c r="X805" s="160"/>
      <c r="Y805" s="160"/>
      <c r="Z805" s="160"/>
      <c r="AA805" s="160"/>
      <c r="AB805" s="10"/>
      <c r="AD805" s="160"/>
    </row>
    <row r="806" spans="4:30" x14ac:dyDescent="0.2">
      <c r="D806" s="8"/>
      <c r="E806" s="6"/>
      <c r="G806" s="10"/>
      <c r="J806" s="142"/>
      <c r="K806" s="15"/>
      <c r="L806" s="15"/>
      <c r="M806" s="15"/>
      <c r="N806" s="16"/>
      <c r="O806" s="8"/>
      <c r="P806" s="8"/>
      <c r="Q806" s="8"/>
      <c r="R806" s="16"/>
      <c r="S806" s="16"/>
      <c r="T806" s="19"/>
      <c r="U806" s="16"/>
      <c r="V806" s="19"/>
      <c r="W806" s="160"/>
      <c r="X806" s="160"/>
      <c r="Y806" s="160"/>
      <c r="Z806" s="160"/>
      <c r="AA806" s="160"/>
      <c r="AB806" s="10"/>
      <c r="AD806" s="160"/>
    </row>
    <row r="807" spans="4:30" x14ac:dyDescent="0.2">
      <c r="D807" s="8"/>
      <c r="E807" s="6"/>
      <c r="G807" s="10"/>
      <c r="J807" s="142"/>
      <c r="K807" s="15"/>
      <c r="L807" s="15"/>
      <c r="M807" s="15"/>
      <c r="N807" s="16"/>
      <c r="O807" s="8"/>
      <c r="P807" s="8"/>
      <c r="Q807" s="8"/>
      <c r="R807" s="16"/>
      <c r="S807" s="16"/>
      <c r="T807" s="19"/>
      <c r="U807" s="16"/>
      <c r="V807" s="19"/>
      <c r="W807" s="160"/>
      <c r="X807" s="160"/>
      <c r="Y807" s="160"/>
      <c r="Z807" s="160"/>
      <c r="AA807" s="160"/>
      <c r="AB807" s="10"/>
      <c r="AD807" s="160"/>
    </row>
    <row r="808" spans="4:30" x14ac:dyDescent="0.2">
      <c r="D808" s="8"/>
      <c r="E808" s="6"/>
      <c r="G808" s="10"/>
      <c r="J808" s="142"/>
      <c r="K808" s="15"/>
      <c r="L808" s="15"/>
      <c r="M808" s="15"/>
      <c r="N808" s="16"/>
      <c r="O808" s="8"/>
      <c r="P808" s="8"/>
      <c r="Q808" s="8"/>
      <c r="R808" s="16"/>
      <c r="S808" s="16"/>
      <c r="T808" s="19"/>
      <c r="U808" s="16"/>
      <c r="V808" s="19"/>
      <c r="W808" s="160"/>
      <c r="X808" s="160"/>
      <c r="Y808" s="160"/>
      <c r="Z808" s="160"/>
      <c r="AA808" s="160"/>
      <c r="AB808" s="10"/>
      <c r="AD808" s="160"/>
    </row>
    <row r="809" spans="4:30" x14ac:dyDescent="0.2">
      <c r="D809" s="8"/>
      <c r="E809" s="6"/>
      <c r="G809" s="10"/>
      <c r="J809" s="142"/>
      <c r="K809" s="15"/>
      <c r="L809" s="15"/>
      <c r="M809" s="15"/>
      <c r="N809" s="16"/>
      <c r="O809" s="8"/>
      <c r="P809" s="8"/>
      <c r="Q809" s="8"/>
      <c r="R809" s="16"/>
      <c r="S809" s="16"/>
      <c r="T809" s="19"/>
      <c r="U809" s="16"/>
      <c r="V809" s="19"/>
      <c r="W809" s="160"/>
      <c r="X809" s="160"/>
      <c r="Y809" s="160"/>
      <c r="Z809" s="160"/>
      <c r="AA809" s="160"/>
      <c r="AB809" s="10"/>
      <c r="AD809" s="160"/>
    </row>
    <row r="810" spans="4:30" x14ac:dyDescent="0.2">
      <c r="D810" s="8"/>
      <c r="E810" s="6"/>
      <c r="G810" s="10"/>
      <c r="J810" s="142"/>
      <c r="K810" s="15"/>
      <c r="L810" s="15"/>
      <c r="M810" s="15"/>
      <c r="N810" s="16"/>
      <c r="O810" s="8"/>
      <c r="P810" s="8"/>
      <c r="Q810" s="8"/>
      <c r="R810" s="16"/>
      <c r="S810" s="16"/>
      <c r="T810" s="19"/>
      <c r="U810" s="16"/>
      <c r="V810" s="19"/>
      <c r="W810" s="160"/>
      <c r="X810" s="160"/>
      <c r="Y810" s="160"/>
      <c r="Z810" s="160"/>
      <c r="AA810" s="160"/>
      <c r="AB810" s="10"/>
      <c r="AD810" s="160"/>
    </row>
    <row r="811" spans="4:30" x14ac:dyDescent="0.2">
      <c r="D811" s="8"/>
      <c r="E811" s="6"/>
      <c r="G811" s="10"/>
      <c r="J811" s="142"/>
      <c r="K811" s="15"/>
      <c r="L811" s="15"/>
      <c r="M811" s="15"/>
      <c r="N811" s="16"/>
      <c r="O811" s="8"/>
      <c r="P811" s="8"/>
      <c r="Q811" s="8"/>
      <c r="R811" s="16"/>
      <c r="S811" s="16"/>
      <c r="T811" s="19"/>
      <c r="U811" s="16"/>
      <c r="V811" s="19"/>
      <c r="W811" s="160"/>
      <c r="X811" s="160"/>
      <c r="Y811" s="160"/>
      <c r="Z811" s="160"/>
      <c r="AA811" s="160"/>
      <c r="AB811" s="10"/>
      <c r="AD811" s="160"/>
    </row>
    <row r="812" spans="4:30" x14ac:dyDescent="0.2">
      <c r="D812" s="8"/>
      <c r="E812" s="6"/>
      <c r="G812" s="10"/>
      <c r="J812" s="142"/>
      <c r="K812" s="15"/>
      <c r="L812" s="15"/>
      <c r="M812" s="15"/>
      <c r="N812" s="16"/>
      <c r="O812" s="8"/>
      <c r="P812" s="8"/>
      <c r="Q812" s="8"/>
      <c r="R812" s="16"/>
      <c r="S812" s="16"/>
      <c r="T812" s="19"/>
      <c r="U812" s="16"/>
      <c r="V812" s="19"/>
      <c r="W812" s="160"/>
      <c r="X812" s="160"/>
      <c r="Y812" s="160"/>
      <c r="Z812" s="160"/>
      <c r="AA812" s="160"/>
      <c r="AB812" s="10"/>
      <c r="AD812" s="160"/>
    </row>
    <row r="813" spans="4:30" x14ac:dyDescent="0.2">
      <c r="D813" s="8"/>
      <c r="E813" s="6"/>
      <c r="G813" s="10"/>
      <c r="J813" s="142"/>
      <c r="K813" s="15"/>
      <c r="L813" s="15"/>
      <c r="M813" s="15"/>
      <c r="N813" s="16"/>
      <c r="O813" s="8"/>
      <c r="P813" s="8"/>
      <c r="Q813" s="8"/>
      <c r="R813" s="16"/>
      <c r="S813" s="16"/>
      <c r="T813" s="19"/>
      <c r="U813" s="16"/>
      <c r="V813" s="19"/>
      <c r="W813" s="160"/>
      <c r="X813" s="160"/>
      <c r="Y813" s="160"/>
      <c r="Z813" s="160"/>
      <c r="AA813" s="160"/>
      <c r="AB813" s="10"/>
      <c r="AD813" s="160"/>
    </row>
    <row r="814" spans="4:30" x14ac:dyDescent="0.2">
      <c r="D814" s="8"/>
      <c r="E814" s="6"/>
      <c r="G814" s="10"/>
      <c r="J814" s="142"/>
      <c r="K814" s="15"/>
      <c r="L814" s="15"/>
      <c r="M814" s="15"/>
      <c r="N814" s="16"/>
      <c r="O814" s="8"/>
      <c r="P814" s="8"/>
      <c r="Q814" s="8"/>
      <c r="R814" s="16"/>
      <c r="S814" s="16"/>
      <c r="T814" s="19"/>
      <c r="U814" s="16"/>
      <c r="V814" s="19"/>
      <c r="W814" s="160"/>
      <c r="X814" s="160"/>
      <c r="Y814" s="160"/>
      <c r="Z814" s="160"/>
      <c r="AA814" s="160"/>
      <c r="AB814" s="10"/>
      <c r="AD814" s="160"/>
    </row>
    <row r="815" spans="4:30" x14ac:dyDescent="0.2">
      <c r="D815" s="8"/>
      <c r="E815" s="6"/>
      <c r="G815" s="10"/>
      <c r="J815" s="142"/>
      <c r="K815" s="15"/>
      <c r="L815" s="15"/>
      <c r="M815" s="15"/>
      <c r="N815" s="16"/>
      <c r="O815" s="8"/>
      <c r="P815" s="8"/>
      <c r="Q815" s="8"/>
      <c r="R815" s="16"/>
      <c r="S815" s="16"/>
      <c r="T815" s="19"/>
      <c r="U815" s="16"/>
      <c r="V815" s="19"/>
      <c r="W815" s="160"/>
      <c r="X815" s="160"/>
      <c r="Y815" s="160"/>
      <c r="Z815" s="160"/>
      <c r="AA815" s="160"/>
      <c r="AB815" s="10"/>
      <c r="AD815" s="160"/>
    </row>
    <row r="816" spans="4:30" x14ac:dyDescent="0.2">
      <c r="D816" s="8"/>
      <c r="E816" s="6"/>
      <c r="G816" s="10"/>
      <c r="J816" s="142"/>
      <c r="K816" s="15"/>
      <c r="L816" s="15"/>
      <c r="M816" s="15"/>
      <c r="N816" s="16"/>
      <c r="O816" s="8"/>
      <c r="P816" s="8"/>
      <c r="Q816" s="8"/>
      <c r="R816" s="16"/>
      <c r="S816" s="16"/>
      <c r="T816" s="19"/>
      <c r="U816" s="16"/>
      <c r="V816" s="19"/>
      <c r="W816" s="160"/>
      <c r="X816" s="160"/>
      <c r="Y816" s="160"/>
      <c r="Z816" s="160"/>
      <c r="AA816" s="160"/>
      <c r="AB816" s="10"/>
      <c r="AD816" s="160"/>
    </row>
    <row r="817" spans="4:30" x14ac:dyDescent="0.2">
      <c r="D817" s="8"/>
      <c r="E817" s="6"/>
      <c r="G817" s="10"/>
      <c r="J817" s="142"/>
      <c r="K817" s="15"/>
      <c r="L817" s="15"/>
      <c r="M817" s="15"/>
      <c r="N817" s="16"/>
      <c r="O817" s="8"/>
      <c r="P817" s="8"/>
      <c r="Q817" s="8"/>
      <c r="R817" s="16"/>
      <c r="S817" s="16"/>
      <c r="T817" s="19"/>
      <c r="U817" s="16"/>
      <c r="V817" s="19"/>
      <c r="W817" s="160"/>
      <c r="X817" s="160"/>
      <c r="Y817" s="160"/>
      <c r="Z817" s="160"/>
      <c r="AA817" s="160"/>
      <c r="AB817" s="10"/>
      <c r="AD817" s="160"/>
    </row>
    <row r="818" spans="4:30" x14ac:dyDescent="0.2">
      <c r="D818" s="8"/>
      <c r="E818" s="6"/>
      <c r="G818" s="10"/>
      <c r="J818" s="142"/>
      <c r="K818" s="15"/>
      <c r="L818" s="15"/>
      <c r="M818" s="15"/>
      <c r="N818" s="16"/>
      <c r="O818" s="8"/>
      <c r="P818" s="8"/>
      <c r="Q818" s="8"/>
      <c r="R818" s="16"/>
      <c r="S818" s="16"/>
      <c r="T818" s="19"/>
      <c r="U818" s="16"/>
      <c r="V818" s="19"/>
      <c r="W818" s="160"/>
      <c r="X818" s="160"/>
      <c r="Y818" s="160"/>
      <c r="Z818" s="160"/>
      <c r="AA818" s="160"/>
      <c r="AB818" s="10"/>
      <c r="AD818" s="160"/>
    </row>
    <row r="819" spans="4:30" x14ac:dyDescent="0.2">
      <c r="D819" s="8"/>
      <c r="E819" s="6"/>
      <c r="G819" s="10"/>
      <c r="J819" s="142"/>
      <c r="K819" s="15"/>
      <c r="L819" s="15"/>
      <c r="M819" s="15"/>
      <c r="N819" s="16"/>
      <c r="O819" s="8"/>
      <c r="P819" s="8"/>
      <c r="Q819" s="8"/>
      <c r="R819" s="16"/>
      <c r="S819" s="16"/>
      <c r="T819" s="19"/>
      <c r="U819" s="16"/>
      <c r="V819" s="19"/>
      <c r="W819" s="160"/>
      <c r="X819" s="160"/>
      <c r="Y819" s="160"/>
      <c r="Z819" s="160"/>
      <c r="AA819" s="160"/>
      <c r="AB819" s="10"/>
      <c r="AD819" s="160"/>
    </row>
    <row r="820" spans="4:30" x14ac:dyDescent="0.2">
      <c r="D820" s="8"/>
      <c r="E820" s="6"/>
      <c r="G820" s="10"/>
      <c r="J820" s="142"/>
      <c r="K820" s="15"/>
      <c r="L820" s="15"/>
      <c r="M820" s="15"/>
      <c r="N820" s="16"/>
      <c r="O820" s="8"/>
      <c r="P820" s="8"/>
      <c r="Q820" s="8"/>
      <c r="R820" s="16"/>
      <c r="S820" s="16"/>
      <c r="T820" s="19"/>
      <c r="U820" s="16"/>
      <c r="V820" s="19"/>
      <c r="W820" s="160"/>
      <c r="X820" s="160"/>
      <c r="Y820" s="160"/>
      <c r="Z820" s="160"/>
      <c r="AA820" s="160"/>
      <c r="AB820" s="10"/>
      <c r="AD820" s="160"/>
    </row>
    <row r="821" spans="4:30" x14ac:dyDescent="0.2">
      <c r="D821" s="8"/>
      <c r="E821" s="6"/>
      <c r="G821" s="10"/>
      <c r="J821" s="142"/>
      <c r="K821" s="15"/>
      <c r="L821" s="15"/>
      <c r="M821" s="15"/>
      <c r="N821" s="16"/>
      <c r="O821" s="8"/>
      <c r="P821" s="8"/>
      <c r="Q821" s="8"/>
      <c r="R821" s="16"/>
      <c r="S821" s="16"/>
      <c r="T821" s="19"/>
      <c r="U821" s="16"/>
      <c r="V821" s="19"/>
      <c r="W821" s="160"/>
      <c r="X821" s="160"/>
      <c r="Y821" s="160"/>
      <c r="Z821" s="160"/>
      <c r="AA821" s="160"/>
      <c r="AB821" s="10"/>
      <c r="AD821" s="160"/>
    </row>
    <row r="822" spans="4:30" x14ac:dyDescent="0.2">
      <c r="D822" s="8"/>
      <c r="E822" s="6"/>
      <c r="G822" s="10"/>
      <c r="J822" s="142"/>
      <c r="K822" s="15"/>
      <c r="L822" s="15"/>
      <c r="M822" s="15"/>
      <c r="N822" s="16"/>
      <c r="O822" s="8"/>
      <c r="P822" s="8"/>
      <c r="Q822" s="8"/>
      <c r="R822" s="16"/>
      <c r="S822" s="16"/>
      <c r="T822" s="19"/>
      <c r="U822" s="16"/>
      <c r="V822" s="19"/>
      <c r="W822" s="160"/>
      <c r="X822" s="160"/>
      <c r="Y822" s="160"/>
      <c r="Z822" s="160"/>
      <c r="AA822" s="160"/>
      <c r="AB822" s="10"/>
      <c r="AD822" s="160"/>
    </row>
    <row r="823" spans="4:30" x14ac:dyDescent="0.2">
      <c r="D823" s="8"/>
      <c r="E823" s="6"/>
      <c r="G823" s="10"/>
      <c r="J823" s="142"/>
      <c r="K823" s="15"/>
      <c r="L823" s="15"/>
      <c r="M823" s="15"/>
      <c r="N823" s="16"/>
      <c r="O823" s="8"/>
      <c r="P823" s="8"/>
      <c r="Q823" s="8"/>
      <c r="R823" s="16"/>
      <c r="S823" s="16"/>
      <c r="T823" s="19"/>
      <c r="U823" s="16"/>
      <c r="V823" s="19"/>
      <c r="W823" s="160"/>
      <c r="X823" s="160"/>
      <c r="Y823" s="160"/>
      <c r="Z823" s="160"/>
      <c r="AA823" s="160"/>
      <c r="AB823" s="10"/>
      <c r="AD823" s="160"/>
    </row>
    <row r="824" spans="4:30" x14ac:dyDescent="0.2">
      <c r="D824" s="8"/>
      <c r="E824" s="6"/>
      <c r="G824" s="10"/>
      <c r="J824" s="142"/>
      <c r="K824" s="15"/>
      <c r="L824" s="15"/>
      <c r="M824" s="15"/>
      <c r="N824" s="16"/>
      <c r="O824" s="8"/>
      <c r="P824" s="8"/>
      <c r="Q824" s="8"/>
      <c r="R824" s="16"/>
      <c r="S824" s="16"/>
      <c r="T824" s="19"/>
      <c r="U824" s="16"/>
      <c r="V824" s="19"/>
      <c r="W824" s="160"/>
      <c r="X824" s="160"/>
      <c r="Y824" s="160"/>
      <c r="Z824" s="160"/>
      <c r="AA824" s="160"/>
      <c r="AB824" s="10"/>
      <c r="AD824" s="160"/>
    </row>
    <row r="825" spans="4:30" x14ac:dyDescent="0.2">
      <c r="D825" s="8"/>
      <c r="E825" s="6"/>
      <c r="G825" s="10"/>
      <c r="J825" s="142"/>
      <c r="K825" s="15"/>
      <c r="L825" s="15"/>
      <c r="M825" s="15"/>
      <c r="N825" s="16"/>
      <c r="O825" s="8"/>
      <c r="P825" s="8"/>
      <c r="Q825" s="8"/>
      <c r="R825" s="16"/>
      <c r="S825" s="16"/>
      <c r="T825" s="19"/>
      <c r="U825" s="16"/>
      <c r="V825" s="19"/>
      <c r="W825" s="160"/>
      <c r="X825" s="160"/>
      <c r="Y825" s="160"/>
      <c r="Z825" s="160"/>
      <c r="AA825" s="160"/>
      <c r="AB825" s="10"/>
      <c r="AD825" s="160"/>
    </row>
    <row r="826" spans="4:30" x14ac:dyDescent="0.2">
      <c r="D826" s="8"/>
      <c r="E826" s="6"/>
      <c r="G826" s="10"/>
      <c r="J826" s="142"/>
      <c r="K826" s="15"/>
      <c r="L826" s="15"/>
      <c r="M826" s="15"/>
      <c r="N826" s="16"/>
      <c r="O826" s="8"/>
      <c r="P826" s="8"/>
      <c r="Q826" s="8"/>
      <c r="R826" s="16"/>
      <c r="S826" s="16"/>
      <c r="T826" s="19"/>
      <c r="U826" s="16"/>
      <c r="V826" s="19"/>
      <c r="W826" s="160"/>
      <c r="X826" s="160"/>
      <c r="Y826" s="160"/>
      <c r="Z826" s="160"/>
      <c r="AA826" s="160"/>
      <c r="AB826" s="10"/>
      <c r="AD826" s="160"/>
    </row>
    <row r="827" spans="4:30" x14ac:dyDescent="0.2">
      <c r="D827" s="8"/>
      <c r="E827" s="6"/>
      <c r="G827" s="10"/>
      <c r="J827" s="142"/>
      <c r="K827" s="15"/>
      <c r="L827" s="15"/>
      <c r="M827" s="15"/>
      <c r="N827" s="16"/>
      <c r="O827" s="8"/>
      <c r="P827" s="8"/>
      <c r="Q827" s="8"/>
      <c r="R827" s="16"/>
      <c r="S827" s="16"/>
      <c r="T827" s="19"/>
      <c r="U827" s="16"/>
      <c r="V827" s="19"/>
      <c r="W827" s="160"/>
      <c r="X827" s="160"/>
      <c r="Y827" s="160"/>
      <c r="Z827" s="160"/>
      <c r="AA827" s="160"/>
      <c r="AB827" s="10"/>
      <c r="AD827" s="160"/>
    </row>
    <row r="828" spans="4:30" x14ac:dyDescent="0.2">
      <c r="D828" s="8"/>
      <c r="E828" s="6"/>
      <c r="G828" s="10"/>
      <c r="J828" s="142"/>
      <c r="K828" s="15"/>
      <c r="L828" s="15"/>
      <c r="M828" s="15"/>
      <c r="N828" s="16"/>
      <c r="O828" s="8"/>
      <c r="P828" s="8"/>
      <c r="Q828" s="8"/>
      <c r="R828" s="16"/>
      <c r="S828" s="16"/>
      <c r="T828" s="19"/>
      <c r="U828" s="16"/>
      <c r="V828" s="19"/>
      <c r="W828" s="160"/>
      <c r="X828" s="160"/>
      <c r="Y828" s="160"/>
      <c r="Z828" s="160"/>
      <c r="AA828" s="160"/>
      <c r="AB828" s="10"/>
      <c r="AD828" s="160"/>
    </row>
    <row r="829" spans="4:30" x14ac:dyDescent="0.2">
      <c r="D829" s="8"/>
      <c r="E829" s="6"/>
      <c r="G829" s="10"/>
      <c r="J829" s="142"/>
      <c r="K829" s="15"/>
      <c r="L829" s="15"/>
      <c r="M829" s="15"/>
      <c r="N829" s="16"/>
      <c r="O829" s="8"/>
      <c r="P829" s="8"/>
      <c r="Q829" s="8"/>
      <c r="R829" s="16"/>
      <c r="S829" s="16"/>
      <c r="T829" s="19"/>
      <c r="U829" s="16"/>
      <c r="V829" s="19"/>
      <c r="W829" s="160"/>
      <c r="X829" s="160"/>
      <c r="Y829" s="160"/>
      <c r="Z829" s="160"/>
      <c r="AA829" s="160"/>
      <c r="AB829" s="10"/>
      <c r="AD829" s="160"/>
    </row>
    <row r="830" spans="4:30" x14ac:dyDescent="0.2">
      <c r="D830" s="8"/>
      <c r="E830" s="6"/>
      <c r="G830" s="10"/>
      <c r="J830" s="142"/>
      <c r="K830" s="15"/>
      <c r="L830" s="15"/>
      <c r="M830" s="15"/>
      <c r="N830" s="16"/>
      <c r="O830" s="8"/>
      <c r="P830" s="8"/>
      <c r="Q830" s="8"/>
      <c r="R830" s="16"/>
      <c r="S830" s="16"/>
      <c r="T830" s="19"/>
      <c r="U830" s="16"/>
      <c r="V830" s="19"/>
      <c r="W830" s="160"/>
      <c r="X830" s="160"/>
      <c r="Y830" s="160"/>
      <c r="Z830" s="160"/>
      <c r="AA830" s="160"/>
      <c r="AB830" s="10"/>
      <c r="AD830" s="160"/>
    </row>
    <row r="831" spans="4:30" x14ac:dyDescent="0.2">
      <c r="D831" s="8"/>
      <c r="E831" s="6"/>
      <c r="G831" s="10"/>
      <c r="J831" s="142"/>
      <c r="K831" s="15"/>
      <c r="L831" s="15"/>
      <c r="M831" s="15"/>
      <c r="N831" s="16"/>
      <c r="O831" s="8"/>
      <c r="P831" s="8"/>
      <c r="Q831" s="8"/>
      <c r="R831" s="16"/>
      <c r="S831" s="16"/>
      <c r="T831" s="19"/>
      <c r="U831" s="16"/>
      <c r="V831" s="19"/>
      <c r="W831" s="160"/>
      <c r="X831" s="160"/>
      <c r="Y831" s="160"/>
      <c r="Z831" s="160"/>
      <c r="AA831" s="160"/>
      <c r="AB831" s="10"/>
      <c r="AD831" s="160"/>
    </row>
    <row r="832" spans="4:30" x14ac:dyDescent="0.2">
      <c r="D832" s="8"/>
      <c r="E832" s="6"/>
      <c r="G832" s="10"/>
      <c r="J832" s="142"/>
      <c r="K832" s="15"/>
      <c r="L832" s="15"/>
      <c r="M832" s="15"/>
      <c r="N832" s="16"/>
      <c r="O832" s="8"/>
      <c r="P832" s="8"/>
      <c r="Q832" s="8"/>
      <c r="R832" s="16"/>
      <c r="S832" s="16"/>
      <c r="T832" s="19"/>
      <c r="U832" s="16"/>
      <c r="V832" s="19"/>
      <c r="W832" s="160"/>
      <c r="X832" s="160"/>
      <c r="Y832" s="160"/>
      <c r="Z832" s="160"/>
      <c r="AA832" s="160"/>
      <c r="AB832" s="10"/>
      <c r="AD832" s="160"/>
    </row>
    <row r="833" spans="4:30" x14ac:dyDescent="0.2">
      <c r="D833" s="8"/>
      <c r="E833" s="6"/>
      <c r="G833" s="10"/>
      <c r="J833" s="142"/>
      <c r="K833" s="15"/>
      <c r="L833" s="15"/>
      <c r="M833" s="15"/>
      <c r="N833" s="16"/>
      <c r="O833" s="8"/>
      <c r="P833" s="8"/>
      <c r="Q833" s="8"/>
      <c r="R833" s="16"/>
      <c r="S833" s="16"/>
      <c r="T833" s="19"/>
      <c r="U833" s="16"/>
      <c r="V833" s="19"/>
      <c r="W833" s="160"/>
      <c r="X833" s="160"/>
      <c r="Y833" s="160"/>
      <c r="Z833" s="160"/>
      <c r="AA833" s="160"/>
      <c r="AB833" s="10"/>
      <c r="AD833" s="160"/>
    </row>
    <row r="834" spans="4:30" x14ac:dyDescent="0.2">
      <c r="D834" s="8"/>
      <c r="E834" s="6"/>
      <c r="G834" s="10"/>
      <c r="J834" s="142"/>
      <c r="K834" s="15"/>
      <c r="L834" s="15"/>
      <c r="M834" s="15"/>
      <c r="N834" s="16"/>
      <c r="O834" s="8"/>
      <c r="P834" s="8"/>
      <c r="Q834" s="8"/>
      <c r="R834" s="16"/>
      <c r="S834" s="16"/>
      <c r="T834" s="19"/>
      <c r="U834" s="16"/>
      <c r="V834" s="19"/>
      <c r="W834" s="160"/>
      <c r="X834" s="160"/>
      <c r="Y834" s="160"/>
      <c r="Z834" s="160"/>
      <c r="AA834" s="160"/>
      <c r="AB834" s="10"/>
      <c r="AD834" s="160"/>
    </row>
    <row r="835" spans="4:30" x14ac:dyDescent="0.2">
      <c r="D835" s="8"/>
      <c r="E835" s="6"/>
      <c r="G835" s="10"/>
      <c r="J835" s="142"/>
      <c r="K835" s="15"/>
      <c r="L835" s="15"/>
      <c r="M835" s="15"/>
      <c r="N835" s="16"/>
      <c r="O835" s="8"/>
      <c r="P835" s="8"/>
      <c r="Q835" s="8"/>
      <c r="R835" s="16"/>
      <c r="S835" s="16"/>
      <c r="T835" s="19"/>
      <c r="U835" s="16"/>
      <c r="V835" s="19"/>
      <c r="W835" s="160"/>
      <c r="X835" s="160"/>
      <c r="Y835" s="160"/>
      <c r="Z835" s="160"/>
      <c r="AA835" s="160"/>
      <c r="AB835" s="10"/>
      <c r="AD835" s="160"/>
    </row>
    <row r="836" spans="4:30" x14ac:dyDescent="0.2">
      <c r="D836" s="8"/>
      <c r="E836" s="6"/>
      <c r="G836" s="10"/>
      <c r="J836" s="142"/>
      <c r="K836" s="15"/>
      <c r="L836" s="15"/>
      <c r="M836" s="15"/>
      <c r="N836" s="16"/>
      <c r="O836" s="8"/>
      <c r="P836" s="8"/>
      <c r="Q836" s="8"/>
      <c r="R836" s="16"/>
      <c r="S836" s="16"/>
      <c r="T836" s="19"/>
      <c r="U836" s="16"/>
      <c r="V836" s="19"/>
      <c r="W836" s="160"/>
      <c r="X836" s="160"/>
      <c r="Y836" s="160"/>
      <c r="Z836" s="160"/>
      <c r="AA836" s="160"/>
      <c r="AB836" s="10"/>
      <c r="AD836" s="160"/>
    </row>
    <row r="837" spans="4:30" x14ac:dyDescent="0.2">
      <c r="D837" s="8"/>
      <c r="E837" s="6"/>
      <c r="G837" s="10"/>
      <c r="J837" s="142"/>
      <c r="K837" s="15"/>
      <c r="L837" s="15"/>
      <c r="M837" s="15"/>
      <c r="N837" s="16"/>
      <c r="O837" s="8"/>
      <c r="P837" s="8"/>
      <c r="Q837" s="8"/>
      <c r="R837" s="16"/>
      <c r="S837" s="16"/>
      <c r="T837" s="19"/>
      <c r="U837" s="16"/>
      <c r="V837" s="19"/>
      <c r="W837" s="160"/>
      <c r="X837" s="160"/>
      <c r="Y837" s="160"/>
      <c r="Z837" s="160"/>
      <c r="AA837" s="160"/>
      <c r="AB837" s="10"/>
      <c r="AD837" s="160"/>
    </row>
    <row r="838" spans="4:30" x14ac:dyDescent="0.2">
      <c r="D838" s="8"/>
      <c r="E838" s="6"/>
      <c r="G838" s="10"/>
      <c r="J838" s="142"/>
      <c r="K838" s="15"/>
      <c r="L838" s="15"/>
      <c r="M838" s="15"/>
      <c r="N838" s="16"/>
      <c r="O838" s="8"/>
      <c r="P838" s="8"/>
      <c r="Q838" s="8"/>
      <c r="R838" s="16"/>
      <c r="S838" s="16"/>
      <c r="T838" s="19"/>
      <c r="U838" s="16"/>
      <c r="V838" s="19"/>
      <c r="W838" s="160"/>
      <c r="X838" s="160"/>
      <c r="Y838" s="160"/>
      <c r="Z838" s="160"/>
      <c r="AA838" s="160"/>
      <c r="AB838" s="10"/>
      <c r="AD838" s="160"/>
    </row>
    <row r="839" spans="4:30" x14ac:dyDescent="0.2">
      <c r="D839" s="8"/>
      <c r="E839" s="6"/>
      <c r="G839" s="10"/>
      <c r="J839" s="142"/>
      <c r="K839" s="15"/>
      <c r="L839" s="15"/>
      <c r="M839" s="15"/>
      <c r="N839" s="16"/>
      <c r="O839" s="8"/>
      <c r="P839" s="8"/>
      <c r="Q839" s="8"/>
      <c r="R839" s="16"/>
      <c r="S839" s="16"/>
      <c r="T839" s="19"/>
      <c r="U839" s="16"/>
      <c r="V839" s="19"/>
      <c r="W839" s="160"/>
      <c r="X839" s="160"/>
      <c r="Y839" s="160"/>
      <c r="Z839" s="160"/>
      <c r="AA839" s="160"/>
      <c r="AB839" s="10"/>
      <c r="AD839" s="160"/>
    </row>
    <row r="840" spans="4:30" x14ac:dyDescent="0.2">
      <c r="D840" s="8"/>
      <c r="E840" s="6"/>
      <c r="G840" s="10"/>
      <c r="J840" s="142"/>
      <c r="K840" s="15"/>
      <c r="L840" s="15"/>
      <c r="M840" s="15"/>
      <c r="N840" s="16"/>
      <c r="O840" s="8"/>
      <c r="P840" s="8"/>
      <c r="Q840" s="8"/>
      <c r="R840" s="16"/>
      <c r="S840" s="16"/>
      <c r="T840" s="19"/>
      <c r="U840" s="16"/>
      <c r="V840" s="19"/>
      <c r="W840" s="160"/>
      <c r="X840" s="160"/>
      <c r="Y840" s="160"/>
      <c r="Z840" s="160"/>
      <c r="AA840" s="160"/>
      <c r="AB840" s="10"/>
      <c r="AD840" s="160"/>
    </row>
    <row r="841" spans="4:30" x14ac:dyDescent="0.2">
      <c r="D841" s="8"/>
      <c r="E841" s="6"/>
      <c r="G841" s="10"/>
      <c r="J841" s="142"/>
      <c r="K841" s="15"/>
      <c r="L841" s="15"/>
      <c r="M841" s="15"/>
      <c r="N841" s="16"/>
      <c r="O841" s="8"/>
      <c r="P841" s="8"/>
      <c r="Q841" s="8"/>
      <c r="R841" s="16"/>
      <c r="S841" s="16"/>
      <c r="T841" s="19"/>
      <c r="U841" s="16"/>
      <c r="V841" s="19"/>
      <c r="W841" s="160"/>
      <c r="X841" s="160"/>
      <c r="Y841" s="160"/>
      <c r="Z841" s="160"/>
      <c r="AA841" s="160"/>
      <c r="AB841" s="10"/>
      <c r="AD841" s="160"/>
    </row>
    <row r="842" spans="4:30" x14ac:dyDescent="0.2">
      <c r="D842" s="8"/>
      <c r="E842" s="6"/>
      <c r="G842" s="10"/>
      <c r="J842" s="142"/>
      <c r="K842" s="15"/>
      <c r="L842" s="15"/>
      <c r="M842" s="15"/>
      <c r="N842" s="16"/>
      <c r="O842" s="8"/>
      <c r="P842" s="8"/>
      <c r="Q842" s="8"/>
      <c r="R842" s="16"/>
      <c r="S842" s="16"/>
      <c r="T842" s="19"/>
      <c r="U842" s="16"/>
      <c r="V842" s="19"/>
      <c r="W842" s="160"/>
      <c r="X842" s="160"/>
      <c r="Y842" s="160"/>
      <c r="Z842" s="160"/>
      <c r="AA842" s="160"/>
      <c r="AB842" s="10"/>
      <c r="AD842" s="160"/>
    </row>
    <row r="843" spans="4:30" x14ac:dyDescent="0.2">
      <c r="D843" s="8"/>
      <c r="E843" s="6"/>
      <c r="G843" s="10"/>
      <c r="J843" s="142"/>
      <c r="K843" s="15"/>
      <c r="L843" s="15"/>
      <c r="M843" s="15"/>
      <c r="N843" s="16"/>
      <c r="O843" s="8"/>
      <c r="P843" s="8"/>
      <c r="Q843" s="8"/>
      <c r="R843" s="16"/>
      <c r="S843" s="16"/>
      <c r="T843" s="19"/>
      <c r="U843" s="16"/>
      <c r="V843" s="19"/>
      <c r="W843" s="160"/>
      <c r="X843" s="160"/>
      <c r="Y843" s="160"/>
      <c r="Z843" s="160"/>
      <c r="AA843" s="160"/>
      <c r="AB843" s="10"/>
      <c r="AD843" s="160"/>
    </row>
    <row r="844" spans="4:30" x14ac:dyDescent="0.2">
      <c r="D844" s="8"/>
      <c r="E844" s="6"/>
      <c r="G844" s="10"/>
      <c r="J844" s="142"/>
      <c r="K844" s="15"/>
      <c r="L844" s="15"/>
      <c r="M844" s="15"/>
      <c r="N844" s="16"/>
      <c r="O844" s="8"/>
      <c r="P844" s="8"/>
      <c r="Q844" s="8"/>
      <c r="R844" s="16"/>
      <c r="S844" s="16"/>
      <c r="T844" s="19"/>
      <c r="U844" s="16"/>
      <c r="V844" s="19"/>
      <c r="W844" s="160"/>
      <c r="X844" s="160"/>
      <c r="Y844" s="160"/>
      <c r="Z844" s="160"/>
      <c r="AA844" s="160"/>
      <c r="AB844" s="10"/>
      <c r="AD844" s="160"/>
    </row>
    <row r="845" spans="4:30" x14ac:dyDescent="0.2">
      <c r="D845" s="8"/>
      <c r="E845" s="6"/>
      <c r="G845" s="10"/>
      <c r="J845" s="142"/>
      <c r="K845" s="15"/>
      <c r="L845" s="15"/>
      <c r="M845" s="15"/>
      <c r="N845" s="16"/>
      <c r="O845" s="8"/>
      <c r="P845" s="8"/>
      <c r="Q845" s="8"/>
      <c r="R845" s="16"/>
      <c r="S845" s="16"/>
      <c r="T845" s="19"/>
      <c r="U845" s="16"/>
      <c r="V845" s="19"/>
      <c r="W845" s="160"/>
      <c r="X845" s="160"/>
      <c r="Y845" s="160"/>
      <c r="Z845" s="160"/>
      <c r="AA845" s="160"/>
      <c r="AB845" s="10"/>
      <c r="AD845" s="160"/>
    </row>
    <row r="846" spans="4:30" x14ac:dyDescent="0.2">
      <c r="D846" s="8"/>
      <c r="E846" s="6"/>
      <c r="G846" s="10"/>
      <c r="J846" s="142"/>
      <c r="K846" s="15"/>
      <c r="L846" s="15"/>
      <c r="M846" s="15"/>
      <c r="N846" s="16"/>
      <c r="O846" s="8"/>
      <c r="P846" s="8"/>
      <c r="Q846" s="8"/>
      <c r="R846" s="16"/>
      <c r="S846" s="16"/>
      <c r="T846" s="19"/>
      <c r="U846" s="16"/>
      <c r="V846" s="19"/>
      <c r="W846" s="160"/>
      <c r="X846" s="160"/>
      <c r="Y846" s="160"/>
      <c r="Z846" s="160"/>
      <c r="AA846" s="160"/>
      <c r="AB846" s="10"/>
      <c r="AD846" s="160"/>
    </row>
    <row r="847" spans="4:30" x14ac:dyDescent="0.2">
      <c r="D847" s="8"/>
      <c r="E847" s="6"/>
      <c r="G847" s="10"/>
      <c r="J847" s="142"/>
      <c r="K847" s="15"/>
      <c r="L847" s="15"/>
      <c r="M847" s="15"/>
      <c r="N847" s="16"/>
      <c r="O847" s="8"/>
      <c r="P847" s="8"/>
      <c r="Q847" s="8"/>
      <c r="R847" s="16"/>
      <c r="S847" s="16"/>
      <c r="T847" s="19"/>
      <c r="U847" s="16"/>
      <c r="V847" s="19"/>
      <c r="W847" s="160"/>
      <c r="X847" s="160"/>
      <c r="Y847" s="160"/>
      <c r="Z847" s="160"/>
      <c r="AA847" s="160"/>
      <c r="AB847" s="10"/>
      <c r="AD847" s="160"/>
    </row>
    <row r="848" spans="4:30" x14ac:dyDescent="0.2">
      <c r="D848" s="8"/>
      <c r="E848" s="6"/>
      <c r="G848" s="10"/>
      <c r="J848" s="142"/>
      <c r="K848" s="15"/>
      <c r="L848" s="15"/>
      <c r="M848" s="15"/>
      <c r="N848" s="16"/>
      <c r="O848" s="8"/>
      <c r="P848" s="8"/>
      <c r="Q848" s="8"/>
      <c r="R848" s="16"/>
      <c r="S848" s="16"/>
      <c r="T848" s="19"/>
      <c r="U848" s="16"/>
      <c r="V848" s="19"/>
      <c r="W848" s="160"/>
      <c r="X848" s="160"/>
      <c r="Y848" s="160"/>
      <c r="Z848" s="160"/>
      <c r="AA848" s="160"/>
      <c r="AB848" s="10"/>
      <c r="AD848" s="160"/>
    </row>
    <row r="849" spans="4:30" x14ac:dyDescent="0.2">
      <c r="D849" s="8"/>
      <c r="E849" s="6"/>
      <c r="G849" s="10"/>
      <c r="J849" s="142"/>
      <c r="K849" s="15"/>
      <c r="L849" s="15"/>
      <c r="M849" s="15"/>
      <c r="N849" s="16"/>
      <c r="O849" s="8"/>
      <c r="P849" s="8"/>
      <c r="Q849" s="8"/>
      <c r="R849" s="16"/>
      <c r="S849" s="16"/>
      <c r="T849" s="19"/>
      <c r="U849" s="16"/>
      <c r="V849" s="19"/>
      <c r="W849" s="160"/>
      <c r="X849" s="160"/>
      <c r="Y849" s="160"/>
      <c r="Z849" s="160"/>
      <c r="AA849" s="160"/>
      <c r="AB849" s="10"/>
      <c r="AD849" s="160"/>
    </row>
    <row r="850" spans="4:30" x14ac:dyDescent="0.2">
      <c r="D850" s="8"/>
      <c r="E850" s="6"/>
      <c r="G850" s="10"/>
      <c r="J850" s="142"/>
      <c r="K850" s="15"/>
      <c r="L850" s="15"/>
      <c r="M850" s="15"/>
      <c r="N850" s="16"/>
      <c r="O850" s="8"/>
      <c r="P850" s="8"/>
      <c r="Q850" s="8"/>
      <c r="R850" s="16"/>
      <c r="S850" s="16"/>
      <c r="T850" s="19"/>
      <c r="U850" s="16"/>
      <c r="V850" s="19"/>
      <c r="W850" s="160"/>
      <c r="X850" s="160"/>
      <c r="Y850" s="160"/>
      <c r="Z850" s="160"/>
      <c r="AA850" s="160"/>
      <c r="AB850" s="10"/>
      <c r="AD850" s="160"/>
    </row>
    <row r="851" spans="4:30" x14ac:dyDescent="0.2">
      <c r="D851" s="8"/>
      <c r="E851" s="6"/>
      <c r="G851" s="10"/>
      <c r="J851" s="142"/>
      <c r="K851" s="15"/>
      <c r="L851" s="15"/>
      <c r="M851" s="15"/>
      <c r="N851" s="16"/>
      <c r="O851" s="8"/>
      <c r="P851" s="8"/>
      <c r="Q851" s="8"/>
      <c r="R851" s="16"/>
      <c r="S851" s="16"/>
      <c r="T851" s="19"/>
      <c r="U851" s="16"/>
      <c r="V851" s="19"/>
      <c r="W851" s="160"/>
      <c r="X851" s="160"/>
      <c r="Y851" s="160"/>
      <c r="Z851" s="160"/>
      <c r="AA851" s="160"/>
      <c r="AB851" s="10"/>
      <c r="AD851" s="160"/>
    </row>
    <row r="852" spans="4:30" x14ac:dyDescent="0.2">
      <c r="D852" s="8"/>
      <c r="E852" s="6"/>
      <c r="G852" s="10"/>
      <c r="J852" s="142"/>
      <c r="K852" s="15"/>
      <c r="L852" s="15"/>
      <c r="M852" s="15"/>
      <c r="N852" s="16"/>
      <c r="O852" s="8"/>
      <c r="P852" s="8"/>
      <c r="Q852" s="8"/>
      <c r="R852" s="16"/>
      <c r="S852" s="16"/>
      <c r="T852" s="19"/>
      <c r="U852" s="16"/>
      <c r="V852" s="19"/>
      <c r="W852" s="160"/>
      <c r="X852" s="160"/>
      <c r="Y852" s="160"/>
      <c r="Z852" s="160"/>
      <c r="AA852" s="160"/>
      <c r="AB852" s="10"/>
      <c r="AD852" s="160"/>
    </row>
    <row r="853" spans="4:30" x14ac:dyDescent="0.2">
      <c r="D853" s="8"/>
      <c r="E853" s="6"/>
      <c r="G853" s="10"/>
      <c r="J853" s="142"/>
      <c r="K853" s="15"/>
      <c r="L853" s="15"/>
      <c r="M853" s="15"/>
      <c r="N853" s="16"/>
      <c r="O853" s="8"/>
      <c r="P853" s="8"/>
      <c r="Q853" s="8"/>
      <c r="R853" s="16"/>
      <c r="S853" s="16"/>
      <c r="T853" s="19"/>
      <c r="U853" s="16"/>
      <c r="V853" s="19"/>
      <c r="W853" s="160"/>
      <c r="X853" s="160"/>
      <c r="Y853" s="160"/>
      <c r="Z853" s="160"/>
      <c r="AA853" s="160"/>
      <c r="AB853" s="10"/>
      <c r="AD853" s="160"/>
    </row>
    <row r="854" spans="4:30" x14ac:dyDescent="0.2">
      <c r="D854" s="8"/>
      <c r="E854" s="6"/>
      <c r="G854" s="10"/>
      <c r="J854" s="142"/>
      <c r="K854" s="15"/>
      <c r="L854" s="15"/>
      <c r="M854" s="15"/>
      <c r="N854" s="16"/>
      <c r="O854" s="8"/>
      <c r="P854" s="8"/>
      <c r="Q854" s="8"/>
      <c r="R854" s="16"/>
      <c r="S854" s="16"/>
      <c r="T854" s="19"/>
      <c r="U854" s="16"/>
      <c r="V854" s="19"/>
      <c r="W854" s="160"/>
      <c r="X854" s="160"/>
      <c r="Y854" s="160"/>
      <c r="Z854" s="160"/>
      <c r="AA854" s="160"/>
      <c r="AB854" s="10"/>
      <c r="AD854" s="160"/>
    </row>
    <row r="855" spans="4:30" x14ac:dyDescent="0.2">
      <c r="D855" s="8"/>
      <c r="E855" s="6"/>
      <c r="G855" s="10"/>
      <c r="J855" s="142"/>
      <c r="K855" s="15"/>
      <c r="L855" s="15"/>
      <c r="M855" s="15"/>
      <c r="N855" s="16"/>
      <c r="O855" s="8"/>
      <c r="P855" s="8"/>
      <c r="Q855" s="8"/>
      <c r="R855" s="16"/>
      <c r="S855" s="16"/>
      <c r="T855" s="19"/>
      <c r="U855" s="16"/>
      <c r="V855" s="19"/>
      <c r="W855" s="160"/>
      <c r="X855" s="160"/>
      <c r="Y855" s="160"/>
      <c r="Z855" s="160"/>
      <c r="AA855" s="160"/>
      <c r="AB855" s="10"/>
      <c r="AD855" s="160"/>
    </row>
    <row r="856" spans="4:30" x14ac:dyDescent="0.2">
      <c r="D856" s="8"/>
      <c r="E856" s="6"/>
      <c r="G856" s="10"/>
      <c r="J856" s="142"/>
      <c r="K856" s="15"/>
      <c r="L856" s="15"/>
      <c r="M856" s="15"/>
      <c r="N856" s="16"/>
      <c r="O856" s="8"/>
      <c r="P856" s="8"/>
      <c r="Q856" s="8"/>
      <c r="R856" s="16"/>
      <c r="S856" s="16"/>
      <c r="T856" s="19"/>
      <c r="U856" s="16"/>
      <c r="V856" s="19"/>
      <c r="W856" s="160"/>
      <c r="X856" s="160"/>
      <c r="Y856" s="160"/>
      <c r="Z856" s="160"/>
      <c r="AA856" s="160"/>
      <c r="AB856" s="10"/>
      <c r="AD856" s="160"/>
    </row>
    <row r="857" spans="4:30" x14ac:dyDescent="0.2">
      <c r="D857" s="8"/>
      <c r="E857" s="6"/>
      <c r="G857" s="10"/>
      <c r="J857" s="142"/>
      <c r="K857" s="15"/>
      <c r="L857" s="15"/>
      <c r="M857" s="15"/>
      <c r="N857" s="16"/>
      <c r="O857" s="8"/>
      <c r="P857" s="8"/>
      <c r="Q857" s="8"/>
      <c r="R857" s="16"/>
      <c r="S857" s="16"/>
      <c r="T857" s="19"/>
      <c r="U857" s="16"/>
      <c r="V857" s="19"/>
      <c r="W857" s="160"/>
      <c r="X857" s="160"/>
      <c r="Y857" s="160"/>
      <c r="Z857" s="160"/>
      <c r="AA857" s="160"/>
      <c r="AB857" s="10"/>
      <c r="AD857" s="160"/>
    </row>
    <row r="858" spans="4:30" x14ac:dyDescent="0.2">
      <c r="D858" s="8"/>
      <c r="E858" s="6"/>
      <c r="G858" s="10"/>
      <c r="J858" s="142"/>
      <c r="K858" s="15"/>
      <c r="L858" s="15"/>
      <c r="M858" s="15"/>
      <c r="N858" s="16"/>
      <c r="O858" s="8"/>
      <c r="P858" s="8"/>
      <c r="Q858" s="8"/>
      <c r="R858" s="16"/>
      <c r="S858" s="16"/>
      <c r="T858" s="19"/>
      <c r="U858" s="16"/>
      <c r="V858" s="19"/>
      <c r="W858" s="160"/>
      <c r="X858" s="160"/>
      <c r="Y858" s="160"/>
      <c r="Z858" s="160"/>
      <c r="AA858" s="160"/>
      <c r="AB858" s="10"/>
      <c r="AD858" s="160"/>
    </row>
    <row r="859" spans="4:30" x14ac:dyDescent="0.2">
      <c r="D859" s="8"/>
      <c r="E859" s="6"/>
      <c r="G859" s="10"/>
      <c r="J859" s="142"/>
      <c r="K859" s="15"/>
      <c r="L859" s="15"/>
      <c r="M859" s="15"/>
      <c r="N859" s="16"/>
      <c r="O859" s="8"/>
      <c r="P859" s="8"/>
      <c r="Q859" s="8"/>
      <c r="R859" s="16"/>
      <c r="S859" s="16"/>
      <c r="T859" s="19"/>
      <c r="U859" s="16"/>
      <c r="V859" s="19"/>
      <c r="W859" s="160"/>
      <c r="X859" s="160"/>
      <c r="Y859" s="160"/>
      <c r="Z859" s="160"/>
      <c r="AA859" s="160"/>
      <c r="AB859" s="10"/>
      <c r="AD859" s="160"/>
    </row>
    <row r="860" spans="4:30" x14ac:dyDescent="0.2">
      <c r="D860" s="8"/>
      <c r="E860" s="6"/>
      <c r="G860" s="10"/>
      <c r="J860" s="142"/>
      <c r="K860" s="15"/>
      <c r="L860" s="15"/>
      <c r="M860" s="15"/>
      <c r="N860" s="16"/>
      <c r="O860" s="8"/>
      <c r="P860" s="8"/>
      <c r="Q860" s="8"/>
      <c r="R860" s="16"/>
      <c r="S860" s="16"/>
      <c r="T860" s="19"/>
      <c r="U860" s="16"/>
      <c r="V860" s="19"/>
      <c r="W860" s="160"/>
      <c r="X860" s="160"/>
      <c r="Y860" s="160"/>
      <c r="Z860" s="160"/>
      <c r="AA860" s="160"/>
      <c r="AB860" s="10"/>
      <c r="AD860" s="160"/>
    </row>
    <row r="861" spans="4:30" x14ac:dyDescent="0.2">
      <c r="D861" s="8"/>
      <c r="E861" s="6"/>
      <c r="G861" s="10"/>
      <c r="J861" s="142"/>
      <c r="K861" s="15"/>
      <c r="L861" s="15"/>
      <c r="M861" s="15"/>
      <c r="N861" s="16"/>
      <c r="O861" s="8"/>
      <c r="P861" s="8"/>
      <c r="Q861" s="8"/>
      <c r="R861" s="16"/>
      <c r="S861" s="16"/>
      <c r="T861" s="19"/>
      <c r="U861" s="16"/>
      <c r="V861" s="19"/>
      <c r="W861" s="160"/>
      <c r="X861" s="160"/>
      <c r="Y861" s="160"/>
      <c r="Z861" s="160"/>
      <c r="AA861" s="160"/>
      <c r="AB861" s="10"/>
      <c r="AD861" s="160"/>
    </row>
    <row r="862" spans="4:30" x14ac:dyDescent="0.2">
      <c r="D862" s="8"/>
      <c r="E862" s="6"/>
      <c r="G862" s="10"/>
      <c r="J862" s="142"/>
      <c r="K862" s="15"/>
      <c r="L862" s="15"/>
      <c r="M862" s="15"/>
      <c r="N862" s="16"/>
      <c r="O862" s="8"/>
      <c r="P862" s="8"/>
      <c r="Q862" s="8"/>
      <c r="R862" s="16"/>
      <c r="S862" s="16"/>
      <c r="T862" s="19"/>
      <c r="U862" s="16"/>
      <c r="V862" s="19"/>
      <c r="W862" s="160"/>
      <c r="X862" s="160"/>
      <c r="Y862" s="160"/>
      <c r="Z862" s="160"/>
      <c r="AA862" s="160"/>
      <c r="AB862" s="10"/>
      <c r="AD862" s="160"/>
    </row>
    <row r="863" spans="4:30" x14ac:dyDescent="0.2">
      <c r="D863" s="8"/>
      <c r="E863" s="6"/>
      <c r="G863" s="10"/>
      <c r="J863" s="142"/>
      <c r="K863" s="15"/>
      <c r="L863" s="15"/>
      <c r="M863" s="15"/>
      <c r="N863" s="16"/>
      <c r="O863" s="8"/>
      <c r="P863" s="8"/>
      <c r="Q863" s="8"/>
      <c r="R863" s="16"/>
      <c r="S863" s="16"/>
      <c r="T863" s="19"/>
      <c r="U863" s="16"/>
      <c r="V863" s="19"/>
      <c r="W863" s="160"/>
      <c r="X863" s="160"/>
      <c r="Y863" s="160"/>
      <c r="Z863" s="160"/>
      <c r="AA863" s="160"/>
      <c r="AB863" s="10"/>
      <c r="AD863" s="160"/>
    </row>
    <row r="864" spans="4:30" x14ac:dyDescent="0.2">
      <c r="D864" s="8"/>
      <c r="E864" s="6"/>
      <c r="G864" s="10"/>
      <c r="J864" s="142"/>
      <c r="K864" s="15"/>
      <c r="L864" s="15"/>
      <c r="M864" s="15"/>
      <c r="N864" s="16"/>
      <c r="O864" s="8"/>
      <c r="P864" s="8"/>
      <c r="Q864" s="8"/>
      <c r="R864" s="16"/>
      <c r="S864" s="16"/>
      <c r="T864" s="19"/>
      <c r="U864" s="16"/>
      <c r="V864" s="19"/>
      <c r="W864" s="160"/>
      <c r="X864" s="160"/>
      <c r="Y864" s="160"/>
      <c r="Z864" s="160"/>
      <c r="AA864" s="160"/>
      <c r="AB864" s="10"/>
      <c r="AD864" s="160"/>
    </row>
    <row r="865" spans="4:30" x14ac:dyDescent="0.2">
      <c r="D865" s="8"/>
      <c r="E865" s="6"/>
      <c r="G865" s="10"/>
      <c r="J865" s="142"/>
      <c r="K865" s="15"/>
      <c r="L865" s="15"/>
      <c r="M865" s="15"/>
      <c r="N865" s="16"/>
      <c r="O865" s="8"/>
      <c r="P865" s="8"/>
      <c r="Q865" s="8"/>
      <c r="R865" s="16"/>
      <c r="S865" s="16"/>
      <c r="T865" s="19"/>
      <c r="U865" s="16"/>
      <c r="V865" s="19"/>
      <c r="W865" s="160"/>
      <c r="X865" s="160"/>
      <c r="Y865" s="160"/>
      <c r="Z865" s="160"/>
      <c r="AA865" s="160"/>
      <c r="AB865" s="10"/>
      <c r="AD865" s="160"/>
    </row>
    <row r="866" spans="4:30" x14ac:dyDescent="0.2">
      <c r="D866" s="8"/>
      <c r="E866" s="6"/>
      <c r="G866" s="10"/>
      <c r="J866" s="142"/>
      <c r="K866" s="15"/>
      <c r="L866" s="15"/>
      <c r="M866" s="15"/>
      <c r="N866" s="16"/>
      <c r="O866" s="8"/>
      <c r="P866" s="8"/>
      <c r="Q866" s="8"/>
      <c r="R866" s="16"/>
      <c r="S866" s="16"/>
      <c r="T866" s="19"/>
      <c r="U866" s="16"/>
      <c r="V866" s="19"/>
      <c r="W866" s="160"/>
      <c r="X866" s="160"/>
      <c r="Y866" s="160"/>
      <c r="Z866" s="160"/>
      <c r="AA866" s="160"/>
      <c r="AB866" s="10"/>
      <c r="AD866" s="160"/>
    </row>
    <row r="867" spans="4:30" x14ac:dyDescent="0.2">
      <c r="D867" s="8"/>
      <c r="E867" s="6"/>
      <c r="G867" s="10"/>
      <c r="J867" s="142"/>
      <c r="K867" s="15"/>
      <c r="L867" s="15"/>
      <c r="M867" s="15"/>
      <c r="N867" s="16"/>
      <c r="O867" s="8"/>
      <c r="P867" s="8"/>
      <c r="Q867" s="8"/>
      <c r="R867" s="16"/>
      <c r="S867" s="16"/>
      <c r="T867" s="19"/>
      <c r="U867" s="16"/>
      <c r="V867" s="19"/>
      <c r="W867" s="160"/>
      <c r="X867" s="160"/>
      <c r="Y867" s="160"/>
      <c r="Z867" s="160"/>
      <c r="AA867" s="160"/>
      <c r="AB867" s="10"/>
      <c r="AD867" s="160"/>
    </row>
    <row r="868" spans="4:30" x14ac:dyDescent="0.2">
      <c r="D868" s="8"/>
      <c r="E868" s="6"/>
      <c r="G868" s="10"/>
      <c r="J868" s="142"/>
      <c r="K868" s="15"/>
      <c r="L868" s="15"/>
      <c r="M868" s="15"/>
      <c r="N868" s="16"/>
      <c r="O868" s="8"/>
      <c r="P868" s="8"/>
      <c r="Q868" s="8"/>
      <c r="R868" s="16"/>
      <c r="S868" s="16"/>
      <c r="T868" s="19"/>
      <c r="U868" s="16"/>
      <c r="V868" s="19"/>
      <c r="W868" s="160"/>
      <c r="X868" s="160"/>
      <c r="Y868" s="160"/>
      <c r="Z868" s="160"/>
      <c r="AA868" s="160"/>
      <c r="AB868" s="10"/>
      <c r="AD868" s="160"/>
    </row>
    <row r="869" spans="4:30" x14ac:dyDescent="0.2">
      <c r="D869" s="8"/>
      <c r="E869" s="6"/>
      <c r="G869" s="10"/>
      <c r="J869" s="142"/>
      <c r="K869" s="15"/>
      <c r="L869" s="15"/>
      <c r="M869" s="15"/>
      <c r="N869" s="16"/>
      <c r="O869" s="8"/>
      <c r="P869" s="8"/>
      <c r="Q869" s="8"/>
      <c r="R869" s="16"/>
      <c r="S869" s="16"/>
      <c r="T869" s="19"/>
      <c r="U869" s="16"/>
      <c r="V869" s="19"/>
      <c r="W869" s="160"/>
      <c r="X869" s="160"/>
      <c r="Y869" s="160"/>
      <c r="Z869" s="160"/>
      <c r="AA869" s="160"/>
      <c r="AB869" s="10"/>
      <c r="AD869" s="160"/>
    </row>
    <row r="870" spans="4:30" x14ac:dyDescent="0.2">
      <c r="D870" s="8"/>
      <c r="E870" s="6"/>
      <c r="G870" s="10"/>
      <c r="J870" s="142"/>
      <c r="K870" s="15"/>
      <c r="L870" s="15"/>
      <c r="M870" s="15"/>
      <c r="N870" s="16"/>
      <c r="O870" s="8"/>
      <c r="P870" s="8"/>
      <c r="Q870" s="8"/>
      <c r="R870" s="16"/>
      <c r="S870" s="16"/>
      <c r="T870" s="19"/>
      <c r="U870" s="16"/>
      <c r="V870" s="19"/>
      <c r="W870" s="160"/>
      <c r="X870" s="160"/>
      <c r="Y870" s="160"/>
      <c r="Z870" s="160"/>
      <c r="AA870" s="160"/>
      <c r="AB870" s="10"/>
      <c r="AD870" s="160"/>
    </row>
    <row r="871" spans="4:30" x14ac:dyDescent="0.2">
      <c r="D871" s="8"/>
      <c r="E871" s="6"/>
      <c r="G871" s="10"/>
      <c r="J871" s="142"/>
      <c r="K871" s="15"/>
      <c r="L871" s="15"/>
      <c r="M871" s="15"/>
      <c r="N871" s="16"/>
      <c r="O871" s="8"/>
      <c r="P871" s="8"/>
      <c r="Q871" s="8"/>
      <c r="R871" s="16"/>
      <c r="S871" s="16"/>
      <c r="T871" s="19"/>
      <c r="U871" s="16"/>
      <c r="V871" s="19"/>
      <c r="W871" s="160"/>
      <c r="X871" s="160"/>
      <c r="Y871" s="160"/>
      <c r="Z871" s="160"/>
      <c r="AA871" s="160"/>
      <c r="AB871" s="10"/>
      <c r="AD871" s="160"/>
    </row>
    <row r="872" spans="4:30" x14ac:dyDescent="0.2">
      <c r="D872" s="8"/>
      <c r="E872" s="6"/>
      <c r="G872" s="10"/>
      <c r="J872" s="142"/>
      <c r="K872" s="15"/>
      <c r="L872" s="15"/>
      <c r="M872" s="15"/>
      <c r="N872" s="16"/>
      <c r="O872" s="8"/>
      <c r="P872" s="8"/>
      <c r="Q872" s="8"/>
      <c r="R872" s="16"/>
      <c r="S872" s="16"/>
      <c r="T872" s="19"/>
      <c r="U872" s="16"/>
      <c r="V872" s="19"/>
      <c r="W872" s="160"/>
      <c r="X872" s="160"/>
      <c r="Y872" s="160"/>
      <c r="Z872" s="160"/>
      <c r="AA872" s="160"/>
      <c r="AB872" s="10"/>
      <c r="AD872" s="160"/>
    </row>
    <row r="873" spans="4:30" x14ac:dyDescent="0.2">
      <c r="D873" s="8"/>
      <c r="E873" s="6"/>
      <c r="G873" s="10"/>
      <c r="J873" s="142"/>
      <c r="K873" s="15"/>
      <c r="L873" s="15"/>
      <c r="M873" s="15"/>
      <c r="N873" s="16"/>
      <c r="O873" s="8"/>
      <c r="P873" s="8"/>
      <c r="Q873" s="8"/>
      <c r="R873" s="16"/>
      <c r="S873" s="16"/>
      <c r="T873" s="19"/>
      <c r="U873" s="16"/>
      <c r="V873" s="19"/>
      <c r="W873" s="160"/>
      <c r="X873" s="160"/>
      <c r="Y873" s="160"/>
      <c r="Z873" s="160"/>
      <c r="AA873" s="160"/>
      <c r="AB873" s="10"/>
      <c r="AD873" s="160"/>
    </row>
    <row r="874" spans="4:30" x14ac:dyDescent="0.2">
      <c r="D874" s="8"/>
      <c r="E874" s="6"/>
      <c r="G874" s="10"/>
      <c r="J874" s="142"/>
      <c r="K874" s="15"/>
      <c r="L874" s="15"/>
      <c r="M874" s="15"/>
      <c r="N874" s="16"/>
      <c r="O874" s="8"/>
      <c r="P874" s="8"/>
      <c r="Q874" s="8"/>
      <c r="R874" s="16"/>
      <c r="S874" s="16"/>
      <c r="T874" s="19"/>
      <c r="U874" s="16"/>
      <c r="V874" s="19"/>
      <c r="W874" s="160"/>
      <c r="X874" s="160"/>
      <c r="Y874" s="160"/>
      <c r="Z874" s="160"/>
      <c r="AA874" s="160"/>
      <c r="AB874" s="10"/>
      <c r="AD874" s="160"/>
    </row>
    <row r="875" spans="4:30" x14ac:dyDescent="0.2">
      <c r="D875" s="8"/>
      <c r="E875" s="6"/>
      <c r="G875" s="10"/>
      <c r="J875" s="142"/>
      <c r="K875" s="15"/>
      <c r="L875" s="15"/>
      <c r="M875" s="15"/>
      <c r="N875" s="16"/>
      <c r="O875" s="8"/>
      <c r="P875" s="8"/>
      <c r="Q875" s="8"/>
      <c r="R875" s="16"/>
      <c r="S875" s="16"/>
      <c r="T875" s="19"/>
      <c r="U875" s="16"/>
      <c r="V875" s="19"/>
      <c r="W875" s="160"/>
      <c r="X875" s="160"/>
      <c r="Y875" s="160"/>
      <c r="Z875" s="160"/>
      <c r="AA875" s="160"/>
      <c r="AB875" s="10"/>
      <c r="AD875" s="160"/>
    </row>
    <row r="876" spans="4:30" x14ac:dyDescent="0.2">
      <c r="D876" s="8"/>
      <c r="E876" s="6"/>
      <c r="G876" s="10"/>
      <c r="J876" s="142"/>
      <c r="K876" s="15"/>
      <c r="L876" s="15"/>
      <c r="M876" s="15"/>
      <c r="N876" s="16"/>
      <c r="O876" s="8"/>
      <c r="P876" s="8"/>
      <c r="Q876" s="8"/>
      <c r="R876" s="16"/>
      <c r="S876" s="16"/>
      <c r="T876" s="19"/>
      <c r="U876" s="16"/>
      <c r="V876" s="19"/>
      <c r="W876" s="160"/>
      <c r="X876" s="160"/>
      <c r="Y876" s="160"/>
      <c r="Z876" s="160"/>
      <c r="AA876" s="160"/>
      <c r="AB876" s="10"/>
      <c r="AD876" s="160"/>
    </row>
    <row r="877" spans="4:30" x14ac:dyDescent="0.2">
      <c r="D877" s="8"/>
      <c r="E877" s="6"/>
      <c r="G877" s="10"/>
      <c r="J877" s="142"/>
      <c r="K877" s="15"/>
      <c r="L877" s="15"/>
      <c r="M877" s="15"/>
      <c r="N877" s="16"/>
      <c r="O877" s="8"/>
      <c r="P877" s="8"/>
      <c r="Q877" s="8"/>
      <c r="R877" s="16"/>
      <c r="S877" s="16"/>
      <c r="T877" s="19"/>
      <c r="U877" s="16"/>
      <c r="V877" s="19"/>
      <c r="W877" s="160"/>
      <c r="X877" s="160"/>
      <c r="Y877" s="160"/>
      <c r="Z877" s="160"/>
      <c r="AA877" s="160"/>
      <c r="AB877" s="10"/>
      <c r="AD877" s="160"/>
    </row>
    <row r="878" spans="4:30" x14ac:dyDescent="0.2">
      <c r="D878" s="8"/>
      <c r="E878" s="6"/>
      <c r="G878" s="10"/>
      <c r="J878" s="142"/>
      <c r="K878" s="15"/>
      <c r="L878" s="15"/>
      <c r="M878" s="15"/>
      <c r="N878" s="16"/>
      <c r="O878" s="8"/>
      <c r="P878" s="8"/>
      <c r="Q878" s="8"/>
      <c r="R878" s="16"/>
      <c r="S878" s="16"/>
      <c r="T878" s="19"/>
      <c r="U878" s="16"/>
      <c r="V878" s="19"/>
      <c r="W878" s="160"/>
      <c r="X878" s="160"/>
      <c r="Y878" s="160"/>
      <c r="Z878" s="160"/>
      <c r="AA878" s="160"/>
      <c r="AB878" s="10"/>
      <c r="AD878" s="160"/>
    </row>
    <row r="879" spans="4:30" x14ac:dyDescent="0.2">
      <c r="D879" s="8"/>
      <c r="E879" s="6"/>
      <c r="G879" s="10"/>
      <c r="J879" s="142"/>
      <c r="K879" s="15"/>
      <c r="L879" s="15"/>
      <c r="M879" s="15"/>
      <c r="N879" s="16"/>
      <c r="O879" s="8"/>
      <c r="P879" s="8"/>
      <c r="Q879" s="8"/>
      <c r="R879" s="16"/>
      <c r="S879" s="16"/>
      <c r="T879" s="19"/>
      <c r="U879" s="16"/>
      <c r="V879" s="19"/>
      <c r="W879" s="160"/>
      <c r="X879" s="160"/>
      <c r="Y879" s="160"/>
      <c r="Z879" s="160"/>
      <c r="AA879" s="160"/>
      <c r="AB879" s="10"/>
      <c r="AD879" s="160"/>
    </row>
    <row r="880" spans="4:30" x14ac:dyDescent="0.2">
      <c r="D880" s="8"/>
      <c r="E880" s="6"/>
      <c r="G880" s="10"/>
      <c r="J880" s="142"/>
      <c r="K880" s="15"/>
      <c r="L880" s="15"/>
      <c r="M880" s="15"/>
      <c r="N880" s="16"/>
      <c r="O880" s="8"/>
      <c r="P880" s="8"/>
      <c r="Q880" s="8"/>
      <c r="R880" s="16"/>
      <c r="S880" s="16"/>
      <c r="T880" s="19"/>
      <c r="U880" s="16"/>
      <c r="V880" s="19"/>
      <c r="W880" s="160"/>
      <c r="X880" s="160"/>
      <c r="Y880" s="160"/>
      <c r="Z880" s="160"/>
      <c r="AA880" s="160"/>
      <c r="AB880" s="10"/>
      <c r="AD880" s="160"/>
    </row>
    <row r="881" spans="4:30" x14ac:dyDescent="0.2">
      <c r="D881" s="8"/>
      <c r="E881" s="6"/>
      <c r="G881" s="10"/>
      <c r="J881" s="142"/>
      <c r="K881" s="15"/>
      <c r="L881" s="15"/>
      <c r="M881" s="15"/>
      <c r="N881" s="16"/>
      <c r="O881" s="8"/>
      <c r="P881" s="8"/>
      <c r="Q881" s="8"/>
      <c r="R881" s="16"/>
      <c r="S881" s="16"/>
      <c r="T881" s="19"/>
      <c r="U881" s="16"/>
      <c r="V881" s="19"/>
      <c r="W881" s="160"/>
      <c r="X881" s="160"/>
      <c r="Y881" s="160"/>
      <c r="Z881" s="160"/>
      <c r="AA881" s="160"/>
      <c r="AB881" s="10"/>
      <c r="AD881" s="160"/>
    </row>
    <row r="882" spans="4:30" x14ac:dyDescent="0.2">
      <c r="D882" s="8"/>
      <c r="E882" s="6"/>
      <c r="G882" s="10"/>
      <c r="J882" s="142"/>
      <c r="K882" s="15"/>
      <c r="L882" s="15"/>
      <c r="M882" s="15"/>
      <c r="N882" s="16"/>
      <c r="O882" s="8"/>
      <c r="P882" s="8"/>
      <c r="Q882" s="8"/>
      <c r="R882" s="16"/>
      <c r="S882" s="16"/>
      <c r="T882" s="19"/>
      <c r="U882" s="16"/>
      <c r="V882" s="19"/>
      <c r="W882" s="160"/>
      <c r="X882" s="160"/>
      <c r="Y882" s="160"/>
      <c r="Z882" s="160"/>
      <c r="AA882" s="160"/>
      <c r="AB882" s="10"/>
      <c r="AD882" s="160"/>
    </row>
    <row r="883" spans="4:30" x14ac:dyDescent="0.2">
      <c r="D883" s="8"/>
      <c r="E883" s="6"/>
      <c r="G883" s="10"/>
      <c r="J883" s="142"/>
      <c r="K883" s="15"/>
      <c r="L883" s="15"/>
      <c r="M883" s="15"/>
      <c r="N883" s="16"/>
      <c r="O883" s="8"/>
      <c r="P883" s="8"/>
      <c r="Q883" s="8"/>
      <c r="R883" s="16"/>
      <c r="S883" s="16"/>
      <c r="T883" s="19"/>
      <c r="U883" s="16"/>
      <c r="V883" s="19"/>
      <c r="W883" s="160"/>
      <c r="X883" s="160"/>
      <c r="Y883" s="160"/>
      <c r="Z883" s="160"/>
      <c r="AA883" s="160"/>
      <c r="AB883" s="10"/>
      <c r="AD883" s="160"/>
    </row>
    <row r="884" spans="4:30" x14ac:dyDescent="0.2">
      <c r="D884" s="8"/>
      <c r="E884" s="6"/>
      <c r="G884" s="10"/>
      <c r="J884" s="142"/>
      <c r="K884" s="15"/>
      <c r="L884" s="15"/>
      <c r="M884" s="15"/>
      <c r="N884" s="16"/>
      <c r="O884" s="8"/>
      <c r="P884" s="8"/>
      <c r="Q884" s="8"/>
      <c r="R884" s="16"/>
      <c r="S884" s="16"/>
      <c r="T884" s="19"/>
      <c r="U884" s="16"/>
      <c r="V884" s="19"/>
      <c r="W884" s="160"/>
      <c r="X884" s="160"/>
      <c r="Y884" s="160"/>
      <c r="Z884" s="160"/>
      <c r="AA884" s="160"/>
      <c r="AB884" s="10"/>
      <c r="AD884" s="160"/>
    </row>
    <row r="885" spans="4:30" x14ac:dyDescent="0.2">
      <c r="D885" s="8"/>
      <c r="E885" s="6"/>
      <c r="G885" s="10"/>
      <c r="J885" s="142"/>
      <c r="K885" s="15"/>
      <c r="L885" s="15"/>
      <c r="M885" s="15"/>
      <c r="N885" s="16"/>
      <c r="O885" s="8"/>
      <c r="P885" s="8"/>
      <c r="Q885" s="8"/>
      <c r="R885" s="16"/>
      <c r="S885" s="16"/>
      <c r="T885" s="19"/>
      <c r="U885" s="16"/>
      <c r="V885" s="19"/>
      <c r="W885" s="160"/>
      <c r="X885" s="160"/>
      <c r="Y885" s="160"/>
      <c r="Z885" s="160"/>
      <c r="AA885" s="160"/>
      <c r="AB885" s="10"/>
      <c r="AD885" s="160"/>
    </row>
    <row r="886" spans="4:30" x14ac:dyDescent="0.2">
      <c r="D886" s="8"/>
      <c r="E886" s="6"/>
      <c r="G886" s="10"/>
      <c r="J886" s="142"/>
      <c r="K886" s="15"/>
      <c r="L886" s="15"/>
      <c r="M886" s="15"/>
      <c r="N886" s="16"/>
      <c r="O886" s="8"/>
      <c r="P886" s="8"/>
      <c r="Q886" s="8"/>
      <c r="R886" s="16"/>
      <c r="S886" s="16"/>
      <c r="T886" s="19"/>
      <c r="U886" s="16"/>
      <c r="V886" s="19"/>
      <c r="W886" s="160"/>
      <c r="X886" s="160"/>
      <c r="Y886" s="160"/>
      <c r="Z886" s="160"/>
      <c r="AA886" s="160"/>
      <c r="AB886" s="10"/>
      <c r="AD886" s="160"/>
    </row>
    <row r="887" spans="4:30" x14ac:dyDescent="0.2">
      <c r="D887" s="8"/>
      <c r="E887" s="6"/>
      <c r="G887" s="10"/>
      <c r="J887" s="142"/>
      <c r="K887" s="15"/>
      <c r="L887" s="15"/>
      <c r="M887" s="15"/>
      <c r="N887" s="16"/>
      <c r="O887" s="8"/>
      <c r="P887" s="8"/>
      <c r="Q887" s="8"/>
      <c r="R887" s="16"/>
      <c r="S887" s="16"/>
      <c r="T887" s="19"/>
      <c r="U887" s="16"/>
      <c r="V887" s="19"/>
      <c r="W887" s="160"/>
      <c r="X887" s="160"/>
      <c r="Y887" s="160"/>
      <c r="Z887" s="160"/>
      <c r="AA887" s="160"/>
      <c r="AB887" s="10"/>
      <c r="AD887" s="160"/>
    </row>
    <row r="888" spans="4:30" x14ac:dyDescent="0.2">
      <c r="D888" s="8"/>
      <c r="E888" s="6"/>
      <c r="G888" s="10"/>
      <c r="J888" s="142"/>
      <c r="K888" s="15"/>
      <c r="L888" s="15"/>
      <c r="M888" s="15"/>
      <c r="N888" s="16"/>
      <c r="O888" s="8"/>
      <c r="P888" s="8"/>
      <c r="Q888" s="8"/>
      <c r="R888" s="16"/>
      <c r="S888" s="16"/>
      <c r="T888" s="19"/>
      <c r="U888" s="16"/>
      <c r="V888" s="19"/>
      <c r="W888" s="160"/>
      <c r="X888" s="160"/>
      <c r="Y888" s="160"/>
      <c r="Z888" s="160"/>
      <c r="AA888" s="160"/>
      <c r="AB888" s="10"/>
      <c r="AD888" s="160"/>
    </row>
    <row r="889" spans="4:30" x14ac:dyDescent="0.2">
      <c r="D889" s="8"/>
      <c r="E889" s="6"/>
      <c r="G889" s="10"/>
      <c r="J889" s="142"/>
      <c r="K889" s="15"/>
      <c r="L889" s="15"/>
      <c r="M889" s="15"/>
      <c r="N889" s="16"/>
      <c r="O889" s="8"/>
      <c r="P889" s="8"/>
      <c r="Q889" s="8"/>
      <c r="R889" s="16"/>
      <c r="S889" s="16"/>
      <c r="T889" s="19"/>
      <c r="U889" s="16"/>
      <c r="V889" s="19"/>
      <c r="W889" s="160"/>
      <c r="X889" s="160"/>
      <c r="Y889" s="160"/>
      <c r="Z889" s="160"/>
      <c r="AA889" s="160"/>
      <c r="AB889" s="10"/>
      <c r="AD889" s="160"/>
    </row>
    <row r="890" spans="4:30" x14ac:dyDescent="0.2">
      <c r="D890" s="8"/>
      <c r="E890" s="6"/>
      <c r="G890" s="10"/>
      <c r="J890" s="142"/>
      <c r="K890" s="15"/>
      <c r="L890" s="15"/>
      <c r="M890" s="15"/>
      <c r="N890" s="16"/>
      <c r="O890" s="8"/>
      <c r="P890" s="8"/>
      <c r="Q890" s="8"/>
      <c r="R890" s="16"/>
      <c r="S890" s="16"/>
      <c r="T890" s="19"/>
      <c r="U890" s="16"/>
      <c r="V890" s="19"/>
      <c r="W890" s="160"/>
      <c r="X890" s="160"/>
      <c r="Y890" s="160"/>
      <c r="Z890" s="160"/>
      <c r="AA890" s="160"/>
      <c r="AB890" s="10"/>
      <c r="AD890" s="160"/>
    </row>
    <row r="891" spans="4:30" x14ac:dyDescent="0.2">
      <c r="D891" s="8"/>
      <c r="E891" s="6"/>
      <c r="G891" s="10"/>
      <c r="J891" s="142"/>
      <c r="K891" s="15"/>
      <c r="L891" s="15"/>
      <c r="M891" s="15"/>
      <c r="N891" s="16"/>
      <c r="O891" s="8"/>
      <c r="P891" s="8"/>
      <c r="Q891" s="8"/>
      <c r="R891" s="16"/>
      <c r="S891" s="16"/>
      <c r="T891" s="19"/>
      <c r="U891" s="16"/>
      <c r="V891" s="19"/>
      <c r="W891" s="160"/>
      <c r="X891" s="160"/>
      <c r="Y891" s="160"/>
      <c r="Z891" s="160"/>
      <c r="AA891" s="160"/>
      <c r="AB891" s="10"/>
      <c r="AD891" s="160"/>
    </row>
    <row r="892" spans="4:30" x14ac:dyDescent="0.2">
      <c r="D892" s="8"/>
      <c r="E892" s="6"/>
      <c r="G892" s="10"/>
      <c r="J892" s="142"/>
      <c r="K892" s="15"/>
      <c r="L892" s="15"/>
      <c r="M892" s="15"/>
      <c r="N892" s="16"/>
      <c r="O892" s="8"/>
      <c r="P892" s="8"/>
      <c r="Q892" s="8"/>
      <c r="R892" s="16"/>
      <c r="S892" s="16"/>
      <c r="T892" s="19"/>
      <c r="U892" s="16"/>
      <c r="V892" s="19"/>
      <c r="W892" s="160"/>
      <c r="X892" s="160"/>
      <c r="Y892" s="160"/>
      <c r="Z892" s="160"/>
      <c r="AA892" s="160"/>
      <c r="AB892" s="10"/>
      <c r="AD892" s="160"/>
    </row>
    <row r="893" spans="4:30" x14ac:dyDescent="0.2">
      <c r="D893" s="8"/>
      <c r="E893" s="6"/>
      <c r="G893" s="10"/>
      <c r="J893" s="142"/>
      <c r="K893" s="15"/>
      <c r="L893" s="15"/>
      <c r="M893" s="15"/>
      <c r="N893" s="16"/>
      <c r="O893" s="8"/>
      <c r="P893" s="8"/>
      <c r="Q893" s="8"/>
      <c r="R893" s="16"/>
      <c r="S893" s="16"/>
      <c r="T893" s="19"/>
      <c r="U893" s="16"/>
      <c r="V893" s="19"/>
      <c r="W893" s="160"/>
      <c r="X893" s="160"/>
      <c r="Y893" s="160"/>
      <c r="Z893" s="160"/>
      <c r="AA893" s="160"/>
      <c r="AB893" s="10"/>
      <c r="AD893" s="160"/>
    </row>
    <row r="894" spans="4:30" x14ac:dyDescent="0.2">
      <c r="D894" s="8"/>
      <c r="E894" s="6"/>
      <c r="G894" s="10"/>
      <c r="J894" s="142"/>
      <c r="K894" s="15"/>
      <c r="L894" s="15"/>
      <c r="M894" s="15"/>
      <c r="N894" s="16"/>
      <c r="O894" s="8"/>
      <c r="P894" s="8"/>
      <c r="Q894" s="8"/>
      <c r="R894" s="16"/>
      <c r="S894" s="16"/>
      <c r="T894" s="19"/>
      <c r="U894" s="16"/>
      <c r="V894" s="19"/>
      <c r="W894" s="160"/>
      <c r="X894" s="160"/>
      <c r="Y894" s="160"/>
      <c r="Z894" s="160"/>
      <c r="AA894" s="160"/>
      <c r="AB894" s="10"/>
      <c r="AD894" s="160"/>
    </row>
    <row r="895" spans="4:30" x14ac:dyDescent="0.2">
      <c r="D895" s="8"/>
      <c r="E895" s="6"/>
      <c r="G895" s="10"/>
      <c r="J895" s="142"/>
      <c r="K895" s="15"/>
      <c r="L895" s="15"/>
      <c r="M895" s="15"/>
      <c r="N895" s="16"/>
      <c r="O895" s="8"/>
      <c r="P895" s="8"/>
      <c r="Q895" s="8"/>
      <c r="R895" s="16"/>
      <c r="S895" s="16"/>
      <c r="T895" s="19"/>
      <c r="U895" s="16"/>
      <c r="V895" s="19"/>
      <c r="W895" s="160"/>
      <c r="X895" s="160"/>
      <c r="Y895" s="160"/>
      <c r="Z895" s="160"/>
      <c r="AA895" s="160"/>
      <c r="AB895" s="10"/>
      <c r="AD895" s="160"/>
    </row>
    <row r="896" spans="4:30" x14ac:dyDescent="0.2">
      <c r="D896" s="8"/>
      <c r="E896" s="6"/>
      <c r="G896" s="10"/>
      <c r="J896" s="142"/>
      <c r="K896" s="15"/>
      <c r="L896" s="15"/>
      <c r="M896" s="15"/>
      <c r="N896" s="16"/>
      <c r="O896" s="8"/>
      <c r="P896" s="8"/>
      <c r="Q896" s="8"/>
      <c r="R896" s="16"/>
      <c r="S896" s="16"/>
      <c r="T896" s="19"/>
      <c r="U896" s="16"/>
      <c r="V896" s="19"/>
      <c r="W896" s="160"/>
      <c r="X896" s="160"/>
      <c r="Y896" s="160"/>
      <c r="Z896" s="160"/>
      <c r="AA896" s="160"/>
      <c r="AB896" s="10"/>
      <c r="AD896" s="160"/>
    </row>
    <row r="897" spans="4:30" x14ac:dyDescent="0.2">
      <c r="D897" s="8"/>
      <c r="E897" s="6"/>
      <c r="G897" s="10"/>
      <c r="J897" s="142"/>
      <c r="K897" s="15"/>
      <c r="L897" s="15"/>
      <c r="M897" s="15"/>
      <c r="N897" s="16"/>
      <c r="O897" s="8"/>
      <c r="P897" s="8"/>
      <c r="Q897" s="8"/>
      <c r="R897" s="16"/>
      <c r="S897" s="16"/>
      <c r="T897" s="19"/>
      <c r="U897" s="16"/>
      <c r="V897" s="19"/>
      <c r="W897" s="160"/>
      <c r="X897" s="160"/>
      <c r="Y897" s="160"/>
      <c r="Z897" s="160"/>
      <c r="AA897" s="160"/>
      <c r="AB897" s="10"/>
      <c r="AD897" s="160"/>
    </row>
    <row r="898" spans="4:30" x14ac:dyDescent="0.2">
      <c r="D898" s="8"/>
      <c r="E898" s="6"/>
      <c r="G898" s="10"/>
      <c r="J898" s="142"/>
      <c r="K898" s="15"/>
      <c r="L898" s="15"/>
      <c r="M898" s="15"/>
      <c r="N898" s="16"/>
      <c r="O898" s="8"/>
      <c r="P898" s="8"/>
      <c r="Q898" s="8"/>
      <c r="R898" s="16"/>
      <c r="S898" s="16"/>
      <c r="T898" s="19"/>
      <c r="U898" s="16"/>
      <c r="V898" s="19"/>
      <c r="W898" s="160"/>
      <c r="X898" s="160"/>
      <c r="Y898" s="160"/>
      <c r="Z898" s="160"/>
      <c r="AA898" s="160"/>
      <c r="AB898" s="10"/>
      <c r="AD898" s="160"/>
    </row>
    <row r="899" spans="4:30" x14ac:dyDescent="0.2">
      <c r="D899" s="8"/>
      <c r="E899" s="6"/>
      <c r="G899" s="10"/>
      <c r="J899" s="142"/>
      <c r="K899" s="15"/>
      <c r="L899" s="15"/>
      <c r="M899" s="15"/>
      <c r="N899" s="16"/>
      <c r="O899" s="8"/>
      <c r="P899" s="8"/>
      <c r="Q899" s="8"/>
      <c r="R899" s="16"/>
      <c r="S899" s="16"/>
      <c r="T899" s="19"/>
      <c r="U899" s="16"/>
      <c r="V899" s="19"/>
      <c r="W899" s="160"/>
      <c r="X899" s="160"/>
      <c r="Y899" s="160"/>
      <c r="Z899" s="160"/>
      <c r="AA899" s="160"/>
      <c r="AB899" s="10"/>
      <c r="AD899" s="160"/>
    </row>
    <row r="900" spans="4:30" x14ac:dyDescent="0.2">
      <c r="D900" s="8"/>
      <c r="E900" s="6"/>
      <c r="G900" s="10"/>
      <c r="J900" s="142"/>
      <c r="K900" s="15"/>
      <c r="L900" s="15"/>
      <c r="M900" s="15"/>
      <c r="N900" s="16"/>
      <c r="O900" s="8"/>
      <c r="P900" s="8"/>
      <c r="Q900" s="8"/>
      <c r="R900" s="16"/>
      <c r="S900" s="16"/>
      <c r="T900" s="19"/>
      <c r="U900" s="16"/>
      <c r="V900" s="19"/>
      <c r="W900" s="160"/>
      <c r="X900" s="160"/>
      <c r="Y900" s="160"/>
      <c r="Z900" s="160"/>
      <c r="AA900" s="160"/>
      <c r="AB900" s="10"/>
      <c r="AD900" s="160"/>
    </row>
    <row r="901" spans="4:30" x14ac:dyDescent="0.2">
      <c r="D901" s="8"/>
      <c r="E901" s="6"/>
      <c r="G901" s="10"/>
      <c r="J901" s="142"/>
      <c r="K901" s="15"/>
      <c r="L901" s="15"/>
      <c r="M901" s="15"/>
      <c r="N901" s="16"/>
      <c r="O901" s="8"/>
      <c r="P901" s="8"/>
      <c r="Q901" s="8"/>
      <c r="R901" s="16"/>
      <c r="S901" s="16"/>
      <c r="T901" s="19"/>
      <c r="U901" s="16"/>
      <c r="V901" s="19"/>
      <c r="W901" s="160"/>
      <c r="X901" s="160"/>
      <c r="Y901" s="160"/>
      <c r="Z901" s="160"/>
      <c r="AA901" s="160"/>
      <c r="AB901" s="10"/>
      <c r="AD901" s="160"/>
    </row>
    <row r="902" spans="4:30" x14ac:dyDescent="0.2">
      <c r="D902" s="8"/>
      <c r="E902" s="6"/>
      <c r="G902" s="10"/>
      <c r="J902" s="142"/>
      <c r="K902" s="15"/>
      <c r="L902" s="15"/>
      <c r="M902" s="15"/>
      <c r="N902" s="16"/>
      <c r="O902" s="8"/>
      <c r="P902" s="8"/>
      <c r="Q902" s="8"/>
      <c r="R902" s="16"/>
      <c r="S902" s="16"/>
      <c r="T902" s="19"/>
      <c r="U902" s="16"/>
      <c r="V902" s="19"/>
      <c r="W902" s="160"/>
      <c r="X902" s="160"/>
      <c r="Y902" s="160"/>
      <c r="Z902" s="160"/>
      <c r="AA902" s="160"/>
      <c r="AB902" s="10"/>
      <c r="AD902" s="160"/>
    </row>
    <row r="903" spans="4:30" x14ac:dyDescent="0.2">
      <c r="D903" s="8"/>
      <c r="E903" s="6"/>
      <c r="G903" s="10"/>
      <c r="J903" s="142"/>
      <c r="K903" s="15"/>
      <c r="L903" s="15"/>
      <c r="M903" s="15"/>
      <c r="N903" s="16"/>
      <c r="O903" s="8"/>
      <c r="P903" s="8"/>
      <c r="Q903" s="8"/>
      <c r="R903" s="16"/>
      <c r="S903" s="16"/>
      <c r="T903" s="19"/>
      <c r="U903" s="16"/>
      <c r="V903" s="19"/>
      <c r="W903" s="160"/>
      <c r="X903" s="160"/>
      <c r="Y903" s="160"/>
      <c r="Z903" s="160"/>
      <c r="AA903" s="160"/>
      <c r="AB903" s="10"/>
      <c r="AD903" s="160"/>
    </row>
    <row r="904" spans="4:30" x14ac:dyDescent="0.2">
      <c r="D904" s="8"/>
      <c r="E904" s="6"/>
      <c r="G904" s="10"/>
      <c r="J904" s="142"/>
      <c r="K904" s="15"/>
      <c r="L904" s="15"/>
      <c r="M904" s="15"/>
      <c r="N904" s="16"/>
      <c r="O904" s="8"/>
      <c r="P904" s="8"/>
      <c r="Q904" s="8"/>
      <c r="R904" s="16"/>
      <c r="S904" s="16"/>
      <c r="T904" s="19"/>
      <c r="U904" s="16"/>
      <c r="V904" s="19"/>
      <c r="W904" s="160"/>
      <c r="X904" s="160"/>
      <c r="Y904" s="160"/>
      <c r="Z904" s="160"/>
      <c r="AA904" s="160"/>
      <c r="AB904" s="10"/>
      <c r="AD904" s="160"/>
    </row>
    <row r="905" spans="4:30" x14ac:dyDescent="0.2">
      <c r="D905" s="8"/>
      <c r="E905" s="6"/>
      <c r="G905" s="10"/>
      <c r="J905" s="142"/>
      <c r="K905" s="15"/>
      <c r="L905" s="15"/>
      <c r="M905" s="15"/>
      <c r="N905" s="16"/>
      <c r="O905" s="8"/>
      <c r="P905" s="8"/>
      <c r="Q905" s="8"/>
      <c r="R905" s="16"/>
      <c r="S905" s="16"/>
      <c r="T905" s="19"/>
      <c r="U905" s="16"/>
      <c r="V905" s="19"/>
      <c r="W905" s="160"/>
      <c r="X905" s="160"/>
      <c r="Y905" s="160"/>
      <c r="Z905" s="160"/>
      <c r="AA905" s="160"/>
      <c r="AB905" s="10"/>
      <c r="AD905" s="160"/>
    </row>
    <row r="906" spans="4:30" x14ac:dyDescent="0.2">
      <c r="D906" s="8"/>
      <c r="E906" s="6"/>
      <c r="G906" s="10"/>
      <c r="J906" s="142"/>
      <c r="K906" s="15"/>
      <c r="L906" s="15"/>
      <c r="M906" s="15"/>
      <c r="N906" s="16"/>
      <c r="O906" s="8"/>
      <c r="P906" s="8"/>
      <c r="Q906" s="8"/>
      <c r="R906" s="16"/>
      <c r="S906" s="16"/>
      <c r="T906" s="19"/>
      <c r="U906" s="16"/>
      <c r="V906" s="19"/>
      <c r="W906" s="160"/>
      <c r="X906" s="160"/>
      <c r="Y906" s="160"/>
      <c r="Z906" s="160"/>
      <c r="AA906" s="160"/>
      <c r="AB906" s="10"/>
      <c r="AD906" s="160"/>
    </row>
    <row r="907" spans="4:30" x14ac:dyDescent="0.2">
      <c r="D907" s="8"/>
      <c r="E907" s="6"/>
      <c r="G907" s="10"/>
      <c r="J907" s="142"/>
      <c r="K907" s="15"/>
      <c r="L907" s="15"/>
      <c r="M907" s="15"/>
      <c r="N907" s="16"/>
      <c r="O907" s="8"/>
      <c r="P907" s="8"/>
      <c r="Q907" s="8"/>
      <c r="R907" s="16"/>
      <c r="S907" s="16"/>
      <c r="T907" s="19"/>
      <c r="U907" s="16"/>
      <c r="V907" s="19"/>
      <c r="W907" s="160"/>
      <c r="X907" s="160"/>
      <c r="Y907" s="160"/>
      <c r="Z907" s="160"/>
      <c r="AA907" s="160"/>
      <c r="AB907" s="10"/>
      <c r="AD907" s="160"/>
    </row>
    <row r="908" spans="4:30" x14ac:dyDescent="0.2">
      <c r="D908" s="8"/>
      <c r="E908" s="6"/>
      <c r="G908" s="10"/>
      <c r="J908" s="142"/>
      <c r="K908" s="15"/>
      <c r="L908" s="15"/>
      <c r="M908" s="15"/>
      <c r="N908" s="16"/>
      <c r="O908" s="8"/>
      <c r="P908" s="8"/>
      <c r="Q908" s="8"/>
      <c r="R908" s="16"/>
      <c r="S908" s="16"/>
      <c r="T908" s="19"/>
      <c r="U908" s="16"/>
      <c r="V908" s="19"/>
      <c r="W908" s="160"/>
      <c r="X908" s="160"/>
      <c r="Y908" s="160"/>
      <c r="Z908" s="160"/>
      <c r="AA908" s="160"/>
      <c r="AB908" s="10"/>
      <c r="AD908" s="160"/>
    </row>
    <row r="909" spans="4:30" x14ac:dyDescent="0.2">
      <c r="D909" s="8"/>
      <c r="E909" s="6"/>
      <c r="G909" s="10"/>
      <c r="J909" s="142"/>
      <c r="K909" s="15"/>
      <c r="L909" s="15"/>
      <c r="M909" s="15"/>
      <c r="N909" s="16"/>
      <c r="O909" s="8"/>
      <c r="P909" s="8"/>
      <c r="Q909" s="8"/>
      <c r="R909" s="16"/>
      <c r="S909" s="16"/>
      <c r="T909" s="19"/>
      <c r="U909" s="16"/>
      <c r="V909" s="19"/>
      <c r="W909" s="160"/>
      <c r="X909" s="160"/>
      <c r="Y909" s="160"/>
      <c r="Z909" s="160"/>
      <c r="AA909" s="160"/>
      <c r="AB909" s="10"/>
      <c r="AD909" s="160"/>
    </row>
    <row r="910" spans="4:30" x14ac:dyDescent="0.2">
      <c r="D910" s="8"/>
      <c r="E910" s="6"/>
      <c r="G910" s="10"/>
      <c r="J910" s="142"/>
      <c r="K910" s="15"/>
      <c r="L910" s="15"/>
      <c r="M910" s="15"/>
      <c r="N910" s="16"/>
      <c r="O910" s="8"/>
      <c r="P910" s="8"/>
      <c r="Q910" s="8"/>
      <c r="R910" s="16"/>
      <c r="S910" s="16"/>
      <c r="T910" s="19"/>
      <c r="U910" s="16"/>
      <c r="V910" s="19"/>
      <c r="W910" s="160"/>
      <c r="X910" s="160"/>
      <c r="Y910" s="160"/>
      <c r="Z910" s="160"/>
      <c r="AA910" s="160"/>
      <c r="AB910" s="10"/>
      <c r="AD910" s="160"/>
    </row>
    <row r="911" spans="4:30" x14ac:dyDescent="0.2">
      <c r="D911" s="8"/>
      <c r="E911" s="6"/>
      <c r="G911" s="10"/>
      <c r="J911" s="142"/>
      <c r="K911" s="15"/>
      <c r="L911" s="15"/>
      <c r="M911" s="15"/>
      <c r="N911" s="16"/>
      <c r="O911" s="8"/>
      <c r="P911" s="8"/>
      <c r="Q911" s="8"/>
      <c r="R911" s="16"/>
      <c r="S911" s="16"/>
      <c r="T911" s="19"/>
      <c r="U911" s="16"/>
      <c r="V911" s="19"/>
      <c r="W911" s="160"/>
      <c r="X911" s="160"/>
      <c r="Y911" s="160"/>
      <c r="Z911" s="160"/>
      <c r="AA911" s="160"/>
      <c r="AB911" s="10"/>
      <c r="AD911" s="160"/>
    </row>
    <row r="912" spans="4:30" x14ac:dyDescent="0.2">
      <c r="D912" s="8"/>
      <c r="E912" s="6"/>
      <c r="G912" s="10"/>
      <c r="J912" s="142"/>
      <c r="K912" s="15"/>
      <c r="L912" s="15"/>
      <c r="M912" s="15"/>
      <c r="N912" s="16"/>
      <c r="O912" s="8"/>
      <c r="P912" s="8"/>
      <c r="Q912" s="8"/>
      <c r="R912" s="16"/>
      <c r="S912" s="16"/>
      <c r="T912" s="19"/>
      <c r="U912" s="16"/>
      <c r="V912" s="19"/>
      <c r="W912" s="160"/>
      <c r="X912" s="160"/>
      <c r="Y912" s="160"/>
      <c r="Z912" s="160"/>
      <c r="AA912" s="160"/>
      <c r="AB912" s="10"/>
      <c r="AD912" s="160"/>
    </row>
    <row r="913" spans="4:30" x14ac:dyDescent="0.2">
      <c r="D913" s="8"/>
      <c r="E913" s="6"/>
      <c r="G913" s="10"/>
      <c r="J913" s="142"/>
      <c r="K913" s="15"/>
      <c r="L913" s="15"/>
      <c r="M913" s="15"/>
      <c r="N913" s="16"/>
      <c r="O913" s="8"/>
      <c r="P913" s="8"/>
      <c r="Q913" s="8"/>
      <c r="R913" s="16"/>
      <c r="S913" s="16"/>
      <c r="T913" s="19"/>
      <c r="U913" s="16"/>
      <c r="V913" s="19"/>
      <c r="W913" s="160"/>
      <c r="X913" s="160"/>
      <c r="Y913" s="160"/>
      <c r="Z913" s="160"/>
      <c r="AA913" s="160"/>
      <c r="AB913" s="10"/>
      <c r="AD913" s="160"/>
    </row>
    <row r="914" spans="4:30" x14ac:dyDescent="0.2">
      <c r="D914" s="8"/>
      <c r="E914" s="6"/>
      <c r="G914" s="10"/>
      <c r="J914" s="142"/>
      <c r="K914" s="15"/>
      <c r="L914" s="15"/>
      <c r="M914" s="15"/>
      <c r="N914" s="16"/>
      <c r="O914" s="8"/>
      <c r="P914" s="8"/>
      <c r="Q914" s="8"/>
      <c r="R914" s="16"/>
      <c r="S914" s="16"/>
      <c r="T914" s="19"/>
      <c r="U914" s="16"/>
      <c r="V914" s="19"/>
      <c r="W914" s="160"/>
      <c r="X914" s="160"/>
      <c r="Y914" s="160"/>
      <c r="Z914" s="160"/>
      <c r="AA914" s="160"/>
      <c r="AB914" s="10"/>
      <c r="AD914" s="160"/>
    </row>
    <row r="915" spans="4:30" x14ac:dyDescent="0.2">
      <c r="D915" s="8"/>
      <c r="E915" s="6"/>
      <c r="G915" s="10"/>
      <c r="J915" s="142"/>
      <c r="K915" s="15"/>
      <c r="L915" s="15"/>
      <c r="M915" s="15"/>
      <c r="N915" s="16"/>
      <c r="O915" s="8"/>
      <c r="P915" s="8"/>
      <c r="Q915" s="8"/>
      <c r="R915" s="16"/>
      <c r="S915" s="16"/>
      <c r="T915" s="19"/>
      <c r="U915" s="16"/>
      <c r="V915" s="19"/>
      <c r="W915" s="160"/>
      <c r="X915" s="160"/>
      <c r="Y915" s="160"/>
      <c r="Z915" s="160"/>
      <c r="AA915" s="160"/>
      <c r="AB915" s="10"/>
      <c r="AD915" s="160"/>
    </row>
    <row r="916" spans="4:30" x14ac:dyDescent="0.2">
      <c r="D916" s="8"/>
      <c r="E916" s="6"/>
      <c r="G916" s="10"/>
      <c r="J916" s="142"/>
      <c r="K916" s="15"/>
      <c r="L916" s="15"/>
      <c r="M916" s="15"/>
      <c r="N916" s="16"/>
      <c r="O916" s="8"/>
      <c r="P916" s="8"/>
      <c r="Q916" s="8"/>
      <c r="R916" s="16"/>
      <c r="S916" s="16"/>
      <c r="T916" s="19"/>
      <c r="U916" s="16"/>
      <c r="V916" s="19"/>
      <c r="W916" s="160"/>
      <c r="X916" s="160"/>
      <c r="Y916" s="160"/>
      <c r="Z916" s="160"/>
      <c r="AA916" s="160"/>
      <c r="AB916" s="10"/>
      <c r="AD916" s="160"/>
    </row>
    <row r="917" spans="4:30" x14ac:dyDescent="0.2">
      <c r="D917" s="8"/>
      <c r="E917" s="6"/>
      <c r="G917" s="10"/>
      <c r="J917" s="142"/>
      <c r="K917" s="15"/>
      <c r="L917" s="15"/>
      <c r="M917" s="15"/>
      <c r="N917" s="16"/>
      <c r="O917" s="8"/>
      <c r="P917" s="8"/>
      <c r="Q917" s="8"/>
      <c r="R917" s="16"/>
      <c r="S917" s="16"/>
      <c r="T917" s="19"/>
      <c r="U917" s="16"/>
      <c r="V917" s="19"/>
      <c r="W917" s="160"/>
      <c r="X917" s="160"/>
      <c r="Y917" s="160"/>
      <c r="Z917" s="160"/>
      <c r="AA917" s="160"/>
      <c r="AB917" s="10"/>
      <c r="AD917" s="160"/>
    </row>
    <row r="918" spans="4:30" x14ac:dyDescent="0.2">
      <c r="D918" s="8"/>
      <c r="E918" s="6"/>
      <c r="G918" s="10"/>
      <c r="J918" s="142"/>
      <c r="K918" s="15"/>
      <c r="L918" s="15"/>
      <c r="M918" s="15"/>
      <c r="N918" s="16"/>
      <c r="O918" s="8"/>
      <c r="P918" s="8"/>
      <c r="Q918" s="8"/>
      <c r="R918" s="16"/>
      <c r="S918" s="16"/>
      <c r="T918" s="19"/>
      <c r="U918" s="16"/>
      <c r="V918" s="19"/>
      <c r="W918" s="160"/>
      <c r="X918" s="160"/>
      <c r="Y918" s="160"/>
      <c r="Z918" s="160"/>
      <c r="AA918" s="160"/>
      <c r="AB918" s="10"/>
      <c r="AD918" s="160"/>
    </row>
    <row r="919" spans="4:30" x14ac:dyDescent="0.2">
      <c r="D919" s="8"/>
      <c r="E919" s="6"/>
      <c r="G919" s="10"/>
      <c r="J919" s="142"/>
      <c r="K919" s="15"/>
      <c r="L919" s="15"/>
      <c r="M919" s="15"/>
      <c r="N919" s="16"/>
      <c r="O919" s="8"/>
      <c r="P919" s="8"/>
      <c r="Q919" s="8"/>
      <c r="R919" s="16"/>
      <c r="S919" s="16"/>
      <c r="T919" s="19"/>
      <c r="U919" s="16"/>
      <c r="V919" s="19"/>
      <c r="W919" s="160"/>
      <c r="X919" s="160"/>
      <c r="Y919" s="160"/>
      <c r="Z919" s="160"/>
      <c r="AA919" s="160"/>
      <c r="AB919" s="10"/>
      <c r="AD919" s="160"/>
    </row>
    <row r="920" spans="4:30" x14ac:dyDescent="0.2">
      <c r="D920" s="8"/>
      <c r="E920" s="6"/>
      <c r="G920" s="10"/>
      <c r="J920" s="142"/>
      <c r="K920" s="15"/>
      <c r="L920" s="15"/>
      <c r="M920" s="15"/>
      <c r="N920" s="16"/>
      <c r="O920" s="8"/>
      <c r="P920" s="8"/>
      <c r="Q920" s="8"/>
      <c r="R920" s="16"/>
      <c r="S920" s="16"/>
      <c r="T920" s="19"/>
      <c r="U920" s="16"/>
      <c r="V920" s="19"/>
      <c r="W920" s="160"/>
      <c r="X920" s="160"/>
      <c r="Y920" s="160"/>
      <c r="Z920" s="160"/>
      <c r="AA920" s="160"/>
      <c r="AB920" s="10"/>
      <c r="AD920" s="160"/>
    </row>
    <row r="921" spans="4:30" x14ac:dyDescent="0.2">
      <c r="D921" s="8"/>
      <c r="E921" s="6"/>
      <c r="G921" s="10"/>
      <c r="J921" s="142"/>
      <c r="K921" s="15"/>
      <c r="L921" s="15"/>
      <c r="M921" s="15"/>
      <c r="N921" s="16"/>
      <c r="O921" s="8"/>
      <c r="P921" s="8"/>
      <c r="Q921" s="8"/>
      <c r="R921" s="16"/>
      <c r="S921" s="16"/>
      <c r="T921" s="19"/>
      <c r="U921" s="16"/>
      <c r="V921" s="19"/>
      <c r="W921" s="160"/>
      <c r="X921" s="160"/>
      <c r="Y921" s="160"/>
      <c r="Z921" s="160"/>
      <c r="AA921" s="160"/>
      <c r="AB921" s="10"/>
      <c r="AD921" s="160"/>
    </row>
    <row r="922" spans="4:30" x14ac:dyDescent="0.2">
      <c r="D922" s="8"/>
      <c r="E922" s="6"/>
      <c r="G922" s="10"/>
      <c r="J922" s="142"/>
      <c r="K922" s="15"/>
      <c r="L922" s="15"/>
      <c r="M922" s="15"/>
      <c r="N922" s="16"/>
      <c r="O922" s="8"/>
      <c r="P922" s="8"/>
      <c r="Q922" s="8"/>
      <c r="R922" s="16"/>
      <c r="S922" s="16"/>
      <c r="T922" s="19"/>
      <c r="U922" s="16"/>
      <c r="V922" s="19"/>
      <c r="W922" s="160"/>
      <c r="X922" s="160"/>
      <c r="Y922" s="160"/>
      <c r="Z922" s="160"/>
      <c r="AA922" s="160"/>
      <c r="AB922" s="10"/>
      <c r="AD922" s="160"/>
    </row>
    <row r="923" spans="4:30" x14ac:dyDescent="0.2">
      <c r="D923" s="8"/>
      <c r="E923" s="6"/>
      <c r="G923" s="10"/>
      <c r="J923" s="142"/>
      <c r="K923" s="15"/>
      <c r="L923" s="15"/>
      <c r="M923" s="15"/>
      <c r="N923" s="16"/>
      <c r="O923" s="8"/>
      <c r="P923" s="8"/>
      <c r="Q923" s="8"/>
      <c r="R923" s="16"/>
      <c r="S923" s="16"/>
      <c r="T923" s="19"/>
      <c r="U923" s="16"/>
      <c r="V923" s="19"/>
      <c r="W923" s="160"/>
      <c r="X923" s="160"/>
      <c r="Y923" s="160"/>
      <c r="Z923" s="160"/>
      <c r="AA923" s="160"/>
      <c r="AB923" s="10"/>
      <c r="AD923" s="160"/>
    </row>
    <row r="924" spans="4:30" x14ac:dyDescent="0.2">
      <c r="D924" s="8"/>
      <c r="E924" s="6"/>
      <c r="G924" s="10"/>
      <c r="J924" s="142"/>
      <c r="K924" s="15"/>
      <c r="L924" s="15"/>
      <c r="M924" s="15"/>
      <c r="N924" s="16"/>
      <c r="O924" s="8"/>
      <c r="P924" s="8"/>
      <c r="Q924" s="8"/>
      <c r="R924" s="16"/>
      <c r="S924" s="16"/>
      <c r="T924" s="19"/>
      <c r="U924" s="16"/>
      <c r="V924" s="19"/>
      <c r="W924" s="160"/>
      <c r="X924" s="160"/>
      <c r="Y924" s="160"/>
      <c r="Z924" s="160"/>
      <c r="AA924" s="160"/>
      <c r="AB924" s="10"/>
      <c r="AD924" s="160"/>
    </row>
    <row r="925" spans="4:30" x14ac:dyDescent="0.2">
      <c r="D925" s="8"/>
      <c r="E925" s="6"/>
      <c r="G925" s="10"/>
      <c r="J925" s="142"/>
      <c r="K925" s="15"/>
      <c r="L925" s="15"/>
      <c r="M925" s="15"/>
      <c r="N925" s="16"/>
      <c r="O925" s="8"/>
      <c r="P925" s="8"/>
      <c r="Q925" s="8"/>
      <c r="R925" s="16"/>
      <c r="S925" s="16"/>
      <c r="T925" s="19"/>
      <c r="U925" s="16"/>
      <c r="V925" s="19"/>
      <c r="W925" s="160"/>
      <c r="X925" s="160"/>
      <c r="Y925" s="160"/>
      <c r="Z925" s="160"/>
      <c r="AA925" s="160"/>
      <c r="AB925" s="10"/>
      <c r="AD925" s="160"/>
    </row>
    <row r="926" spans="4:30" x14ac:dyDescent="0.2">
      <c r="D926" s="8"/>
      <c r="E926" s="6"/>
      <c r="G926" s="10"/>
      <c r="J926" s="142"/>
      <c r="K926" s="15"/>
      <c r="L926" s="15"/>
      <c r="M926" s="15"/>
      <c r="N926" s="16"/>
      <c r="O926" s="8"/>
      <c r="P926" s="8"/>
      <c r="Q926" s="8"/>
      <c r="R926" s="16"/>
      <c r="S926" s="16"/>
      <c r="T926" s="19"/>
      <c r="U926" s="16"/>
      <c r="V926" s="19"/>
      <c r="W926" s="160"/>
      <c r="X926" s="160"/>
      <c r="Y926" s="160"/>
      <c r="Z926" s="160"/>
      <c r="AA926" s="160"/>
      <c r="AB926" s="10"/>
      <c r="AD926" s="160"/>
    </row>
    <row r="927" spans="4:30" x14ac:dyDescent="0.2">
      <c r="D927" s="8"/>
      <c r="E927" s="6"/>
      <c r="G927" s="10"/>
      <c r="J927" s="142"/>
      <c r="K927" s="15"/>
      <c r="L927" s="15"/>
      <c r="M927" s="15"/>
      <c r="N927" s="16"/>
      <c r="O927" s="8"/>
      <c r="P927" s="8"/>
      <c r="Q927" s="8"/>
      <c r="R927" s="16"/>
      <c r="S927" s="16"/>
      <c r="T927" s="19"/>
      <c r="U927" s="16"/>
      <c r="V927" s="19"/>
      <c r="W927" s="160"/>
      <c r="X927" s="160"/>
      <c r="Y927" s="160"/>
      <c r="Z927" s="160"/>
      <c r="AA927" s="160"/>
      <c r="AB927" s="10"/>
      <c r="AD927" s="160"/>
    </row>
    <row r="928" spans="4:30" x14ac:dyDescent="0.2">
      <c r="D928" s="8"/>
      <c r="E928" s="6"/>
      <c r="G928" s="10"/>
      <c r="J928" s="142"/>
      <c r="K928" s="15"/>
      <c r="L928" s="15"/>
      <c r="M928" s="15"/>
      <c r="N928" s="16"/>
      <c r="O928" s="8"/>
      <c r="P928" s="8"/>
      <c r="Q928" s="8"/>
      <c r="R928" s="16"/>
      <c r="S928" s="16"/>
      <c r="T928" s="19"/>
      <c r="U928" s="16"/>
      <c r="V928" s="19"/>
      <c r="W928" s="160"/>
      <c r="X928" s="160"/>
      <c r="Y928" s="160"/>
      <c r="Z928" s="160"/>
      <c r="AA928" s="160"/>
      <c r="AB928" s="10"/>
      <c r="AD928" s="160"/>
    </row>
    <row r="929" spans="4:30" x14ac:dyDescent="0.2">
      <c r="D929" s="8"/>
      <c r="E929" s="6"/>
      <c r="G929" s="10"/>
      <c r="J929" s="142"/>
      <c r="K929" s="15"/>
      <c r="L929" s="15"/>
      <c r="M929" s="15"/>
      <c r="N929" s="16"/>
      <c r="O929" s="8"/>
      <c r="P929" s="8"/>
      <c r="Q929" s="8"/>
      <c r="R929" s="16"/>
      <c r="S929" s="16"/>
      <c r="T929" s="19"/>
      <c r="U929" s="16"/>
      <c r="V929" s="19"/>
      <c r="W929" s="160"/>
      <c r="X929" s="160"/>
      <c r="Y929" s="160"/>
      <c r="Z929" s="160"/>
      <c r="AA929" s="160"/>
      <c r="AB929" s="10"/>
      <c r="AD929" s="160"/>
    </row>
    <row r="930" spans="4:30" x14ac:dyDescent="0.2">
      <c r="D930" s="8"/>
      <c r="E930" s="6"/>
      <c r="G930" s="10"/>
      <c r="J930" s="142"/>
      <c r="K930" s="15"/>
      <c r="L930" s="15"/>
      <c r="M930" s="15"/>
      <c r="N930" s="16"/>
      <c r="O930" s="8"/>
      <c r="P930" s="8"/>
      <c r="Q930" s="8"/>
      <c r="R930" s="16"/>
      <c r="S930" s="16"/>
      <c r="T930" s="19"/>
      <c r="U930" s="16"/>
      <c r="V930" s="19"/>
      <c r="W930" s="160"/>
      <c r="X930" s="160"/>
      <c r="Y930" s="160"/>
      <c r="Z930" s="160"/>
      <c r="AA930" s="160"/>
      <c r="AB930" s="10"/>
      <c r="AD930" s="160"/>
    </row>
    <row r="931" spans="4:30" x14ac:dyDescent="0.2">
      <c r="D931" s="8"/>
      <c r="E931" s="6"/>
      <c r="G931" s="10"/>
      <c r="J931" s="142"/>
      <c r="K931" s="15"/>
      <c r="L931" s="15"/>
      <c r="M931" s="15"/>
      <c r="N931" s="16"/>
      <c r="O931" s="8"/>
      <c r="P931" s="8"/>
      <c r="Q931" s="8"/>
      <c r="R931" s="16"/>
      <c r="S931" s="16"/>
      <c r="T931" s="19"/>
      <c r="U931" s="16"/>
      <c r="V931" s="19"/>
      <c r="W931" s="160"/>
      <c r="X931" s="160"/>
      <c r="Y931" s="160"/>
      <c r="Z931" s="160"/>
      <c r="AA931" s="160"/>
      <c r="AB931" s="10"/>
      <c r="AD931" s="160"/>
    </row>
    <row r="932" spans="4:30" x14ac:dyDescent="0.2">
      <c r="D932" s="8"/>
      <c r="E932" s="6"/>
      <c r="G932" s="10"/>
      <c r="J932" s="142"/>
      <c r="K932" s="15"/>
      <c r="L932" s="15"/>
      <c r="M932" s="15"/>
      <c r="N932" s="16"/>
      <c r="O932" s="8"/>
      <c r="P932" s="8"/>
      <c r="Q932" s="8"/>
      <c r="R932" s="16"/>
      <c r="S932" s="16"/>
      <c r="T932" s="19"/>
      <c r="U932" s="16"/>
      <c r="V932" s="19"/>
      <c r="W932" s="160"/>
      <c r="X932" s="160"/>
      <c r="Y932" s="160"/>
      <c r="Z932" s="160"/>
      <c r="AA932" s="160"/>
      <c r="AB932" s="10"/>
      <c r="AD932" s="160"/>
    </row>
    <row r="933" spans="4:30" x14ac:dyDescent="0.2">
      <c r="D933" s="8"/>
      <c r="E933" s="6"/>
      <c r="G933" s="10"/>
      <c r="J933" s="142"/>
      <c r="K933" s="15"/>
      <c r="L933" s="15"/>
      <c r="M933" s="15"/>
      <c r="N933" s="16"/>
      <c r="O933" s="8"/>
      <c r="P933" s="8"/>
      <c r="Q933" s="8"/>
      <c r="R933" s="16"/>
      <c r="S933" s="16"/>
      <c r="T933" s="19"/>
      <c r="U933" s="16"/>
      <c r="V933" s="19"/>
      <c r="W933" s="160"/>
      <c r="X933" s="160"/>
      <c r="Y933" s="160"/>
      <c r="Z933" s="160"/>
      <c r="AA933" s="160"/>
      <c r="AB933" s="10"/>
      <c r="AD933" s="160"/>
    </row>
    <row r="934" spans="4:30" x14ac:dyDescent="0.2">
      <c r="D934" s="8"/>
      <c r="E934" s="6"/>
      <c r="G934" s="10"/>
      <c r="J934" s="142"/>
      <c r="K934" s="15"/>
      <c r="L934" s="15"/>
      <c r="M934" s="15"/>
      <c r="N934" s="16"/>
      <c r="O934" s="8"/>
      <c r="P934" s="8"/>
      <c r="Q934" s="8"/>
      <c r="R934" s="16"/>
      <c r="S934" s="16"/>
      <c r="T934" s="19"/>
      <c r="U934" s="16"/>
      <c r="V934" s="19"/>
      <c r="W934" s="160"/>
      <c r="X934" s="160"/>
      <c r="Y934" s="160"/>
      <c r="Z934" s="160"/>
      <c r="AA934" s="160"/>
      <c r="AB934" s="10"/>
      <c r="AD934" s="160"/>
    </row>
    <row r="935" spans="4:30" x14ac:dyDescent="0.2">
      <c r="D935" s="8"/>
      <c r="E935" s="6"/>
      <c r="G935" s="10"/>
      <c r="J935" s="142"/>
      <c r="K935" s="15"/>
      <c r="L935" s="15"/>
      <c r="M935" s="15"/>
      <c r="N935" s="16"/>
      <c r="O935" s="8"/>
      <c r="P935" s="8"/>
      <c r="Q935" s="8"/>
      <c r="R935" s="16"/>
      <c r="S935" s="16"/>
      <c r="T935" s="19"/>
      <c r="U935" s="16"/>
      <c r="V935" s="19"/>
      <c r="W935" s="160"/>
      <c r="X935" s="160"/>
      <c r="Y935" s="160"/>
      <c r="Z935" s="160"/>
      <c r="AA935" s="160"/>
      <c r="AB935" s="10"/>
      <c r="AD935" s="160"/>
    </row>
    <row r="936" spans="4:30" x14ac:dyDescent="0.2">
      <c r="D936" s="8"/>
      <c r="E936" s="6"/>
      <c r="G936" s="10"/>
      <c r="J936" s="142"/>
      <c r="K936" s="15"/>
      <c r="L936" s="15"/>
      <c r="M936" s="15"/>
      <c r="N936" s="16"/>
      <c r="O936" s="8"/>
      <c r="P936" s="8"/>
      <c r="Q936" s="8"/>
      <c r="R936" s="16"/>
      <c r="S936" s="16"/>
      <c r="T936" s="19"/>
      <c r="U936" s="16"/>
      <c r="V936" s="19"/>
      <c r="W936" s="160"/>
      <c r="X936" s="160"/>
      <c r="Y936" s="160"/>
      <c r="Z936" s="160"/>
      <c r="AA936" s="160"/>
      <c r="AB936" s="10"/>
      <c r="AD936" s="160"/>
    </row>
    <row r="937" spans="4:30" x14ac:dyDescent="0.2">
      <c r="D937" s="8"/>
      <c r="E937" s="6"/>
      <c r="G937" s="10"/>
      <c r="J937" s="142"/>
      <c r="K937" s="15"/>
      <c r="L937" s="15"/>
      <c r="M937" s="15"/>
      <c r="N937" s="16"/>
      <c r="O937" s="8"/>
      <c r="P937" s="8"/>
      <c r="Q937" s="8"/>
      <c r="R937" s="16"/>
      <c r="S937" s="16"/>
      <c r="T937" s="19"/>
      <c r="U937" s="16"/>
      <c r="V937" s="19"/>
      <c r="W937" s="160"/>
      <c r="X937" s="160"/>
      <c r="Y937" s="160"/>
      <c r="Z937" s="160"/>
      <c r="AA937" s="160"/>
      <c r="AB937" s="10"/>
      <c r="AD937" s="160"/>
    </row>
    <row r="938" spans="4:30" x14ac:dyDescent="0.2">
      <c r="D938" s="8"/>
      <c r="E938" s="6"/>
      <c r="G938" s="10"/>
      <c r="J938" s="142"/>
      <c r="K938" s="15"/>
      <c r="L938" s="15"/>
      <c r="M938" s="15"/>
      <c r="N938" s="16"/>
      <c r="O938" s="8"/>
      <c r="P938" s="8"/>
      <c r="Q938" s="8"/>
      <c r="R938" s="16"/>
      <c r="S938" s="16"/>
      <c r="T938" s="19"/>
      <c r="U938" s="16"/>
      <c r="V938" s="19"/>
      <c r="W938" s="160"/>
      <c r="X938" s="160"/>
      <c r="Y938" s="160"/>
      <c r="Z938" s="160"/>
      <c r="AA938" s="160"/>
      <c r="AB938" s="10"/>
      <c r="AD938" s="160"/>
    </row>
    <row r="939" spans="4:30" x14ac:dyDescent="0.2">
      <c r="D939" s="8"/>
      <c r="E939" s="6"/>
      <c r="G939" s="10"/>
      <c r="J939" s="142"/>
      <c r="K939" s="15"/>
      <c r="L939" s="15"/>
      <c r="M939" s="15"/>
      <c r="N939" s="16"/>
      <c r="O939" s="8"/>
      <c r="P939" s="8"/>
      <c r="Q939" s="8"/>
      <c r="R939" s="16"/>
      <c r="S939" s="16"/>
      <c r="T939" s="19"/>
      <c r="U939" s="16"/>
      <c r="V939" s="19"/>
      <c r="W939" s="160"/>
      <c r="X939" s="160"/>
      <c r="Y939" s="160"/>
      <c r="Z939" s="160"/>
      <c r="AA939" s="160"/>
      <c r="AB939" s="10"/>
      <c r="AD939" s="160"/>
    </row>
    <row r="940" spans="4:30" x14ac:dyDescent="0.2">
      <c r="D940" s="8"/>
      <c r="E940" s="6"/>
      <c r="G940" s="10"/>
      <c r="J940" s="142"/>
      <c r="K940" s="15"/>
      <c r="L940" s="15"/>
      <c r="M940" s="15"/>
      <c r="N940" s="16"/>
      <c r="O940" s="8"/>
      <c r="P940" s="8"/>
      <c r="Q940" s="8"/>
      <c r="R940" s="16"/>
      <c r="S940" s="16"/>
      <c r="T940" s="19"/>
      <c r="U940" s="16"/>
      <c r="V940" s="19"/>
      <c r="W940" s="160"/>
      <c r="X940" s="160"/>
      <c r="Y940" s="160"/>
      <c r="Z940" s="160"/>
      <c r="AA940" s="160"/>
      <c r="AB940" s="10"/>
      <c r="AD940" s="160"/>
    </row>
    <row r="941" spans="4:30" x14ac:dyDescent="0.2">
      <c r="D941" s="8"/>
      <c r="E941" s="6"/>
      <c r="G941" s="10"/>
      <c r="J941" s="142"/>
      <c r="K941" s="15"/>
      <c r="L941" s="15"/>
      <c r="M941" s="15"/>
      <c r="N941" s="16"/>
      <c r="O941" s="8"/>
      <c r="P941" s="8"/>
      <c r="Q941" s="8"/>
      <c r="R941" s="16"/>
      <c r="S941" s="16"/>
      <c r="T941" s="19"/>
      <c r="U941" s="16"/>
      <c r="V941" s="19"/>
      <c r="W941" s="160"/>
      <c r="X941" s="160"/>
      <c r="Y941" s="160"/>
      <c r="Z941" s="160"/>
      <c r="AA941" s="160"/>
      <c r="AB941" s="10"/>
      <c r="AD941" s="160"/>
    </row>
    <row r="942" spans="4:30" x14ac:dyDescent="0.2">
      <c r="D942" s="8"/>
      <c r="E942" s="6"/>
      <c r="G942" s="10"/>
      <c r="J942" s="142"/>
      <c r="K942" s="15"/>
      <c r="L942" s="15"/>
      <c r="M942" s="15"/>
      <c r="N942" s="16"/>
      <c r="O942" s="8"/>
      <c r="P942" s="8"/>
      <c r="Q942" s="8"/>
      <c r="R942" s="16"/>
      <c r="S942" s="16"/>
      <c r="T942" s="19"/>
      <c r="U942" s="16"/>
      <c r="V942" s="19"/>
      <c r="W942" s="160"/>
      <c r="X942" s="160"/>
      <c r="Y942" s="160"/>
      <c r="Z942" s="160"/>
      <c r="AA942" s="160"/>
      <c r="AB942" s="10"/>
      <c r="AD942" s="160"/>
    </row>
    <row r="943" spans="4:30" x14ac:dyDescent="0.2">
      <c r="D943" s="8"/>
      <c r="E943" s="6"/>
      <c r="G943" s="10"/>
      <c r="J943" s="142"/>
      <c r="K943" s="15"/>
      <c r="L943" s="15"/>
      <c r="M943" s="15"/>
      <c r="N943" s="16"/>
      <c r="O943" s="8"/>
      <c r="P943" s="8"/>
      <c r="Q943" s="8"/>
      <c r="R943" s="16"/>
      <c r="S943" s="16"/>
      <c r="T943" s="19"/>
      <c r="U943" s="16"/>
      <c r="V943" s="19"/>
      <c r="W943" s="160"/>
      <c r="X943" s="160"/>
      <c r="Y943" s="160"/>
      <c r="Z943" s="160"/>
      <c r="AA943" s="160"/>
      <c r="AB943" s="10"/>
      <c r="AD943" s="160"/>
    </row>
    <row r="944" spans="4:30" x14ac:dyDescent="0.2">
      <c r="D944" s="8"/>
      <c r="E944" s="6"/>
      <c r="G944" s="10"/>
      <c r="J944" s="142"/>
      <c r="K944" s="15"/>
      <c r="L944" s="15"/>
      <c r="M944" s="15"/>
      <c r="N944" s="16"/>
      <c r="O944" s="8"/>
      <c r="P944" s="8"/>
      <c r="Q944" s="8"/>
      <c r="R944" s="16"/>
      <c r="S944" s="16"/>
      <c r="T944" s="19"/>
      <c r="U944" s="16"/>
      <c r="V944" s="19"/>
      <c r="W944" s="160"/>
      <c r="X944" s="160"/>
      <c r="Y944" s="160"/>
      <c r="Z944" s="160"/>
      <c r="AA944" s="160"/>
      <c r="AB944" s="10"/>
      <c r="AD944" s="160"/>
    </row>
    <row r="945" spans="4:30" x14ac:dyDescent="0.2">
      <c r="D945" s="8"/>
      <c r="E945" s="6"/>
      <c r="G945" s="10"/>
      <c r="J945" s="142"/>
      <c r="K945" s="15"/>
      <c r="L945" s="15"/>
      <c r="M945" s="15"/>
      <c r="N945" s="16"/>
      <c r="O945" s="8"/>
      <c r="P945" s="8"/>
      <c r="Q945" s="8"/>
      <c r="R945" s="16"/>
      <c r="S945" s="16"/>
      <c r="T945" s="19"/>
      <c r="U945" s="16"/>
      <c r="V945" s="19"/>
      <c r="W945" s="160"/>
      <c r="X945" s="160"/>
      <c r="Y945" s="160"/>
      <c r="Z945" s="160"/>
      <c r="AA945" s="160"/>
      <c r="AB945" s="10"/>
      <c r="AD945" s="160"/>
    </row>
    <row r="946" spans="4:30" x14ac:dyDescent="0.2">
      <c r="D946" s="8"/>
      <c r="E946" s="6"/>
      <c r="G946" s="10"/>
      <c r="J946" s="142"/>
      <c r="K946" s="15"/>
      <c r="L946" s="15"/>
      <c r="M946" s="15"/>
      <c r="N946" s="16"/>
      <c r="O946" s="8"/>
      <c r="P946" s="8"/>
      <c r="Q946" s="8"/>
      <c r="R946" s="16"/>
      <c r="S946" s="16"/>
      <c r="T946" s="19"/>
      <c r="U946" s="16"/>
      <c r="V946" s="19"/>
      <c r="W946" s="160"/>
      <c r="X946" s="160"/>
      <c r="Y946" s="160"/>
      <c r="Z946" s="160"/>
      <c r="AA946" s="160"/>
      <c r="AB946" s="10"/>
      <c r="AD946" s="160"/>
    </row>
    <row r="947" spans="4:30" x14ac:dyDescent="0.2">
      <c r="D947" s="8"/>
      <c r="E947" s="6"/>
      <c r="G947" s="10"/>
      <c r="J947" s="142"/>
      <c r="K947" s="15"/>
      <c r="L947" s="15"/>
      <c r="M947" s="15"/>
      <c r="N947" s="16"/>
      <c r="O947" s="8"/>
      <c r="P947" s="8"/>
      <c r="Q947" s="8"/>
      <c r="R947" s="16"/>
      <c r="S947" s="16"/>
      <c r="T947" s="19"/>
      <c r="U947" s="16"/>
      <c r="V947" s="19"/>
      <c r="W947" s="160"/>
      <c r="X947" s="160"/>
      <c r="Y947" s="160"/>
      <c r="Z947" s="160"/>
      <c r="AA947" s="160"/>
      <c r="AB947" s="10"/>
      <c r="AD947" s="160"/>
    </row>
    <row r="948" spans="4:30" x14ac:dyDescent="0.2">
      <c r="D948" s="8"/>
      <c r="E948" s="6"/>
      <c r="G948" s="10"/>
      <c r="J948" s="142"/>
      <c r="K948" s="15"/>
      <c r="L948" s="15"/>
      <c r="M948" s="15"/>
      <c r="N948" s="16"/>
      <c r="O948" s="8"/>
      <c r="P948" s="8"/>
      <c r="Q948" s="8"/>
      <c r="R948" s="16"/>
      <c r="S948" s="16"/>
      <c r="T948" s="19"/>
      <c r="U948" s="16"/>
      <c r="V948" s="19"/>
      <c r="W948" s="160"/>
      <c r="X948" s="160"/>
      <c r="Y948" s="160"/>
      <c r="Z948" s="160"/>
      <c r="AA948" s="160"/>
      <c r="AB948" s="10"/>
      <c r="AD948" s="160"/>
    </row>
    <row r="949" spans="4:30" x14ac:dyDescent="0.2">
      <c r="D949" s="8"/>
      <c r="E949" s="6"/>
      <c r="G949" s="10"/>
      <c r="J949" s="142"/>
      <c r="K949" s="15"/>
      <c r="L949" s="15"/>
      <c r="M949" s="15"/>
      <c r="N949" s="16"/>
      <c r="O949" s="8"/>
      <c r="P949" s="8"/>
      <c r="Q949" s="8"/>
      <c r="R949" s="16"/>
      <c r="S949" s="16"/>
      <c r="T949" s="19"/>
      <c r="U949" s="16"/>
      <c r="V949" s="19"/>
      <c r="W949" s="160"/>
      <c r="X949" s="160"/>
      <c r="Y949" s="160"/>
      <c r="Z949" s="160"/>
      <c r="AA949" s="160"/>
      <c r="AB949" s="10"/>
      <c r="AD949" s="160"/>
    </row>
    <row r="950" spans="4:30" x14ac:dyDescent="0.2">
      <c r="D950" s="8"/>
      <c r="E950" s="6"/>
      <c r="G950" s="10"/>
      <c r="J950" s="142"/>
      <c r="K950" s="15"/>
      <c r="L950" s="15"/>
      <c r="M950" s="15"/>
      <c r="N950" s="16"/>
      <c r="O950" s="8"/>
      <c r="P950" s="8"/>
      <c r="Q950" s="8"/>
      <c r="R950" s="16"/>
      <c r="S950" s="16"/>
      <c r="T950" s="19"/>
      <c r="U950" s="16"/>
      <c r="V950" s="19"/>
      <c r="W950" s="160"/>
      <c r="X950" s="160"/>
      <c r="Y950" s="160"/>
      <c r="Z950" s="160"/>
      <c r="AA950" s="160"/>
      <c r="AB950" s="10"/>
      <c r="AD950" s="160"/>
    </row>
    <row r="951" spans="4:30" x14ac:dyDescent="0.2">
      <c r="D951" s="8"/>
      <c r="E951" s="6"/>
      <c r="G951" s="10"/>
      <c r="J951" s="142"/>
      <c r="K951" s="15"/>
      <c r="L951" s="15"/>
      <c r="M951" s="15"/>
      <c r="N951" s="16"/>
      <c r="O951" s="8"/>
      <c r="P951" s="8"/>
      <c r="Q951" s="8"/>
      <c r="R951" s="16"/>
      <c r="S951" s="16"/>
      <c r="T951" s="19"/>
      <c r="U951" s="16"/>
      <c r="V951" s="19"/>
      <c r="W951" s="160"/>
      <c r="X951" s="160"/>
      <c r="Y951" s="160"/>
      <c r="Z951" s="160"/>
      <c r="AA951" s="160"/>
      <c r="AB951" s="10"/>
      <c r="AD951" s="160"/>
    </row>
    <row r="952" spans="4:30" x14ac:dyDescent="0.2">
      <c r="D952" s="8"/>
      <c r="E952" s="6"/>
      <c r="G952" s="10"/>
      <c r="J952" s="142"/>
      <c r="K952" s="15"/>
      <c r="L952" s="15"/>
      <c r="M952" s="15"/>
      <c r="N952" s="16"/>
      <c r="O952" s="8"/>
      <c r="P952" s="8"/>
      <c r="Q952" s="8"/>
      <c r="R952" s="16"/>
      <c r="S952" s="16"/>
      <c r="T952" s="19"/>
      <c r="U952" s="16"/>
      <c r="V952" s="19"/>
      <c r="W952" s="160"/>
      <c r="X952" s="160"/>
      <c r="Y952" s="160"/>
      <c r="Z952" s="160"/>
      <c r="AA952" s="160"/>
      <c r="AB952" s="10"/>
      <c r="AD952" s="160"/>
    </row>
    <row r="953" spans="4:30" x14ac:dyDescent="0.2">
      <c r="D953" s="8"/>
      <c r="E953" s="6"/>
      <c r="G953" s="10"/>
      <c r="J953" s="142"/>
      <c r="K953" s="15"/>
      <c r="L953" s="15"/>
      <c r="M953" s="15"/>
      <c r="N953" s="16"/>
      <c r="O953" s="8"/>
      <c r="P953" s="8"/>
      <c r="Q953" s="8"/>
      <c r="R953" s="16"/>
      <c r="S953" s="16"/>
      <c r="T953" s="19"/>
      <c r="U953" s="16"/>
      <c r="V953" s="19"/>
      <c r="W953" s="160"/>
      <c r="X953" s="160"/>
      <c r="Y953" s="160"/>
      <c r="Z953" s="160"/>
      <c r="AA953" s="160"/>
      <c r="AB953" s="10"/>
      <c r="AD953" s="160"/>
    </row>
    <row r="954" spans="4:30" x14ac:dyDescent="0.2">
      <c r="D954" s="8"/>
      <c r="E954" s="6"/>
      <c r="G954" s="10"/>
      <c r="J954" s="142"/>
      <c r="K954" s="15"/>
      <c r="L954" s="15"/>
      <c r="M954" s="15"/>
      <c r="N954" s="16"/>
      <c r="O954" s="8"/>
      <c r="P954" s="8"/>
      <c r="Q954" s="8"/>
      <c r="R954" s="16"/>
      <c r="S954" s="16"/>
      <c r="T954" s="19"/>
      <c r="U954" s="16"/>
      <c r="V954" s="19"/>
      <c r="W954" s="160"/>
      <c r="X954" s="160"/>
      <c r="Y954" s="160"/>
      <c r="Z954" s="160"/>
      <c r="AA954" s="160"/>
      <c r="AB954" s="10"/>
      <c r="AD954" s="160"/>
    </row>
    <row r="955" spans="4:30" x14ac:dyDescent="0.2">
      <c r="D955" s="8"/>
      <c r="E955" s="6"/>
      <c r="G955" s="10"/>
      <c r="J955" s="142"/>
      <c r="K955" s="15"/>
      <c r="L955" s="15"/>
      <c r="M955" s="15"/>
      <c r="N955" s="16"/>
      <c r="O955" s="8"/>
      <c r="P955" s="8"/>
      <c r="Q955" s="8"/>
      <c r="R955" s="16"/>
      <c r="S955" s="16"/>
      <c r="T955" s="19"/>
      <c r="U955" s="16"/>
      <c r="V955" s="19"/>
      <c r="W955" s="160"/>
      <c r="X955" s="160"/>
      <c r="Y955" s="160"/>
      <c r="Z955" s="160"/>
      <c r="AA955" s="160"/>
      <c r="AB955" s="10"/>
      <c r="AD955" s="160"/>
    </row>
    <row r="956" spans="4:30" x14ac:dyDescent="0.2">
      <c r="D956" s="8"/>
      <c r="E956" s="6"/>
      <c r="G956" s="10"/>
      <c r="J956" s="142"/>
      <c r="K956" s="15"/>
      <c r="L956" s="15"/>
      <c r="M956" s="15"/>
      <c r="N956" s="16"/>
      <c r="O956" s="8"/>
      <c r="P956" s="8"/>
      <c r="Q956" s="8"/>
      <c r="R956" s="16"/>
      <c r="S956" s="16"/>
      <c r="T956" s="19"/>
      <c r="U956" s="16"/>
      <c r="V956" s="19"/>
      <c r="W956" s="160"/>
      <c r="X956" s="160"/>
      <c r="Y956" s="160"/>
      <c r="Z956" s="160"/>
      <c r="AA956" s="160"/>
      <c r="AB956" s="10"/>
      <c r="AD956" s="160"/>
    </row>
    <row r="957" spans="4:30" x14ac:dyDescent="0.2">
      <c r="D957" s="8"/>
      <c r="E957" s="6"/>
      <c r="G957" s="10"/>
      <c r="J957" s="142"/>
      <c r="K957" s="15"/>
      <c r="L957" s="15"/>
      <c r="M957" s="15"/>
      <c r="N957" s="16"/>
      <c r="O957" s="8"/>
      <c r="P957" s="8"/>
      <c r="Q957" s="8"/>
      <c r="R957" s="16"/>
      <c r="S957" s="16"/>
      <c r="T957" s="19"/>
      <c r="U957" s="16"/>
      <c r="V957" s="19"/>
      <c r="W957" s="160"/>
      <c r="X957" s="160"/>
      <c r="Y957" s="160"/>
      <c r="Z957" s="160"/>
      <c r="AA957" s="160"/>
      <c r="AB957" s="10"/>
      <c r="AD957" s="160"/>
    </row>
    <row r="958" spans="4:30" x14ac:dyDescent="0.2">
      <c r="D958" s="8"/>
      <c r="E958" s="6"/>
      <c r="G958" s="10"/>
      <c r="J958" s="142"/>
      <c r="K958" s="15"/>
      <c r="L958" s="15"/>
      <c r="M958" s="15"/>
      <c r="N958" s="16"/>
      <c r="O958" s="8"/>
      <c r="P958" s="8"/>
      <c r="Q958" s="8"/>
      <c r="R958" s="16"/>
      <c r="S958" s="16"/>
      <c r="T958" s="19"/>
      <c r="U958" s="16"/>
      <c r="V958" s="19"/>
      <c r="W958" s="160"/>
      <c r="X958" s="160"/>
      <c r="Y958" s="160"/>
      <c r="Z958" s="160"/>
      <c r="AA958" s="160"/>
      <c r="AB958" s="10"/>
      <c r="AD958" s="160"/>
    </row>
    <row r="959" spans="4:30" x14ac:dyDescent="0.2">
      <c r="D959" s="8"/>
      <c r="E959" s="6"/>
      <c r="G959" s="10"/>
      <c r="J959" s="142"/>
      <c r="K959" s="15"/>
      <c r="L959" s="15"/>
      <c r="M959" s="15"/>
      <c r="N959" s="16"/>
      <c r="O959" s="8"/>
      <c r="P959" s="8"/>
      <c r="Q959" s="8"/>
      <c r="R959" s="16"/>
      <c r="S959" s="16"/>
      <c r="T959" s="19"/>
      <c r="U959" s="16"/>
      <c r="V959" s="19"/>
      <c r="W959" s="160"/>
      <c r="X959" s="160"/>
      <c r="Y959" s="160"/>
      <c r="Z959" s="160"/>
      <c r="AA959" s="160"/>
      <c r="AB959" s="10"/>
      <c r="AD959" s="160"/>
    </row>
    <row r="960" spans="4:30" x14ac:dyDescent="0.2">
      <c r="D960" s="8"/>
      <c r="E960" s="6"/>
      <c r="G960" s="10"/>
      <c r="J960" s="142"/>
      <c r="K960" s="15"/>
      <c r="L960" s="15"/>
      <c r="M960" s="15"/>
      <c r="N960" s="16"/>
      <c r="O960" s="8"/>
      <c r="P960" s="8"/>
      <c r="Q960" s="8"/>
      <c r="R960" s="16"/>
      <c r="S960" s="16"/>
      <c r="T960" s="19"/>
      <c r="U960" s="16"/>
      <c r="V960" s="19"/>
      <c r="W960" s="160"/>
      <c r="X960" s="160"/>
      <c r="Y960" s="160"/>
      <c r="Z960" s="160"/>
      <c r="AA960" s="160"/>
      <c r="AB960" s="10"/>
      <c r="AD960" s="160"/>
    </row>
    <row r="961" spans="4:30" x14ac:dyDescent="0.2">
      <c r="D961" s="8"/>
      <c r="E961" s="6"/>
      <c r="G961" s="10"/>
      <c r="J961" s="142"/>
      <c r="K961" s="15"/>
      <c r="L961" s="15"/>
      <c r="M961" s="15"/>
      <c r="N961" s="16"/>
      <c r="O961" s="8"/>
      <c r="P961" s="8"/>
      <c r="Q961" s="8"/>
      <c r="R961" s="16"/>
      <c r="S961" s="16"/>
      <c r="T961" s="19"/>
      <c r="U961" s="16"/>
      <c r="V961" s="19"/>
      <c r="W961" s="160"/>
      <c r="X961" s="160"/>
      <c r="Y961" s="160"/>
      <c r="Z961" s="160"/>
      <c r="AA961" s="160"/>
      <c r="AB961" s="10"/>
      <c r="AD961" s="160"/>
    </row>
    <row r="962" spans="4:30" x14ac:dyDescent="0.2">
      <c r="D962" s="8"/>
      <c r="E962" s="6"/>
      <c r="G962" s="10"/>
      <c r="J962" s="142"/>
      <c r="K962" s="15"/>
      <c r="L962" s="15"/>
      <c r="M962" s="15"/>
      <c r="N962" s="16"/>
      <c r="O962" s="8"/>
      <c r="P962" s="8"/>
      <c r="Q962" s="8"/>
      <c r="R962" s="16"/>
      <c r="S962" s="16"/>
      <c r="T962" s="19"/>
      <c r="U962" s="16"/>
      <c r="V962" s="19"/>
      <c r="W962" s="160"/>
      <c r="X962" s="160"/>
      <c r="Y962" s="160"/>
      <c r="Z962" s="160"/>
      <c r="AA962" s="160"/>
      <c r="AB962" s="10"/>
      <c r="AD962" s="160"/>
    </row>
    <row r="963" spans="4:30" x14ac:dyDescent="0.2">
      <c r="D963" s="8"/>
      <c r="E963" s="6"/>
      <c r="G963" s="10"/>
      <c r="J963" s="142"/>
      <c r="K963" s="15"/>
      <c r="L963" s="15"/>
      <c r="M963" s="15"/>
      <c r="N963" s="16"/>
      <c r="O963" s="8"/>
      <c r="P963" s="8"/>
      <c r="Q963" s="8"/>
      <c r="R963" s="16"/>
      <c r="S963" s="16"/>
      <c r="T963" s="19"/>
      <c r="U963" s="16"/>
      <c r="V963" s="19"/>
      <c r="W963" s="160"/>
      <c r="X963" s="160"/>
      <c r="Y963" s="160"/>
      <c r="Z963" s="160"/>
      <c r="AA963" s="160"/>
      <c r="AB963" s="10"/>
      <c r="AD963" s="160"/>
    </row>
    <row r="964" spans="4:30" x14ac:dyDescent="0.2">
      <c r="D964" s="8"/>
      <c r="E964" s="6"/>
      <c r="G964" s="10"/>
      <c r="J964" s="142"/>
      <c r="K964" s="15"/>
      <c r="L964" s="15"/>
      <c r="M964" s="15"/>
      <c r="N964" s="16"/>
      <c r="O964" s="8"/>
      <c r="P964" s="8"/>
      <c r="Q964" s="8"/>
      <c r="R964" s="16"/>
      <c r="S964" s="16"/>
      <c r="T964" s="19"/>
      <c r="U964" s="16"/>
      <c r="V964" s="19"/>
      <c r="W964" s="160"/>
      <c r="X964" s="160"/>
      <c r="Y964" s="160"/>
      <c r="Z964" s="160"/>
      <c r="AA964" s="160"/>
      <c r="AB964" s="10"/>
      <c r="AD964" s="160"/>
    </row>
    <row r="965" spans="4:30" x14ac:dyDescent="0.2">
      <c r="D965" s="8"/>
      <c r="E965" s="6"/>
      <c r="G965" s="10"/>
      <c r="J965" s="142"/>
      <c r="K965" s="15"/>
      <c r="L965" s="15"/>
      <c r="M965" s="15"/>
      <c r="N965" s="16"/>
      <c r="O965" s="8"/>
      <c r="P965" s="8"/>
      <c r="Q965" s="8"/>
      <c r="R965" s="16"/>
      <c r="S965" s="16"/>
      <c r="T965" s="19"/>
      <c r="U965" s="16"/>
      <c r="V965" s="19"/>
      <c r="W965" s="160"/>
      <c r="X965" s="160"/>
      <c r="Y965" s="160"/>
      <c r="Z965" s="160"/>
      <c r="AA965" s="160"/>
      <c r="AB965" s="10"/>
      <c r="AD965" s="160"/>
    </row>
    <row r="966" spans="4:30" x14ac:dyDescent="0.2">
      <c r="D966" s="8"/>
      <c r="E966" s="6"/>
      <c r="G966" s="10"/>
      <c r="J966" s="142"/>
      <c r="K966" s="15"/>
      <c r="L966" s="15"/>
      <c r="M966" s="15"/>
      <c r="N966" s="16"/>
      <c r="O966" s="8"/>
      <c r="P966" s="8"/>
      <c r="Q966" s="8"/>
      <c r="R966" s="16"/>
      <c r="S966" s="16"/>
      <c r="T966" s="19"/>
      <c r="U966" s="16"/>
      <c r="V966" s="19"/>
      <c r="W966" s="160"/>
      <c r="X966" s="160"/>
      <c r="Y966" s="160"/>
      <c r="Z966" s="160"/>
      <c r="AA966" s="160"/>
      <c r="AB966" s="10"/>
      <c r="AD966" s="160"/>
    </row>
    <row r="967" spans="4:30" x14ac:dyDescent="0.2">
      <c r="D967" s="8"/>
      <c r="E967" s="6"/>
      <c r="G967" s="10"/>
      <c r="J967" s="142"/>
      <c r="K967" s="15"/>
      <c r="L967" s="15"/>
      <c r="M967" s="15"/>
      <c r="N967" s="16"/>
      <c r="O967" s="8"/>
      <c r="P967" s="8"/>
      <c r="Q967" s="8"/>
      <c r="R967" s="16"/>
      <c r="S967" s="16"/>
      <c r="T967" s="19"/>
      <c r="U967" s="16"/>
      <c r="V967" s="19"/>
      <c r="W967" s="160"/>
      <c r="X967" s="160"/>
      <c r="Y967" s="160"/>
      <c r="Z967" s="160"/>
      <c r="AA967" s="160"/>
      <c r="AB967" s="10"/>
      <c r="AD967" s="160"/>
    </row>
    <row r="968" spans="4:30" x14ac:dyDescent="0.2">
      <c r="D968" s="8"/>
      <c r="E968" s="6"/>
      <c r="G968" s="10"/>
      <c r="J968" s="142"/>
      <c r="K968" s="15"/>
      <c r="L968" s="15"/>
      <c r="M968" s="15"/>
      <c r="N968" s="16"/>
      <c r="O968" s="8"/>
      <c r="P968" s="8"/>
      <c r="Q968" s="8"/>
      <c r="R968" s="16"/>
      <c r="S968" s="16"/>
      <c r="T968" s="19"/>
      <c r="U968" s="16"/>
      <c r="V968" s="19"/>
      <c r="W968" s="160"/>
      <c r="X968" s="160"/>
      <c r="Y968" s="160"/>
      <c r="Z968" s="160"/>
      <c r="AA968" s="160"/>
      <c r="AB968" s="10"/>
      <c r="AD968" s="160"/>
    </row>
    <row r="969" spans="4:30" x14ac:dyDescent="0.2">
      <c r="D969" s="8"/>
      <c r="E969" s="6"/>
      <c r="G969" s="10"/>
      <c r="J969" s="142"/>
      <c r="K969" s="15"/>
      <c r="L969" s="15"/>
      <c r="M969" s="15"/>
      <c r="N969" s="16"/>
      <c r="O969" s="8"/>
      <c r="P969" s="8"/>
      <c r="Q969" s="8"/>
      <c r="R969" s="16"/>
      <c r="S969" s="16"/>
      <c r="T969" s="19"/>
      <c r="U969" s="16"/>
      <c r="V969" s="19"/>
      <c r="W969" s="160"/>
      <c r="X969" s="160"/>
      <c r="Y969" s="160"/>
      <c r="Z969" s="160"/>
      <c r="AA969" s="160"/>
      <c r="AB969" s="10"/>
      <c r="AD969" s="160"/>
    </row>
    <row r="970" spans="4:30" x14ac:dyDescent="0.2">
      <c r="D970" s="8"/>
      <c r="E970" s="6"/>
      <c r="G970" s="10"/>
      <c r="J970" s="142"/>
      <c r="K970" s="15"/>
      <c r="L970" s="15"/>
      <c r="M970" s="15"/>
      <c r="N970" s="16"/>
      <c r="O970" s="8"/>
      <c r="P970" s="8"/>
      <c r="Q970" s="8"/>
      <c r="R970" s="16"/>
      <c r="S970" s="16"/>
      <c r="T970" s="19"/>
      <c r="U970" s="16"/>
      <c r="V970" s="19"/>
      <c r="W970" s="160"/>
      <c r="X970" s="160"/>
      <c r="Y970" s="160"/>
      <c r="Z970" s="160"/>
      <c r="AA970" s="160"/>
      <c r="AB970" s="10"/>
      <c r="AD970" s="160"/>
    </row>
    <row r="971" spans="4:30" x14ac:dyDescent="0.2">
      <c r="D971" s="8"/>
      <c r="E971" s="6"/>
      <c r="G971" s="10"/>
      <c r="J971" s="142"/>
      <c r="K971" s="15"/>
      <c r="L971" s="15"/>
      <c r="M971" s="15"/>
      <c r="N971" s="16"/>
      <c r="O971" s="8"/>
      <c r="P971" s="8"/>
      <c r="Q971" s="8"/>
      <c r="R971" s="16"/>
      <c r="S971" s="16"/>
      <c r="T971" s="19"/>
      <c r="U971" s="16"/>
      <c r="V971" s="19"/>
      <c r="W971" s="160"/>
      <c r="X971" s="160"/>
      <c r="Y971" s="160"/>
      <c r="Z971" s="160"/>
      <c r="AA971" s="160"/>
      <c r="AB971" s="10"/>
      <c r="AD971" s="160"/>
    </row>
    <row r="972" spans="4:30" x14ac:dyDescent="0.2">
      <c r="D972" s="8"/>
      <c r="E972" s="6"/>
      <c r="G972" s="10"/>
      <c r="J972" s="142"/>
      <c r="K972" s="15"/>
      <c r="L972" s="15"/>
      <c r="M972" s="15"/>
      <c r="N972" s="16"/>
      <c r="O972" s="8"/>
      <c r="P972" s="8"/>
      <c r="Q972" s="8"/>
      <c r="R972" s="16"/>
      <c r="S972" s="16"/>
      <c r="T972" s="19"/>
      <c r="U972" s="16"/>
      <c r="V972" s="19"/>
      <c r="W972" s="160"/>
      <c r="X972" s="160"/>
      <c r="Y972" s="160"/>
      <c r="Z972" s="160"/>
      <c r="AA972" s="160"/>
      <c r="AB972" s="10"/>
      <c r="AD972" s="160"/>
    </row>
    <row r="973" spans="4:30" x14ac:dyDescent="0.2">
      <c r="D973" s="8"/>
      <c r="E973" s="6"/>
      <c r="G973" s="10"/>
      <c r="J973" s="142"/>
      <c r="K973" s="15"/>
      <c r="L973" s="15"/>
      <c r="M973" s="15"/>
      <c r="N973" s="16"/>
      <c r="O973" s="8"/>
      <c r="P973" s="8"/>
      <c r="Q973" s="8"/>
      <c r="R973" s="16"/>
      <c r="S973" s="16"/>
      <c r="T973" s="19"/>
      <c r="U973" s="16"/>
      <c r="V973" s="19"/>
      <c r="W973" s="160"/>
      <c r="X973" s="160"/>
      <c r="Y973" s="160"/>
      <c r="Z973" s="160"/>
      <c r="AA973" s="160"/>
      <c r="AB973" s="10"/>
      <c r="AD973" s="160"/>
    </row>
    <row r="974" spans="4:30" x14ac:dyDescent="0.2">
      <c r="D974" s="8"/>
      <c r="E974" s="6"/>
      <c r="G974" s="10"/>
      <c r="J974" s="142"/>
      <c r="K974" s="15"/>
      <c r="L974" s="15"/>
      <c r="M974" s="15"/>
      <c r="N974" s="16"/>
      <c r="O974" s="8"/>
      <c r="P974" s="8"/>
      <c r="Q974" s="8"/>
      <c r="R974" s="16"/>
      <c r="S974" s="16"/>
      <c r="T974" s="19"/>
      <c r="U974" s="16"/>
      <c r="V974" s="19"/>
      <c r="W974" s="160"/>
      <c r="X974" s="160"/>
      <c r="Y974" s="160"/>
      <c r="Z974" s="160"/>
      <c r="AA974" s="160"/>
      <c r="AB974" s="10"/>
      <c r="AD974" s="160"/>
    </row>
    <row r="975" spans="4:30" x14ac:dyDescent="0.2">
      <c r="D975" s="8"/>
      <c r="E975" s="6"/>
      <c r="G975" s="10"/>
      <c r="J975" s="142"/>
      <c r="K975" s="15"/>
      <c r="L975" s="15"/>
      <c r="M975" s="15"/>
      <c r="N975" s="16"/>
      <c r="O975" s="8"/>
      <c r="P975" s="8"/>
      <c r="Q975" s="8"/>
      <c r="R975" s="16"/>
      <c r="S975" s="16"/>
      <c r="T975" s="19"/>
      <c r="U975" s="16"/>
      <c r="V975" s="19"/>
      <c r="W975" s="160"/>
      <c r="X975" s="160"/>
      <c r="Y975" s="160"/>
      <c r="Z975" s="160"/>
      <c r="AA975" s="160"/>
      <c r="AB975" s="10"/>
      <c r="AD975" s="160"/>
    </row>
    <row r="976" spans="4:30" x14ac:dyDescent="0.2">
      <c r="D976" s="8"/>
      <c r="E976" s="6"/>
      <c r="G976" s="10"/>
      <c r="J976" s="142"/>
      <c r="K976" s="15"/>
      <c r="L976" s="15"/>
      <c r="M976" s="15"/>
      <c r="N976" s="16"/>
      <c r="O976" s="8"/>
      <c r="P976" s="8"/>
      <c r="Q976" s="8"/>
      <c r="R976" s="16"/>
      <c r="S976" s="16"/>
      <c r="T976" s="19"/>
      <c r="U976" s="16"/>
      <c r="V976" s="19"/>
      <c r="W976" s="160"/>
      <c r="X976" s="160"/>
      <c r="Y976" s="160"/>
      <c r="Z976" s="160"/>
      <c r="AA976" s="160"/>
      <c r="AB976" s="10"/>
      <c r="AD976" s="160"/>
    </row>
    <row r="977" spans="4:30" x14ac:dyDescent="0.2">
      <c r="D977" s="8"/>
      <c r="E977" s="6"/>
      <c r="G977" s="10"/>
      <c r="J977" s="142"/>
      <c r="K977" s="15"/>
      <c r="L977" s="15"/>
      <c r="M977" s="15"/>
      <c r="N977" s="16"/>
      <c r="O977" s="8"/>
      <c r="P977" s="8"/>
      <c r="Q977" s="8"/>
      <c r="R977" s="16"/>
      <c r="S977" s="16"/>
      <c r="T977" s="19"/>
      <c r="U977" s="16"/>
      <c r="V977" s="19"/>
      <c r="W977" s="160"/>
      <c r="X977" s="160"/>
      <c r="Y977" s="160"/>
      <c r="Z977" s="160"/>
      <c r="AA977" s="160"/>
      <c r="AB977" s="10"/>
      <c r="AD977" s="160"/>
    </row>
    <row r="978" spans="4:30" x14ac:dyDescent="0.2">
      <c r="D978" s="8"/>
      <c r="E978" s="6"/>
      <c r="G978" s="10"/>
      <c r="J978" s="142"/>
      <c r="K978" s="15"/>
      <c r="L978" s="15"/>
      <c r="M978" s="15"/>
      <c r="N978" s="16"/>
      <c r="O978" s="8"/>
      <c r="P978" s="8"/>
      <c r="Q978" s="8"/>
      <c r="R978" s="16"/>
      <c r="S978" s="16"/>
      <c r="T978" s="19"/>
      <c r="U978" s="16"/>
      <c r="V978" s="19"/>
      <c r="W978" s="160"/>
      <c r="X978" s="160"/>
      <c r="Y978" s="160"/>
      <c r="Z978" s="160"/>
      <c r="AA978" s="160"/>
      <c r="AB978" s="10"/>
      <c r="AD978" s="160"/>
    </row>
    <row r="979" spans="4:30" x14ac:dyDescent="0.2">
      <c r="D979" s="8"/>
      <c r="E979" s="6"/>
      <c r="G979" s="10"/>
      <c r="J979" s="142"/>
      <c r="K979" s="15"/>
      <c r="L979" s="15"/>
      <c r="M979" s="15"/>
      <c r="N979" s="16"/>
      <c r="O979" s="8"/>
      <c r="P979" s="8"/>
      <c r="Q979" s="8"/>
      <c r="R979" s="16"/>
      <c r="S979" s="16"/>
      <c r="T979" s="19"/>
      <c r="U979" s="16"/>
      <c r="V979" s="19"/>
      <c r="W979" s="160"/>
      <c r="X979" s="160"/>
      <c r="Y979" s="160"/>
      <c r="Z979" s="160"/>
      <c r="AA979" s="160"/>
      <c r="AB979" s="10"/>
      <c r="AD979" s="160"/>
    </row>
    <row r="980" spans="4:30" x14ac:dyDescent="0.2">
      <c r="D980" s="8"/>
      <c r="E980" s="6"/>
      <c r="G980" s="10"/>
      <c r="J980" s="142"/>
      <c r="K980" s="15"/>
      <c r="L980" s="15"/>
      <c r="M980" s="15"/>
      <c r="N980" s="16"/>
      <c r="O980" s="8"/>
      <c r="P980" s="8"/>
      <c r="Q980" s="8"/>
      <c r="R980" s="16"/>
      <c r="S980" s="16"/>
      <c r="T980" s="19"/>
      <c r="U980" s="16"/>
      <c r="V980" s="19"/>
      <c r="W980" s="160"/>
      <c r="X980" s="160"/>
      <c r="Y980" s="160"/>
      <c r="Z980" s="160"/>
      <c r="AA980" s="160"/>
      <c r="AB980" s="10"/>
      <c r="AD980" s="160"/>
    </row>
    <row r="981" spans="4:30" x14ac:dyDescent="0.2">
      <c r="D981" s="8"/>
      <c r="E981" s="6"/>
      <c r="G981" s="10"/>
      <c r="J981" s="142"/>
      <c r="K981" s="15"/>
      <c r="L981" s="15"/>
      <c r="M981" s="15"/>
      <c r="N981" s="16"/>
      <c r="O981" s="8"/>
      <c r="P981" s="8"/>
      <c r="Q981" s="8"/>
      <c r="R981" s="16"/>
      <c r="S981" s="16"/>
      <c r="T981" s="19"/>
      <c r="U981" s="16"/>
      <c r="V981" s="19"/>
      <c r="W981" s="160"/>
      <c r="X981" s="160"/>
      <c r="Y981" s="160"/>
      <c r="Z981" s="160"/>
      <c r="AA981" s="160"/>
      <c r="AB981" s="10"/>
      <c r="AD981" s="160"/>
    </row>
    <row r="982" spans="4:30" x14ac:dyDescent="0.2">
      <c r="D982" s="8"/>
      <c r="E982" s="6"/>
      <c r="G982" s="10"/>
      <c r="J982" s="142"/>
      <c r="K982" s="15"/>
      <c r="L982" s="15"/>
      <c r="M982" s="15"/>
      <c r="N982" s="16"/>
      <c r="O982" s="8"/>
      <c r="P982" s="8"/>
      <c r="Q982" s="8"/>
      <c r="R982" s="16"/>
      <c r="S982" s="16"/>
      <c r="T982" s="19"/>
      <c r="U982" s="16"/>
      <c r="V982" s="19"/>
      <c r="W982" s="160"/>
      <c r="X982" s="160"/>
      <c r="Y982" s="160"/>
      <c r="Z982" s="160"/>
      <c r="AA982" s="160"/>
      <c r="AB982" s="10"/>
      <c r="AD982" s="160"/>
    </row>
    <row r="983" spans="4:30" x14ac:dyDescent="0.2">
      <c r="D983" s="8"/>
      <c r="E983" s="6"/>
      <c r="G983" s="10"/>
      <c r="J983" s="142"/>
      <c r="K983" s="15"/>
      <c r="L983" s="15"/>
      <c r="M983" s="15"/>
      <c r="N983" s="16"/>
      <c r="O983" s="8"/>
      <c r="P983" s="8"/>
      <c r="Q983" s="8"/>
      <c r="R983" s="16"/>
      <c r="S983" s="16"/>
      <c r="T983" s="19"/>
      <c r="U983" s="16"/>
      <c r="V983" s="19"/>
      <c r="W983" s="160"/>
      <c r="X983" s="160"/>
      <c r="Y983" s="160"/>
      <c r="Z983" s="160"/>
      <c r="AA983" s="160"/>
      <c r="AB983" s="10"/>
      <c r="AD983" s="160"/>
    </row>
    <row r="984" spans="4:30" x14ac:dyDescent="0.2">
      <c r="D984" s="8"/>
      <c r="E984" s="6"/>
      <c r="G984" s="10"/>
      <c r="J984" s="142"/>
      <c r="K984" s="15"/>
      <c r="L984" s="15"/>
      <c r="M984" s="15"/>
      <c r="N984" s="16"/>
      <c r="O984" s="8"/>
      <c r="P984" s="8"/>
      <c r="Q984" s="8"/>
      <c r="R984" s="16"/>
      <c r="S984" s="16"/>
      <c r="T984" s="19"/>
      <c r="U984" s="16"/>
      <c r="V984" s="19"/>
      <c r="W984" s="160"/>
      <c r="X984" s="160"/>
      <c r="Y984" s="160"/>
      <c r="Z984" s="160"/>
      <c r="AA984" s="160"/>
      <c r="AB984" s="10"/>
      <c r="AD984" s="160"/>
    </row>
    <row r="985" spans="4:30" x14ac:dyDescent="0.2">
      <c r="D985" s="8"/>
      <c r="E985" s="6"/>
      <c r="G985" s="10"/>
      <c r="J985" s="142"/>
      <c r="K985" s="15"/>
      <c r="L985" s="15"/>
      <c r="M985" s="15"/>
      <c r="N985" s="16"/>
      <c r="O985" s="8"/>
      <c r="P985" s="8"/>
      <c r="Q985" s="8"/>
      <c r="R985" s="16"/>
      <c r="S985" s="16"/>
      <c r="T985" s="19"/>
      <c r="U985" s="16"/>
      <c r="V985" s="19"/>
      <c r="W985" s="160"/>
      <c r="X985" s="160"/>
      <c r="Y985" s="160"/>
      <c r="Z985" s="160"/>
      <c r="AA985" s="160"/>
      <c r="AB985" s="10"/>
      <c r="AD985" s="160"/>
    </row>
    <row r="986" spans="4:30" x14ac:dyDescent="0.2">
      <c r="D986" s="8"/>
      <c r="E986" s="6"/>
      <c r="G986" s="10"/>
      <c r="J986" s="142"/>
      <c r="K986" s="15"/>
      <c r="L986" s="15"/>
      <c r="M986" s="15"/>
      <c r="N986" s="16"/>
      <c r="O986" s="8"/>
      <c r="P986" s="8"/>
      <c r="Q986" s="8"/>
      <c r="R986" s="16"/>
      <c r="S986" s="16"/>
      <c r="T986" s="19"/>
      <c r="U986" s="16"/>
      <c r="V986" s="19"/>
      <c r="W986" s="160"/>
      <c r="X986" s="160"/>
      <c r="Y986" s="160"/>
      <c r="Z986" s="160"/>
      <c r="AA986" s="160"/>
      <c r="AB986" s="10"/>
      <c r="AD986" s="160"/>
    </row>
    <row r="987" spans="4:30" x14ac:dyDescent="0.2">
      <c r="D987" s="8"/>
      <c r="E987" s="6"/>
      <c r="G987" s="10"/>
      <c r="J987" s="142"/>
      <c r="K987" s="15"/>
      <c r="L987" s="15"/>
      <c r="M987" s="15"/>
      <c r="N987" s="16"/>
      <c r="O987" s="8"/>
      <c r="P987" s="8"/>
      <c r="Q987" s="8"/>
      <c r="R987" s="16"/>
      <c r="S987" s="16"/>
      <c r="T987" s="19"/>
      <c r="U987" s="16"/>
      <c r="V987" s="19"/>
      <c r="W987" s="160"/>
      <c r="X987" s="160"/>
      <c r="Y987" s="160"/>
      <c r="Z987" s="160"/>
      <c r="AA987" s="160"/>
      <c r="AB987" s="10"/>
      <c r="AD987" s="160"/>
    </row>
    <row r="988" spans="4:30" x14ac:dyDescent="0.2">
      <c r="D988" s="8"/>
      <c r="E988" s="6"/>
      <c r="G988" s="10"/>
      <c r="J988" s="142"/>
      <c r="K988" s="15"/>
      <c r="L988" s="15"/>
      <c r="M988" s="15"/>
      <c r="N988" s="16"/>
      <c r="O988" s="8"/>
      <c r="P988" s="8"/>
      <c r="Q988" s="8"/>
      <c r="R988" s="16"/>
      <c r="S988" s="16"/>
      <c r="T988" s="19"/>
      <c r="U988" s="16"/>
      <c r="V988" s="19"/>
      <c r="W988" s="160"/>
      <c r="X988" s="160"/>
      <c r="Y988" s="160"/>
      <c r="Z988" s="160"/>
      <c r="AA988" s="160"/>
      <c r="AB988" s="10"/>
      <c r="AD988" s="160"/>
    </row>
    <row r="989" spans="4:30" x14ac:dyDescent="0.2">
      <c r="D989" s="8"/>
      <c r="E989" s="6"/>
      <c r="G989" s="10"/>
      <c r="J989" s="142"/>
      <c r="K989" s="15"/>
      <c r="L989" s="15"/>
      <c r="M989" s="15"/>
      <c r="N989" s="16"/>
      <c r="O989" s="8"/>
      <c r="P989" s="8"/>
      <c r="Q989" s="8"/>
      <c r="R989" s="16"/>
      <c r="S989" s="16"/>
      <c r="T989" s="19"/>
      <c r="U989" s="16"/>
      <c r="V989" s="19"/>
      <c r="W989" s="160"/>
      <c r="X989" s="160"/>
      <c r="Y989" s="160"/>
      <c r="Z989" s="160"/>
      <c r="AA989" s="160"/>
      <c r="AB989" s="10"/>
      <c r="AD989" s="160"/>
    </row>
    <row r="990" spans="4:30" x14ac:dyDescent="0.2">
      <c r="D990" s="8"/>
      <c r="E990" s="6"/>
      <c r="G990" s="10"/>
      <c r="J990" s="142"/>
      <c r="K990" s="15"/>
      <c r="L990" s="15"/>
      <c r="M990" s="15"/>
      <c r="N990" s="16"/>
      <c r="O990" s="8"/>
      <c r="P990" s="8"/>
      <c r="Q990" s="8"/>
      <c r="R990" s="16"/>
      <c r="S990" s="16"/>
      <c r="T990" s="19"/>
      <c r="U990" s="16"/>
      <c r="V990" s="19"/>
      <c r="W990" s="160"/>
      <c r="X990" s="160"/>
      <c r="Y990" s="160"/>
      <c r="Z990" s="160"/>
      <c r="AA990" s="160"/>
      <c r="AB990" s="10"/>
      <c r="AD990" s="160"/>
    </row>
    <row r="991" spans="4:30" x14ac:dyDescent="0.2">
      <c r="D991" s="8"/>
      <c r="E991" s="6"/>
      <c r="G991" s="10"/>
      <c r="J991" s="142"/>
      <c r="K991" s="15"/>
      <c r="L991" s="15"/>
      <c r="M991" s="15"/>
      <c r="N991" s="16"/>
      <c r="O991" s="8"/>
      <c r="P991" s="8"/>
      <c r="Q991" s="8"/>
      <c r="R991" s="16"/>
      <c r="S991" s="16"/>
      <c r="T991" s="19"/>
      <c r="U991" s="16"/>
      <c r="V991" s="19"/>
      <c r="W991" s="160"/>
      <c r="X991" s="160"/>
      <c r="Y991" s="160"/>
      <c r="Z991" s="160"/>
      <c r="AA991" s="160"/>
      <c r="AB991" s="10"/>
      <c r="AD991" s="160"/>
    </row>
    <row r="992" spans="4:30" x14ac:dyDescent="0.2">
      <c r="D992" s="8"/>
      <c r="E992" s="6"/>
      <c r="G992" s="10"/>
      <c r="J992" s="142"/>
      <c r="K992" s="15"/>
      <c r="L992" s="15"/>
      <c r="M992" s="15"/>
      <c r="N992" s="16"/>
      <c r="O992" s="8"/>
      <c r="P992" s="8"/>
      <c r="Q992" s="8"/>
      <c r="R992" s="16"/>
      <c r="S992" s="16"/>
      <c r="T992" s="19"/>
      <c r="U992" s="16"/>
      <c r="V992" s="19"/>
      <c r="W992" s="160"/>
      <c r="X992" s="160"/>
      <c r="Y992" s="160"/>
      <c r="Z992" s="160"/>
      <c r="AA992" s="160"/>
      <c r="AB992" s="10"/>
      <c r="AD992" s="160"/>
    </row>
    <row r="993" spans="4:30" x14ac:dyDescent="0.2">
      <c r="D993" s="8"/>
      <c r="E993" s="6"/>
      <c r="G993" s="10"/>
      <c r="J993" s="142"/>
      <c r="K993" s="15"/>
      <c r="L993" s="15"/>
      <c r="M993" s="15"/>
      <c r="N993" s="16"/>
      <c r="O993" s="8"/>
      <c r="P993" s="8"/>
      <c r="Q993" s="8"/>
      <c r="R993" s="16"/>
      <c r="S993" s="16"/>
      <c r="T993" s="19"/>
      <c r="U993" s="16"/>
      <c r="V993" s="19"/>
      <c r="W993" s="160"/>
      <c r="X993" s="160"/>
      <c r="Y993" s="160"/>
      <c r="Z993" s="160"/>
      <c r="AA993" s="160"/>
      <c r="AB993" s="10"/>
      <c r="AD993" s="160"/>
    </row>
    <row r="994" spans="4:30" x14ac:dyDescent="0.2">
      <c r="D994" s="8"/>
      <c r="E994" s="6"/>
      <c r="G994" s="10"/>
      <c r="J994" s="142"/>
      <c r="K994" s="15"/>
      <c r="L994" s="15"/>
      <c r="M994" s="15"/>
      <c r="N994" s="16"/>
      <c r="O994" s="8"/>
      <c r="P994" s="8"/>
      <c r="Q994" s="8"/>
      <c r="R994" s="16"/>
      <c r="S994" s="16"/>
      <c r="T994" s="19"/>
      <c r="U994" s="16"/>
      <c r="V994" s="19"/>
      <c r="W994" s="160"/>
      <c r="X994" s="160"/>
      <c r="Y994" s="160"/>
      <c r="Z994" s="160"/>
      <c r="AA994" s="160"/>
      <c r="AB994" s="10"/>
      <c r="AD994" s="160"/>
    </row>
    <row r="995" spans="4:30" x14ac:dyDescent="0.2">
      <c r="D995" s="8"/>
      <c r="E995" s="6"/>
      <c r="G995" s="10"/>
      <c r="J995" s="142"/>
      <c r="K995" s="15"/>
      <c r="L995" s="15"/>
      <c r="M995" s="15"/>
      <c r="N995" s="16"/>
      <c r="O995" s="8"/>
      <c r="P995" s="8"/>
      <c r="Q995" s="8"/>
      <c r="R995" s="16"/>
      <c r="S995" s="16"/>
      <c r="T995" s="19"/>
      <c r="U995" s="16"/>
      <c r="V995" s="19"/>
      <c r="W995" s="160"/>
      <c r="X995" s="160"/>
      <c r="Y995" s="160"/>
      <c r="Z995" s="160"/>
      <c r="AA995" s="160"/>
      <c r="AB995" s="10"/>
      <c r="AD995" s="160"/>
    </row>
    <row r="996" spans="4:30" x14ac:dyDescent="0.2">
      <c r="D996" s="8"/>
      <c r="E996" s="6"/>
      <c r="G996" s="10"/>
      <c r="J996" s="142"/>
      <c r="K996" s="15"/>
      <c r="L996" s="15"/>
      <c r="M996" s="15"/>
      <c r="N996" s="16"/>
      <c r="O996" s="8"/>
      <c r="P996" s="8"/>
      <c r="Q996" s="8"/>
      <c r="R996" s="16"/>
      <c r="S996" s="16"/>
      <c r="T996" s="19"/>
      <c r="U996" s="16"/>
      <c r="V996" s="19"/>
      <c r="W996" s="160"/>
      <c r="X996" s="160"/>
      <c r="Y996" s="160"/>
      <c r="Z996" s="160"/>
      <c r="AA996" s="160"/>
      <c r="AB996" s="10"/>
      <c r="AD996" s="160"/>
    </row>
    <row r="997" spans="4:30" x14ac:dyDescent="0.2">
      <c r="D997" s="8"/>
      <c r="E997" s="6"/>
      <c r="G997" s="10"/>
      <c r="J997" s="142"/>
      <c r="K997" s="15"/>
      <c r="L997" s="15"/>
      <c r="M997" s="15"/>
      <c r="N997" s="16"/>
      <c r="O997" s="8"/>
      <c r="P997" s="8"/>
      <c r="Q997" s="8"/>
      <c r="R997" s="16"/>
      <c r="S997" s="16"/>
      <c r="T997" s="19"/>
      <c r="U997" s="16"/>
      <c r="V997" s="19"/>
      <c r="W997" s="160"/>
      <c r="X997" s="160"/>
      <c r="Y997" s="160"/>
      <c r="Z997" s="160"/>
      <c r="AA997" s="160"/>
      <c r="AB997" s="10"/>
      <c r="AD997" s="160"/>
    </row>
    <row r="998" spans="4:30" x14ac:dyDescent="0.2">
      <c r="D998" s="8"/>
      <c r="E998" s="6"/>
      <c r="G998" s="10"/>
      <c r="J998" s="142"/>
      <c r="K998" s="15"/>
      <c r="L998" s="15"/>
      <c r="M998" s="15"/>
      <c r="N998" s="16"/>
      <c r="O998" s="8"/>
      <c r="P998" s="8"/>
      <c r="Q998" s="8"/>
      <c r="R998" s="16"/>
      <c r="S998" s="16"/>
      <c r="T998" s="19"/>
      <c r="U998" s="16"/>
      <c r="V998" s="19"/>
      <c r="W998" s="160"/>
      <c r="X998" s="160"/>
      <c r="Y998" s="160"/>
      <c r="Z998" s="160"/>
      <c r="AA998" s="160"/>
      <c r="AB998" s="10"/>
      <c r="AD998" s="160"/>
    </row>
    <row r="999" spans="4:30" x14ac:dyDescent="0.2">
      <c r="D999" s="8"/>
      <c r="E999" s="6"/>
      <c r="G999" s="10"/>
      <c r="J999" s="142"/>
      <c r="K999" s="15"/>
      <c r="L999" s="15"/>
      <c r="M999" s="15"/>
      <c r="N999" s="16"/>
      <c r="O999" s="8"/>
      <c r="P999" s="8"/>
      <c r="Q999" s="8"/>
      <c r="R999" s="16"/>
      <c r="S999" s="16"/>
      <c r="T999" s="19"/>
      <c r="U999" s="16"/>
      <c r="V999" s="19"/>
      <c r="W999" s="160"/>
      <c r="X999" s="160"/>
      <c r="Y999" s="160"/>
      <c r="Z999" s="160"/>
      <c r="AA999" s="160"/>
      <c r="AB999" s="10"/>
      <c r="AD999" s="160"/>
    </row>
    <row r="1000" spans="4:30" x14ac:dyDescent="0.2">
      <c r="D1000" s="8"/>
      <c r="E1000" s="6"/>
      <c r="G1000" s="10"/>
      <c r="J1000" s="142"/>
      <c r="K1000" s="15"/>
      <c r="L1000" s="15"/>
      <c r="M1000" s="15"/>
      <c r="N1000" s="16"/>
      <c r="O1000" s="8"/>
      <c r="P1000" s="8"/>
      <c r="Q1000" s="8"/>
      <c r="R1000" s="16"/>
      <c r="S1000" s="16"/>
      <c r="T1000" s="19"/>
      <c r="U1000" s="16"/>
      <c r="V1000" s="19"/>
      <c r="W1000" s="160"/>
      <c r="X1000" s="160"/>
      <c r="Y1000" s="160"/>
      <c r="Z1000" s="160"/>
      <c r="AA1000" s="160"/>
      <c r="AB1000" s="10"/>
      <c r="AD1000" s="160"/>
    </row>
    <row r="1001" spans="4:30" x14ac:dyDescent="0.2">
      <c r="D1001" s="8"/>
      <c r="E1001" s="6"/>
      <c r="G1001" s="10"/>
      <c r="J1001" s="142"/>
      <c r="K1001" s="15"/>
      <c r="L1001" s="15"/>
      <c r="M1001" s="15"/>
      <c r="N1001" s="16"/>
      <c r="O1001" s="8"/>
      <c r="P1001" s="8"/>
      <c r="Q1001" s="8"/>
      <c r="R1001" s="16"/>
      <c r="S1001" s="16"/>
      <c r="T1001" s="19"/>
      <c r="U1001" s="16"/>
      <c r="V1001" s="19"/>
      <c r="W1001" s="160"/>
      <c r="X1001" s="160"/>
      <c r="Y1001" s="160"/>
      <c r="Z1001" s="160"/>
      <c r="AA1001" s="160"/>
      <c r="AB1001" s="10"/>
      <c r="AD1001" s="160"/>
    </row>
    <row r="1002" spans="4:30" x14ac:dyDescent="0.2">
      <c r="D1002" s="8"/>
      <c r="E1002" s="6"/>
      <c r="G1002" s="10"/>
      <c r="J1002" s="142"/>
      <c r="K1002" s="15"/>
      <c r="L1002" s="15"/>
      <c r="M1002" s="15"/>
      <c r="N1002" s="16"/>
      <c r="O1002" s="8"/>
      <c r="P1002" s="8"/>
      <c r="Q1002" s="8"/>
      <c r="R1002" s="16"/>
      <c r="S1002" s="16"/>
      <c r="T1002" s="19"/>
      <c r="U1002" s="16"/>
      <c r="V1002" s="19"/>
      <c r="W1002" s="160"/>
      <c r="X1002" s="160"/>
      <c r="Y1002" s="160"/>
      <c r="Z1002" s="160"/>
      <c r="AA1002" s="160"/>
      <c r="AB1002" s="10"/>
      <c r="AD1002" s="160"/>
    </row>
    <row r="1003" spans="4:30" x14ac:dyDescent="0.2">
      <c r="D1003" s="8"/>
      <c r="E1003" s="6"/>
      <c r="G1003" s="10"/>
      <c r="J1003" s="142"/>
      <c r="K1003" s="15"/>
      <c r="L1003" s="15"/>
      <c r="M1003" s="15"/>
      <c r="N1003" s="16"/>
      <c r="O1003" s="8"/>
      <c r="P1003" s="8"/>
      <c r="Q1003" s="8"/>
      <c r="R1003" s="16"/>
      <c r="S1003" s="16"/>
      <c r="T1003" s="19"/>
      <c r="U1003" s="16"/>
      <c r="V1003" s="19"/>
      <c r="W1003" s="160"/>
      <c r="X1003" s="160"/>
      <c r="Y1003" s="160"/>
      <c r="Z1003" s="160"/>
      <c r="AA1003" s="160"/>
      <c r="AB1003" s="10"/>
      <c r="AD1003" s="160"/>
    </row>
    <row r="1004" spans="4:30" x14ac:dyDescent="0.2">
      <c r="D1004" s="8"/>
      <c r="E1004" s="6"/>
      <c r="G1004" s="10"/>
      <c r="J1004" s="142"/>
      <c r="K1004" s="15"/>
      <c r="L1004" s="15"/>
      <c r="M1004" s="15"/>
      <c r="N1004" s="16"/>
      <c r="O1004" s="8"/>
      <c r="P1004" s="8"/>
      <c r="Q1004" s="8"/>
      <c r="R1004" s="16"/>
      <c r="S1004" s="16"/>
      <c r="T1004" s="19"/>
      <c r="U1004" s="16"/>
      <c r="V1004" s="19"/>
      <c r="W1004" s="160"/>
      <c r="X1004" s="160"/>
      <c r="Y1004" s="160"/>
      <c r="Z1004" s="160"/>
      <c r="AA1004" s="160"/>
      <c r="AB1004" s="10"/>
      <c r="AD1004" s="160"/>
    </row>
    <row r="1005" spans="4:30" x14ac:dyDescent="0.2">
      <c r="D1005" s="8"/>
      <c r="E1005" s="6"/>
      <c r="G1005" s="10"/>
      <c r="J1005" s="142"/>
      <c r="K1005" s="15"/>
      <c r="L1005" s="15"/>
      <c r="M1005" s="15"/>
      <c r="N1005" s="16"/>
      <c r="O1005" s="8"/>
      <c r="P1005" s="8"/>
      <c r="Q1005" s="8"/>
      <c r="R1005" s="16"/>
      <c r="S1005" s="16"/>
      <c r="T1005" s="19"/>
      <c r="U1005" s="16"/>
      <c r="V1005" s="19"/>
      <c r="W1005" s="160"/>
      <c r="X1005" s="160"/>
      <c r="Y1005" s="160"/>
      <c r="Z1005" s="160"/>
      <c r="AA1005" s="160"/>
      <c r="AB1005" s="10"/>
      <c r="AD1005" s="160"/>
    </row>
    <row r="1006" spans="4:30" x14ac:dyDescent="0.2">
      <c r="D1006" s="8"/>
      <c r="E1006" s="6"/>
      <c r="G1006" s="10"/>
      <c r="J1006" s="142"/>
      <c r="K1006" s="15"/>
      <c r="L1006" s="15"/>
      <c r="M1006" s="15"/>
      <c r="N1006" s="16"/>
      <c r="O1006" s="8"/>
      <c r="P1006" s="8"/>
      <c r="Q1006" s="8"/>
      <c r="R1006" s="16"/>
      <c r="S1006" s="16"/>
      <c r="T1006" s="19"/>
      <c r="U1006" s="16"/>
      <c r="V1006" s="19"/>
      <c r="W1006" s="160"/>
      <c r="X1006" s="160"/>
      <c r="Y1006" s="160"/>
      <c r="Z1006" s="160"/>
      <c r="AA1006" s="160"/>
      <c r="AB1006" s="10"/>
      <c r="AD1006" s="160"/>
    </row>
    <row r="1007" spans="4:30" x14ac:dyDescent="0.2">
      <c r="D1007" s="8"/>
      <c r="E1007" s="6"/>
      <c r="G1007" s="10"/>
      <c r="J1007" s="142"/>
      <c r="K1007" s="15"/>
      <c r="L1007" s="15"/>
      <c r="M1007" s="15"/>
      <c r="N1007" s="16"/>
      <c r="O1007" s="8"/>
      <c r="P1007" s="8"/>
      <c r="Q1007" s="8"/>
      <c r="R1007" s="16"/>
      <c r="S1007" s="16"/>
      <c r="T1007" s="19"/>
      <c r="U1007" s="16"/>
      <c r="V1007" s="19"/>
      <c r="W1007" s="160"/>
      <c r="X1007" s="160"/>
      <c r="Y1007" s="160"/>
      <c r="Z1007" s="160"/>
      <c r="AA1007" s="160"/>
      <c r="AB1007" s="10"/>
      <c r="AD1007" s="160"/>
    </row>
    <row r="1008" spans="4:30" x14ac:dyDescent="0.2">
      <c r="D1008" s="8"/>
      <c r="E1008" s="6"/>
      <c r="G1008" s="10"/>
      <c r="J1008" s="142"/>
      <c r="K1008" s="15"/>
      <c r="L1008" s="15"/>
      <c r="M1008" s="15"/>
      <c r="N1008" s="16"/>
      <c r="O1008" s="8"/>
      <c r="P1008" s="8"/>
      <c r="Q1008" s="8"/>
      <c r="R1008" s="16"/>
      <c r="S1008" s="16"/>
      <c r="T1008" s="19"/>
      <c r="U1008" s="16"/>
      <c r="V1008" s="19"/>
      <c r="W1008" s="160"/>
      <c r="X1008" s="160"/>
      <c r="Y1008" s="160"/>
      <c r="Z1008" s="160"/>
      <c r="AA1008" s="160"/>
      <c r="AB1008" s="10"/>
      <c r="AD1008" s="160"/>
    </row>
    <row r="1009" spans="4:30" x14ac:dyDescent="0.2">
      <c r="D1009" s="8"/>
      <c r="E1009" s="6"/>
      <c r="G1009" s="10"/>
      <c r="J1009" s="142"/>
      <c r="K1009" s="15"/>
      <c r="L1009" s="15"/>
      <c r="M1009" s="15"/>
      <c r="N1009" s="16"/>
      <c r="O1009" s="8"/>
      <c r="P1009" s="8"/>
      <c r="Q1009" s="8"/>
      <c r="R1009" s="16"/>
      <c r="S1009" s="16"/>
      <c r="T1009" s="19"/>
      <c r="U1009" s="16"/>
      <c r="V1009" s="19"/>
      <c r="W1009" s="160"/>
      <c r="X1009" s="160"/>
      <c r="Y1009" s="160"/>
      <c r="Z1009" s="160"/>
      <c r="AA1009" s="160"/>
      <c r="AB1009" s="10"/>
      <c r="AD1009" s="160"/>
    </row>
    <row r="1010" spans="4:30" x14ac:dyDescent="0.2">
      <c r="D1010" s="8"/>
      <c r="E1010" s="6"/>
      <c r="G1010" s="10"/>
      <c r="J1010" s="142"/>
      <c r="K1010" s="15"/>
      <c r="L1010" s="15"/>
      <c r="M1010" s="15"/>
      <c r="N1010" s="16"/>
      <c r="O1010" s="8"/>
      <c r="P1010" s="8"/>
      <c r="Q1010" s="8"/>
      <c r="R1010" s="16"/>
      <c r="S1010" s="16"/>
      <c r="T1010" s="19"/>
      <c r="U1010" s="16"/>
      <c r="V1010" s="19"/>
      <c r="W1010" s="160"/>
      <c r="X1010" s="160"/>
      <c r="Y1010" s="160"/>
      <c r="Z1010" s="160"/>
      <c r="AA1010" s="160"/>
      <c r="AB1010" s="10"/>
      <c r="AD1010" s="160"/>
    </row>
    <row r="1011" spans="4:30" x14ac:dyDescent="0.2">
      <c r="D1011" s="8"/>
      <c r="E1011" s="6"/>
      <c r="G1011" s="10"/>
      <c r="J1011" s="142"/>
      <c r="K1011" s="15"/>
      <c r="L1011" s="15"/>
      <c r="M1011" s="15"/>
      <c r="N1011" s="16"/>
      <c r="O1011" s="8"/>
      <c r="P1011" s="8"/>
      <c r="Q1011" s="8"/>
      <c r="R1011" s="16"/>
      <c r="S1011" s="16"/>
      <c r="T1011" s="19"/>
      <c r="U1011" s="16"/>
      <c r="V1011" s="19"/>
      <c r="W1011" s="160"/>
      <c r="X1011" s="160"/>
      <c r="Y1011" s="160"/>
      <c r="Z1011" s="160"/>
      <c r="AA1011" s="160"/>
      <c r="AB1011" s="10"/>
      <c r="AD1011" s="160"/>
    </row>
    <row r="1012" spans="4:30" x14ac:dyDescent="0.2">
      <c r="D1012" s="8"/>
      <c r="E1012" s="6"/>
      <c r="G1012" s="10"/>
      <c r="J1012" s="142"/>
      <c r="K1012" s="15"/>
      <c r="L1012" s="15"/>
      <c r="M1012" s="15"/>
      <c r="N1012" s="16"/>
      <c r="O1012" s="8"/>
      <c r="P1012" s="8"/>
      <c r="Q1012" s="8"/>
      <c r="R1012" s="16"/>
      <c r="S1012" s="16"/>
      <c r="T1012" s="19"/>
      <c r="U1012" s="16"/>
      <c r="V1012" s="19"/>
      <c r="W1012" s="160"/>
      <c r="X1012" s="160"/>
      <c r="Y1012" s="160"/>
      <c r="Z1012" s="160"/>
      <c r="AA1012" s="160"/>
      <c r="AB1012" s="10"/>
      <c r="AD1012" s="160"/>
    </row>
    <row r="1013" spans="4:30" x14ac:dyDescent="0.2">
      <c r="D1013" s="8"/>
      <c r="E1013" s="6"/>
      <c r="G1013" s="10"/>
      <c r="J1013" s="142"/>
      <c r="K1013" s="15"/>
      <c r="L1013" s="15"/>
      <c r="M1013" s="15"/>
      <c r="N1013" s="16"/>
      <c r="O1013" s="8"/>
      <c r="P1013" s="8"/>
      <c r="Q1013" s="8"/>
      <c r="R1013" s="16"/>
      <c r="S1013" s="16"/>
      <c r="T1013" s="19"/>
      <c r="U1013" s="16"/>
      <c r="V1013" s="19"/>
      <c r="W1013" s="160"/>
      <c r="X1013" s="160"/>
      <c r="Y1013" s="160"/>
      <c r="Z1013" s="160"/>
      <c r="AA1013" s="160"/>
      <c r="AB1013" s="10"/>
      <c r="AD1013" s="160"/>
    </row>
    <row r="1014" spans="4:30" x14ac:dyDescent="0.2">
      <c r="D1014" s="8"/>
      <c r="E1014" s="6"/>
      <c r="G1014" s="10"/>
      <c r="J1014" s="142"/>
      <c r="K1014" s="15"/>
      <c r="L1014" s="15"/>
      <c r="M1014" s="15"/>
      <c r="N1014" s="16"/>
      <c r="O1014" s="8"/>
      <c r="P1014" s="8"/>
      <c r="Q1014" s="8"/>
      <c r="R1014" s="16"/>
      <c r="S1014" s="16"/>
      <c r="T1014" s="19"/>
      <c r="U1014" s="16"/>
      <c r="V1014" s="19"/>
      <c r="W1014" s="160"/>
      <c r="X1014" s="160"/>
      <c r="Y1014" s="160"/>
      <c r="Z1014" s="160"/>
      <c r="AA1014" s="160"/>
      <c r="AB1014" s="10"/>
      <c r="AD1014" s="160"/>
    </row>
    <row r="1015" spans="4:30" x14ac:dyDescent="0.2">
      <c r="D1015" s="8"/>
      <c r="E1015" s="6"/>
      <c r="G1015" s="10"/>
      <c r="J1015" s="142"/>
      <c r="K1015" s="15"/>
      <c r="L1015" s="15"/>
      <c r="M1015" s="15"/>
      <c r="N1015" s="16"/>
      <c r="O1015" s="8"/>
      <c r="P1015" s="8"/>
      <c r="Q1015" s="8"/>
      <c r="R1015" s="16"/>
      <c r="S1015" s="16"/>
      <c r="T1015" s="19"/>
      <c r="U1015" s="16"/>
      <c r="V1015" s="19"/>
      <c r="W1015" s="160"/>
      <c r="X1015" s="160"/>
      <c r="Y1015" s="160"/>
      <c r="Z1015" s="160"/>
      <c r="AA1015" s="160"/>
      <c r="AB1015" s="10"/>
      <c r="AD1015" s="160"/>
    </row>
    <row r="1016" spans="4:30" x14ac:dyDescent="0.2">
      <c r="D1016" s="8"/>
      <c r="E1016" s="6"/>
      <c r="G1016" s="10"/>
      <c r="J1016" s="142"/>
      <c r="K1016" s="15"/>
      <c r="L1016" s="15"/>
      <c r="M1016" s="15"/>
      <c r="N1016" s="16"/>
      <c r="O1016" s="8"/>
      <c r="P1016" s="8"/>
      <c r="Q1016" s="8"/>
      <c r="R1016" s="16"/>
      <c r="S1016" s="16"/>
      <c r="T1016" s="19"/>
      <c r="U1016" s="16"/>
      <c r="V1016" s="19"/>
      <c r="W1016" s="160"/>
      <c r="X1016" s="160"/>
      <c r="Y1016" s="160"/>
      <c r="Z1016" s="160"/>
      <c r="AA1016" s="160"/>
      <c r="AB1016" s="10"/>
      <c r="AD1016" s="160"/>
    </row>
    <row r="1017" spans="4:30" x14ac:dyDescent="0.2">
      <c r="D1017" s="8"/>
      <c r="E1017" s="6"/>
      <c r="G1017" s="10"/>
      <c r="J1017" s="142"/>
      <c r="K1017" s="15"/>
      <c r="L1017" s="15"/>
      <c r="M1017" s="15"/>
      <c r="N1017" s="16"/>
      <c r="O1017" s="8"/>
      <c r="P1017" s="8"/>
      <c r="Q1017" s="8"/>
      <c r="R1017" s="16"/>
      <c r="S1017" s="16"/>
      <c r="T1017" s="19"/>
      <c r="U1017" s="16"/>
      <c r="V1017" s="19"/>
      <c r="W1017" s="160"/>
      <c r="X1017" s="160"/>
      <c r="Y1017" s="160"/>
      <c r="Z1017" s="160"/>
      <c r="AA1017" s="160"/>
      <c r="AB1017" s="10"/>
      <c r="AD1017" s="160"/>
    </row>
    <row r="1018" spans="4:30" x14ac:dyDescent="0.2">
      <c r="D1018" s="8"/>
      <c r="E1018" s="6"/>
      <c r="G1018" s="10"/>
      <c r="J1018" s="142"/>
      <c r="K1018" s="15"/>
      <c r="L1018" s="15"/>
      <c r="M1018" s="15"/>
      <c r="N1018" s="16"/>
      <c r="O1018" s="8"/>
      <c r="P1018" s="8"/>
      <c r="Q1018" s="8"/>
      <c r="R1018" s="16"/>
      <c r="S1018" s="16"/>
      <c r="T1018" s="19"/>
      <c r="U1018" s="16"/>
      <c r="V1018" s="19"/>
      <c r="W1018" s="160"/>
      <c r="X1018" s="160"/>
      <c r="Y1018" s="160"/>
      <c r="Z1018" s="160"/>
      <c r="AA1018" s="160"/>
      <c r="AB1018" s="10"/>
      <c r="AD1018" s="160"/>
    </row>
    <row r="1019" spans="4:30" x14ac:dyDescent="0.2">
      <c r="D1019" s="8"/>
      <c r="E1019" s="6"/>
      <c r="G1019" s="10"/>
      <c r="J1019" s="142"/>
      <c r="K1019" s="15"/>
      <c r="L1019" s="15"/>
      <c r="M1019" s="15"/>
      <c r="N1019" s="16"/>
      <c r="O1019" s="8"/>
      <c r="P1019" s="8"/>
      <c r="Q1019" s="8"/>
      <c r="R1019" s="16"/>
      <c r="S1019" s="16"/>
      <c r="T1019" s="19"/>
      <c r="U1019" s="16"/>
      <c r="V1019" s="19"/>
      <c r="W1019" s="160"/>
      <c r="X1019" s="160"/>
      <c r="Y1019" s="160"/>
      <c r="Z1019" s="160"/>
      <c r="AA1019" s="160"/>
      <c r="AB1019" s="10"/>
      <c r="AD1019" s="160"/>
    </row>
    <row r="1020" spans="4:30" x14ac:dyDescent="0.2">
      <c r="D1020" s="8"/>
      <c r="E1020" s="6"/>
      <c r="G1020" s="10"/>
      <c r="J1020" s="142"/>
      <c r="K1020" s="15"/>
      <c r="L1020" s="15"/>
      <c r="M1020" s="15"/>
      <c r="N1020" s="16"/>
      <c r="O1020" s="8"/>
      <c r="P1020" s="8"/>
      <c r="Q1020" s="8"/>
      <c r="R1020" s="16"/>
      <c r="S1020" s="16"/>
      <c r="T1020" s="19"/>
      <c r="U1020" s="16"/>
      <c r="V1020" s="19"/>
      <c r="W1020" s="160"/>
      <c r="X1020" s="160"/>
      <c r="Y1020" s="160"/>
      <c r="Z1020" s="160"/>
      <c r="AA1020" s="160"/>
      <c r="AB1020" s="10"/>
      <c r="AD1020" s="160"/>
    </row>
    <row r="1021" spans="4:30" x14ac:dyDescent="0.2">
      <c r="D1021" s="8"/>
      <c r="E1021" s="6"/>
      <c r="G1021" s="10"/>
      <c r="J1021" s="142"/>
      <c r="K1021" s="15"/>
      <c r="L1021" s="15"/>
      <c r="M1021" s="15"/>
      <c r="N1021" s="16"/>
      <c r="O1021" s="8"/>
      <c r="P1021" s="8"/>
      <c r="Q1021" s="8"/>
      <c r="R1021" s="16"/>
      <c r="S1021" s="16"/>
      <c r="T1021" s="19"/>
      <c r="U1021" s="16"/>
      <c r="V1021" s="19"/>
      <c r="W1021" s="160"/>
      <c r="X1021" s="160"/>
      <c r="Y1021" s="160"/>
      <c r="Z1021" s="160"/>
      <c r="AA1021" s="160"/>
      <c r="AB1021" s="10"/>
      <c r="AD1021" s="160"/>
    </row>
    <row r="1022" spans="4:30" x14ac:dyDescent="0.2">
      <c r="D1022" s="8"/>
      <c r="E1022" s="6"/>
      <c r="G1022" s="10"/>
      <c r="J1022" s="142"/>
      <c r="K1022" s="15"/>
      <c r="L1022" s="15"/>
      <c r="M1022" s="15"/>
      <c r="N1022" s="16"/>
      <c r="O1022" s="8"/>
      <c r="P1022" s="8"/>
      <c r="Q1022" s="8"/>
      <c r="R1022" s="16"/>
      <c r="S1022" s="16"/>
      <c r="T1022" s="19"/>
      <c r="U1022" s="16"/>
      <c r="V1022" s="19"/>
      <c r="W1022" s="160"/>
      <c r="X1022" s="160"/>
      <c r="Y1022" s="160"/>
      <c r="Z1022" s="160"/>
      <c r="AA1022" s="160"/>
      <c r="AB1022" s="10"/>
      <c r="AD1022" s="160"/>
    </row>
    <row r="1023" spans="4:30" x14ac:dyDescent="0.2">
      <c r="D1023" s="8"/>
      <c r="E1023" s="6"/>
      <c r="G1023" s="10"/>
      <c r="J1023" s="142"/>
      <c r="K1023" s="15"/>
      <c r="L1023" s="15"/>
      <c r="M1023" s="15"/>
      <c r="N1023" s="16"/>
      <c r="O1023" s="8"/>
      <c r="P1023" s="8"/>
      <c r="Q1023" s="8"/>
      <c r="R1023" s="16"/>
      <c r="S1023" s="16"/>
      <c r="T1023" s="19"/>
      <c r="U1023" s="16"/>
      <c r="V1023" s="19"/>
      <c r="W1023" s="160"/>
      <c r="X1023" s="160"/>
      <c r="Y1023" s="160"/>
      <c r="Z1023" s="160"/>
      <c r="AA1023" s="160"/>
      <c r="AB1023" s="10"/>
      <c r="AD1023" s="160"/>
    </row>
    <row r="1024" spans="4:30" x14ac:dyDescent="0.2">
      <c r="D1024" s="8"/>
      <c r="E1024" s="6"/>
      <c r="G1024" s="10"/>
      <c r="J1024" s="142"/>
      <c r="K1024" s="15"/>
      <c r="L1024" s="15"/>
      <c r="M1024" s="15"/>
      <c r="N1024" s="16"/>
      <c r="O1024" s="8"/>
      <c r="P1024" s="8"/>
      <c r="Q1024" s="8"/>
      <c r="R1024" s="16"/>
      <c r="S1024" s="16"/>
      <c r="T1024" s="19"/>
      <c r="U1024" s="16"/>
      <c r="V1024" s="19"/>
      <c r="W1024" s="160"/>
      <c r="X1024" s="160"/>
      <c r="Y1024" s="160"/>
      <c r="Z1024" s="160"/>
      <c r="AA1024" s="160"/>
      <c r="AB1024" s="10"/>
      <c r="AD1024" s="160"/>
    </row>
    <row r="1025" spans="4:30" x14ac:dyDescent="0.2">
      <c r="D1025" s="8"/>
      <c r="E1025" s="6"/>
      <c r="G1025" s="10"/>
      <c r="J1025" s="142"/>
      <c r="K1025" s="15"/>
      <c r="L1025" s="15"/>
      <c r="M1025" s="15"/>
      <c r="N1025" s="16"/>
      <c r="O1025" s="8"/>
      <c r="P1025" s="8"/>
      <c r="Q1025" s="8"/>
      <c r="R1025" s="16"/>
      <c r="S1025" s="16"/>
      <c r="T1025" s="19"/>
      <c r="U1025" s="16"/>
      <c r="V1025" s="19"/>
      <c r="W1025" s="160"/>
      <c r="X1025" s="160"/>
      <c r="Y1025" s="160"/>
      <c r="Z1025" s="160"/>
      <c r="AA1025" s="160"/>
      <c r="AB1025" s="10"/>
      <c r="AD1025" s="160"/>
    </row>
    <row r="1026" spans="4:30" x14ac:dyDescent="0.2">
      <c r="D1026" s="8"/>
      <c r="E1026" s="6"/>
      <c r="G1026" s="10"/>
      <c r="J1026" s="142"/>
      <c r="K1026" s="15"/>
      <c r="L1026" s="15"/>
      <c r="M1026" s="15"/>
      <c r="N1026" s="16"/>
      <c r="O1026" s="8"/>
      <c r="P1026" s="8"/>
      <c r="Q1026" s="8"/>
      <c r="R1026" s="16"/>
      <c r="S1026" s="16"/>
      <c r="T1026" s="19"/>
      <c r="U1026" s="16"/>
      <c r="V1026" s="19"/>
      <c r="W1026" s="160"/>
      <c r="X1026" s="160"/>
      <c r="Y1026" s="160"/>
      <c r="Z1026" s="160"/>
      <c r="AA1026" s="160"/>
      <c r="AB1026" s="10"/>
      <c r="AD1026" s="160"/>
    </row>
    <row r="1027" spans="4:30" x14ac:dyDescent="0.2">
      <c r="D1027" s="8"/>
      <c r="E1027" s="6"/>
      <c r="G1027" s="10"/>
      <c r="J1027" s="142"/>
      <c r="K1027" s="15"/>
      <c r="L1027" s="15"/>
      <c r="M1027" s="15"/>
      <c r="N1027" s="16"/>
      <c r="O1027" s="8"/>
      <c r="P1027" s="8"/>
      <c r="Q1027" s="8"/>
      <c r="R1027" s="16"/>
      <c r="S1027" s="16"/>
      <c r="T1027" s="19"/>
      <c r="U1027" s="16"/>
      <c r="V1027" s="19"/>
      <c r="W1027" s="160"/>
      <c r="X1027" s="160"/>
      <c r="Y1027" s="160"/>
      <c r="Z1027" s="160"/>
      <c r="AA1027" s="160"/>
      <c r="AB1027" s="10"/>
      <c r="AD1027" s="160"/>
    </row>
    <row r="1028" spans="4:30" x14ac:dyDescent="0.2">
      <c r="D1028" s="8"/>
      <c r="E1028" s="6"/>
      <c r="G1028" s="10"/>
      <c r="J1028" s="142"/>
      <c r="K1028" s="15"/>
      <c r="L1028" s="15"/>
      <c r="M1028" s="15"/>
      <c r="N1028" s="16"/>
      <c r="O1028" s="8"/>
      <c r="P1028" s="8"/>
      <c r="Q1028" s="8"/>
      <c r="R1028" s="16"/>
      <c r="S1028" s="16"/>
      <c r="T1028" s="19"/>
      <c r="U1028" s="16"/>
      <c r="V1028" s="19"/>
      <c r="W1028" s="160"/>
      <c r="X1028" s="160"/>
      <c r="Y1028" s="160"/>
      <c r="Z1028" s="160"/>
      <c r="AA1028" s="160"/>
      <c r="AB1028" s="10"/>
      <c r="AD1028" s="160"/>
    </row>
    <row r="1029" spans="4:30" x14ac:dyDescent="0.2">
      <c r="D1029" s="8"/>
      <c r="E1029" s="6"/>
      <c r="G1029" s="10"/>
      <c r="J1029" s="142"/>
      <c r="K1029" s="15"/>
      <c r="L1029" s="15"/>
      <c r="M1029" s="15"/>
      <c r="N1029" s="16"/>
      <c r="O1029" s="8"/>
      <c r="P1029" s="8"/>
      <c r="Q1029" s="8"/>
      <c r="R1029" s="16"/>
      <c r="S1029" s="16"/>
      <c r="T1029" s="19"/>
      <c r="U1029" s="16"/>
      <c r="V1029" s="19"/>
      <c r="W1029" s="160"/>
      <c r="X1029" s="160"/>
      <c r="Y1029" s="160"/>
      <c r="Z1029" s="160"/>
      <c r="AA1029" s="160"/>
      <c r="AB1029" s="10"/>
      <c r="AD1029" s="160"/>
    </row>
    <row r="1030" spans="4:30" x14ac:dyDescent="0.2">
      <c r="D1030" s="8"/>
      <c r="E1030" s="6"/>
      <c r="G1030" s="10"/>
      <c r="J1030" s="142"/>
      <c r="K1030" s="15"/>
      <c r="L1030" s="15"/>
      <c r="M1030" s="15"/>
      <c r="N1030" s="16"/>
      <c r="O1030" s="8"/>
      <c r="P1030" s="8"/>
      <c r="Q1030" s="8"/>
      <c r="R1030" s="16"/>
      <c r="S1030" s="16"/>
      <c r="T1030" s="19"/>
      <c r="U1030" s="16"/>
      <c r="V1030" s="19"/>
      <c r="W1030" s="160"/>
      <c r="X1030" s="160"/>
      <c r="Y1030" s="160"/>
      <c r="Z1030" s="160"/>
      <c r="AA1030" s="160"/>
      <c r="AB1030" s="10"/>
      <c r="AD1030" s="160"/>
    </row>
    <row r="1031" spans="4:30" x14ac:dyDescent="0.2">
      <c r="D1031" s="8"/>
      <c r="E1031" s="6"/>
      <c r="G1031" s="10"/>
      <c r="J1031" s="142"/>
      <c r="K1031" s="15"/>
      <c r="L1031" s="15"/>
      <c r="M1031" s="15"/>
      <c r="N1031" s="16"/>
      <c r="O1031" s="8"/>
      <c r="P1031" s="8"/>
      <c r="Q1031" s="8"/>
      <c r="R1031" s="16"/>
      <c r="S1031" s="16"/>
      <c r="T1031" s="19"/>
      <c r="U1031" s="16"/>
      <c r="V1031" s="19"/>
      <c r="W1031" s="160"/>
      <c r="X1031" s="160"/>
      <c r="Y1031" s="160"/>
      <c r="Z1031" s="160"/>
      <c r="AA1031" s="160"/>
      <c r="AB1031" s="10"/>
      <c r="AD1031" s="160"/>
    </row>
    <row r="1032" spans="4:30" x14ac:dyDescent="0.2">
      <c r="D1032" s="8"/>
      <c r="E1032" s="6"/>
      <c r="G1032" s="10"/>
      <c r="J1032" s="142"/>
      <c r="K1032" s="15"/>
      <c r="L1032" s="15"/>
      <c r="M1032" s="15"/>
      <c r="N1032" s="16"/>
      <c r="O1032" s="8"/>
      <c r="P1032" s="8"/>
      <c r="Q1032" s="8"/>
      <c r="R1032" s="16"/>
      <c r="S1032" s="16"/>
      <c r="T1032" s="19"/>
      <c r="U1032" s="16"/>
      <c r="V1032" s="19"/>
      <c r="W1032" s="160"/>
      <c r="X1032" s="160"/>
      <c r="Y1032" s="160"/>
      <c r="Z1032" s="160"/>
      <c r="AA1032" s="160"/>
      <c r="AB1032" s="10"/>
      <c r="AD1032" s="160"/>
    </row>
    <row r="1033" spans="4:30" x14ac:dyDescent="0.2">
      <c r="D1033" s="8"/>
      <c r="E1033" s="6"/>
      <c r="G1033" s="10"/>
      <c r="J1033" s="142"/>
      <c r="K1033" s="15"/>
      <c r="L1033" s="15"/>
      <c r="M1033" s="15"/>
      <c r="N1033" s="16"/>
      <c r="O1033" s="8"/>
      <c r="P1033" s="8"/>
      <c r="Q1033" s="8"/>
      <c r="R1033" s="16"/>
      <c r="S1033" s="16"/>
      <c r="T1033" s="19"/>
      <c r="U1033" s="16"/>
      <c r="V1033" s="19"/>
      <c r="W1033" s="160"/>
      <c r="X1033" s="160"/>
      <c r="Y1033" s="160"/>
      <c r="Z1033" s="160"/>
      <c r="AA1033" s="160"/>
      <c r="AB1033" s="10"/>
      <c r="AD1033" s="160"/>
    </row>
    <row r="1034" spans="4:30" x14ac:dyDescent="0.2">
      <c r="D1034" s="8"/>
      <c r="E1034" s="6"/>
      <c r="G1034" s="10"/>
      <c r="J1034" s="142"/>
      <c r="K1034" s="15"/>
      <c r="L1034" s="15"/>
      <c r="M1034" s="15"/>
      <c r="N1034" s="16"/>
      <c r="O1034" s="8"/>
      <c r="P1034" s="8"/>
      <c r="Q1034" s="8"/>
      <c r="R1034" s="16"/>
      <c r="S1034" s="16"/>
      <c r="T1034" s="19"/>
      <c r="U1034" s="16"/>
      <c r="V1034" s="19"/>
      <c r="W1034" s="160"/>
      <c r="X1034" s="160"/>
      <c r="Y1034" s="160"/>
      <c r="Z1034" s="160"/>
      <c r="AA1034" s="160"/>
      <c r="AB1034" s="10"/>
      <c r="AD1034" s="160"/>
    </row>
    <row r="1035" spans="4:30" x14ac:dyDescent="0.2">
      <c r="D1035" s="8"/>
      <c r="E1035" s="6"/>
      <c r="G1035" s="10"/>
      <c r="J1035" s="142"/>
      <c r="K1035" s="15"/>
      <c r="L1035" s="15"/>
      <c r="M1035" s="15"/>
      <c r="N1035" s="16"/>
      <c r="O1035" s="8"/>
      <c r="P1035" s="8"/>
      <c r="Q1035" s="8"/>
      <c r="R1035" s="16"/>
      <c r="S1035" s="16"/>
      <c r="T1035" s="19"/>
      <c r="U1035" s="16"/>
      <c r="V1035" s="19"/>
      <c r="W1035" s="160"/>
      <c r="X1035" s="160"/>
      <c r="Y1035" s="160"/>
      <c r="Z1035" s="160"/>
      <c r="AA1035" s="160"/>
      <c r="AB1035" s="10"/>
      <c r="AD1035" s="160"/>
    </row>
    <row r="1036" spans="4:30" x14ac:dyDescent="0.2">
      <c r="D1036" s="8"/>
      <c r="E1036" s="6"/>
      <c r="G1036" s="10"/>
      <c r="J1036" s="142"/>
      <c r="K1036" s="15"/>
      <c r="L1036" s="15"/>
      <c r="M1036" s="15"/>
      <c r="N1036" s="16"/>
      <c r="O1036" s="8"/>
      <c r="P1036" s="8"/>
      <c r="Q1036" s="8"/>
      <c r="R1036" s="16"/>
      <c r="S1036" s="16"/>
      <c r="T1036" s="19"/>
      <c r="U1036" s="16"/>
      <c r="V1036" s="19"/>
      <c r="W1036" s="160"/>
      <c r="X1036" s="160"/>
      <c r="Y1036" s="160"/>
      <c r="Z1036" s="160"/>
      <c r="AA1036" s="160"/>
      <c r="AB1036" s="10"/>
      <c r="AD1036" s="160"/>
    </row>
    <row r="1037" spans="4:30" x14ac:dyDescent="0.2">
      <c r="D1037" s="8"/>
      <c r="E1037" s="6"/>
      <c r="G1037" s="10"/>
      <c r="J1037" s="142"/>
      <c r="K1037" s="15"/>
      <c r="L1037" s="15"/>
      <c r="M1037" s="15"/>
      <c r="N1037" s="16"/>
      <c r="O1037" s="8"/>
      <c r="P1037" s="8"/>
      <c r="Q1037" s="8"/>
      <c r="R1037" s="16"/>
      <c r="S1037" s="16"/>
      <c r="T1037" s="19"/>
      <c r="U1037" s="16"/>
      <c r="V1037" s="19"/>
      <c r="W1037" s="160"/>
      <c r="X1037" s="160"/>
      <c r="Y1037" s="160"/>
      <c r="Z1037" s="160"/>
      <c r="AA1037" s="160"/>
      <c r="AB1037" s="10"/>
      <c r="AD1037" s="160"/>
    </row>
    <row r="1038" spans="4:30" x14ac:dyDescent="0.2">
      <c r="D1038" s="8"/>
      <c r="E1038" s="6"/>
      <c r="G1038" s="10"/>
      <c r="J1038" s="142"/>
      <c r="K1038" s="15"/>
      <c r="L1038" s="15"/>
      <c r="M1038" s="15"/>
      <c r="N1038" s="16"/>
      <c r="O1038" s="8"/>
      <c r="P1038" s="8"/>
      <c r="Q1038" s="8"/>
      <c r="R1038" s="16"/>
      <c r="S1038" s="16"/>
      <c r="T1038" s="19"/>
      <c r="U1038" s="16"/>
      <c r="V1038" s="19"/>
      <c r="W1038" s="160"/>
      <c r="X1038" s="160"/>
      <c r="Y1038" s="160"/>
      <c r="Z1038" s="160"/>
      <c r="AA1038" s="160"/>
      <c r="AB1038" s="10"/>
      <c r="AD1038" s="160"/>
    </row>
    <row r="1039" spans="4:30" x14ac:dyDescent="0.2">
      <c r="D1039" s="8"/>
      <c r="E1039" s="6"/>
      <c r="G1039" s="10"/>
      <c r="J1039" s="142"/>
      <c r="K1039" s="15"/>
      <c r="L1039" s="15"/>
      <c r="M1039" s="15"/>
      <c r="N1039" s="16"/>
      <c r="O1039" s="8"/>
      <c r="P1039" s="8"/>
      <c r="Q1039" s="8"/>
      <c r="R1039" s="16"/>
      <c r="S1039" s="16"/>
      <c r="T1039" s="19"/>
      <c r="U1039" s="16"/>
      <c r="V1039" s="19"/>
      <c r="W1039" s="160"/>
      <c r="X1039" s="160"/>
      <c r="Y1039" s="160"/>
      <c r="Z1039" s="160"/>
      <c r="AA1039" s="160"/>
      <c r="AB1039" s="10"/>
      <c r="AD1039" s="160"/>
    </row>
    <row r="1040" spans="4:30" x14ac:dyDescent="0.2">
      <c r="D1040" s="8"/>
      <c r="E1040" s="6"/>
      <c r="G1040" s="10"/>
      <c r="J1040" s="142"/>
      <c r="K1040" s="15"/>
      <c r="L1040" s="15"/>
      <c r="M1040" s="15"/>
      <c r="N1040" s="16"/>
      <c r="O1040" s="8"/>
      <c r="P1040" s="8"/>
      <c r="Q1040" s="8"/>
      <c r="R1040" s="16"/>
      <c r="S1040" s="16"/>
      <c r="T1040" s="19"/>
      <c r="U1040" s="16"/>
      <c r="V1040" s="19"/>
      <c r="W1040" s="160"/>
      <c r="X1040" s="160"/>
      <c r="Y1040" s="160"/>
      <c r="Z1040" s="160"/>
      <c r="AA1040" s="160"/>
      <c r="AB1040" s="10"/>
      <c r="AD1040" s="160"/>
    </row>
    <row r="1041" spans="4:30" x14ac:dyDescent="0.2">
      <c r="D1041" s="8"/>
      <c r="E1041" s="6"/>
      <c r="G1041" s="10"/>
      <c r="J1041" s="142"/>
      <c r="K1041" s="15"/>
      <c r="L1041" s="15"/>
      <c r="M1041" s="15"/>
      <c r="N1041" s="16"/>
      <c r="O1041" s="8"/>
      <c r="P1041" s="8"/>
      <c r="Q1041" s="8"/>
      <c r="R1041" s="16"/>
      <c r="S1041" s="16"/>
      <c r="T1041" s="19"/>
      <c r="U1041" s="16"/>
      <c r="V1041" s="19"/>
      <c r="W1041" s="160"/>
      <c r="X1041" s="160"/>
      <c r="Y1041" s="160"/>
      <c r="Z1041" s="160"/>
      <c r="AA1041" s="160"/>
      <c r="AB1041" s="10"/>
      <c r="AD1041" s="160"/>
    </row>
    <row r="1042" spans="4:30" x14ac:dyDescent="0.2">
      <c r="D1042" s="8"/>
      <c r="E1042" s="6"/>
      <c r="G1042" s="10"/>
      <c r="J1042" s="142"/>
      <c r="K1042" s="15"/>
      <c r="L1042" s="15"/>
      <c r="M1042" s="15"/>
      <c r="N1042" s="16"/>
      <c r="O1042" s="8"/>
      <c r="P1042" s="8"/>
      <c r="Q1042" s="8"/>
      <c r="R1042" s="16"/>
      <c r="S1042" s="16"/>
      <c r="T1042" s="19"/>
      <c r="U1042" s="16"/>
      <c r="V1042" s="19"/>
      <c r="W1042" s="160"/>
      <c r="X1042" s="160"/>
      <c r="Y1042" s="160"/>
      <c r="Z1042" s="160"/>
      <c r="AA1042" s="160"/>
      <c r="AB1042" s="10"/>
      <c r="AD1042" s="160"/>
    </row>
    <row r="1043" spans="4:30" x14ac:dyDescent="0.2">
      <c r="D1043" s="8"/>
      <c r="E1043" s="6"/>
      <c r="G1043" s="10"/>
      <c r="J1043" s="142"/>
      <c r="K1043" s="15"/>
      <c r="L1043" s="15"/>
      <c r="M1043" s="15"/>
      <c r="N1043" s="16"/>
      <c r="O1043" s="8"/>
      <c r="P1043" s="8"/>
      <c r="Q1043" s="8"/>
      <c r="R1043" s="16"/>
      <c r="S1043" s="16"/>
      <c r="T1043" s="19"/>
      <c r="U1043" s="16"/>
      <c r="V1043" s="19"/>
      <c r="W1043" s="160"/>
      <c r="X1043" s="160"/>
      <c r="Y1043" s="160"/>
      <c r="Z1043" s="160"/>
      <c r="AA1043" s="160"/>
      <c r="AB1043" s="10"/>
      <c r="AD1043" s="160"/>
    </row>
    <row r="1044" spans="4:30" x14ac:dyDescent="0.2">
      <c r="D1044" s="8"/>
      <c r="E1044" s="6"/>
      <c r="G1044" s="10"/>
      <c r="J1044" s="142"/>
      <c r="K1044" s="15"/>
      <c r="L1044" s="15"/>
      <c r="M1044" s="15"/>
      <c r="N1044" s="16"/>
      <c r="O1044" s="8"/>
      <c r="P1044" s="8"/>
      <c r="Q1044" s="8"/>
      <c r="R1044" s="16"/>
      <c r="S1044" s="16"/>
      <c r="T1044" s="19"/>
      <c r="U1044" s="16"/>
      <c r="V1044" s="19"/>
      <c r="W1044" s="160"/>
      <c r="X1044" s="160"/>
      <c r="Y1044" s="160"/>
      <c r="Z1044" s="160"/>
      <c r="AA1044" s="160"/>
      <c r="AB1044" s="10"/>
      <c r="AD1044" s="160"/>
    </row>
    <row r="1045" spans="4:30" x14ac:dyDescent="0.2">
      <c r="D1045" s="8"/>
      <c r="E1045" s="6"/>
      <c r="G1045" s="10"/>
      <c r="J1045" s="142"/>
      <c r="K1045" s="15"/>
      <c r="L1045" s="15"/>
      <c r="M1045" s="15"/>
      <c r="N1045" s="16"/>
      <c r="O1045" s="8"/>
      <c r="P1045" s="8"/>
      <c r="Q1045" s="8"/>
      <c r="R1045" s="16"/>
      <c r="S1045" s="16"/>
      <c r="T1045" s="19"/>
      <c r="U1045" s="16"/>
      <c r="V1045" s="19"/>
      <c r="W1045" s="160"/>
      <c r="X1045" s="160"/>
      <c r="Y1045" s="160"/>
      <c r="Z1045" s="160"/>
      <c r="AA1045" s="160"/>
      <c r="AB1045" s="10"/>
      <c r="AD1045" s="160"/>
    </row>
    <row r="1046" spans="4:30" x14ac:dyDescent="0.2">
      <c r="D1046" s="8"/>
      <c r="E1046" s="6"/>
      <c r="G1046" s="10"/>
      <c r="J1046" s="142"/>
      <c r="K1046" s="15"/>
      <c r="L1046" s="15"/>
      <c r="M1046" s="15"/>
      <c r="N1046" s="16"/>
      <c r="O1046" s="8"/>
      <c r="P1046" s="8"/>
      <c r="Q1046" s="8"/>
      <c r="R1046" s="16"/>
      <c r="S1046" s="16"/>
      <c r="T1046" s="19"/>
      <c r="U1046" s="16"/>
      <c r="V1046" s="19"/>
      <c r="W1046" s="160"/>
      <c r="X1046" s="160"/>
      <c r="Y1046" s="160"/>
      <c r="Z1046" s="160"/>
      <c r="AA1046" s="160"/>
      <c r="AB1046" s="10"/>
      <c r="AD1046" s="160"/>
    </row>
    <row r="1047" spans="4:30" x14ac:dyDescent="0.2">
      <c r="D1047" s="8"/>
      <c r="E1047" s="6"/>
      <c r="G1047" s="10"/>
      <c r="J1047" s="142"/>
      <c r="K1047" s="15"/>
      <c r="L1047" s="15"/>
      <c r="M1047" s="15"/>
      <c r="N1047" s="16"/>
      <c r="O1047" s="8"/>
      <c r="P1047" s="8"/>
      <c r="Q1047" s="8"/>
      <c r="R1047" s="16"/>
      <c r="S1047" s="16"/>
      <c r="T1047" s="19"/>
      <c r="U1047" s="16"/>
      <c r="V1047" s="19"/>
      <c r="W1047" s="160"/>
      <c r="X1047" s="160"/>
      <c r="Y1047" s="160"/>
      <c r="Z1047" s="160"/>
      <c r="AA1047" s="160"/>
      <c r="AB1047" s="10"/>
      <c r="AD1047" s="160"/>
    </row>
    <row r="1048" spans="4:30" x14ac:dyDescent="0.2">
      <c r="D1048" s="8"/>
      <c r="E1048" s="6"/>
      <c r="G1048" s="10"/>
      <c r="J1048" s="142"/>
      <c r="K1048" s="15"/>
      <c r="L1048" s="15"/>
      <c r="M1048" s="15"/>
      <c r="N1048" s="16"/>
      <c r="O1048" s="8"/>
      <c r="P1048" s="8"/>
      <c r="Q1048" s="8"/>
      <c r="R1048" s="16"/>
      <c r="S1048" s="16"/>
      <c r="T1048" s="19"/>
      <c r="U1048" s="16"/>
      <c r="V1048" s="19"/>
      <c r="W1048" s="160"/>
      <c r="X1048" s="160"/>
      <c r="Y1048" s="160"/>
      <c r="Z1048" s="160"/>
      <c r="AA1048" s="160"/>
      <c r="AB1048" s="10"/>
      <c r="AD1048" s="160"/>
    </row>
    <row r="1049" spans="4:30" x14ac:dyDescent="0.2">
      <c r="D1049" s="8"/>
      <c r="E1049" s="6"/>
      <c r="G1049" s="10"/>
      <c r="J1049" s="142"/>
      <c r="K1049" s="15"/>
      <c r="L1049" s="15"/>
      <c r="M1049" s="15"/>
      <c r="N1049" s="16"/>
      <c r="O1049" s="8"/>
      <c r="P1049" s="8"/>
      <c r="Q1049" s="8"/>
      <c r="R1049" s="16"/>
      <c r="S1049" s="16"/>
      <c r="T1049" s="19"/>
      <c r="U1049" s="16"/>
      <c r="V1049" s="19"/>
      <c r="W1049" s="160"/>
      <c r="X1049" s="160"/>
      <c r="Y1049" s="160"/>
      <c r="Z1049" s="160"/>
      <c r="AA1049" s="160"/>
      <c r="AB1049" s="10"/>
      <c r="AD1049" s="160"/>
    </row>
    <row r="1050" spans="4:30" x14ac:dyDescent="0.2">
      <c r="D1050" s="8"/>
      <c r="E1050" s="6"/>
      <c r="G1050" s="10"/>
      <c r="J1050" s="142"/>
      <c r="K1050" s="15"/>
      <c r="L1050" s="15"/>
      <c r="M1050" s="15"/>
      <c r="N1050" s="16"/>
      <c r="O1050" s="8"/>
      <c r="P1050" s="8"/>
      <c r="Q1050" s="8"/>
      <c r="R1050" s="16"/>
      <c r="S1050" s="16"/>
      <c r="T1050" s="19"/>
      <c r="U1050" s="16"/>
      <c r="V1050" s="19"/>
      <c r="W1050" s="160"/>
      <c r="X1050" s="160"/>
      <c r="Y1050" s="160"/>
      <c r="Z1050" s="160"/>
      <c r="AA1050" s="160"/>
      <c r="AB1050" s="10"/>
      <c r="AD1050" s="160"/>
    </row>
    <row r="1051" spans="4:30" x14ac:dyDescent="0.2">
      <c r="D1051" s="8"/>
      <c r="E1051" s="6"/>
      <c r="G1051" s="10"/>
      <c r="J1051" s="142"/>
      <c r="K1051" s="15"/>
      <c r="L1051" s="15"/>
      <c r="M1051" s="15"/>
      <c r="N1051" s="16"/>
      <c r="O1051" s="8"/>
      <c r="P1051" s="8"/>
      <c r="Q1051" s="8"/>
      <c r="R1051" s="16"/>
      <c r="S1051" s="16"/>
      <c r="T1051" s="19"/>
      <c r="U1051" s="16"/>
      <c r="V1051" s="19"/>
      <c r="W1051" s="160"/>
      <c r="X1051" s="160"/>
      <c r="Y1051" s="160"/>
      <c r="Z1051" s="160"/>
      <c r="AA1051" s="160"/>
      <c r="AB1051" s="10"/>
      <c r="AD1051" s="160"/>
    </row>
    <row r="1052" spans="4:30" x14ac:dyDescent="0.2">
      <c r="D1052" s="8"/>
      <c r="E1052" s="6"/>
      <c r="G1052" s="10"/>
      <c r="J1052" s="142"/>
      <c r="K1052" s="15"/>
      <c r="L1052" s="15"/>
      <c r="M1052" s="15"/>
      <c r="N1052" s="16"/>
      <c r="O1052" s="8"/>
      <c r="P1052" s="8"/>
      <c r="Q1052" s="8"/>
      <c r="R1052" s="16"/>
      <c r="S1052" s="16"/>
      <c r="T1052" s="19"/>
      <c r="U1052" s="16"/>
      <c r="V1052" s="19"/>
      <c r="W1052" s="160"/>
      <c r="X1052" s="160"/>
      <c r="Y1052" s="160"/>
      <c r="Z1052" s="160"/>
      <c r="AA1052" s="160"/>
      <c r="AB1052" s="10"/>
      <c r="AD1052" s="160"/>
    </row>
    <row r="1053" spans="4:30" x14ac:dyDescent="0.2">
      <c r="D1053" s="8"/>
      <c r="E1053" s="6"/>
      <c r="G1053" s="10"/>
      <c r="J1053" s="142"/>
      <c r="K1053" s="15"/>
      <c r="L1053" s="15"/>
      <c r="M1053" s="15"/>
      <c r="N1053" s="16"/>
      <c r="O1053" s="8"/>
      <c r="P1053" s="8"/>
      <c r="Q1053" s="8"/>
      <c r="R1053" s="16"/>
      <c r="S1053" s="16"/>
      <c r="T1053" s="19"/>
      <c r="U1053" s="16"/>
      <c r="V1053" s="19"/>
      <c r="W1053" s="160"/>
      <c r="X1053" s="160"/>
      <c r="Y1053" s="160"/>
      <c r="Z1053" s="160"/>
      <c r="AA1053" s="160"/>
      <c r="AB1053" s="10"/>
      <c r="AD1053" s="160"/>
    </row>
    <row r="1054" spans="4:30" x14ac:dyDescent="0.2">
      <c r="D1054" s="8"/>
      <c r="E1054" s="6"/>
      <c r="G1054" s="10"/>
      <c r="J1054" s="142"/>
      <c r="K1054" s="15"/>
      <c r="L1054" s="15"/>
      <c r="M1054" s="15"/>
      <c r="N1054" s="16"/>
      <c r="O1054" s="8"/>
      <c r="P1054" s="8"/>
      <c r="Q1054" s="8"/>
      <c r="R1054" s="16"/>
      <c r="S1054" s="16"/>
      <c r="T1054" s="19"/>
      <c r="U1054" s="16"/>
      <c r="V1054" s="19"/>
      <c r="W1054" s="160"/>
      <c r="X1054" s="160"/>
      <c r="Y1054" s="160"/>
      <c r="Z1054" s="160"/>
      <c r="AA1054" s="160"/>
      <c r="AB1054" s="10"/>
      <c r="AD1054" s="160"/>
    </row>
    <row r="1055" spans="4:30" x14ac:dyDescent="0.2">
      <c r="D1055" s="8"/>
      <c r="E1055" s="6"/>
      <c r="G1055" s="10"/>
      <c r="J1055" s="142"/>
      <c r="K1055" s="15"/>
      <c r="L1055" s="15"/>
      <c r="M1055" s="15"/>
      <c r="N1055" s="16"/>
      <c r="O1055" s="8"/>
      <c r="P1055" s="8"/>
      <c r="Q1055" s="8"/>
      <c r="R1055" s="16"/>
      <c r="S1055" s="16"/>
      <c r="T1055" s="19"/>
      <c r="U1055" s="16"/>
      <c r="V1055" s="19"/>
      <c r="W1055" s="160"/>
      <c r="X1055" s="160"/>
      <c r="Y1055" s="160"/>
      <c r="Z1055" s="160"/>
      <c r="AA1055" s="160"/>
      <c r="AB1055" s="10"/>
      <c r="AD1055" s="160"/>
    </row>
    <row r="1056" spans="4:30" x14ac:dyDescent="0.2">
      <c r="D1056" s="8"/>
      <c r="E1056" s="6"/>
      <c r="G1056" s="10"/>
      <c r="J1056" s="142"/>
      <c r="K1056" s="15"/>
      <c r="L1056" s="15"/>
      <c r="M1056" s="15"/>
      <c r="N1056" s="16"/>
      <c r="O1056" s="8"/>
      <c r="P1056" s="8"/>
      <c r="Q1056" s="8"/>
      <c r="R1056" s="16"/>
      <c r="S1056" s="16"/>
      <c r="T1056" s="19"/>
      <c r="U1056" s="16"/>
      <c r="V1056" s="19"/>
      <c r="W1056" s="160"/>
      <c r="X1056" s="160"/>
      <c r="Y1056" s="160"/>
      <c r="Z1056" s="160"/>
      <c r="AA1056" s="160"/>
      <c r="AB1056" s="10"/>
      <c r="AD1056" s="160"/>
    </row>
    <row r="1057" spans="4:30" x14ac:dyDescent="0.2">
      <c r="D1057" s="8"/>
      <c r="E1057" s="6"/>
      <c r="G1057" s="10"/>
      <c r="J1057" s="142"/>
      <c r="K1057" s="15"/>
      <c r="L1057" s="15"/>
      <c r="M1057" s="15"/>
      <c r="N1057" s="16"/>
      <c r="O1057" s="8"/>
      <c r="P1057" s="8"/>
      <c r="Q1057" s="8"/>
      <c r="R1057" s="16"/>
      <c r="S1057" s="16"/>
      <c r="T1057" s="19"/>
      <c r="U1057" s="16"/>
      <c r="V1057" s="19"/>
      <c r="W1057" s="160"/>
      <c r="X1057" s="160"/>
      <c r="Y1057" s="160"/>
      <c r="Z1057" s="160"/>
      <c r="AA1057" s="160"/>
      <c r="AB1057" s="10"/>
      <c r="AD1057" s="160"/>
    </row>
    <row r="1058" spans="4:30" x14ac:dyDescent="0.2">
      <c r="D1058" s="8"/>
      <c r="E1058" s="6"/>
      <c r="G1058" s="10"/>
      <c r="J1058" s="142"/>
      <c r="K1058" s="15"/>
      <c r="L1058" s="15"/>
      <c r="M1058" s="15"/>
      <c r="N1058" s="16"/>
      <c r="O1058" s="8"/>
      <c r="P1058" s="8"/>
      <c r="Q1058" s="8"/>
      <c r="R1058" s="16"/>
      <c r="S1058" s="16"/>
      <c r="T1058" s="19"/>
      <c r="U1058" s="16"/>
      <c r="V1058" s="19"/>
      <c r="W1058" s="160"/>
      <c r="X1058" s="160"/>
      <c r="Y1058" s="160"/>
      <c r="Z1058" s="160"/>
      <c r="AA1058" s="160"/>
      <c r="AB1058" s="10"/>
      <c r="AD1058" s="160"/>
    </row>
    <row r="1059" spans="4:30" x14ac:dyDescent="0.2">
      <c r="D1059" s="8"/>
      <c r="E1059" s="6"/>
      <c r="G1059" s="10"/>
      <c r="J1059" s="142"/>
      <c r="K1059" s="15"/>
      <c r="L1059" s="15"/>
      <c r="M1059" s="15"/>
      <c r="N1059" s="16"/>
      <c r="O1059" s="8"/>
      <c r="P1059" s="8"/>
      <c r="Q1059" s="8"/>
      <c r="R1059" s="16"/>
      <c r="S1059" s="16"/>
      <c r="T1059" s="19"/>
      <c r="U1059" s="16"/>
      <c r="V1059" s="19"/>
      <c r="W1059" s="160"/>
      <c r="X1059" s="160"/>
      <c r="Y1059" s="160"/>
      <c r="Z1059" s="160"/>
      <c r="AA1059" s="160"/>
      <c r="AB1059" s="10"/>
      <c r="AD1059" s="160"/>
    </row>
    <row r="1060" spans="4:30" x14ac:dyDescent="0.2">
      <c r="D1060" s="8"/>
      <c r="E1060" s="6"/>
      <c r="G1060" s="10"/>
      <c r="J1060" s="142"/>
      <c r="K1060" s="15"/>
      <c r="L1060" s="15"/>
      <c r="M1060" s="15"/>
      <c r="N1060" s="16"/>
      <c r="O1060" s="8"/>
      <c r="P1060" s="8"/>
      <c r="Q1060" s="8"/>
      <c r="R1060" s="16"/>
      <c r="S1060" s="16"/>
      <c r="T1060" s="19"/>
      <c r="U1060" s="16"/>
      <c r="V1060" s="19"/>
      <c r="W1060" s="160"/>
      <c r="X1060" s="160"/>
      <c r="Y1060" s="160"/>
      <c r="Z1060" s="160"/>
      <c r="AA1060" s="160"/>
      <c r="AB1060" s="10"/>
      <c r="AD1060" s="160"/>
    </row>
    <row r="1061" spans="4:30" x14ac:dyDescent="0.2">
      <c r="D1061" s="8"/>
      <c r="E1061" s="6"/>
      <c r="G1061" s="10"/>
      <c r="J1061" s="142"/>
      <c r="K1061" s="15"/>
      <c r="L1061" s="15"/>
      <c r="M1061" s="15"/>
      <c r="N1061" s="16"/>
      <c r="O1061" s="8"/>
      <c r="P1061" s="8"/>
      <c r="Q1061" s="8"/>
      <c r="R1061" s="16"/>
      <c r="S1061" s="16"/>
      <c r="T1061" s="19"/>
      <c r="U1061" s="16"/>
      <c r="V1061" s="19"/>
      <c r="W1061" s="160"/>
      <c r="X1061" s="160"/>
      <c r="Y1061" s="160"/>
      <c r="Z1061" s="160"/>
      <c r="AA1061" s="160"/>
      <c r="AB1061" s="10"/>
      <c r="AD1061" s="160"/>
    </row>
    <row r="1062" spans="4:30" x14ac:dyDescent="0.2">
      <c r="D1062" s="8"/>
      <c r="E1062" s="6"/>
      <c r="G1062" s="10"/>
      <c r="J1062" s="142"/>
      <c r="K1062" s="15"/>
      <c r="L1062" s="15"/>
      <c r="M1062" s="15"/>
      <c r="N1062" s="16"/>
      <c r="O1062" s="8"/>
      <c r="P1062" s="8"/>
      <c r="Q1062" s="8"/>
      <c r="R1062" s="16"/>
      <c r="S1062" s="16"/>
      <c r="T1062" s="19"/>
      <c r="U1062" s="16"/>
      <c r="V1062" s="19"/>
      <c r="W1062" s="160"/>
      <c r="X1062" s="160"/>
      <c r="Y1062" s="160"/>
      <c r="Z1062" s="160"/>
      <c r="AA1062" s="160"/>
      <c r="AB1062" s="10"/>
      <c r="AD1062" s="160"/>
    </row>
    <row r="1063" spans="4:30" x14ac:dyDescent="0.2">
      <c r="D1063" s="8"/>
      <c r="E1063" s="6"/>
      <c r="G1063" s="10"/>
      <c r="J1063" s="142"/>
      <c r="K1063" s="15"/>
      <c r="L1063" s="15"/>
      <c r="M1063" s="15"/>
      <c r="N1063" s="16"/>
      <c r="O1063" s="8"/>
      <c r="P1063" s="8"/>
      <c r="Q1063" s="8"/>
      <c r="R1063" s="16"/>
      <c r="S1063" s="16"/>
      <c r="T1063" s="19"/>
      <c r="U1063" s="16"/>
      <c r="V1063" s="19"/>
      <c r="W1063" s="160"/>
      <c r="X1063" s="160"/>
      <c r="Y1063" s="160"/>
      <c r="Z1063" s="160"/>
      <c r="AA1063" s="160"/>
      <c r="AB1063" s="10"/>
      <c r="AD1063" s="160"/>
    </row>
    <row r="1064" spans="4:30" x14ac:dyDescent="0.2">
      <c r="D1064" s="8"/>
      <c r="E1064" s="6"/>
      <c r="G1064" s="10"/>
      <c r="J1064" s="142"/>
      <c r="K1064" s="15"/>
      <c r="L1064" s="15"/>
      <c r="M1064" s="15"/>
      <c r="N1064" s="16"/>
      <c r="O1064" s="8"/>
      <c r="P1064" s="8"/>
      <c r="Q1064" s="8"/>
      <c r="R1064" s="16"/>
      <c r="S1064" s="16"/>
      <c r="T1064" s="19"/>
      <c r="U1064" s="16"/>
      <c r="V1064" s="19"/>
      <c r="W1064" s="160"/>
      <c r="X1064" s="160"/>
      <c r="Y1064" s="160"/>
      <c r="Z1064" s="160"/>
      <c r="AA1064" s="160"/>
      <c r="AB1064" s="10"/>
      <c r="AD1064" s="160"/>
    </row>
    <row r="1065" spans="4:30" x14ac:dyDescent="0.2">
      <c r="D1065" s="8"/>
      <c r="E1065" s="6"/>
      <c r="G1065" s="10"/>
      <c r="J1065" s="142"/>
      <c r="K1065" s="15"/>
      <c r="L1065" s="15"/>
      <c r="M1065" s="15"/>
      <c r="N1065" s="16"/>
      <c r="O1065" s="8"/>
      <c r="P1065" s="8"/>
      <c r="Q1065" s="8"/>
      <c r="R1065" s="16"/>
      <c r="S1065" s="16"/>
      <c r="T1065" s="19"/>
      <c r="U1065" s="16"/>
      <c r="V1065" s="19"/>
      <c r="W1065" s="160"/>
      <c r="X1065" s="160"/>
      <c r="Y1065" s="160"/>
      <c r="Z1065" s="160"/>
      <c r="AA1065" s="160"/>
      <c r="AB1065" s="10"/>
      <c r="AD1065" s="160"/>
    </row>
    <row r="1066" spans="4:30" x14ac:dyDescent="0.2">
      <c r="D1066" s="8"/>
      <c r="E1066" s="6"/>
      <c r="G1066" s="10"/>
      <c r="J1066" s="142"/>
      <c r="K1066" s="15"/>
      <c r="L1066" s="15"/>
      <c r="M1066" s="15"/>
      <c r="N1066" s="16"/>
      <c r="O1066" s="8"/>
      <c r="P1066" s="8"/>
      <c r="Q1066" s="8"/>
      <c r="R1066" s="16"/>
      <c r="S1066" s="16"/>
      <c r="T1066" s="19"/>
      <c r="U1066" s="16"/>
      <c r="V1066" s="19"/>
      <c r="W1066" s="160"/>
      <c r="X1066" s="160"/>
      <c r="Y1066" s="160"/>
      <c r="Z1066" s="160"/>
      <c r="AA1066" s="160"/>
      <c r="AB1066" s="10"/>
      <c r="AD1066" s="160"/>
    </row>
    <row r="1067" spans="4:30" x14ac:dyDescent="0.2">
      <c r="D1067" s="8"/>
      <c r="E1067" s="6"/>
      <c r="G1067" s="10"/>
      <c r="J1067" s="142"/>
      <c r="K1067" s="15"/>
      <c r="L1067" s="15"/>
      <c r="M1067" s="15"/>
      <c r="N1067" s="16"/>
      <c r="O1067" s="8"/>
      <c r="P1067" s="8"/>
      <c r="Q1067" s="8"/>
      <c r="R1067" s="16"/>
      <c r="S1067" s="16"/>
      <c r="T1067" s="19"/>
      <c r="U1067" s="16"/>
      <c r="V1067" s="19"/>
      <c r="W1067" s="160"/>
      <c r="X1067" s="160"/>
      <c r="Y1067" s="160"/>
      <c r="Z1067" s="160"/>
      <c r="AA1067" s="160"/>
      <c r="AB1067" s="10"/>
      <c r="AD1067" s="160"/>
    </row>
    <row r="1068" spans="4:30" x14ac:dyDescent="0.2">
      <c r="D1068" s="8"/>
      <c r="E1068" s="6"/>
      <c r="G1068" s="10"/>
      <c r="J1068" s="142"/>
      <c r="K1068" s="15"/>
      <c r="L1068" s="15"/>
      <c r="M1068" s="15"/>
      <c r="N1068" s="16"/>
      <c r="O1068" s="8"/>
      <c r="P1068" s="8"/>
      <c r="Q1068" s="8"/>
      <c r="R1068" s="16"/>
      <c r="S1068" s="16"/>
      <c r="T1068" s="19"/>
      <c r="U1068" s="16"/>
      <c r="V1068" s="19"/>
      <c r="W1068" s="160"/>
      <c r="X1068" s="160"/>
      <c r="Y1068" s="160"/>
      <c r="Z1068" s="160"/>
      <c r="AA1068" s="160"/>
      <c r="AB1068" s="10"/>
      <c r="AD1068" s="160"/>
    </row>
    <row r="1069" spans="4:30" x14ac:dyDescent="0.2">
      <c r="D1069" s="8"/>
      <c r="E1069" s="6"/>
      <c r="G1069" s="10"/>
      <c r="J1069" s="142"/>
      <c r="K1069" s="15"/>
      <c r="L1069" s="15"/>
      <c r="M1069" s="15"/>
      <c r="N1069" s="16"/>
      <c r="O1069" s="8"/>
      <c r="P1069" s="8"/>
      <c r="Q1069" s="8"/>
      <c r="R1069" s="16"/>
      <c r="S1069" s="16"/>
      <c r="T1069" s="19"/>
      <c r="U1069" s="16"/>
      <c r="V1069" s="19"/>
      <c r="W1069" s="160"/>
      <c r="X1069" s="160"/>
      <c r="Y1069" s="160"/>
      <c r="Z1069" s="160"/>
      <c r="AA1069" s="160"/>
      <c r="AB1069" s="10"/>
      <c r="AD1069" s="160"/>
    </row>
    <row r="1070" spans="4:30" x14ac:dyDescent="0.2">
      <c r="D1070" s="8"/>
      <c r="E1070" s="6"/>
      <c r="G1070" s="10"/>
      <c r="J1070" s="142"/>
      <c r="K1070" s="15"/>
      <c r="L1070" s="15"/>
      <c r="M1070" s="15"/>
      <c r="N1070" s="16"/>
      <c r="O1070" s="8"/>
      <c r="P1070" s="8"/>
      <c r="Q1070" s="8"/>
      <c r="R1070" s="16"/>
      <c r="S1070" s="16"/>
      <c r="T1070" s="19"/>
      <c r="U1070" s="16"/>
      <c r="V1070" s="19"/>
      <c r="W1070" s="160"/>
      <c r="X1070" s="160"/>
      <c r="Y1070" s="160"/>
      <c r="Z1070" s="160"/>
      <c r="AA1070" s="160"/>
      <c r="AB1070" s="10"/>
      <c r="AD1070" s="160"/>
    </row>
    <row r="1071" spans="4:30" x14ac:dyDescent="0.2">
      <c r="D1071" s="8"/>
      <c r="E1071" s="6"/>
      <c r="G1071" s="10"/>
      <c r="J1071" s="142"/>
      <c r="K1071" s="15"/>
      <c r="L1071" s="15"/>
      <c r="M1071" s="15"/>
      <c r="N1071" s="16"/>
      <c r="O1071" s="8"/>
      <c r="P1071" s="8"/>
      <c r="Q1071" s="8"/>
      <c r="R1071" s="16"/>
      <c r="S1071" s="16"/>
      <c r="T1071" s="19"/>
      <c r="U1071" s="16"/>
      <c r="V1071" s="19"/>
      <c r="W1071" s="160"/>
      <c r="X1071" s="160"/>
      <c r="Y1071" s="160"/>
      <c r="Z1071" s="160"/>
      <c r="AA1071" s="160"/>
      <c r="AB1071" s="10"/>
      <c r="AD1071" s="160"/>
    </row>
    <row r="1072" spans="4:30" x14ac:dyDescent="0.2">
      <c r="D1072" s="8"/>
      <c r="E1072" s="6"/>
      <c r="G1072" s="10"/>
      <c r="J1072" s="142"/>
      <c r="K1072" s="15"/>
      <c r="L1072" s="15"/>
      <c r="M1072" s="15"/>
      <c r="N1072" s="16"/>
      <c r="O1072" s="8"/>
      <c r="P1072" s="8"/>
      <c r="Q1072" s="8"/>
      <c r="R1072" s="16"/>
      <c r="S1072" s="16"/>
      <c r="T1072" s="19"/>
      <c r="U1072" s="16"/>
      <c r="V1072" s="19"/>
      <c r="W1072" s="160"/>
      <c r="X1072" s="160"/>
      <c r="Y1072" s="160"/>
      <c r="Z1072" s="160"/>
      <c r="AA1072" s="160"/>
      <c r="AB1072" s="10"/>
      <c r="AD1072" s="160"/>
    </row>
    <row r="1073" spans="4:30" x14ac:dyDescent="0.2">
      <c r="D1073" s="8"/>
      <c r="E1073" s="6"/>
      <c r="G1073" s="10"/>
      <c r="J1073" s="142"/>
      <c r="K1073" s="15"/>
      <c r="L1073" s="15"/>
      <c r="M1073" s="15"/>
      <c r="N1073" s="16"/>
      <c r="O1073" s="8"/>
      <c r="P1073" s="8"/>
      <c r="Q1073" s="8"/>
      <c r="R1073" s="16"/>
      <c r="S1073" s="16"/>
      <c r="T1073" s="19"/>
      <c r="U1073" s="16"/>
      <c r="V1073" s="19"/>
      <c r="W1073" s="160"/>
      <c r="X1073" s="160"/>
      <c r="Y1073" s="160"/>
      <c r="Z1073" s="160"/>
      <c r="AA1073" s="160"/>
      <c r="AB1073" s="10"/>
      <c r="AD1073" s="160"/>
    </row>
    <row r="1074" spans="4:30" x14ac:dyDescent="0.2">
      <c r="D1074" s="8"/>
      <c r="E1074" s="6"/>
      <c r="G1074" s="10"/>
      <c r="J1074" s="142"/>
      <c r="K1074" s="15"/>
      <c r="L1074" s="15"/>
      <c r="M1074" s="15"/>
      <c r="N1074" s="16"/>
      <c r="O1074" s="8"/>
      <c r="P1074" s="8"/>
      <c r="Q1074" s="8"/>
      <c r="R1074" s="16"/>
      <c r="S1074" s="16"/>
      <c r="T1074" s="19"/>
      <c r="U1074" s="16"/>
      <c r="V1074" s="19"/>
      <c r="W1074" s="160"/>
      <c r="X1074" s="160"/>
      <c r="Y1074" s="160"/>
      <c r="Z1074" s="160"/>
      <c r="AA1074" s="160"/>
      <c r="AB1074" s="10"/>
      <c r="AD1074" s="160"/>
    </row>
    <row r="1075" spans="4:30" x14ac:dyDescent="0.2">
      <c r="D1075" s="8"/>
      <c r="E1075" s="6"/>
      <c r="G1075" s="10"/>
      <c r="J1075" s="142"/>
      <c r="K1075" s="15"/>
      <c r="L1075" s="15"/>
      <c r="M1075" s="15"/>
      <c r="N1075" s="16"/>
      <c r="O1075" s="8"/>
      <c r="P1075" s="8"/>
      <c r="Q1075" s="8"/>
      <c r="R1075" s="16"/>
      <c r="S1075" s="16"/>
      <c r="T1075" s="19"/>
      <c r="U1075" s="16"/>
      <c r="V1075" s="19"/>
      <c r="W1075" s="160"/>
      <c r="X1075" s="160"/>
      <c r="Y1075" s="160"/>
      <c r="Z1075" s="160"/>
      <c r="AA1075" s="160"/>
      <c r="AB1075" s="10"/>
      <c r="AD1075" s="160"/>
    </row>
    <row r="1076" spans="4:30" x14ac:dyDescent="0.2">
      <c r="D1076" s="8"/>
      <c r="E1076" s="6"/>
      <c r="G1076" s="10"/>
      <c r="J1076" s="142"/>
      <c r="K1076" s="15"/>
      <c r="L1076" s="15"/>
      <c r="M1076" s="15"/>
      <c r="N1076" s="16"/>
      <c r="O1076" s="8"/>
      <c r="P1076" s="8"/>
      <c r="Q1076" s="8"/>
      <c r="R1076" s="16"/>
      <c r="S1076" s="16"/>
      <c r="T1076" s="19"/>
      <c r="U1076" s="16"/>
      <c r="V1076" s="19"/>
      <c r="W1076" s="160"/>
      <c r="X1076" s="160"/>
      <c r="Y1076" s="160"/>
      <c r="Z1076" s="160"/>
      <c r="AA1076" s="160"/>
      <c r="AB1076" s="10"/>
      <c r="AD1076" s="160"/>
    </row>
    <row r="1077" spans="4:30" x14ac:dyDescent="0.2">
      <c r="D1077" s="8"/>
      <c r="E1077" s="6"/>
      <c r="G1077" s="10"/>
      <c r="J1077" s="142"/>
      <c r="K1077" s="15"/>
      <c r="L1077" s="15"/>
      <c r="M1077" s="15"/>
      <c r="N1077" s="16"/>
      <c r="O1077" s="8"/>
      <c r="P1077" s="8"/>
      <c r="Q1077" s="8"/>
      <c r="R1077" s="16"/>
      <c r="S1077" s="16"/>
      <c r="T1077" s="19"/>
      <c r="U1077" s="16"/>
      <c r="V1077" s="19"/>
      <c r="W1077" s="160"/>
      <c r="X1077" s="160"/>
      <c r="Y1077" s="160"/>
      <c r="Z1077" s="160"/>
      <c r="AA1077" s="160"/>
      <c r="AB1077" s="10"/>
      <c r="AD1077" s="160"/>
    </row>
    <row r="1078" spans="4:30" x14ac:dyDescent="0.2">
      <c r="D1078" s="8"/>
      <c r="E1078" s="6"/>
      <c r="G1078" s="10"/>
      <c r="J1078" s="142"/>
      <c r="K1078" s="15"/>
      <c r="L1078" s="15"/>
      <c r="M1078" s="15"/>
      <c r="N1078" s="16"/>
      <c r="O1078" s="8"/>
      <c r="P1078" s="8"/>
      <c r="Q1078" s="8"/>
      <c r="R1078" s="16"/>
      <c r="S1078" s="16"/>
      <c r="T1078" s="19"/>
      <c r="U1078" s="16"/>
      <c r="V1078" s="19"/>
      <c r="W1078" s="160"/>
      <c r="X1078" s="160"/>
      <c r="Y1078" s="160"/>
      <c r="Z1078" s="160"/>
      <c r="AA1078" s="160"/>
      <c r="AB1078" s="10"/>
      <c r="AD1078" s="160"/>
    </row>
    <row r="1079" spans="4:30" x14ac:dyDescent="0.2">
      <c r="D1079" s="8"/>
      <c r="E1079" s="6"/>
      <c r="G1079" s="10"/>
      <c r="J1079" s="142"/>
      <c r="K1079" s="15"/>
      <c r="L1079" s="15"/>
      <c r="M1079" s="15"/>
      <c r="N1079" s="16"/>
      <c r="O1079" s="8"/>
      <c r="P1079" s="8"/>
      <c r="Q1079" s="8"/>
      <c r="R1079" s="16"/>
      <c r="S1079" s="16"/>
      <c r="T1079" s="19"/>
      <c r="U1079" s="16"/>
      <c r="V1079" s="19"/>
      <c r="W1079" s="160"/>
      <c r="X1079" s="160"/>
      <c r="Y1079" s="160"/>
      <c r="Z1079" s="160"/>
      <c r="AA1079" s="160"/>
      <c r="AB1079" s="10"/>
      <c r="AD1079" s="160"/>
    </row>
    <row r="1080" spans="4:30" x14ac:dyDescent="0.2">
      <c r="D1080" s="8"/>
      <c r="E1080" s="6"/>
      <c r="G1080" s="10"/>
      <c r="J1080" s="142"/>
      <c r="K1080" s="15"/>
      <c r="L1080" s="15"/>
      <c r="M1080" s="15"/>
      <c r="N1080" s="16"/>
      <c r="O1080" s="8"/>
      <c r="P1080" s="8"/>
      <c r="Q1080" s="8"/>
      <c r="R1080" s="16"/>
      <c r="S1080" s="16"/>
      <c r="T1080" s="19"/>
      <c r="U1080" s="16"/>
      <c r="V1080" s="19"/>
      <c r="W1080" s="160"/>
      <c r="X1080" s="160"/>
      <c r="Y1080" s="160"/>
      <c r="Z1080" s="160"/>
      <c r="AA1080" s="160"/>
      <c r="AB1080" s="10"/>
      <c r="AD1080" s="160"/>
    </row>
    <row r="1081" spans="4:30" x14ac:dyDescent="0.2">
      <c r="D1081" s="8"/>
      <c r="E1081" s="6"/>
      <c r="G1081" s="10"/>
      <c r="J1081" s="142"/>
      <c r="K1081" s="15"/>
      <c r="L1081" s="15"/>
      <c r="M1081" s="15"/>
      <c r="N1081" s="16"/>
      <c r="O1081" s="8"/>
      <c r="P1081" s="8"/>
      <c r="Q1081" s="8"/>
      <c r="R1081" s="16"/>
      <c r="S1081" s="16"/>
      <c r="T1081" s="19"/>
      <c r="U1081" s="16"/>
      <c r="V1081" s="19"/>
      <c r="W1081" s="160"/>
      <c r="X1081" s="160"/>
      <c r="Y1081" s="160"/>
      <c r="Z1081" s="160"/>
      <c r="AA1081" s="160"/>
      <c r="AB1081" s="10"/>
      <c r="AD1081" s="160"/>
    </row>
    <row r="1082" spans="4:30" x14ac:dyDescent="0.2">
      <c r="D1082" s="8"/>
      <c r="E1082" s="6"/>
      <c r="G1082" s="10"/>
      <c r="J1082" s="142"/>
      <c r="K1082" s="15"/>
      <c r="L1082" s="15"/>
      <c r="M1082" s="15"/>
      <c r="N1082" s="16"/>
      <c r="O1082" s="8"/>
      <c r="P1082" s="8"/>
      <c r="Q1082" s="8"/>
      <c r="R1082" s="16"/>
      <c r="S1082" s="16"/>
      <c r="T1082" s="19"/>
      <c r="U1082" s="16"/>
      <c r="V1082" s="19"/>
      <c r="W1082" s="160"/>
      <c r="X1082" s="160"/>
      <c r="Y1082" s="160"/>
      <c r="Z1082" s="160"/>
      <c r="AA1082" s="160"/>
      <c r="AB1082" s="10"/>
      <c r="AD1082" s="160"/>
    </row>
    <row r="1083" spans="4:30" x14ac:dyDescent="0.2">
      <c r="D1083" s="8"/>
      <c r="E1083" s="6"/>
      <c r="G1083" s="10"/>
      <c r="J1083" s="142"/>
      <c r="K1083" s="15"/>
      <c r="L1083" s="15"/>
      <c r="M1083" s="15"/>
      <c r="N1083" s="16"/>
      <c r="O1083" s="8"/>
      <c r="P1083" s="8"/>
      <c r="Q1083" s="8"/>
      <c r="R1083" s="16"/>
      <c r="S1083" s="16"/>
      <c r="T1083" s="19"/>
      <c r="U1083" s="16"/>
      <c r="V1083" s="19"/>
      <c r="W1083" s="160"/>
      <c r="X1083" s="160"/>
      <c r="Y1083" s="160"/>
      <c r="Z1083" s="160"/>
      <c r="AA1083" s="160"/>
      <c r="AB1083" s="10"/>
      <c r="AD1083" s="160"/>
    </row>
    <row r="1084" spans="4:30" x14ac:dyDescent="0.2">
      <c r="D1084" s="8"/>
      <c r="E1084" s="6"/>
      <c r="G1084" s="10"/>
      <c r="J1084" s="142"/>
      <c r="K1084" s="15"/>
      <c r="L1084" s="15"/>
      <c r="M1084" s="15"/>
      <c r="N1084" s="16"/>
      <c r="O1084" s="8"/>
      <c r="P1084" s="8"/>
      <c r="Q1084" s="8"/>
      <c r="R1084" s="16"/>
      <c r="S1084" s="16"/>
      <c r="T1084" s="19"/>
      <c r="U1084" s="16"/>
      <c r="V1084" s="19"/>
      <c r="W1084" s="160"/>
      <c r="X1084" s="160"/>
      <c r="Y1084" s="160"/>
      <c r="Z1084" s="160"/>
      <c r="AA1084" s="160"/>
      <c r="AB1084" s="10"/>
      <c r="AD1084" s="160"/>
    </row>
    <row r="1085" spans="4:30" x14ac:dyDescent="0.2">
      <c r="D1085" s="8"/>
      <c r="E1085" s="6"/>
      <c r="G1085" s="10"/>
      <c r="J1085" s="142"/>
      <c r="K1085" s="15"/>
      <c r="L1085" s="15"/>
      <c r="M1085" s="15"/>
      <c r="N1085" s="16"/>
      <c r="O1085" s="8"/>
      <c r="P1085" s="8"/>
      <c r="Q1085" s="8"/>
      <c r="R1085" s="16"/>
      <c r="S1085" s="16"/>
      <c r="T1085" s="19"/>
      <c r="U1085" s="16"/>
      <c r="V1085" s="19"/>
      <c r="W1085" s="160"/>
      <c r="X1085" s="160"/>
      <c r="Y1085" s="160"/>
      <c r="Z1085" s="160"/>
      <c r="AA1085" s="160"/>
      <c r="AB1085" s="10"/>
      <c r="AD1085" s="160"/>
    </row>
    <row r="1086" spans="4:30" x14ac:dyDescent="0.2">
      <c r="D1086" s="8"/>
      <c r="E1086" s="6"/>
      <c r="G1086" s="10"/>
      <c r="J1086" s="142"/>
      <c r="K1086" s="15"/>
      <c r="L1086" s="15"/>
      <c r="M1086" s="15"/>
      <c r="N1086" s="16"/>
      <c r="O1086" s="8"/>
      <c r="P1086" s="8"/>
      <c r="Q1086" s="8"/>
      <c r="R1086" s="16"/>
      <c r="S1086" s="16"/>
      <c r="T1086" s="19"/>
      <c r="U1086" s="16"/>
      <c r="V1086" s="19"/>
      <c r="W1086" s="160"/>
      <c r="X1086" s="160"/>
      <c r="Y1086" s="160"/>
      <c r="Z1086" s="160"/>
      <c r="AA1086" s="160"/>
      <c r="AB1086" s="10"/>
      <c r="AD1086" s="160"/>
    </row>
    <row r="1087" spans="4:30" x14ac:dyDescent="0.2">
      <c r="D1087" s="8"/>
      <c r="E1087" s="6"/>
      <c r="G1087" s="10"/>
      <c r="J1087" s="142"/>
      <c r="K1087" s="15"/>
      <c r="L1087" s="15"/>
      <c r="M1087" s="15"/>
      <c r="N1087" s="16"/>
      <c r="O1087" s="8"/>
      <c r="P1087" s="8"/>
      <c r="Q1087" s="8"/>
      <c r="R1087" s="16"/>
      <c r="S1087" s="16"/>
      <c r="T1087" s="19"/>
      <c r="U1087" s="16"/>
      <c r="V1087" s="19"/>
      <c r="W1087" s="160"/>
      <c r="X1087" s="160"/>
      <c r="Y1087" s="160"/>
      <c r="Z1087" s="160"/>
      <c r="AA1087" s="160"/>
      <c r="AB1087" s="10"/>
      <c r="AD1087" s="160"/>
    </row>
    <row r="1088" spans="4:30" x14ac:dyDescent="0.2">
      <c r="D1088" s="8"/>
      <c r="E1088" s="6"/>
      <c r="G1088" s="10"/>
      <c r="J1088" s="142"/>
      <c r="K1088" s="15"/>
      <c r="L1088" s="15"/>
      <c r="M1088" s="15"/>
      <c r="N1088" s="16"/>
      <c r="O1088" s="8"/>
      <c r="P1088" s="8"/>
      <c r="Q1088" s="8"/>
      <c r="R1088" s="16"/>
      <c r="S1088" s="16"/>
      <c r="T1088" s="19"/>
      <c r="U1088" s="16"/>
      <c r="V1088" s="19"/>
      <c r="W1088" s="160"/>
      <c r="X1088" s="160"/>
      <c r="Y1088" s="160"/>
      <c r="Z1088" s="160"/>
      <c r="AA1088" s="160"/>
      <c r="AB1088" s="10"/>
      <c r="AD1088" s="160"/>
    </row>
    <row r="1089" spans="4:30" x14ac:dyDescent="0.2">
      <c r="D1089" s="8"/>
      <c r="E1089" s="6"/>
      <c r="G1089" s="10"/>
      <c r="J1089" s="142"/>
      <c r="K1089" s="15"/>
      <c r="L1089" s="15"/>
      <c r="M1089" s="15"/>
      <c r="N1089" s="16"/>
      <c r="O1089" s="8"/>
      <c r="P1089" s="8"/>
      <c r="Q1089" s="8"/>
      <c r="R1089" s="16"/>
      <c r="S1089" s="16"/>
      <c r="T1089" s="19"/>
      <c r="U1089" s="16"/>
      <c r="V1089" s="19"/>
      <c r="W1089" s="160"/>
      <c r="X1089" s="160"/>
      <c r="Y1089" s="160"/>
      <c r="Z1089" s="160"/>
      <c r="AA1089" s="160"/>
      <c r="AB1089" s="10"/>
      <c r="AD1089" s="160"/>
    </row>
    <row r="1090" spans="4:30" x14ac:dyDescent="0.2">
      <c r="D1090" s="8"/>
      <c r="E1090" s="6"/>
      <c r="G1090" s="10"/>
      <c r="J1090" s="142"/>
      <c r="K1090" s="15"/>
      <c r="L1090" s="15"/>
      <c r="M1090" s="15"/>
      <c r="N1090" s="16"/>
      <c r="O1090" s="8"/>
      <c r="P1090" s="8"/>
      <c r="Q1090" s="8"/>
      <c r="R1090" s="16"/>
      <c r="S1090" s="16"/>
      <c r="T1090" s="19"/>
      <c r="U1090" s="16"/>
      <c r="V1090" s="19"/>
      <c r="W1090" s="160"/>
      <c r="X1090" s="160"/>
      <c r="Y1090" s="160"/>
      <c r="Z1090" s="160"/>
      <c r="AA1090" s="160"/>
      <c r="AB1090" s="10"/>
      <c r="AD1090" s="160"/>
    </row>
    <row r="1091" spans="4:30" x14ac:dyDescent="0.2">
      <c r="D1091" s="8"/>
      <c r="E1091" s="6"/>
      <c r="G1091" s="10"/>
      <c r="J1091" s="142"/>
      <c r="K1091" s="15"/>
      <c r="L1091" s="15"/>
      <c r="M1091" s="15"/>
      <c r="N1091" s="16"/>
      <c r="O1091" s="8"/>
      <c r="P1091" s="8"/>
      <c r="Q1091" s="8"/>
      <c r="R1091" s="16"/>
      <c r="S1091" s="16"/>
      <c r="T1091" s="19"/>
      <c r="U1091" s="16"/>
      <c r="V1091" s="19"/>
      <c r="W1091" s="160"/>
      <c r="X1091" s="160"/>
      <c r="Y1091" s="160"/>
      <c r="Z1091" s="160"/>
      <c r="AA1091" s="160"/>
      <c r="AB1091" s="10"/>
      <c r="AD1091" s="160"/>
    </row>
    <row r="1092" spans="4:30" x14ac:dyDescent="0.2">
      <c r="D1092" s="8"/>
      <c r="E1092" s="6"/>
      <c r="G1092" s="10"/>
      <c r="J1092" s="142"/>
      <c r="K1092" s="15"/>
      <c r="L1092" s="15"/>
      <c r="M1092" s="15"/>
      <c r="N1092" s="16"/>
      <c r="O1092" s="8"/>
      <c r="P1092" s="8"/>
      <c r="Q1092" s="8"/>
      <c r="R1092" s="16"/>
      <c r="S1092" s="16"/>
      <c r="T1092" s="19"/>
      <c r="U1092" s="16"/>
      <c r="V1092" s="19"/>
      <c r="W1092" s="160"/>
      <c r="X1092" s="160"/>
      <c r="Y1092" s="160"/>
      <c r="Z1092" s="160"/>
      <c r="AA1092" s="160"/>
      <c r="AB1092" s="10"/>
      <c r="AD1092" s="160"/>
    </row>
    <row r="1093" spans="4:30" x14ac:dyDescent="0.2">
      <c r="D1093" s="8"/>
      <c r="E1093" s="6"/>
      <c r="G1093" s="10"/>
      <c r="J1093" s="142"/>
      <c r="K1093" s="15"/>
      <c r="L1093" s="15"/>
      <c r="M1093" s="15"/>
      <c r="N1093" s="16"/>
      <c r="O1093" s="8"/>
      <c r="P1093" s="8"/>
      <c r="Q1093" s="8"/>
      <c r="R1093" s="16"/>
      <c r="S1093" s="16"/>
      <c r="T1093" s="19"/>
      <c r="U1093" s="16"/>
      <c r="V1093" s="19"/>
      <c r="W1093" s="160"/>
      <c r="X1093" s="160"/>
      <c r="Y1093" s="160"/>
      <c r="Z1093" s="160"/>
      <c r="AA1093" s="160"/>
      <c r="AB1093" s="10"/>
      <c r="AD1093" s="160"/>
    </row>
    <row r="1094" spans="4:30" x14ac:dyDescent="0.2">
      <c r="D1094" s="8"/>
      <c r="E1094" s="6"/>
      <c r="G1094" s="10"/>
      <c r="J1094" s="142"/>
      <c r="K1094" s="15"/>
      <c r="L1094" s="15"/>
      <c r="M1094" s="15"/>
      <c r="N1094" s="16"/>
      <c r="O1094" s="8"/>
      <c r="P1094" s="8"/>
      <c r="Q1094" s="8"/>
      <c r="R1094" s="16"/>
      <c r="S1094" s="16"/>
      <c r="T1094" s="19"/>
      <c r="U1094" s="16"/>
      <c r="V1094" s="19"/>
      <c r="W1094" s="160"/>
      <c r="X1094" s="160"/>
      <c r="Y1094" s="160"/>
      <c r="Z1094" s="160"/>
      <c r="AA1094" s="160"/>
      <c r="AB1094" s="10"/>
      <c r="AD1094" s="160"/>
    </row>
    <row r="1095" spans="4:30" x14ac:dyDescent="0.2">
      <c r="D1095" s="8"/>
      <c r="E1095" s="6"/>
      <c r="G1095" s="10"/>
      <c r="J1095" s="142"/>
      <c r="K1095" s="15"/>
      <c r="L1095" s="15"/>
      <c r="M1095" s="15"/>
      <c r="N1095" s="16"/>
      <c r="O1095" s="8"/>
      <c r="P1095" s="8"/>
      <c r="Q1095" s="8"/>
      <c r="R1095" s="16"/>
      <c r="S1095" s="16"/>
      <c r="T1095" s="19"/>
      <c r="U1095" s="16"/>
      <c r="V1095" s="19"/>
      <c r="W1095" s="160"/>
      <c r="X1095" s="160"/>
      <c r="Y1095" s="160"/>
      <c r="Z1095" s="160"/>
      <c r="AA1095" s="160"/>
      <c r="AB1095" s="10"/>
      <c r="AD1095" s="160"/>
    </row>
    <row r="1096" spans="4:30" x14ac:dyDescent="0.2">
      <c r="D1096" s="8"/>
      <c r="E1096" s="6"/>
      <c r="G1096" s="10"/>
      <c r="J1096" s="142"/>
      <c r="K1096" s="15"/>
      <c r="L1096" s="15"/>
      <c r="M1096" s="15"/>
      <c r="N1096" s="16"/>
      <c r="O1096" s="8"/>
      <c r="P1096" s="8"/>
      <c r="Q1096" s="8"/>
      <c r="R1096" s="16"/>
      <c r="S1096" s="16"/>
      <c r="T1096" s="19"/>
      <c r="U1096" s="16"/>
      <c r="V1096" s="19"/>
      <c r="W1096" s="160"/>
      <c r="X1096" s="160"/>
      <c r="Y1096" s="160"/>
      <c r="Z1096" s="160"/>
      <c r="AA1096" s="160"/>
      <c r="AB1096" s="10"/>
      <c r="AD1096" s="160"/>
    </row>
    <row r="1097" spans="4:30" x14ac:dyDescent="0.2">
      <c r="D1097" s="8"/>
      <c r="E1097" s="6"/>
      <c r="G1097" s="10"/>
      <c r="J1097" s="142"/>
      <c r="K1097" s="15"/>
      <c r="L1097" s="15"/>
      <c r="M1097" s="15"/>
      <c r="N1097" s="16"/>
      <c r="O1097" s="8"/>
      <c r="P1097" s="8"/>
      <c r="Q1097" s="8"/>
      <c r="R1097" s="16"/>
      <c r="S1097" s="16"/>
      <c r="T1097" s="19"/>
      <c r="U1097" s="16"/>
      <c r="V1097" s="19"/>
      <c r="W1097" s="160"/>
      <c r="X1097" s="160"/>
      <c r="Y1097" s="160"/>
      <c r="Z1097" s="160"/>
      <c r="AA1097" s="160"/>
      <c r="AB1097" s="10"/>
      <c r="AD1097" s="160"/>
    </row>
    <row r="1098" spans="4:30" x14ac:dyDescent="0.2">
      <c r="D1098" s="8"/>
      <c r="E1098" s="6"/>
      <c r="G1098" s="10"/>
      <c r="J1098" s="142"/>
      <c r="K1098" s="15"/>
      <c r="L1098" s="15"/>
      <c r="M1098" s="15"/>
      <c r="N1098" s="16"/>
      <c r="O1098" s="8"/>
      <c r="P1098" s="8"/>
      <c r="Q1098" s="8"/>
      <c r="R1098" s="16"/>
      <c r="S1098" s="16"/>
      <c r="T1098" s="19"/>
      <c r="U1098" s="16"/>
      <c r="V1098" s="19"/>
      <c r="W1098" s="160"/>
      <c r="X1098" s="160"/>
      <c r="Y1098" s="160"/>
      <c r="Z1098" s="160"/>
      <c r="AA1098" s="160"/>
      <c r="AB1098" s="10"/>
      <c r="AD1098" s="160"/>
    </row>
    <row r="1099" spans="4:30" x14ac:dyDescent="0.2">
      <c r="D1099" s="8"/>
      <c r="E1099" s="6"/>
      <c r="G1099" s="10"/>
      <c r="J1099" s="142"/>
      <c r="K1099" s="15"/>
      <c r="L1099" s="15"/>
      <c r="M1099" s="15"/>
      <c r="N1099" s="16"/>
      <c r="O1099" s="8"/>
      <c r="P1099" s="8"/>
      <c r="Q1099" s="8"/>
      <c r="R1099" s="16"/>
      <c r="S1099" s="16"/>
      <c r="T1099" s="19"/>
      <c r="U1099" s="16"/>
      <c r="V1099" s="19"/>
      <c r="W1099" s="160"/>
      <c r="X1099" s="160"/>
      <c r="Y1099" s="160"/>
      <c r="Z1099" s="160"/>
      <c r="AA1099" s="160"/>
      <c r="AB1099" s="10"/>
      <c r="AD1099" s="160"/>
    </row>
    <row r="1100" spans="4:30" x14ac:dyDescent="0.2">
      <c r="D1100" s="8"/>
      <c r="E1100" s="6"/>
      <c r="G1100" s="10"/>
      <c r="J1100" s="142"/>
      <c r="K1100" s="15"/>
      <c r="L1100" s="15"/>
      <c r="M1100" s="15"/>
      <c r="N1100" s="16"/>
      <c r="O1100" s="8"/>
      <c r="P1100" s="8"/>
      <c r="Q1100" s="8"/>
      <c r="R1100" s="16"/>
      <c r="S1100" s="16"/>
      <c r="T1100" s="19"/>
      <c r="U1100" s="16"/>
      <c r="V1100" s="19"/>
      <c r="W1100" s="160"/>
      <c r="X1100" s="160"/>
      <c r="Y1100" s="160"/>
      <c r="Z1100" s="160"/>
      <c r="AA1100" s="160"/>
      <c r="AB1100" s="10"/>
      <c r="AD1100" s="160"/>
    </row>
    <row r="1101" spans="4:30" x14ac:dyDescent="0.2">
      <c r="D1101" s="8"/>
      <c r="E1101" s="6"/>
      <c r="G1101" s="10"/>
      <c r="J1101" s="142"/>
      <c r="K1101" s="15"/>
      <c r="L1101" s="15"/>
      <c r="M1101" s="15"/>
      <c r="N1101" s="16"/>
      <c r="O1101" s="8"/>
      <c r="P1101" s="8"/>
      <c r="Q1101" s="8"/>
      <c r="R1101" s="16"/>
      <c r="S1101" s="16"/>
      <c r="T1101" s="19"/>
      <c r="U1101" s="16"/>
      <c r="V1101" s="19"/>
      <c r="W1101" s="160"/>
      <c r="X1101" s="160"/>
      <c r="Y1101" s="160"/>
      <c r="Z1101" s="160"/>
      <c r="AA1101" s="160"/>
      <c r="AB1101" s="10"/>
      <c r="AD1101" s="160"/>
    </row>
    <row r="1102" spans="4:30" x14ac:dyDescent="0.2">
      <c r="D1102" s="8"/>
      <c r="E1102" s="6"/>
      <c r="G1102" s="10"/>
      <c r="J1102" s="142"/>
      <c r="K1102" s="15"/>
      <c r="L1102" s="15"/>
      <c r="M1102" s="15"/>
      <c r="N1102" s="16"/>
      <c r="O1102" s="8"/>
      <c r="P1102" s="8"/>
      <c r="Q1102" s="8"/>
      <c r="R1102" s="16"/>
      <c r="S1102" s="16"/>
      <c r="T1102" s="19"/>
      <c r="U1102" s="16"/>
      <c r="V1102" s="19"/>
      <c r="W1102" s="160"/>
      <c r="X1102" s="160"/>
      <c r="Y1102" s="160"/>
      <c r="Z1102" s="160"/>
      <c r="AA1102" s="160"/>
      <c r="AB1102" s="10"/>
      <c r="AD1102" s="160"/>
    </row>
    <row r="1103" spans="4:30" x14ac:dyDescent="0.2">
      <c r="D1103" s="8"/>
      <c r="E1103" s="6"/>
      <c r="G1103" s="10"/>
      <c r="J1103" s="142"/>
      <c r="K1103" s="15"/>
      <c r="L1103" s="15"/>
      <c r="M1103" s="15"/>
      <c r="N1103" s="16"/>
      <c r="O1103" s="8"/>
      <c r="P1103" s="8"/>
      <c r="Q1103" s="8"/>
      <c r="R1103" s="16"/>
      <c r="S1103" s="16"/>
      <c r="T1103" s="19"/>
      <c r="U1103" s="16"/>
      <c r="V1103" s="19"/>
      <c r="W1103" s="160"/>
      <c r="X1103" s="160"/>
      <c r="Y1103" s="160"/>
      <c r="Z1103" s="160"/>
      <c r="AA1103" s="160"/>
      <c r="AB1103" s="10"/>
      <c r="AD1103" s="160"/>
    </row>
    <row r="1104" spans="4:30" x14ac:dyDescent="0.2">
      <c r="D1104" s="8"/>
      <c r="E1104" s="6"/>
      <c r="G1104" s="10"/>
      <c r="J1104" s="142"/>
      <c r="K1104" s="15"/>
      <c r="L1104" s="15"/>
      <c r="M1104" s="15"/>
      <c r="N1104" s="16"/>
      <c r="O1104" s="8"/>
      <c r="P1104" s="8"/>
      <c r="Q1104" s="8"/>
      <c r="R1104" s="16"/>
      <c r="S1104" s="16"/>
      <c r="T1104" s="19"/>
      <c r="U1104" s="16"/>
      <c r="V1104" s="19"/>
      <c r="W1104" s="160"/>
      <c r="X1104" s="160"/>
      <c r="Y1104" s="160"/>
      <c r="Z1104" s="160"/>
      <c r="AA1104" s="160"/>
      <c r="AB1104" s="10"/>
      <c r="AD1104" s="160"/>
    </row>
    <row r="1105" spans="4:30" x14ac:dyDescent="0.2">
      <c r="D1105" s="8"/>
      <c r="E1105" s="6"/>
      <c r="G1105" s="10"/>
      <c r="J1105" s="142"/>
      <c r="K1105" s="15"/>
      <c r="L1105" s="15"/>
      <c r="M1105" s="15"/>
      <c r="N1105" s="16"/>
      <c r="O1105" s="8"/>
      <c r="P1105" s="8"/>
      <c r="Q1105" s="8"/>
      <c r="R1105" s="16"/>
      <c r="S1105" s="16"/>
      <c r="T1105" s="19"/>
      <c r="U1105" s="16"/>
      <c r="V1105" s="19"/>
      <c r="W1105" s="160"/>
      <c r="X1105" s="160"/>
      <c r="Y1105" s="160"/>
      <c r="Z1105" s="160"/>
      <c r="AA1105" s="160"/>
      <c r="AB1105" s="10"/>
      <c r="AD1105" s="160"/>
    </row>
    <row r="1106" spans="4:30" x14ac:dyDescent="0.2">
      <c r="D1106" s="8"/>
      <c r="E1106" s="6"/>
      <c r="G1106" s="10"/>
      <c r="J1106" s="142"/>
      <c r="K1106" s="15"/>
      <c r="L1106" s="15"/>
      <c r="M1106" s="15"/>
      <c r="N1106" s="16"/>
      <c r="O1106" s="8"/>
      <c r="P1106" s="8"/>
      <c r="Q1106" s="8"/>
      <c r="R1106" s="16"/>
      <c r="S1106" s="16"/>
      <c r="T1106" s="19"/>
      <c r="U1106" s="16"/>
      <c r="V1106" s="19"/>
      <c r="W1106" s="160"/>
      <c r="X1106" s="160"/>
      <c r="Y1106" s="160"/>
      <c r="Z1106" s="160"/>
      <c r="AA1106" s="160"/>
      <c r="AB1106" s="10"/>
      <c r="AD1106" s="160"/>
    </row>
    <row r="1107" spans="4:30" x14ac:dyDescent="0.2">
      <c r="D1107" s="8"/>
      <c r="E1107" s="6"/>
      <c r="G1107" s="10"/>
      <c r="J1107" s="142"/>
      <c r="K1107" s="15"/>
      <c r="L1107" s="15"/>
      <c r="M1107" s="15"/>
      <c r="N1107" s="16"/>
      <c r="O1107" s="8"/>
      <c r="P1107" s="8"/>
      <c r="Q1107" s="8"/>
      <c r="R1107" s="16"/>
      <c r="S1107" s="16"/>
      <c r="T1107" s="19"/>
      <c r="U1107" s="16"/>
      <c r="V1107" s="19"/>
      <c r="W1107" s="160"/>
      <c r="X1107" s="160"/>
      <c r="Y1107" s="160"/>
      <c r="Z1107" s="160"/>
      <c r="AA1107" s="160"/>
      <c r="AB1107" s="10"/>
      <c r="AD1107" s="160"/>
    </row>
    <row r="1108" spans="4:30" x14ac:dyDescent="0.2">
      <c r="D1108" s="8"/>
      <c r="E1108" s="6"/>
      <c r="G1108" s="10"/>
      <c r="J1108" s="142"/>
      <c r="K1108" s="15"/>
      <c r="L1108" s="15"/>
      <c r="M1108" s="15"/>
      <c r="N1108" s="16"/>
      <c r="O1108" s="8"/>
      <c r="P1108" s="8"/>
      <c r="Q1108" s="8"/>
      <c r="R1108" s="16"/>
      <c r="S1108" s="16"/>
      <c r="T1108" s="19"/>
      <c r="U1108" s="16"/>
      <c r="V1108" s="19"/>
      <c r="W1108" s="160"/>
      <c r="X1108" s="160"/>
      <c r="Y1108" s="160"/>
      <c r="Z1108" s="160"/>
      <c r="AA1108" s="160"/>
      <c r="AB1108" s="10"/>
      <c r="AD1108" s="160"/>
    </row>
    <row r="1109" spans="4:30" x14ac:dyDescent="0.2">
      <c r="D1109" s="8"/>
      <c r="E1109" s="6"/>
      <c r="G1109" s="10"/>
      <c r="J1109" s="142"/>
      <c r="K1109" s="15"/>
      <c r="L1109" s="15"/>
      <c r="M1109" s="15"/>
      <c r="N1109" s="16"/>
      <c r="O1109" s="8"/>
      <c r="P1109" s="8"/>
      <c r="Q1109" s="8"/>
      <c r="R1109" s="16"/>
      <c r="S1109" s="16"/>
      <c r="T1109" s="19"/>
      <c r="U1109" s="16"/>
      <c r="V1109" s="19"/>
      <c r="W1109" s="160"/>
      <c r="X1109" s="160"/>
      <c r="Y1109" s="160"/>
      <c r="Z1109" s="160"/>
      <c r="AA1109" s="160"/>
      <c r="AB1109" s="10"/>
      <c r="AD1109" s="160"/>
    </row>
    <row r="1110" spans="4:30" x14ac:dyDescent="0.2">
      <c r="D1110" s="8"/>
      <c r="E1110" s="6"/>
      <c r="G1110" s="10"/>
      <c r="J1110" s="142"/>
      <c r="K1110" s="15"/>
      <c r="L1110" s="15"/>
      <c r="M1110" s="15"/>
      <c r="N1110" s="16"/>
      <c r="O1110" s="8"/>
      <c r="P1110" s="8"/>
      <c r="Q1110" s="8"/>
      <c r="R1110" s="16"/>
      <c r="S1110" s="16"/>
      <c r="T1110" s="19"/>
      <c r="U1110" s="16"/>
      <c r="V1110" s="19"/>
      <c r="W1110" s="160"/>
      <c r="X1110" s="160"/>
      <c r="Y1110" s="160"/>
      <c r="Z1110" s="160"/>
      <c r="AA1110" s="160"/>
      <c r="AB1110" s="10"/>
      <c r="AD1110" s="160"/>
    </row>
    <row r="1111" spans="4:30" x14ac:dyDescent="0.2">
      <c r="D1111" s="8"/>
      <c r="E1111" s="6"/>
      <c r="G1111" s="10"/>
      <c r="J1111" s="142"/>
      <c r="K1111" s="15"/>
      <c r="L1111" s="15"/>
      <c r="M1111" s="15"/>
      <c r="N1111" s="16"/>
      <c r="O1111" s="8"/>
      <c r="P1111" s="8"/>
      <c r="Q1111" s="8"/>
      <c r="R1111" s="16"/>
      <c r="S1111" s="16"/>
      <c r="T1111" s="19"/>
      <c r="U1111" s="16"/>
      <c r="V1111" s="19"/>
      <c r="W1111" s="160"/>
      <c r="X1111" s="160"/>
      <c r="Y1111" s="160"/>
      <c r="Z1111" s="160"/>
      <c r="AA1111" s="160"/>
      <c r="AB1111" s="10"/>
      <c r="AD1111" s="160"/>
    </row>
    <row r="1112" spans="4:30" x14ac:dyDescent="0.2">
      <c r="D1112" s="8"/>
      <c r="E1112" s="6"/>
      <c r="G1112" s="10"/>
      <c r="J1112" s="142"/>
      <c r="K1112" s="15"/>
      <c r="L1112" s="15"/>
      <c r="M1112" s="15"/>
      <c r="N1112" s="16"/>
      <c r="O1112" s="8"/>
      <c r="P1112" s="8"/>
      <c r="Q1112" s="8"/>
      <c r="R1112" s="16"/>
      <c r="S1112" s="16"/>
      <c r="T1112" s="19"/>
      <c r="U1112" s="16"/>
      <c r="V1112" s="19"/>
      <c r="W1112" s="160"/>
      <c r="X1112" s="160"/>
      <c r="Y1112" s="160"/>
      <c r="Z1112" s="160"/>
      <c r="AA1112" s="160"/>
      <c r="AB1112" s="10"/>
      <c r="AD1112" s="160"/>
    </row>
    <row r="1113" spans="4:30" x14ac:dyDescent="0.2">
      <c r="D1113" s="8"/>
      <c r="E1113" s="6"/>
      <c r="G1113" s="10"/>
      <c r="J1113" s="142"/>
      <c r="K1113" s="15"/>
      <c r="L1113" s="15"/>
      <c r="M1113" s="15"/>
      <c r="N1113" s="16"/>
      <c r="O1113" s="8"/>
      <c r="P1113" s="8"/>
      <c r="Q1113" s="8"/>
      <c r="R1113" s="16"/>
      <c r="S1113" s="16"/>
      <c r="T1113" s="19"/>
      <c r="U1113" s="16"/>
      <c r="V1113" s="19"/>
      <c r="W1113" s="160"/>
      <c r="X1113" s="160"/>
      <c r="Y1113" s="160"/>
      <c r="Z1113" s="160"/>
      <c r="AA1113" s="160"/>
      <c r="AB1113" s="10"/>
      <c r="AD1113" s="160"/>
    </row>
    <row r="1114" spans="4:30" x14ac:dyDescent="0.2">
      <c r="D1114" s="8"/>
      <c r="E1114" s="6"/>
      <c r="G1114" s="10"/>
      <c r="J1114" s="142"/>
      <c r="K1114" s="15"/>
      <c r="L1114" s="15"/>
      <c r="M1114" s="15"/>
      <c r="N1114" s="16"/>
      <c r="O1114" s="8"/>
      <c r="P1114" s="8"/>
      <c r="Q1114" s="8"/>
      <c r="R1114" s="16"/>
      <c r="S1114" s="16"/>
      <c r="T1114" s="19"/>
      <c r="U1114" s="16"/>
      <c r="V1114" s="19"/>
      <c r="W1114" s="160"/>
      <c r="X1114" s="160"/>
      <c r="Y1114" s="160"/>
      <c r="Z1114" s="160"/>
      <c r="AA1114" s="160"/>
      <c r="AB1114" s="10"/>
      <c r="AD1114" s="160"/>
    </row>
    <row r="1115" spans="4:30" x14ac:dyDescent="0.2">
      <c r="D1115" s="8"/>
      <c r="E1115" s="6"/>
      <c r="G1115" s="10"/>
      <c r="J1115" s="142"/>
      <c r="K1115" s="15"/>
      <c r="L1115" s="15"/>
      <c r="M1115" s="15"/>
      <c r="N1115" s="16"/>
      <c r="O1115" s="8"/>
      <c r="P1115" s="8"/>
      <c r="Q1115" s="8"/>
      <c r="R1115" s="16"/>
      <c r="S1115" s="16"/>
      <c r="T1115" s="19"/>
      <c r="U1115" s="16"/>
      <c r="V1115" s="19"/>
      <c r="W1115" s="160"/>
      <c r="X1115" s="160"/>
      <c r="Y1115" s="160"/>
      <c r="Z1115" s="160"/>
      <c r="AA1115" s="160"/>
      <c r="AB1115" s="10"/>
      <c r="AD1115" s="160"/>
    </row>
    <row r="1116" spans="4:30" x14ac:dyDescent="0.2">
      <c r="D1116" s="8"/>
      <c r="E1116" s="6"/>
      <c r="G1116" s="10"/>
      <c r="J1116" s="142"/>
      <c r="K1116" s="15"/>
      <c r="L1116" s="15"/>
      <c r="M1116" s="15"/>
      <c r="N1116" s="16"/>
      <c r="O1116" s="8"/>
      <c r="P1116" s="8"/>
      <c r="Q1116" s="8"/>
      <c r="R1116" s="16"/>
      <c r="S1116" s="16"/>
      <c r="T1116" s="19"/>
      <c r="U1116" s="16"/>
      <c r="V1116" s="19"/>
      <c r="W1116" s="160"/>
      <c r="X1116" s="160"/>
      <c r="Y1116" s="160"/>
      <c r="Z1116" s="160"/>
      <c r="AA1116" s="160"/>
      <c r="AB1116" s="10"/>
      <c r="AD1116" s="160"/>
    </row>
    <row r="1117" spans="4:30" x14ac:dyDescent="0.2">
      <c r="D1117" s="8"/>
      <c r="E1117" s="6"/>
      <c r="G1117" s="10"/>
      <c r="J1117" s="142"/>
      <c r="K1117" s="15"/>
      <c r="L1117" s="15"/>
      <c r="M1117" s="15"/>
      <c r="N1117" s="16"/>
      <c r="O1117" s="8"/>
      <c r="P1117" s="8"/>
      <c r="Q1117" s="8"/>
      <c r="R1117" s="16"/>
      <c r="S1117" s="16"/>
      <c r="T1117" s="19"/>
      <c r="U1117" s="16"/>
      <c r="V1117" s="19"/>
      <c r="W1117" s="160"/>
      <c r="X1117" s="160"/>
      <c r="Y1117" s="160"/>
      <c r="Z1117" s="160"/>
      <c r="AA1117" s="160"/>
      <c r="AB1117" s="10"/>
      <c r="AD1117" s="160"/>
    </row>
    <row r="1118" spans="4:30" x14ac:dyDescent="0.2">
      <c r="D1118" s="8"/>
      <c r="E1118" s="6"/>
      <c r="G1118" s="10"/>
      <c r="J1118" s="142"/>
      <c r="K1118" s="15"/>
      <c r="L1118" s="15"/>
      <c r="M1118" s="15"/>
      <c r="N1118" s="16"/>
      <c r="O1118" s="8"/>
      <c r="P1118" s="8"/>
      <c r="Q1118" s="8"/>
      <c r="R1118" s="16"/>
      <c r="S1118" s="16"/>
      <c r="T1118" s="19"/>
      <c r="U1118" s="16"/>
      <c r="V1118" s="19"/>
      <c r="W1118" s="160"/>
      <c r="X1118" s="160"/>
      <c r="Y1118" s="160"/>
      <c r="Z1118" s="160"/>
      <c r="AA1118" s="160"/>
      <c r="AB1118" s="10"/>
      <c r="AD1118" s="160"/>
    </row>
    <row r="1119" spans="4:30" x14ac:dyDescent="0.2">
      <c r="D1119" s="8"/>
      <c r="E1119" s="6"/>
      <c r="G1119" s="10"/>
      <c r="J1119" s="142"/>
      <c r="K1119" s="15"/>
      <c r="L1119" s="15"/>
      <c r="M1119" s="15"/>
      <c r="N1119" s="16"/>
      <c r="O1119" s="8"/>
      <c r="P1119" s="8"/>
      <c r="Q1119" s="8"/>
      <c r="R1119" s="16"/>
      <c r="S1119" s="16"/>
      <c r="T1119" s="19"/>
      <c r="U1119" s="16"/>
      <c r="V1119" s="19"/>
      <c r="W1119" s="160"/>
      <c r="X1119" s="160"/>
      <c r="Y1119" s="160"/>
      <c r="Z1119" s="160"/>
      <c r="AA1119" s="160"/>
      <c r="AB1119" s="10"/>
      <c r="AD1119" s="160"/>
    </row>
    <row r="1120" spans="4:30" x14ac:dyDescent="0.2">
      <c r="D1120" s="8"/>
      <c r="E1120" s="6"/>
      <c r="G1120" s="10"/>
      <c r="J1120" s="142"/>
      <c r="K1120" s="15"/>
      <c r="L1120" s="15"/>
      <c r="M1120" s="15"/>
      <c r="N1120" s="16"/>
      <c r="O1120" s="8"/>
      <c r="P1120" s="8"/>
      <c r="Q1120" s="8"/>
      <c r="R1120" s="16"/>
      <c r="S1120" s="16"/>
      <c r="T1120" s="19"/>
      <c r="U1120" s="16"/>
      <c r="V1120" s="19"/>
      <c r="W1120" s="160"/>
      <c r="X1120" s="160"/>
      <c r="Y1120" s="160"/>
      <c r="Z1120" s="160"/>
      <c r="AA1120" s="160"/>
      <c r="AB1120" s="10"/>
      <c r="AD1120" s="160"/>
    </row>
    <row r="1121" spans="4:30" x14ac:dyDescent="0.2">
      <c r="D1121" s="8"/>
      <c r="E1121" s="6"/>
      <c r="G1121" s="10"/>
      <c r="J1121" s="142"/>
      <c r="K1121" s="15"/>
      <c r="L1121" s="15"/>
      <c r="M1121" s="15"/>
      <c r="N1121" s="16"/>
      <c r="O1121" s="8"/>
      <c r="P1121" s="8"/>
      <c r="Q1121" s="8"/>
      <c r="R1121" s="16"/>
      <c r="S1121" s="16"/>
      <c r="T1121" s="19"/>
      <c r="U1121" s="16"/>
      <c r="V1121" s="19"/>
      <c r="W1121" s="160"/>
      <c r="X1121" s="160"/>
      <c r="Y1121" s="160"/>
      <c r="Z1121" s="160"/>
      <c r="AA1121" s="160"/>
      <c r="AB1121" s="10"/>
      <c r="AD1121" s="160"/>
    </row>
    <row r="1122" spans="4:30" x14ac:dyDescent="0.2">
      <c r="D1122" s="8"/>
      <c r="E1122" s="6"/>
      <c r="G1122" s="10"/>
      <c r="J1122" s="142"/>
      <c r="K1122" s="15"/>
      <c r="L1122" s="15"/>
      <c r="M1122" s="15"/>
      <c r="N1122" s="16"/>
      <c r="O1122" s="8"/>
      <c r="P1122" s="8"/>
      <c r="Q1122" s="8"/>
      <c r="R1122" s="16"/>
      <c r="S1122" s="16"/>
      <c r="T1122" s="19"/>
      <c r="U1122" s="16"/>
      <c r="V1122" s="19"/>
      <c r="W1122" s="160"/>
      <c r="X1122" s="160"/>
      <c r="Y1122" s="160"/>
      <c r="Z1122" s="160"/>
      <c r="AA1122" s="160"/>
      <c r="AB1122" s="10"/>
      <c r="AD1122" s="160"/>
    </row>
    <row r="1123" spans="4:30" x14ac:dyDescent="0.2">
      <c r="D1123" s="8"/>
      <c r="E1123" s="6"/>
      <c r="G1123" s="10"/>
      <c r="J1123" s="142"/>
      <c r="K1123" s="15"/>
      <c r="L1123" s="15"/>
      <c r="M1123" s="15"/>
      <c r="N1123" s="16"/>
      <c r="O1123" s="8"/>
      <c r="P1123" s="8"/>
      <c r="Q1123" s="8"/>
      <c r="R1123" s="16"/>
      <c r="S1123" s="16"/>
      <c r="T1123" s="19"/>
      <c r="U1123" s="16"/>
      <c r="V1123" s="19"/>
      <c r="W1123" s="160"/>
      <c r="X1123" s="160"/>
      <c r="Y1123" s="160"/>
      <c r="Z1123" s="160"/>
      <c r="AA1123" s="160"/>
      <c r="AB1123" s="10"/>
      <c r="AD1123" s="160"/>
    </row>
    <row r="1124" spans="4:30" x14ac:dyDescent="0.2">
      <c r="D1124" s="8"/>
      <c r="E1124" s="6"/>
      <c r="G1124" s="10"/>
      <c r="J1124" s="142"/>
      <c r="K1124" s="15"/>
      <c r="L1124" s="15"/>
      <c r="M1124" s="15"/>
      <c r="N1124" s="16"/>
      <c r="O1124" s="8"/>
      <c r="P1124" s="8"/>
      <c r="Q1124" s="8"/>
      <c r="R1124" s="16"/>
      <c r="S1124" s="16"/>
      <c r="T1124" s="19"/>
      <c r="U1124" s="16"/>
      <c r="V1124" s="19"/>
      <c r="W1124" s="160"/>
      <c r="X1124" s="160"/>
      <c r="Y1124" s="160"/>
      <c r="Z1124" s="160"/>
      <c r="AA1124" s="160"/>
      <c r="AB1124" s="10"/>
      <c r="AD1124" s="160"/>
    </row>
    <row r="1125" spans="4:30" x14ac:dyDescent="0.2">
      <c r="D1125" s="8"/>
      <c r="E1125" s="6"/>
      <c r="G1125" s="10"/>
      <c r="J1125" s="142"/>
      <c r="K1125" s="15"/>
      <c r="L1125" s="15"/>
      <c r="M1125" s="15"/>
      <c r="N1125" s="16"/>
      <c r="O1125" s="8"/>
      <c r="P1125" s="8"/>
      <c r="Q1125" s="8"/>
      <c r="R1125" s="16"/>
      <c r="S1125" s="16"/>
      <c r="T1125" s="19"/>
      <c r="U1125" s="16"/>
      <c r="V1125" s="19"/>
      <c r="W1125" s="160"/>
      <c r="X1125" s="160"/>
      <c r="Y1125" s="160"/>
      <c r="Z1125" s="160"/>
      <c r="AA1125" s="160"/>
      <c r="AB1125" s="10"/>
      <c r="AD1125" s="160"/>
    </row>
    <row r="1126" spans="4:30" x14ac:dyDescent="0.2">
      <c r="D1126" s="8"/>
      <c r="E1126" s="6"/>
      <c r="G1126" s="10"/>
      <c r="J1126" s="142"/>
      <c r="K1126" s="15"/>
      <c r="L1126" s="15"/>
      <c r="M1126" s="15"/>
      <c r="N1126" s="16"/>
      <c r="O1126" s="8"/>
      <c r="P1126" s="8"/>
      <c r="Q1126" s="8"/>
      <c r="R1126" s="16"/>
      <c r="S1126" s="16"/>
      <c r="T1126" s="19"/>
      <c r="U1126" s="16"/>
      <c r="V1126" s="19"/>
      <c r="W1126" s="160"/>
      <c r="X1126" s="160"/>
      <c r="Y1126" s="160"/>
      <c r="Z1126" s="160"/>
      <c r="AA1126" s="160"/>
      <c r="AB1126" s="10"/>
      <c r="AD1126" s="160"/>
    </row>
    <row r="1127" spans="4:30" x14ac:dyDescent="0.2">
      <c r="D1127" s="8"/>
      <c r="E1127" s="6"/>
      <c r="G1127" s="10"/>
      <c r="J1127" s="142"/>
      <c r="K1127" s="15"/>
      <c r="L1127" s="15"/>
      <c r="M1127" s="15"/>
      <c r="N1127" s="16"/>
      <c r="O1127" s="8"/>
      <c r="P1127" s="8"/>
      <c r="Q1127" s="8"/>
      <c r="R1127" s="16"/>
      <c r="S1127" s="16"/>
      <c r="T1127" s="19"/>
      <c r="U1127" s="16"/>
      <c r="V1127" s="19"/>
      <c r="W1127" s="160"/>
      <c r="X1127" s="160"/>
      <c r="Y1127" s="160"/>
      <c r="Z1127" s="160"/>
      <c r="AA1127" s="160"/>
      <c r="AB1127" s="10"/>
      <c r="AD1127" s="160"/>
    </row>
    <row r="1128" spans="4:30" x14ac:dyDescent="0.2">
      <c r="D1128" s="8"/>
      <c r="E1128" s="6"/>
      <c r="G1128" s="10"/>
      <c r="J1128" s="142"/>
      <c r="K1128" s="15"/>
      <c r="L1128" s="15"/>
      <c r="M1128" s="15"/>
      <c r="N1128" s="16"/>
      <c r="O1128" s="8"/>
      <c r="P1128" s="8"/>
      <c r="Q1128" s="8"/>
      <c r="R1128" s="16"/>
      <c r="S1128" s="16"/>
      <c r="T1128" s="19"/>
      <c r="U1128" s="16"/>
      <c r="V1128" s="19"/>
      <c r="W1128" s="160"/>
      <c r="X1128" s="160"/>
      <c r="Y1128" s="160"/>
      <c r="Z1128" s="160"/>
      <c r="AA1128" s="160"/>
      <c r="AB1128" s="10"/>
      <c r="AD1128" s="160"/>
    </row>
    <row r="1129" spans="4:30" x14ac:dyDescent="0.2">
      <c r="D1129" s="8"/>
      <c r="E1129" s="6"/>
      <c r="G1129" s="10"/>
      <c r="J1129" s="142"/>
      <c r="K1129" s="15"/>
      <c r="L1129" s="15"/>
      <c r="M1129" s="15"/>
      <c r="N1129" s="16"/>
      <c r="O1129" s="8"/>
      <c r="P1129" s="8"/>
      <c r="Q1129" s="8"/>
      <c r="R1129" s="16"/>
      <c r="S1129" s="16"/>
      <c r="T1129" s="19"/>
      <c r="U1129" s="16"/>
      <c r="V1129" s="19"/>
      <c r="W1129" s="160"/>
      <c r="X1129" s="160"/>
      <c r="Y1129" s="160"/>
      <c r="Z1129" s="160"/>
      <c r="AA1129" s="160"/>
      <c r="AB1129" s="10"/>
      <c r="AD1129" s="160"/>
    </row>
    <row r="1130" spans="4:30" x14ac:dyDescent="0.2">
      <c r="D1130" s="8"/>
      <c r="E1130" s="6"/>
      <c r="G1130" s="10"/>
      <c r="J1130" s="142"/>
      <c r="K1130" s="15"/>
      <c r="L1130" s="15"/>
      <c r="M1130" s="15"/>
      <c r="N1130" s="16"/>
      <c r="O1130" s="8"/>
      <c r="P1130" s="8"/>
      <c r="Q1130" s="8"/>
      <c r="R1130" s="16"/>
      <c r="S1130" s="16"/>
      <c r="T1130" s="19"/>
      <c r="U1130" s="16"/>
      <c r="V1130" s="19"/>
      <c r="W1130" s="160"/>
      <c r="X1130" s="160"/>
      <c r="Y1130" s="160"/>
      <c r="Z1130" s="160"/>
      <c r="AA1130" s="160"/>
      <c r="AB1130" s="10"/>
      <c r="AD1130" s="160"/>
    </row>
    <row r="1131" spans="4:30" x14ac:dyDescent="0.2">
      <c r="D1131" s="8"/>
      <c r="E1131" s="6"/>
      <c r="G1131" s="10"/>
      <c r="J1131" s="142"/>
      <c r="K1131" s="15"/>
      <c r="L1131" s="15"/>
      <c r="M1131" s="15"/>
      <c r="N1131" s="16"/>
      <c r="O1131" s="8"/>
      <c r="P1131" s="8"/>
      <c r="Q1131" s="8"/>
      <c r="R1131" s="16"/>
      <c r="S1131" s="16"/>
      <c r="T1131" s="19"/>
      <c r="U1131" s="16"/>
      <c r="V1131" s="19"/>
      <c r="W1131" s="160"/>
      <c r="X1131" s="160"/>
      <c r="Y1131" s="160"/>
      <c r="Z1131" s="160"/>
      <c r="AA1131" s="160"/>
      <c r="AB1131" s="10"/>
      <c r="AD1131" s="160"/>
    </row>
    <row r="1132" spans="4:30" x14ac:dyDescent="0.2">
      <c r="D1132" s="8"/>
      <c r="E1132" s="6"/>
      <c r="G1132" s="10"/>
      <c r="J1132" s="142"/>
      <c r="K1132" s="15"/>
      <c r="L1132" s="15"/>
      <c r="M1132" s="15"/>
      <c r="N1132" s="16"/>
      <c r="O1132" s="8"/>
      <c r="P1132" s="8"/>
      <c r="Q1132" s="8"/>
      <c r="R1132" s="16"/>
      <c r="S1132" s="16"/>
      <c r="T1132" s="19"/>
      <c r="U1132" s="16"/>
      <c r="V1132" s="19"/>
      <c r="W1132" s="160"/>
      <c r="X1132" s="160"/>
      <c r="Y1132" s="160"/>
      <c r="Z1132" s="160"/>
      <c r="AA1132" s="160"/>
      <c r="AB1132" s="10"/>
      <c r="AD1132" s="160"/>
    </row>
    <row r="1133" spans="4:30" x14ac:dyDescent="0.2">
      <c r="D1133" s="8"/>
      <c r="E1133" s="6"/>
      <c r="G1133" s="10"/>
      <c r="J1133" s="142"/>
      <c r="K1133" s="15"/>
      <c r="L1133" s="15"/>
      <c r="M1133" s="15"/>
      <c r="N1133" s="16"/>
      <c r="O1133" s="8"/>
      <c r="P1133" s="8"/>
      <c r="Q1133" s="8"/>
      <c r="R1133" s="16"/>
      <c r="S1133" s="16"/>
      <c r="T1133" s="19"/>
      <c r="U1133" s="16"/>
      <c r="V1133" s="19"/>
      <c r="W1133" s="160"/>
      <c r="X1133" s="160"/>
      <c r="Y1133" s="160"/>
      <c r="Z1133" s="160"/>
      <c r="AA1133" s="160"/>
      <c r="AB1133" s="10"/>
      <c r="AD1133" s="160"/>
    </row>
    <row r="1134" spans="4:30" x14ac:dyDescent="0.2">
      <c r="D1134" s="8"/>
      <c r="E1134" s="6"/>
      <c r="G1134" s="10"/>
      <c r="J1134" s="142"/>
      <c r="K1134" s="15"/>
      <c r="L1134" s="15"/>
      <c r="M1134" s="15"/>
      <c r="N1134" s="16"/>
      <c r="O1134" s="8"/>
      <c r="P1134" s="8"/>
      <c r="Q1134" s="8"/>
      <c r="R1134" s="16"/>
      <c r="S1134" s="16"/>
      <c r="T1134" s="19"/>
      <c r="U1134" s="16"/>
      <c r="V1134" s="19"/>
      <c r="W1134" s="160"/>
      <c r="X1134" s="160"/>
      <c r="Y1134" s="160"/>
      <c r="Z1134" s="160"/>
      <c r="AA1134" s="160"/>
      <c r="AB1134" s="10"/>
      <c r="AD1134" s="160"/>
    </row>
    <row r="1135" spans="4:30" x14ac:dyDescent="0.2">
      <c r="D1135" s="8"/>
      <c r="E1135" s="6"/>
      <c r="G1135" s="10"/>
      <c r="J1135" s="142"/>
      <c r="K1135" s="15"/>
      <c r="L1135" s="15"/>
      <c r="M1135" s="15"/>
      <c r="N1135" s="16"/>
      <c r="O1135" s="8"/>
      <c r="P1135" s="8"/>
      <c r="Q1135" s="8"/>
      <c r="R1135" s="16"/>
      <c r="S1135" s="16"/>
      <c r="T1135" s="19"/>
      <c r="U1135" s="16"/>
      <c r="V1135" s="19"/>
      <c r="W1135" s="160"/>
      <c r="X1135" s="160"/>
      <c r="Y1135" s="160"/>
      <c r="Z1135" s="160"/>
      <c r="AA1135" s="160"/>
      <c r="AB1135" s="10"/>
      <c r="AD1135" s="160"/>
    </row>
    <row r="1136" spans="4:30" x14ac:dyDescent="0.2">
      <c r="D1136" s="8"/>
      <c r="E1136" s="6"/>
      <c r="G1136" s="10"/>
      <c r="J1136" s="142"/>
      <c r="K1136" s="15"/>
      <c r="L1136" s="15"/>
      <c r="M1136" s="15"/>
      <c r="N1136" s="16"/>
      <c r="O1136" s="8"/>
      <c r="P1136" s="8"/>
      <c r="Q1136" s="8"/>
      <c r="R1136" s="16"/>
      <c r="S1136" s="16"/>
      <c r="T1136" s="19"/>
      <c r="U1136" s="16"/>
      <c r="V1136" s="19"/>
      <c r="W1136" s="160"/>
      <c r="X1136" s="160"/>
      <c r="Y1136" s="160"/>
      <c r="Z1136" s="160"/>
      <c r="AA1136" s="160"/>
      <c r="AB1136" s="10"/>
      <c r="AD1136" s="160"/>
    </row>
    <row r="1137" spans="4:30" x14ac:dyDescent="0.2">
      <c r="D1137" s="8"/>
      <c r="E1137" s="6"/>
      <c r="G1137" s="10"/>
      <c r="J1137" s="142"/>
      <c r="K1137" s="15"/>
      <c r="L1137" s="15"/>
      <c r="M1137" s="15"/>
      <c r="N1137" s="16"/>
      <c r="O1137" s="8"/>
      <c r="P1137" s="8"/>
      <c r="Q1137" s="8"/>
      <c r="R1137" s="16"/>
      <c r="S1137" s="16"/>
      <c r="T1137" s="19"/>
      <c r="U1137" s="16"/>
      <c r="V1137" s="19"/>
      <c r="W1137" s="160"/>
      <c r="X1137" s="160"/>
      <c r="Y1137" s="160"/>
      <c r="Z1137" s="160"/>
      <c r="AA1137" s="160"/>
      <c r="AB1137" s="10"/>
      <c r="AD1137" s="160"/>
    </row>
    <row r="1138" spans="4:30" x14ac:dyDescent="0.2">
      <c r="D1138" s="8"/>
      <c r="E1138" s="6"/>
      <c r="G1138" s="10"/>
      <c r="J1138" s="142"/>
      <c r="K1138" s="15"/>
      <c r="L1138" s="15"/>
      <c r="M1138" s="15"/>
      <c r="N1138" s="16"/>
      <c r="O1138" s="8"/>
      <c r="P1138" s="8"/>
      <c r="Q1138" s="8"/>
      <c r="R1138" s="16"/>
      <c r="S1138" s="16"/>
      <c r="T1138" s="19"/>
      <c r="U1138" s="16"/>
      <c r="V1138" s="19"/>
      <c r="W1138" s="160"/>
      <c r="X1138" s="160"/>
      <c r="Y1138" s="160"/>
      <c r="Z1138" s="160"/>
      <c r="AA1138" s="160"/>
      <c r="AB1138" s="10"/>
      <c r="AD1138" s="160"/>
    </row>
    <row r="1139" spans="4:30" x14ac:dyDescent="0.2">
      <c r="D1139" s="8"/>
      <c r="E1139" s="6"/>
      <c r="G1139" s="10"/>
      <c r="J1139" s="142"/>
      <c r="K1139" s="15"/>
      <c r="L1139" s="15"/>
      <c r="M1139" s="15"/>
      <c r="N1139" s="16"/>
      <c r="O1139" s="8"/>
      <c r="P1139" s="8"/>
      <c r="Q1139" s="8"/>
      <c r="R1139" s="16"/>
      <c r="S1139" s="16"/>
      <c r="T1139" s="19"/>
      <c r="U1139" s="16"/>
      <c r="V1139" s="19"/>
      <c r="W1139" s="160"/>
      <c r="X1139" s="160"/>
      <c r="Y1139" s="160"/>
      <c r="Z1139" s="160"/>
      <c r="AA1139" s="160"/>
      <c r="AB1139" s="10"/>
      <c r="AD1139" s="160"/>
    </row>
    <row r="1140" spans="4:30" x14ac:dyDescent="0.2">
      <c r="D1140" s="8"/>
      <c r="E1140" s="6"/>
      <c r="G1140" s="10"/>
      <c r="J1140" s="142"/>
      <c r="K1140" s="15"/>
      <c r="L1140" s="15"/>
      <c r="M1140" s="15"/>
      <c r="N1140" s="16"/>
      <c r="O1140" s="8"/>
      <c r="P1140" s="8"/>
      <c r="Q1140" s="8"/>
      <c r="R1140" s="16"/>
      <c r="S1140" s="16"/>
      <c r="T1140" s="19"/>
      <c r="U1140" s="16"/>
      <c r="V1140" s="19"/>
      <c r="W1140" s="160"/>
      <c r="X1140" s="160"/>
      <c r="Y1140" s="160"/>
      <c r="Z1140" s="160"/>
      <c r="AA1140" s="160"/>
      <c r="AB1140" s="10"/>
      <c r="AD1140" s="160"/>
    </row>
    <row r="1141" spans="4:30" x14ac:dyDescent="0.2">
      <c r="D1141" s="8"/>
      <c r="E1141" s="6"/>
      <c r="G1141" s="10"/>
      <c r="J1141" s="142"/>
      <c r="K1141" s="15"/>
      <c r="L1141" s="15"/>
      <c r="M1141" s="15"/>
      <c r="N1141" s="16"/>
      <c r="O1141" s="8"/>
      <c r="P1141" s="8"/>
      <c r="Q1141" s="8"/>
      <c r="R1141" s="16"/>
      <c r="S1141" s="16"/>
      <c r="T1141" s="19"/>
      <c r="U1141" s="16"/>
      <c r="V1141" s="19"/>
      <c r="W1141" s="160"/>
      <c r="X1141" s="160"/>
      <c r="Y1141" s="160"/>
      <c r="Z1141" s="160"/>
      <c r="AA1141" s="160"/>
      <c r="AB1141" s="10"/>
      <c r="AD1141" s="160"/>
    </row>
    <row r="1142" spans="4:30" x14ac:dyDescent="0.2">
      <c r="D1142" s="8"/>
      <c r="E1142" s="6"/>
      <c r="G1142" s="10"/>
      <c r="J1142" s="142"/>
      <c r="K1142" s="15"/>
      <c r="L1142" s="15"/>
      <c r="M1142" s="15"/>
      <c r="N1142" s="16"/>
      <c r="O1142" s="8"/>
      <c r="P1142" s="8"/>
      <c r="Q1142" s="8"/>
      <c r="R1142" s="16"/>
      <c r="S1142" s="16"/>
      <c r="T1142" s="19"/>
      <c r="U1142" s="16"/>
      <c r="V1142" s="19"/>
      <c r="W1142" s="160"/>
      <c r="X1142" s="160"/>
      <c r="Y1142" s="160"/>
      <c r="Z1142" s="160"/>
      <c r="AA1142" s="160"/>
      <c r="AB1142" s="10"/>
      <c r="AD1142" s="160"/>
    </row>
    <row r="1143" spans="4:30" x14ac:dyDescent="0.2">
      <c r="D1143" s="8"/>
      <c r="E1143" s="6"/>
      <c r="G1143" s="10"/>
      <c r="J1143" s="142"/>
      <c r="K1143" s="15"/>
      <c r="L1143" s="15"/>
      <c r="M1143" s="15"/>
      <c r="N1143" s="16"/>
      <c r="O1143" s="8"/>
      <c r="P1143" s="8"/>
      <c r="Q1143" s="8"/>
      <c r="R1143" s="16"/>
      <c r="S1143" s="16"/>
      <c r="T1143" s="19"/>
      <c r="U1143" s="16"/>
      <c r="V1143" s="19"/>
      <c r="W1143" s="160"/>
      <c r="X1143" s="160"/>
      <c r="Y1143" s="160"/>
      <c r="Z1143" s="160"/>
      <c r="AA1143" s="160"/>
      <c r="AB1143" s="10"/>
      <c r="AD1143" s="160"/>
    </row>
    <row r="1144" spans="4:30" x14ac:dyDescent="0.2">
      <c r="D1144" s="8"/>
      <c r="E1144" s="6"/>
      <c r="G1144" s="10"/>
      <c r="J1144" s="142"/>
      <c r="K1144" s="15"/>
      <c r="L1144" s="15"/>
      <c r="M1144" s="15"/>
      <c r="N1144" s="16"/>
      <c r="O1144" s="8"/>
      <c r="P1144" s="8"/>
      <c r="Q1144" s="8"/>
      <c r="R1144" s="16"/>
      <c r="S1144" s="16"/>
      <c r="T1144" s="19"/>
      <c r="U1144" s="16"/>
      <c r="V1144" s="19"/>
      <c r="W1144" s="160"/>
      <c r="X1144" s="160"/>
      <c r="Y1144" s="160"/>
      <c r="Z1144" s="160"/>
      <c r="AA1144" s="160"/>
      <c r="AB1144" s="10"/>
      <c r="AD1144" s="160"/>
    </row>
    <row r="1145" spans="4:30" x14ac:dyDescent="0.2">
      <c r="D1145" s="8"/>
      <c r="E1145" s="6"/>
      <c r="G1145" s="10"/>
      <c r="J1145" s="142"/>
      <c r="K1145" s="15"/>
      <c r="L1145" s="15"/>
      <c r="M1145" s="15"/>
      <c r="N1145" s="16"/>
      <c r="O1145" s="8"/>
      <c r="P1145" s="8"/>
      <c r="Q1145" s="8"/>
      <c r="R1145" s="16"/>
      <c r="S1145" s="16"/>
      <c r="T1145" s="19"/>
      <c r="U1145" s="16"/>
      <c r="V1145" s="19"/>
      <c r="W1145" s="160"/>
      <c r="X1145" s="160"/>
      <c r="Y1145" s="160"/>
      <c r="Z1145" s="160"/>
      <c r="AA1145" s="160"/>
      <c r="AB1145" s="10"/>
      <c r="AD1145" s="160"/>
    </row>
    <row r="1146" spans="4:30" x14ac:dyDescent="0.2">
      <c r="D1146" s="8"/>
      <c r="E1146" s="6"/>
      <c r="G1146" s="10"/>
      <c r="J1146" s="142"/>
      <c r="K1146" s="15"/>
      <c r="L1146" s="15"/>
      <c r="M1146" s="15"/>
      <c r="N1146" s="16"/>
      <c r="O1146" s="8"/>
      <c r="P1146" s="8"/>
      <c r="Q1146" s="8"/>
      <c r="R1146" s="16"/>
      <c r="S1146" s="16"/>
      <c r="T1146" s="19"/>
      <c r="U1146" s="16"/>
      <c r="V1146" s="19"/>
      <c r="W1146" s="160"/>
      <c r="X1146" s="160"/>
      <c r="Y1146" s="160"/>
      <c r="Z1146" s="160"/>
      <c r="AA1146" s="160"/>
      <c r="AB1146" s="10"/>
      <c r="AD1146" s="160"/>
    </row>
    <row r="1147" spans="4:30" x14ac:dyDescent="0.2">
      <c r="D1147" s="8"/>
      <c r="E1147" s="6"/>
      <c r="G1147" s="10"/>
      <c r="J1147" s="142"/>
      <c r="K1147" s="15"/>
      <c r="L1147" s="15"/>
      <c r="M1147" s="15"/>
      <c r="N1147" s="16"/>
      <c r="O1147" s="8"/>
      <c r="P1147" s="8"/>
      <c r="Q1147" s="8"/>
      <c r="R1147" s="16"/>
      <c r="S1147" s="16"/>
      <c r="T1147" s="19"/>
      <c r="U1147" s="16"/>
      <c r="V1147" s="19"/>
      <c r="W1147" s="160"/>
      <c r="X1147" s="160"/>
      <c r="Y1147" s="160"/>
      <c r="Z1147" s="160"/>
      <c r="AA1147" s="160"/>
      <c r="AB1147" s="10"/>
      <c r="AD1147" s="160"/>
    </row>
    <row r="1148" spans="4:30" x14ac:dyDescent="0.2">
      <c r="D1148" s="8"/>
      <c r="E1148" s="6"/>
      <c r="G1148" s="10"/>
      <c r="J1148" s="142"/>
      <c r="K1148" s="15"/>
      <c r="L1148" s="15"/>
      <c r="M1148" s="15"/>
      <c r="N1148" s="16"/>
      <c r="O1148" s="8"/>
      <c r="P1148" s="8"/>
      <c r="Q1148" s="8"/>
      <c r="R1148" s="16"/>
      <c r="S1148" s="16"/>
      <c r="T1148" s="19"/>
      <c r="U1148" s="16"/>
      <c r="V1148" s="19"/>
      <c r="W1148" s="160"/>
      <c r="X1148" s="160"/>
      <c r="Y1148" s="160"/>
      <c r="Z1148" s="160"/>
      <c r="AA1148" s="160"/>
      <c r="AB1148" s="10"/>
      <c r="AD1148" s="160"/>
    </row>
    <row r="1149" spans="4:30" x14ac:dyDescent="0.2">
      <c r="D1149" s="8"/>
      <c r="E1149" s="6"/>
      <c r="G1149" s="10"/>
      <c r="J1149" s="142"/>
      <c r="K1149" s="15"/>
      <c r="L1149" s="15"/>
      <c r="M1149" s="15"/>
      <c r="N1149" s="16"/>
      <c r="O1149" s="8"/>
      <c r="P1149" s="8"/>
      <c r="Q1149" s="8"/>
      <c r="R1149" s="16"/>
      <c r="S1149" s="16"/>
      <c r="T1149" s="19"/>
      <c r="U1149" s="16"/>
      <c r="V1149" s="19"/>
      <c r="W1149" s="160"/>
      <c r="X1149" s="160"/>
      <c r="Y1149" s="160"/>
      <c r="Z1149" s="160"/>
      <c r="AA1149" s="160"/>
      <c r="AB1149" s="10"/>
      <c r="AD1149" s="160"/>
    </row>
    <row r="1150" spans="4:30" x14ac:dyDescent="0.2">
      <c r="D1150" s="8"/>
      <c r="E1150" s="6"/>
      <c r="G1150" s="10"/>
      <c r="J1150" s="142"/>
      <c r="K1150" s="15"/>
      <c r="L1150" s="15"/>
      <c r="M1150" s="15"/>
      <c r="N1150" s="16"/>
      <c r="O1150" s="8"/>
      <c r="P1150" s="8"/>
      <c r="Q1150" s="8"/>
      <c r="R1150" s="16"/>
      <c r="S1150" s="16"/>
      <c r="T1150" s="19"/>
      <c r="U1150" s="16"/>
      <c r="V1150" s="19"/>
      <c r="W1150" s="160"/>
      <c r="X1150" s="160"/>
      <c r="Y1150" s="160"/>
      <c r="Z1150" s="160"/>
      <c r="AA1150" s="160"/>
      <c r="AB1150" s="10"/>
      <c r="AD1150" s="160"/>
    </row>
    <row r="1151" spans="4:30" x14ac:dyDescent="0.2">
      <c r="D1151" s="8"/>
      <c r="E1151" s="6"/>
      <c r="G1151" s="10"/>
      <c r="J1151" s="142"/>
      <c r="K1151" s="15"/>
      <c r="L1151" s="15"/>
      <c r="M1151" s="15"/>
      <c r="N1151" s="16"/>
      <c r="O1151" s="8"/>
      <c r="P1151" s="8"/>
      <c r="Q1151" s="8"/>
      <c r="R1151" s="16"/>
      <c r="S1151" s="16"/>
      <c r="T1151" s="19"/>
      <c r="U1151" s="16"/>
      <c r="V1151" s="19"/>
      <c r="W1151" s="160"/>
      <c r="X1151" s="160"/>
      <c r="Y1151" s="160"/>
      <c r="Z1151" s="160"/>
      <c r="AA1151" s="160"/>
      <c r="AB1151" s="10"/>
      <c r="AD1151" s="160"/>
    </row>
    <row r="1152" spans="4:30" x14ac:dyDescent="0.2">
      <c r="D1152" s="8"/>
      <c r="E1152" s="6"/>
      <c r="G1152" s="10"/>
      <c r="J1152" s="142"/>
      <c r="K1152" s="15"/>
      <c r="L1152" s="15"/>
      <c r="M1152" s="15"/>
      <c r="N1152" s="16"/>
      <c r="O1152" s="8"/>
      <c r="P1152" s="8"/>
      <c r="Q1152" s="8"/>
      <c r="R1152" s="16"/>
      <c r="S1152" s="16"/>
      <c r="T1152" s="19"/>
      <c r="U1152" s="16"/>
      <c r="V1152" s="19"/>
      <c r="W1152" s="160"/>
      <c r="X1152" s="160"/>
      <c r="Y1152" s="160"/>
      <c r="Z1152" s="160"/>
      <c r="AA1152" s="160"/>
      <c r="AB1152" s="10"/>
      <c r="AD1152" s="160"/>
    </row>
    <row r="1153" spans="4:30" x14ac:dyDescent="0.2">
      <c r="D1153" s="8"/>
      <c r="E1153" s="6"/>
      <c r="G1153" s="10"/>
      <c r="J1153" s="142"/>
      <c r="K1153" s="15"/>
      <c r="L1153" s="15"/>
      <c r="M1153" s="15"/>
      <c r="N1153" s="16"/>
      <c r="O1153" s="8"/>
      <c r="P1153" s="8"/>
      <c r="Q1153" s="8"/>
      <c r="R1153" s="16"/>
      <c r="S1153" s="16"/>
      <c r="T1153" s="19"/>
      <c r="U1153" s="16"/>
      <c r="V1153" s="19"/>
      <c r="W1153" s="160"/>
      <c r="X1153" s="160"/>
      <c r="Y1153" s="160"/>
      <c r="Z1153" s="160"/>
      <c r="AA1153" s="160"/>
      <c r="AB1153" s="10"/>
      <c r="AD1153" s="160"/>
    </row>
    <row r="1154" spans="4:30" x14ac:dyDescent="0.2">
      <c r="D1154" s="8"/>
      <c r="E1154" s="6"/>
      <c r="G1154" s="10"/>
      <c r="J1154" s="142"/>
      <c r="K1154" s="15"/>
      <c r="L1154" s="15"/>
      <c r="M1154" s="15"/>
      <c r="N1154" s="16"/>
      <c r="O1154" s="8"/>
      <c r="P1154" s="8"/>
      <c r="Q1154" s="8"/>
      <c r="R1154" s="16"/>
      <c r="S1154" s="16"/>
      <c r="T1154" s="19"/>
      <c r="U1154" s="16"/>
      <c r="V1154" s="19"/>
      <c r="W1154" s="160"/>
      <c r="X1154" s="160"/>
      <c r="Y1154" s="160"/>
      <c r="Z1154" s="160"/>
      <c r="AA1154" s="160"/>
      <c r="AB1154" s="10"/>
      <c r="AD1154" s="160"/>
    </row>
    <row r="1155" spans="4:30" x14ac:dyDescent="0.2">
      <c r="D1155" s="8"/>
      <c r="E1155" s="6"/>
      <c r="G1155" s="10"/>
      <c r="J1155" s="142"/>
      <c r="K1155" s="15"/>
      <c r="L1155" s="15"/>
      <c r="M1155" s="15"/>
      <c r="N1155" s="16"/>
      <c r="O1155" s="8"/>
      <c r="P1155" s="8"/>
      <c r="Q1155" s="8"/>
      <c r="R1155" s="16"/>
      <c r="S1155" s="16"/>
      <c r="T1155" s="19"/>
      <c r="U1155" s="16"/>
      <c r="V1155" s="19"/>
      <c r="W1155" s="160"/>
      <c r="X1155" s="160"/>
      <c r="Y1155" s="160"/>
      <c r="Z1155" s="160"/>
      <c r="AA1155" s="160"/>
      <c r="AB1155" s="10"/>
      <c r="AD1155" s="160"/>
    </row>
    <row r="1156" spans="4:30" x14ac:dyDescent="0.2">
      <c r="D1156" s="8"/>
      <c r="E1156" s="6"/>
      <c r="G1156" s="10"/>
      <c r="J1156" s="142"/>
      <c r="K1156" s="15"/>
      <c r="L1156" s="15"/>
      <c r="M1156" s="15"/>
      <c r="N1156" s="16"/>
      <c r="O1156" s="8"/>
      <c r="P1156" s="8"/>
      <c r="Q1156" s="8"/>
      <c r="R1156" s="16"/>
      <c r="S1156" s="16"/>
      <c r="T1156" s="19"/>
      <c r="U1156" s="16"/>
      <c r="V1156" s="19"/>
      <c r="W1156" s="160"/>
      <c r="X1156" s="160"/>
      <c r="Y1156" s="160"/>
      <c r="Z1156" s="160"/>
      <c r="AA1156" s="160"/>
      <c r="AB1156" s="10"/>
      <c r="AD1156" s="160"/>
    </row>
    <row r="1157" spans="4:30" x14ac:dyDescent="0.2">
      <c r="D1157" s="8"/>
      <c r="E1157" s="6"/>
      <c r="G1157" s="10"/>
      <c r="J1157" s="142"/>
      <c r="K1157" s="15"/>
      <c r="L1157" s="15"/>
      <c r="M1157" s="15"/>
      <c r="N1157" s="16"/>
      <c r="O1157" s="8"/>
      <c r="P1157" s="8"/>
      <c r="Q1157" s="8"/>
      <c r="R1157" s="16"/>
      <c r="S1157" s="16"/>
      <c r="T1157" s="19"/>
      <c r="U1157" s="16"/>
      <c r="V1157" s="19"/>
      <c r="W1157" s="160"/>
      <c r="X1157" s="160"/>
      <c r="Y1157" s="160"/>
      <c r="Z1157" s="160"/>
      <c r="AA1157" s="160"/>
      <c r="AB1157" s="10"/>
      <c r="AD1157" s="160"/>
    </row>
    <row r="1158" spans="4:30" x14ac:dyDescent="0.2">
      <c r="D1158" s="8"/>
      <c r="E1158" s="6"/>
      <c r="G1158" s="10"/>
      <c r="J1158" s="142"/>
      <c r="K1158" s="15"/>
      <c r="L1158" s="15"/>
      <c r="M1158" s="15"/>
      <c r="N1158" s="16"/>
      <c r="O1158" s="8"/>
      <c r="P1158" s="8"/>
      <c r="Q1158" s="8"/>
      <c r="R1158" s="16"/>
      <c r="S1158" s="16"/>
      <c r="T1158" s="19"/>
      <c r="U1158" s="16"/>
      <c r="V1158" s="19"/>
      <c r="W1158" s="160"/>
      <c r="X1158" s="160"/>
      <c r="Y1158" s="160"/>
      <c r="Z1158" s="160"/>
      <c r="AA1158" s="160"/>
      <c r="AB1158" s="10"/>
      <c r="AD1158" s="160"/>
    </row>
    <row r="1159" spans="4:30" x14ac:dyDescent="0.2">
      <c r="D1159" s="8"/>
      <c r="E1159" s="6"/>
      <c r="G1159" s="10"/>
      <c r="J1159" s="142"/>
      <c r="K1159" s="15"/>
      <c r="L1159" s="15"/>
      <c r="M1159" s="15"/>
      <c r="N1159" s="16"/>
      <c r="O1159" s="8"/>
      <c r="P1159" s="8"/>
      <c r="Q1159" s="8"/>
      <c r="R1159" s="16"/>
      <c r="S1159" s="16"/>
      <c r="T1159" s="19"/>
      <c r="U1159" s="16"/>
      <c r="V1159" s="19"/>
      <c r="W1159" s="160"/>
      <c r="X1159" s="160"/>
      <c r="Y1159" s="160"/>
      <c r="Z1159" s="160"/>
      <c r="AA1159" s="160"/>
      <c r="AB1159" s="10"/>
      <c r="AD1159" s="160"/>
    </row>
    <row r="1160" spans="4:30" x14ac:dyDescent="0.2">
      <c r="D1160" s="8"/>
      <c r="E1160" s="6"/>
      <c r="G1160" s="10"/>
      <c r="J1160" s="142"/>
      <c r="K1160" s="15"/>
      <c r="L1160" s="15"/>
      <c r="M1160" s="15"/>
      <c r="N1160" s="16"/>
      <c r="O1160" s="8"/>
      <c r="P1160" s="8"/>
      <c r="Q1160" s="8"/>
      <c r="R1160" s="16"/>
      <c r="S1160" s="16"/>
      <c r="T1160" s="19"/>
      <c r="U1160" s="16"/>
      <c r="V1160" s="19"/>
      <c r="W1160" s="160"/>
      <c r="X1160" s="160"/>
      <c r="Y1160" s="160"/>
      <c r="Z1160" s="160"/>
      <c r="AA1160" s="160"/>
      <c r="AB1160" s="10"/>
      <c r="AD1160" s="160"/>
    </row>
    <row r="1161" spans="4:30" x14ac:dyDescent="0.2">
      <c r="D1161" s="8"/>
      <c r="E1161" s="6"/>
      <c r="G1161" s="10"/>
      <c r="J1161" s="142"/>
      <c r="K1161" s="15"/>
      <c r="L1161" s="15"/>
      <c r="M1161" s="15"/>
      <c r="N1161" s="16"/>
      <c r="O1161" s="8"/>
      <c r="P1161" s="8"/>
      <c r="Q1161" s="8"/>
      <c r="R1161" s="16"/>
      <c r="S1161" s="16"/>
      <c r="T1161" s="19"/>
      <c r="U1161" s="16"/>
      <c r="V1161" s="19"/>
      <c r="W1161" s="160"/>
      <c r="X1161" s="160"/>
      <c r="Y1161" s="160"/>
      <c r="Z1161" s="160"/>
      <c r="AA1161" s="160"/>
      <c r="AB1161" s="10"/>
      <c r="AD1161" s="160"/>
    </row>
    <row r="1162" spans="4:30" x14ac:dyDescent="0.2">
      <c r="D1162" s="8"/>
      <c r="E1162" s="6"/>
      <c r="G1162" s="10"/>
      <c r="J1162" s="142"/>
      <c r="K1162" s="15"/>
      <c r="L1162" s="15"/>
      <c r="M1162" s="15"/>
      <c r="N1162" s="16"/>
      <c r="O1162" s="8"/>
      <c r="P1162" s="8"/>
      <c r="Q1162" s="8"/>
      <c r="R1162" s="16"/>
      <c r="S1162" s="16"/>
      <c r="T1162" s="19"/>
      <c r="U1162" s="16"/>
      <c r="V1162" s="19"/>
      <c r="W1162" s="160"/>
      <c r="X1162" s="160"/>
      <c r="Y1162" s="160"/>
      <c r="Z1162" s="160"/>
      <c r="AA1162" s="160"/>
      <c r="AB1162" s="10"/>
      <c r="AD1162" s="160"/>
    </row>
    <row r="1163" spans="4:30" x14ac:dyDescent="0.2">
      <c r="D1163" s="8"/>
      <c r="E1163" s="6"/>
      <c r="G1163" s="10"/>
      <c r="J1163" s="142"/>
      <c r="K1163" s="15"/>
      <c r="L1163" s="15"/>
      <c r="M1163" s="15"/>
      <c r="N1163" s="16"/>
      <c r="O1163" s="8"/>
      <c r="P1163" s="8"/>
      <c r="Q1163" s="8"/>
      <c r="R1163" s="16"/>
      <c r="S1163" s="16"/>
      <c r="T1163" s="19"/>
      <c r="U1163" s="16"/>
      <c r="V1163" s="19"/>
      <c r="W1163" s="160"/>
      <c r="X1163" s="160"/>
      <c r="Y1163" s="160"/>
      <c r="Z1163" s="160"/>
      <c r="AA1163" s="160"/>
      <c r="AB1163" s="10"/>
      <c r="AD1163" s="160"/>
    </row>
    <row r="1164" spans="4:30" x14ac:dyDescent="0.2">
      <c r="D1164" s="8"/>
      <c r="E1164" s="6"/>
      <c r="G1164" s="10"/>
      <c r="J1164" s="142"/>
      <c r="K1164" s="15"/>
      <c r="L1164" s="15"/>
      <c r="M1164" s="15"/>
      <c r="N1164" s="16"/>
      <c r="O1164" s="8"/>
      <c r="P1164" s="8"/>
      <c r="Q1164" s="8"/>
      <c r="R1164" s="16"/>
      <c r="S1164" s="16"/>
      <c r="T1164" s="19"/>
      <c r="U1164" s="16"/>
      <c r="V1164" s="19"/>
      <c r="W1164" s="160"/>
      <c r="X1164" s="160"/>
      <c r="Y1164" s="160"/>
      <c r="Z1164" s="160"/>
      <c r="AA1164" s="160"/>
      <c r="AB1164" s="10"/>
      <c r="AD1164" s="160"/>
    </row>
    <row r="1165" spans="4:30" x14ac:dyDescent="0.2">
      <c r="D1165" s="8"/>
      <c r="E1165" s="6"/>
      <c r="G1165" s="10"/>
      <c r="J1165" s="142"/>
      <c r="K1165" s="15"/>
      <c r="L1165" s="15"/>
      <c r="M1165" s="15"/>
      <c r="N1165" s="16"/>
      <c r="O1165" s="8"/>
      <c r="P1165" s="8"/>
      <c r="Q1165" s="8"/>
      <c r="R1165" s="16"/>
      <c r="S1165" s="16"/>
      <c r="T1165" s="19"/>
      <c r="U1165" s="16"/>
      <c r="V1165" s="19"/>
      <c r="W1165" s="160"/>
      <c r="X1165" s="160"/>
      <c r="Y1165" s="160"/>
      <c r="Z1165" s="160"/>
      <c r="AA1165" s="160"/>
      <c r="AB1165" s="10"/>
      <c r="AD1165" s="160"/>
    </row>
    <row r="1166" spans="4:30" x14ac:dyDescent="0.2">
      <c r="D1166" s="8"/>
      <c r="E1166" s="6"/>
      <c r="G1166" s="10"/>
      <c r="J1166" s="142"/>
      <c r="K1166" s="15"/>
      <c r="L1166" s="15"/>
      <c r="M1166" s="15"/>
      <c r="N1166" s="16"/>
      <c r="O1166" s="8"/>
      <c r="P1166" s="8"/>
      <c r="Q1166" s="8"/>
      <c r="R1166" s="16"/>
      <c r="S1166" s="16"/>
      <c r="T1166" s="19"/>
      <c r="U1166" s="16"/>
      <c r="V1166" s="19"/>
      <c r="W1166" s="160"/>
      <c r="X1166" s="160"/>
      <c r="Y1166" s="160"/>
      <c r="Z1166" s="160"/>
      <c r="AA1166" s="160"/>
      <c r="AB1166" s="10"/>
      <c r="AD1166" s="160"/>
    </row>
    <row r="1167" spans="4:30" x14ac:dyDescent="0.2">
      <c r="D1167" s="8"/>
      <c r="E1167" s="6"/>
      <c r="G1167" s="10"/>
      <c r="J1167" s="142"/>
      <c r="K1167" s="15"/>
      <c r="L1167" s="15"/>
      <c r="M1167" s="15"/>
      <c r="N1167" s="16"/>
      <c r="O1167" s="8"/>
      <c r="P1167" s="8"/>
      <c r="Q1167" s="8"/>
      <c r="R1167" s="16"/>
      <c r="S1167" s="16"/>
      <c r="T1167" s="19"/>
      <c r="U1167" s="16"/>
      <c r="V1167" s="19"/>
      <c r="W1167" s="160"/>
      <c r="X1167" s="160"/>
      <c r="Y1167" s="160"/>
      <c r="Z1167" s="160"/>
      <c r="AA1167" s="160"/>
      <c r="AB1167" s="10"/>
      <c r="AD1167" s="160"/>
    </row>
    <row r="1168" spans="4:30" x14ac:dyDescent="0.2">
      <c r="D1168" s="8"/>
      <c r="E1168" s="6"/>
      <c r="G1168" s="10"/>
      <c r="J1168" s="142"/>
      <c r="K1168" s="15"/>
      <c r="L1168" s="15"/>
      <c r="M1168" s="15"/>
      <c r="N1168" s="16"/>
      <c r="O1168" s="8"/>
      <c r="P1168" s="8"/>
      <c r="Q1168" s="8"/>
      <c r="R1168" s="16"/>
      <c r="S1168" s="16"/>
      <c r="T1168" s="19"/>
      <c r="U1168" s="16"/>
      <c r="V1168" s="19"/>
      <c r="W1168" s="160"/>
      <c r="X1168" s="160"/>
      <c r="Y1168" s="160"/>
      <c r="Z1168" s="160"/>
      <c r="AA1168" s="160"/>
      <c r="AB1168" s="10"/>
      <c r="AD1168" s="160"/>
    </row>
    <row r="1169" spans="4:30" x14ac:dyDescent="0.2">
      <c r="D1169" s="8"/>
      <c r="E1169" s="6"/>
      <c r="G1169" s="10"/>
      <c r="J1169" s="142"/>
      <c r="K1169" s="15"/>
      <c r="L1169" s="15"/>
      <c r="M1169" s="15"/>
      <c r="N1169" s="16"/>
      <c r="O1169" s="8"/>
      <c r="P1169" s="8"/>
      <c r="Q1169" s="8"/>
      <c r="R1169" s="16"/>
      <c r="S1169" s="16"/>
      <c r="T1169" s="19"/>
      <c r="U1169" s="16"/>
      <c r="V1169" s="19"/>
      <c r="W1169" s="160"/>
      <c r="X1169" s="160"/>
      <c r="Y1169" s="160"/>
      <c r="Z1169" s="160"/>
      <c r="AA1169" s="160"/>
      <c r="AB1169" s="10"/>
      <c r="AD1169" s="160"/>
    </row>
    <row r="1170" spans="4:30" x14ac:dyDescent="0.2">
      <c r="D1170" s="8"/>
      <c r="E1170" s="6"/>
      <c r="G1170" s="10"/>
      <c r="J1170" s="142"/>
      <c r="K1170" s="15"/>
      <c r="L1170" s="15"/>
      <c r="M1170" s="15"/>
      <c r="N1170" s="16"/>
      <c r="O1170" s="8"/>
      <c r="P1170" s="8"/>
      <c r="Q1170" s="8"/>
      <c r="R1170" s="16"/>
      <c r="S1170" s="16"/>
      <c r="T1170" s="19"/>
      <c r="U1170" s="16"/>
      <c r="V1170" s="19"/>
      <c r="W1170" s="160"/>
      <c r="X1170" s="160"/>
      <c r="Y1170" s="160"/>
      <c r="Z1170" s="160"/>
      <c r="AA1170" s="160"/>
      <c r="AB1170" s="10"/>
      <c r="AD1170" s="160"/>
    </row>
    <row r="1171" spans="4:30" x14ac:dyDescent="0.2">
      <c r="D1171" s="8"/>
      <c r="E1171" s="6"/>
      <c r="G1171" s="10"/>
      <c r="J1171" s="142"/>
      <c r="K1171" s="15"/>
      <c r="L1171" s="15"/>
      <c r="M1171" s="15"/>
      <c r="N1171" s="16"/>
      <c r="O1171" s="8"/>
      <c r="P1171" s="8"/>
      <c r="Q1171" s="8"/>
      <c r="R1171" s="16"/>
      <c r="S1171" s="16"/>
      <c r="T1171" s="19"/>
      <c r="U1171" s="16"/>
      <c r="V1171" s="19"/>
      <c r="W1171" s="160"/>
      <c r="X1171" s="160"/>
      <c r="Y1171" s="160"/>
      <c r="Z1171" s="160"/>
      <c r="AA1171" s="160"/>
      <c r="AB1171" s="10"/>
      <c r="AD1171" s="160"/>
    </row>
    <row r="1172" spans="4:30" x14ac:dyDescent="0.2">
      <c r="D1172" s="8"/>
      <c r="E1172" s="6"/>
      <c r="G1172" s="10"/>
      <c r="J1172" s="142"/>
      <c r="K1172" s="15"/>
      <c r="L1172" s="15"/>
      <c r="M1172" s="15"/>
      <c r="N1172" s="16"/>
      <c r="O1172" s="8"/>
      <c r="P1172" s="8"/>
      <c r="Q1172" s="8"/>
      <c r="R1172" s="16"/>
      <c r="S1172" s="16"/>
      <c r="T1172" s="19"/>
      <c r="U1172" s="16"/>
      <c r="V1172" s="19"/>
      <c r="W1172" s="160"/>
      <c r="X1172" s="160"/>
      <c r="Y1172" s="160"/>
      <c r="Z1172" s="160"/>
      <c r="AA1172" s="160"/>
      <c r="AB1172" s="10"/>
      <c r="AD1172" s="160"/>
    </row>
    <row r="1173" spans="4:30" x14ac:dyDescent="0.2">
      <c r="D1173" s="8"/>
      <c r="E1173" s="6"/>
      <c r="G1173" s="10"/>
      <c r="J1173" s="142"/>
      <c r="K1173" s="15"/>
      <c r="L1173" s="15"/>
      <c r="M1173" s="15"/>
      <c r="N1173" s="16"/>
      <c r="O1173" s="8"/>
      <c r="P1173" s="8"/>
      <c r="Q1173" s="8"/>
      <c r="R1173" s="16"/>
      <c r="S1173" s="16"/>
      <c r="T1173" s="19"/>
      <c r="U1173" s="16"/>
      <c r="V1173" s="19"/>
      <c r="W1173" s="160"/>
      <c r="X1173" s="160"/>
      <c r="Y1173" s="160"/>
      <c r="Z1173" s="160"/>
      <c r="AA1173" s="160"/>
      <c r="AB1173" s="10"/>
      <c r="AD1173" s="160"/>
    </row>
    <row r="1174" spans="4:30" x14ac:dyDescent="0.2">
      <c r="D1174" s="8"/>
      <c r="E1174" s="6"/>
      <c r="G1174" s="10"/>
      <c r="J1174" s="142"/>
      <c r="K1174" s="15"/>
      <c r="L1174" s="15"/>
      <c r="M1174" s="15"/>
      <c r="N1174" s="16"/>
      <c r="O1174" s="8"/>
      <c r="P1174" s="8"/>
      <c r="Q1174" s="8"/>
      <c r="R1174" s="16"/>
      <c r="S1174" s="16"/>
      <c r="T1174" s="19"/>
      <c r="U1174" s="16"/>
      <c r="V1174" s="19"/>
      <c r="W1174" s="160"/>
      <c r="X1174" s="160"/>
      <c r="Y1174" s="160"/>
      <c r="Z1174" s="160"/>
      <c r="AA1174" s="160"/>
      <c r="AB1174" s="10"/>
      <c r="AD1174" s="160"/>
    </row>
    <row r="1175" spans="4:30" x14ac:dyDescent="0.2">
      <c r="D1175" s="8"/>
      <c r="E1175" s="6"/>
      <c r="G1175" s="10"/>
      <c r="J1175" s="142"/>
      <c r="K1175" s="15"/>
      <c r="L1175" s="15"/>
      <c r="M1175" s="15"/>
      <c r="N1175" s="16"/>
      <c r="O1175" s="8"/>
      <c r="P1175" s="8"/>
      <c r="Q1175" s="8"/>
      <c r="R1175" s="16"/>
      <c r="S1175" s="16"/>
      <c r="T1175" s="19"/>
      <c r="U1175" s="16"/>
      <c r="V1175" s="19"/>
      <c r="W1175" s="160"/>
      <c r="X1175" s="160"/>
      <c r="Y1175" s="160"/>
      <c r="Z1175" s="160"/>
      <c r="AA1175" s="160"/>
      <c r="AB1175" s="10"/>
      <c r="AD1175" s="160"/>
    </row>
    <row r="1176" spans="4:30" x14ac:dyDescent="0.2">
      <c r="D1176" s="8"/>
      <c r="E1176" s="6"/>
      <c r="G1176" s="10"/>
      <c r="J1176" s="142"/>
      <c r="K1176" s="15"/>
      <c r="L1176" s="15"/>
      <c r="M1176" s="15"/>
      <c r="N1176" s="16"/>
      <c r="O1176" s="8"/>
      <c r="P1176" s="8"/>
      <c r="Q1176" s="8"/>
      <c r="R1176" s="16"/>
      <c r="S1176" s="16"/>
      <c r="T1176" s="19"/>
      <c r="U1176" s="16"/>
      <c r="V1176" s="19"/>
      <c r="W1176" s="160"/>
      <c r="X1176" s="160"/>
      <c r="Y1176" s="160"/>
      <c r="Z1176" s="160"/>
      <c r="AA1176" s="160"/>
      <c r="AB1176" s="10"/>
      <c r="AD1176" s="160"/>
    </row>
    <row r="1177" spans="4:30" x14ac:dyDescent="0.2">
      <c r="D1177" s="8"/>
      <c r="E1177" s="6"/>
      <c r="G1177" s="10"/>
      <c r="J1177" s="142"/>
      <c r="K1177" s="15"/>
      <c r="L1177" s="15"/>
      <c r="M1177" s="15"/>
      <c r="N1177" s="16"/>
      <c r="O1177" s="8"/>
      <c r="P1177" s="8"/>
      <c r="Q1177" s="8"/>
      <c r="R1177" s="16"/>
      <c r="S1177" s="16"/>
      <c r="T1177" s="19"/>
      <c r="U1177" s="16"/>
      <c r="V1177" s="19"/>
      <c r="W1177" s="160"/>
      <c r="X1177" s="160"/>
      <c r="Y1177" s="160"/>
      <c r="Z1177" s="160"/>
      <c r="AA1177" s="160"/>
      <c r="AB1177" s="10"/>
      <c r="AD1177" s="160"/>
    </row>
    <row r="1178" spans="4:30" x14ac:dyDescent="0.2">
      <c r="D1178" s="8"/>
      <c r="E1178" s="6"/>
      <c r="G1178" s="10"/>
      <c r="J1178" s="142"/>
      <c r="K1178" s="15"/>
      <c r="L1178" s="15"/>
      <c r="M1178" s="15"/>
      <c r="N1178" s="16"/>
      <c r="O1178" s="8"/>
      <c r="P1178" s="8"/>
      <c r="Q1178" s="8"/>
      <c r="R1178" s="16"/>
      <c r="S1178" s="16"/>
      <c r="T1178" s="19"/>
      <c r="U1178" s="16"/>
      <c r="V1178" s="19"/>
      <c r="W1178" s="160"/>
      <c r="X1178" s="160"/>
      <c r="Y1178" s="160"/>
      <c r="Z1178" s="160"/>
      <c r="AA1178" s="160"/>
      <c r="AB1178" s="10"/>
      <c r="AD1178" s="160"/>
    </row>
    <row r="1179" spans="4:30" x14ac:dyDescent="0.2">
      <c r="D1179" s="8"/>
      <c r="E1179" s="6"/>
      <c r="G1179" s="10"/>
      <c r="J1179" s="142"/>
      <c r="K1179" s="15"/>
      <c r="L1179" s="15"/>
      <c r="M1179" s="15"/>
      <c r="N1179" s="16"/>
      <c r="O1179" s="8"/>
      <c r="P1179" s="8"/>
      <c r="Q1179" s="8"/>
      <c r="R1179" s="16"/>
      <c r="S1179" s="16"/>
      <c r="T1179" s="19"/>
      <c r="U1179" s="16"/>
      <c r="V1179" s="19"/>
      <c r="W1179" s="160"/>
      <c r="X1179" s="160"/>
      <c r="Y1179" s="160"/>
      <c r="Z1179" s="160"/>
      <c r="AA1179" s="160"/>
      <c r="AB1179" s="10"/>
      <c r="AD1179" s="160"/>
    </row>
    <row r="1180" spans="4:30" x14ac:dyDescent="0.2">
      <c r="D1180" s="8"/>
      <c r="E1180" s="6"/>
      <c r="G1180" s="10"/>
      <c r="J1180" s="142"/>
      <c r="K1180" s="15"/>
      <c r="L1180" s="15"/>
      <c r="M1180" s="15"/>
      <c r="N1180" s="16"/>
      <c r="O1180" s="8"/>
      <c r="P1180" s="8"/>
      <c r="Q1180" s="8"/>
      <c r="R1180" s="16"/>
      <c r="S1180" s="16"/>
      <c r="T1180" s="19"/>
      <c r="U1180" s="16"/>
      <c r="V1180" s="19"/>
      <c r="W1180" s="160"/>
      <c r="X1180" s="160"/>
      <c r="Y1180" s="160"/>
      <c r="Z1180" s="160"/>
      <c r="AA1180" s="160"/>
      <c r="AB1180" s="10"/>
      <c r="AD1180" s="160"/>
    </row>
    <row r="1181" spans="4:30" x14ac:dyDescent="0.2">
      <c r="D1181" s="8"/>
      <c r="E1181" s="6"/>
      <c r="G1181" s="10"/>
      <c r="J1181" s="142"/>
      <c r="K1181" s="15"/>
      <c r="L1181" s="15"/>
      <c r="M1181" s="15"/>
      <c r="N1181" s="16"/>
      <c r="O1181" s="8"/>
      <c r="P1181" s="8"/>
      <c r="Q1181" s="8"/>
      <c r="R1181" s="16"/>
      <c r="S1181" s="16"/>
      <c r="T1181" s="19"/>
      <c r="U1181" s="16"/>
      <c r="V1181" s="19"/>
      <c r="W1181" s="160"/>
      <c r="X1181" s="160"/>
      <c r="Y1181" s="160"/>
      <c r="Z1181" s="160"/>
      <c r="AA1181" s="160"/>
      <c r="AB1181" s="10"/>
      <c r="AD1181" s="160"/>
    </row>
    <row r="1182" spans="4:30" x14ac:dyDescent="0.2">
      <c r="D1182" s="8"/>
      <c r="E1182" s="6"/>
      <c r="G1182" s="10"/>
      <c r="J1182" s="142"/>
      <c r="K1182" s="15"/>
      <c r="L1182" s="15"/>
      <c r="M1182" s="15"/>
      <c r="N1182" s="16"/>
      <c r="O1182" s="8"/>
      <c r="P1182" s="8"/>
      <c r="Q1182" s="8"/>
      <c r="R1182" s="16"/>
      <c r="S1182" s="16"/>
      <c r="T1182" s="19"/>
      <c r="U1182" s="16"/>
      <c r="V1182" s="19"/>
      <c r="W1182" s="160"/>
      <c r="X1182" s="160"/>
      <c r="Y1182" s="160"/>
      <c r="Z1182" s="160"/>
      <c r="AA1182" s="160"/>
      <c r="AB1182" s="10"/>
      <c r="AD1182" s="160"/>
    </row>
    <row r="1183" spans="4:30" x14ac:dyDescent="0.2">
      <c r="D1183" s="8"/>
      <c r="E1183" s="6"/>
      <c r="G1183" s="10"/>
      <c r="J1183" s="142"/>
      <c r="K1183" s="15"/>
      <c r="L1183" s="15"/>
      <c r="M1183" s="15"/>
      <c r="N1183" s="16"/>
      <c r="O1183" s="8"/>
      <c r="P1183" s="8"/>
      <c r="Q1183" s="8"/>
      <c r="R1183" s="16"/>
      <c r="S1183" s="16"/>
      <c r="T1183" s="19"/>
      <c r="U1183" s="16"/>
      <c r="V1183" s="19"/>
      <c r="W1183" s="160"/>
      <c r="X1183" s="160"/>
      <c r="Y1183" s="160"/>
      <c r="Z1183" s="160"/>
      <c r="AA1183" s="160"/>
      <c r="AB1183" s="10"/>
      <c r="AD1183" s="160"/>
    </row>
    <row r="1184" spans="4:30" x14ac:dyDescent="0.2">
      <c r="D1184" s="8"/>
      <c r="E1184" s="6"/>
      <c r="G1184" s="10"/>
      <c r="J1184" s="142"/>
      <c r="K1184" s="15"/>
      <c r="L1184" s="15"/>
      <c r="M1184" s="15"/>
      <c r="N1184" s="16"/>
      <c r="O1184" s="8"/>
      <c r="P1184" s="8"/>
      <c r="Q1184" s="8"/>
      <c r="R1184" s="16"/>
      <c r="S1184" s="16"/>
      <c r="T1184" s="19"/>
      <c r="U1184" s="16"/>
      <c r="V1184" s="19"/>
      <c r="W1184" s="160"/>
      <c r="X1184" s="160"/>
      <c r="Y1184" s="160"/>
      <c r="Z1184" s="160"/>
      <c r="AA1184" s="160"/>
      <c r="AB1184" s="10"/>
      <c r="AD1184" s="160"/>
    </row>
    <row r="1185" spans="4:30" x14ac:dyDescent="0.2">
      <c r="D1185" s="8"/>
      <c r="E1185" s="6"/>
      <c r="G1185" s="10"/>
      <c r="J1185" s="142"/>
      <c r="K1185" s="15"/>
      <c r="L1185" s="15"/>
      <c r="M1185" s="15"/>
      <c r="N1185" s="16"/>
      <c r="O1185" s="8"/>
      <c r="P1185" s="8"/>
      <c r="Q1185" s="8"/>
      <c r="R1185" s="16"/>
      <c r="S1185" s="16"/>
      <c r="T1185" s="19"/>
      <c r="U1185" s="16"/>
      <c r="V1185" s="19"/>
      <c r="W1185" s="160"/>
      <c r="X1185" s="160"/>
      <c r="Y1185" s="160"/>
      <c r="Z1185" s="160"/>
      <c r="AA1185" s="160"/>
      <c r="AB1185" s="10"/>
      <c r="AD1185" s="160"/>
    </row>
    <row r="1186" spans="4:30" x14ac:dyDescent="0.2">
      <c r="D1186" s="8"/>
      <c r="E1186" s="6"/>
      <c r="G1186" s="10"/>
      <c r="J1186" s="142"/>
      <c r="K1186" s="15"/>
      <c r="L1186" s="15"/>
      <c r="M1186" s="15"/>
      <c r="N1186" s="16"/>
      <c r="O1186" s="8"/>
      <c r="P1186" s="8"/>
      <c r="Q1186" s="8"/>
      <c r="R1186" s="16"/>
      <c r="S1186" s="16"/>
      <c r="T1186" s="19"/>
      <c r="U1186" s="16"/>
      <c r="V1186" s="19"/>
      <c r="W1186" s="160"/>
      <c r="X1186" s="160"/>
      <c r="Y1186" s="160"/>
      <c r="Z1186" s="160"/>
      <c r="AA1186" s="160"/>
      <c r="AB1186" s="10"/>
      <c r="AD1186" s="160"/>
    </row>
    <row r="1187" spans="4:30" x14ac:dyDescent="0.2">
      <c r="D1187" s="8"/>
      <c r="E1187" s="6"/>
      <c r="G1187" s="10"/>
      <c r="J1187" s="142"/>
      <c r="K1187" s="15"/>
      <c r="L1187" s="15"/>
      <c r="M1187" s="15"/>
      <c r="N1187" s="16"/>
      <c r="O1187" s="8"/>
      <c r="P1187" s="8"/>
      <c r="Q1187" s="8"/>
      <c r="R1187" s="16"/>
      <c r="S1187" s="16"/>
      <c r="T1187" s="19"/>
      <c r="U1187" s="16"/>
      <c r="V1187" s="19"/>
      <c r="W1187" s="160"/>
      <c r="X1187" s="160"/>
      <c r="Y1187" s="160"/>
      <c r="Z1187" s="160"/>
      <c r="AA1187" s="160"/>
      <c r="AB1187" s="10"/>
      <c r="AD1187" s="160"/>
    </row>
    <row r="1188" spans="4:30" x14ac:dyDescent="0.2">
      <c r="D1188" s="8"/>
      <c r="E1188" s="6"/>
      <c r="G1188" s="10"/>
      <c r="J1188" s="142"/>
      <c r="K1188" s="15"/>
      <c r="L1188" s="15"/>
      <c r="M1188" s="15"/>
      <c r="N1188" s="16"/>
      <c r="O1188" s="8"/>
      <c r="P1188" s="8"/>
      <c r="Q1188" s="8"/>
      <c r="R1188" s="16"/>
      <c r="S1188" s="16"/>
      <c r="T1188" s="19"/>
      <c r="U1188" s="16"/>
      <c r="V1188" s="19"/>
      <c r="W1188" s="160"/>
      <c r="X1188" s="160"/>
      <c r="Y1188" s="160"/>
      <c r="Z1188" s="160"/>
      <c r="AA1188" s="160"/>
      <c r="AB1188" s="10"/>
      <c r="AD1188" s="160"/>
    </row>
    <row r="1189" spans="4:30" x14ac:dyDescent="0.2">
      <c r="D1189" s="8"/>
      <c r="E1189" s="6"/>
      <c r="G1189" s="10"/>
      <c r="J1189" s="142"/>
      <c r="K1189" s="15"/>
      <c r="L1189" s="15"/>
      <c r="M1189" s="15"/>
      <c r="N1189" s="16"/>
      <c r="O1189" s="8"/>
      <c r="P1189" s="8"/>
      <c r="Q1189" s="8"/>
      <c r="R1189" s="16"/>
      <c r="S1189" s="16"/>
      <c r="T1189" s="19"/>
      <c r="U1189" s="16"/>
      <c r="V1189" s="19"/>
      <c r="W1189" s="160"/>
      <c r="X1189" s="160"/>
      <c r="Y1189" s="160"/>
      <c r="Z1189" s="160"/>
      <c r="AA1189" s="160"/>
      <c r="AB1189" s="10"/>
      <c r="AD1189" s="160"/>
    </row>
    <row r="1190" spans="4:30" x14ac:dyDescent="0.2">
      <c r="D1190" s="8"/>
      <c r="E1190" s="6"/>
      <c r="G1190" s="10"/>
      <c r="J1190" s="142"/>
      <c r="K1190" s="15"/>
      <c r="L1190" s="15"/>
      <c r="M1190" s="15"/>
      <c r="N1190" s="16"/>
      <c r="O1190" s="8"/>
      <c r="P1190" s="8"/>
      <c r="Q1190" s="8"/>
      <c r="R1190" s="16"/>
      <c r="S1190" s="16"/>
      <c r="T1190" s="19"/>
      <c r="U1190" s="16"/>
      <c r="V1190" s="19"/>
      <c r="W1190" s="160"/>
      <c r="X1190" s="160"/>
      <c r="Y1190" s="160"/>
      <c r="Z1190" s="160"/>
      <c r="AA1190" s="160"/>
      <c r="AB1190" s="10"/>
      <c r="AD1190" s="160"/>
    </row>
    <row r="1191" spans="4:30" x14ac:dyDescent="0.2">
      <c r="D1191" s="8"/>
      <c r="E1191" s="6"/>
      <c r="G1191" s="10"/>
      <c r="J1191" s="142"/>
      <c r="K1191" s="15"/>
      <c r="L1191" s="15"/>
      <c r="M1191" s="15"/>
      <c r="N1191" s="16"/>
      <c r="O1191" s="8"/>
      <c r="P1191" s="8"/>
      <c r="Q1191" s="8"/>
      <c r="R1191" s="16"/>
      <c r="S1191" s="16"/>
      <c r="T1191" s="19"/>
      <c r="U1191" s="16"/>
      <c r="V1191" s="19"/>
      <c r="W1191" s="160"/>
      <c r="X1191" s="160"/>
      <c r="Y1191" s="160"/>
      <c r="Z1191" s="160"/>
      <c r="AA1191" s="160"/>
      <c r="AB1191" s="10"/>
      <c r="AD1191" s="160"/>
    </row>
    <row r="1192" spans="4:30" x14ac:dyDescent="0.2">
      <c r="D1192" s="8"/>
      <c r="E1192" s="6"/>
      <c r="G1192" s="10"/>
      <c r="J1192" s="142"/>
      <c r="K1192" s="15"/>
      <c r="L1192" s="15"/>
      <c r="M1192" s="15"/>
      <c r="N1192" s="16"/>
      <c r="O1192" s="8"/>
      <c r="P1192" s="8"/>
      <c r="Q1192" s="8"/>
      <c r="R1192" s="16"/>
      <c r="S1192" s="16"/>
      <c r="T1192" s="19"/>
      <c r="U1192" s="16"/>
      <c r="V1192" s="19"/>
      <c r="W1192" s="160"/>
      <c r="X1192" s="160"/>
      <c r="Y1192" s="160"/>
      <c r="Z1192" s="160"/>
      <c r="AA1192" s="160"/>
      <c r="AB1192" s="10"/>
      <c r="AD1192" s="160"/>
    </row>
    <row r="1193" spans="4:30" x14ac:dyDescent="0.2">
      <c r="D1193" s="8"/>
      <c r="E1193" s="6"/>
      <c r="G1193" s="10"/>
      <c r="J1193" s="142"/>
      <c r="K1193" s="15"/>
      <c r="L1193" s="15"/>
      <c r="M1193" s="15"/>
      <c r="N1193" s="16"/>
      <c r="O1193" s="8"/>
      <c r="P1193" s="8"/>
      <c r="Q1193" s="8"/>
      <c r="R1193" s="16"/>
      <c r="S1193" s="16"/>
      <c r="T1193" s="19"/>
      <c r="U1193" s="16"/>
      <c r="V1193" s="19"/>
      <c r="W1193" s="160"/>
      <c r="X1193" s="160"/>
      <c r="Y1193" s="160"/>
      <c r="Z1193" s="160"/>
      <c r="AA1193" s="160"/>
      <c r="AB1193" s="10"/>
      <c r="AD1193" s="160"/>
    </row>
    <row r="1194" spans="4:30" x14ac:dyDescent="0.2">
      <c r="D1194" s="8"/>
      <c r="E1194" s="6"/>
      <c r="G1194" s="10"/>
      <c r="J1194" s="142"/>
      <c r="K1194" s="15"/>
      <c r="L1194" s="15"/>
      <c r="M1194" s="15"/>
      <c r="N1194" s="16"/>
      <c r="O1194" s="8"/>
      <c r="P1194" s="8"/>
      <c r="Q1194" s="8"/>
      <c r="R1194" s="16"/>
      <c r="S1194" s="16"/>
      <c r="T1194" s="19"/>
      <c r="U1194" s="16"/>
      <c r="V1194" s="19"/>
      <c r="W1194" s="160"/>
      <c r="X1194" s="160"/>
      <c r="Y1194" s="160"/>
      <c r="Z1194" s="160"/>
      <c r="AA1194" s="160"/>
      <c r="AB1194" s="10"/>
      <c r="AD1194" s="160"/>
    </row>
    <row r="1195" spans="4:30" x14ac:dyDescent="0.2">
      <c r="D1195" s="8"/>
      <c r="E1195" s="6"/>
      <c r="G1195" s="10"/>
      <c r="J1195" s="142"/>
      <c r="K1195" s="15"/>
      <c r="L1195" s="15"/>
      <c r="M1195" s="15"/>
      <c r="N1195" s="16"/>
      <c r="O1195" s="8"/>
      <c r="P1195" s="8"/>
      <c r="Q1195" s="8"/>
      <c r="R1195" s="16"/>
      <c r="S1195" s="16"/>
      <c r="T1195" s="19"/>
      <c r="U1195" s="16"/>
      <c r="V1195" s="19"/>
      <c r="W1195" s="160"/>
      <c r="X1195" s="160"/>
      <c r="Y1195" s="160"/>
      <c r="Z1195" s="160"/>
      <c r="AA1195" s="160"/>
      <c r="AB1195" s="10"/>
      <c r="AD1195" s="160"/>
    </row>
    <row r="1196" spans="4:30" x14ac:dyDescent="0.2">
      <c r="D1196" s="8"/>
      <c r="E1196" s="6"/>
      <c r="G1196" s="10"/>
      <c r="J1196" s="142"/>
      <c r="K1196" s="15"/>
      <c r="L1196" s="15"/>
      <c r="M1196" s="15"/>
      <c r="N1196" s="16"/>
      <c r="O1196" s="8"/>
      <c r="P1196" s="8"/>
      <c r="Q1196" s="8"/>
      <c r="R1196" s="16"/>
      <c r="S1196" s="16"/>
      <c r="T1196" s="19"/>
      <c r="U1196" s="16"/>
      <c r="V1196" s="19"/>
      <c r="W1196" s="160"/>
      <c r="X1196" s="160"/>
      <c r="Y1196" s="160"/>
      <c r="Z1196" s="160"/>
      <c r="AA1196" s="160"/>
      <c r="AB1196" s="10"/>
      <c r="AD1196" s="160"/>
    </row>
    <row r="1197" spans="4:30" x14ac:dyDescent="0.2">
      <c r="D1197" s="8"/>
      <c r="E1197" s="6"/>
      <c r="G1197" s="10"/>
      <c r="J1197" s="142"/>
      <c r="K1197" s="15"/>
      <c r="L1197" s="15"/>
      <c r="M1197" s="15"/>
      <c r="N1197" s="16"/>
      <c r="O1197" s="8"/>
      <c r="P1197" s="8"/>
      <c r="Q1197" s="8"/>
      <c r="R1197" s="16"/>
      <c r="S1197" s="16"/>
      <c r="T1197" s="19"/>
      <c r="U1197" s="16"/>
      <c r="V1197" s="19"/>
      <c r="W1197" s="160"/>
      <c r="X1197" s="160"/>
      <c r="Y1197" s="160"/>
      <c r="Z1197" s="160"/>
      <c r="AA1197" s="160"/>
      <c r="AB1197" s="10"/>
      <c r="AD1197" s="160"/>
    </row>
    <row r="1198" spans="4:30" x14ac:dyDescent="0.2">
      <c r="D1198" s="8"/>
      <c r="E1198" s="6"/>
      <c r="G1198" s="10"/>
      <c r="J1198" s="142"/>
      <c r="K1198" s="15"/>
      <c r="L1198" s="15"/>
      <c r="M1198" s="15"/>
      <c r="N1198" s="16"/>
      <c r="O1198" s="8"/>
      <c r="P1198" s="8"/>
      <c r="Q1198" s="8"/>
      <c r="R1198" s="16"/>
      <c r="S1198" s="16"/>
      <c r="T1198" s="19"/>
      <c r="U1198" s="16"/>
      <c r="V1198" s="19"/>
      <c r="W1198" s="160"/>
      <c r="X1198" s="160"/>
      <c r="Y1198" s="160"/>
      <c r="Z1198" s="160"/>
      <c r="AA1198" s="160"/>
      <c r="AB1198" s="10"/>
      <c r="AD1198" s="160"/>
    </row>
    <row r="1199" spans="4:30" x14ac:dyDescent="0.2">
      <c r="D1199" s="8"/>
      <c r="E1199" s="6"/>
      <c r="G1199" s="10"/>
      <c r="J1199" s="142"/>
      <c r="K1199" s="15"/>
      <c r="L1199" s="15"/>
      <c r="M1199" s="15"/>
      <c r="N1199" s="16"/>
      <c r="O1199" s="8"/>
      <c r="P1199" s="8"/>
      <c r="Q1199" s="8"/>
      <c r="R1199" s="16"/>
      <c r="S1199" s="16"/>
      <c r="T1199" s="19"/>
      <c r="U1199" s="16"/>
      <c r="V1199" s="19"/>
      <c r="W1199" s="160"/>
      <c r="X1199" s="160"/>
      <c r="Y1199" s="160"/>
      <c r="Z1199" s="160"/>
      <c r="AA1199" s="160"/>
      <c r="AB1199" s="10"/>
      <c r="AD1199" s="160"/>
    </row>
    <row r="1200" spans="4:30" x14ac:dyDescent="0.2">
      <c r="D1200" s="8"/>
      <c r="E1200" s="6"/>
      <c r="G1200" s="10"/>
      <c r="J1200" s="142"/>
      <c r="K1200" s="15"/>
      <c r="L1200" s="15"/>
      <c r="M1200" s="15"/>
      <c r="N1200" s="16"/>
      <c r="O1200" s="8"/>
      <c r="P1200" s="8"/>
      <c r="Q1200" s="8"/>
      <c r="R1200" s="16"/>
      <c r="S1200" s="16"/>
      <c r="T1200" s="19"/>
      <c r="U1200" s="16"/>
      <c r="V1200" s="19"/>
      <c r="W1200" s="160"/>
      <c r="X1200" s="160"/>
      <c r="Y1200" s="160"/>
      <c r="Z1200" s="160"/>
      <c r="AA1200" s="160"/>
      <c r="AB1200" s="10"/>
      <c r="AD1200" s="160"/>
    </row>
    <row r="1201" spans="4:30" x14ac:dyDescent="0.2">
      <c r="D1201" s="8"/>
      <c r="E1201" s="6"/>
      <c r="G1201" s="10"/>
      <c r="J1201" s="142"/>
      <c r="K1201" s="15"/>
      <c r="L1201" s="15"/>
      <c r="M1201" s="15"/>
      <c r="N1201" s="16"/>
      <c r="O1201" s="8"/>
      <c r="P1201" s="8"/>
      <c r="Q1201" s="8"/>
      <c r="R1201" s="16"/>
      <c r="S1201" s="16"/>
      <c r="T1201" s="19"/>
      <c r="U1201" s="16"/>
      <c r="V1201" s="19"/>
      <c r="W1201" s="160"/>
      <c r="X1201" s="160"/>
      <c r="Y1201" s="160"/>
      <c r="Z1201" s="160"/>
      <c r="AA1201" s="160"/>
      <c r="AB1201" s="10"/>
      <c r="AD1201" s="160"/>
    </row>
    <row r="1202" spans="4:30" x14ac:dyDescent="0.2">
      <c r="D1202" s="8"/>
      <c r="E1202" s="6"/>
      <c r="G1202" s="10"/>
      <c r="J1202" s="142"/>
      <c r="K1202" s="15"/>
      <c r="L1202" s="15"/>
      <c r="M1202" s="15"/>
      <c r="N1202" s="16"/>
      <c r="O1202" s="8"/>
      <c r="P1202" s="8"/>
      <c r="Q1202" s="8"/>
      <c r="R1202" s="16"/>
      <c r="S1202" s="16"/>
      <c r="T1202" s="19"/>
      <c r="U1202" s="16"/>
      <c r="V1202" s="19"/>
      <c r="W1202" s="160"/>
      <c r="X1202" s="160"/>
      <c r="Y1202" s="160"/>
      <c r="Z1202" s="160"/>
      <c r="AA1202" s="160"/>
      <c r="AB1202" s="10"/>
      <c r="AD1202" s="160"/>
    </row>
    <row r="1203" spans="4:30" x14ac:dyDescent="0.2">
      <c r="D1203" s="8"/>
      <c r="E1203" s="6"/>
      <c r="G1203" s="10"/>
      <c r="J1203" s="142"/>
      <c r="K1203" s="15"/>
      <c r="L1203" s="15"/>
      <c r="M1203" s="15"/>
      <c r="N1203" s="16"/>
      <c r="O1203" s="8"/>
      <c r="P1203" s="8"/>
      <c r="Q1203" s="8"/>
      <c r="R1203" s="16"/>
      <c r="S1203" s="16"/>
      <c r="T1203" s="19"/>
      <c r="U1203" s="16"/>
      <c r="V1203" s="19"/>
      <c r="W1203" s="160"/>
      <c r="X1203" s="160"/>
      <c r="Y1203" s="160"/>
      <c r="Z1203" s="160"/>
      <c r="AA1203" s="160"/>
      <c r="AB1203" s="10"/>
      <c r="AD1203" s="160"/>
    </row>
    <row r="1204" spans="4:30" x14ac:dyDescent="0.2">
      <c r="D1204" s="8"/>
      <c r="E1204" s="6"/>
      <c r="G1204" s="10"/>
      <c r="J1204" s="142"/>
      <c r="K1204" s="15"/>
      <c r="L1204" s="15"/>
      <c r="M1204" s="15"/>
      <c r="N1204" s="16"/>
      <c r="O1204" s="8"/>
      <c r="P1204" s="8"/>
      <c r="Q1204" s="8"/>
      <c r="R1204" s="16"/>
      <c r="S1204" s="16"/>
      <c r="T1204" s="19"/>
      <c r="U1204" s="16"/>
      <c r="V1204" s="19"/>
      <c r="W1204" s="160"/>
      <c r="X1204" s="160"/>
      <c r="Y1204" s="160"/>
      <c r="Z1204" s="160"/>
      <c r="AA1204" s="160"/>
      <c r="AB1204" s="10"/>
      <c r="AD1204" s="160"/>
    </row>
    <row r="1205" spans="4:30" x14ac:dyDescent="0.2">
      <c r="D1205" s="8"/>
      <c r="E1205" s="6"/>
      <c r="G1205" s="10"/>
      <c r="J1205" s="142"/>
      <c r="K1205" s="15"/>
      <c r="L1205" s="15"/>
      <c r="M1205" s="15"/>
      <c r="N1205" s="16"/>
      <c r="O1205" s="8"/>
      <c r="P1205" s="8"/>
      <c r="Q1205" s="8"/>
      <c r="R1205" s="16"/>
      <c r="S1205" s="16"/>
      <c r="T1205" s="19"/>
      <c r="U1205" s="16"/>
      <c r="V1205" s="19"/>
      <c r="W1205" s="160"/>
      <c r="X1205" s="160"/>
      <c r="Y1205" s="160"/>
      <c r="Z1205" s="160"/>
      <c r="AA1205" s="160"/>
      <c r="AB1205" s="10"/>
      <c r="AD1205" s="160"/>
    </row>
    <row r="1206" spans="4:30" x14ac:dyDescent="0.2">
      <c r="D1206" s="8"/>
      <c r="E1206" s="6"/>
      <c r="G1206" s="10"/>
      <c r="J1206" s="142"/>
      <c r="K1206" s="15"/>
      <c r="L1206" s="15"/>
      <c r="M1206" s="15"/>
      <c r="N1206" s="16"/>
      <c r="O1206" s="8"/>
      <c r="P1206" s="8"/>
      <c r="Q1206" s="8"/>
      <c r="R1206" s="16"/>
      <c r="S1206" s="16"/>
      <c r="T1206" s="19"/>
      <c r="U1206" s="16"/>
      <c r="V1206" s="19"/>
      <c r="W1206" s="160"/>
      <c r="X1206" s="160"/>
      <c r="Y1206" s="160"/>
      <c r="Z1206" s="160"/>
      <c r="AA1206" s="160"/>
      <c r="AB1206" s="10"/>
      <c r="AD1206" s="160"/>
    </row>
    <row r="1207" spans="4:30" x14ac:dyDescent="0.2">
      <c r="D1207" s="8"/>
      <c r="E1207" s="6"/>
      <c r="G1207" s="10"/>
      <c r="J1207" s="142"/>
      <c r="K1207" s="15"/>
      <c r="L1207" s="15"/>
      <c r="M1207" s="15"/>
      <c r="N1207" s="16"/>
      <c r="O1207" s="8"/>
      <c r="P1207" s="8"/>
      <c r="Q1207" s="8"/>
      <c r="R1207" s="16"/>
      <c r="S1207" s="16"/>
      <c r="T1207" s="19"/>
      <c r="U1207" s="16"/>
      <c r="V1207" s="19"/>
      <c r="W1207" s="160"/>
      <c r="X1207" s="160"/>
      <c r="Y1207" s="160"/>
      <c r="Z1207" s="160"/>
      <c r="AA1207" s="160"/>
      <c r="AB1207" s="10"/>
      <c r="AD1207" s="160"/>
    </row>
    <row r="1208" spans="4:30" x14ac:dyDescent="0.2">
      <c r="D1208" s="8"/>
      <c r="E1208" s="6"/>
      <c r="G1208" s="10"/>
      <c r="J1208" s="142"/>
      <c r="K1208" s="15"/>
      <c r="L1208" s="15"/>
      <c r="M1208" s="15"/>
      <c r="N1208" s="16"/>
      <c r="O1208" s="8"/>
      <c r="P1208" s="8"/>
      <c r="Q1208" s="8"/>
      <c r="R1208" s="16"/>
      <c r="S1208" s="16"/>
      <c r="T1208" s="19"/>
      <c r="U1208" s="16"/>
      <c r="V1208" s="19"/>
      <c r="W1208" s="160"/>
      <c r="X1208" s="160"/>
      <c r="Y1208" s="160"/>
      <c r="Z1208" s="160"/>
      <c r="AA1208" s="160"/>
      <c r="AB1208" s="10"/>
      <c r="AD1208" s="160"/>
    </row>
    <row r="1209" spans="4:30" x14ac:dyDescent="0.2">
      <c r="D1209" s="8"/>
      <c r="E1209" s="6"/>
      <c r="G1209" s="10"/>
      <c r="J1209" s="142"/>
      <c r="K1209" s="15"/>
      <c r="L1209" s="15"/>
      <c r="M1209" s="15"/>
      <c r="N1209" s="16"/>
      <c r="O1209" s="8"/>
      <c r="P1209" s="8"/>
      <c r="Q1209" s="8"/>
      <c r="R1209" s="16"/>
      <c r="S1209" s="16"/>
      <c r="T1209" s="19"/>
      <c r="U1209" s="16"/>
      <c r="V1209" s="19"/>
      <c r="W1209" s="160"/>
      <c r="X1209" s="160"/>
      <c r="Y1209" s="160"/>
      <c r="Z1209" s="160"/>
      <c r="AA1209" s="160"/>
      <c r="AB1209" s="10"/>
      <c r="AD1209" s="160"/>
    </row>
    <row r="1210" spans="4:30" x14ac:dyDescent="0.2">
      <c r="D1210" s="8"/>
      <c r="E1210" s="6"/>
      <c r="G1210" s="10"/>
      <c r="J1210" s="142"/>
      <c r="K1210" s="15"/>
      <c r="L1210" s="15"/>
      <c r="M1210" s="15"/>
      <c r="N1210" s="16"/>
      <c r="O1210" s="8"/>
      <c r="P1210" s="8"/>
      <c r="Q1210" s="8"/>
      <c r="R1210" s="16"/>
      <c r="S1210" s="16"/>
      <c r="T1210" s="19"/>
      <c r="U1210" s="16"/>
      <c r="V1210" s="19"/>
      <c r="W1210" s="160"/>
      <c r="X1210" s="160"/>
      <c r="Y1210" s="160"/>
      <c r="Z1210" s="160"/>
      <c r="AA1210" s="160"/>
      <c r="AB1210" s="10"/>
      <c r="AD1210" s="160"/>
    </row>
    <row r="1211" spans="4:30" x14ac:dyDescent="0.2">
      <c r="D1211" s="8"/>
      <c r="E1211" s="6"/>
      <c r="G1211" s="10"/>
      <c r="J1211" s="142"/>
      <c r="K1211" s="15"/>
      <c r="L1211" s="15"/>
      <c r="M1211" s="15"/>
      <c r="N1211" s="16"/>
      <c r="O1211" s="8"/>
      <c r="P1211" s="8"/>
      <c r="Q1211" s="8"/>
      <c r="R1211" s="16"/>
      <c r="S1211" s="16"/>
      <c r="T1211" s="19"/>
      <c r="U1211" s="16"/>
      <c r="V1211" s="19"/>
      <c r="W1211" s="160"/>
      <c r="X1211" s="160"/>
      <c r="Y1211" s="160"/>
      <c r="Z1211" s="160"/>
      <c r="AA1211" s="160"/>
      <c r="AB1211" s="10"/>
      <c r="AD1211" s="160"/>
    </row>
    <row r="1212" spans="4:30" x14ac:dyDescent="0.2">
      <c r="D1212" s="8"/>
      <c r="E1212" s="6"/>
      <c r="G1212" s="10"/>
      <c r="J1212" s="142"/>
      <c r="K1212" s="15"/>
      <c r="L1212" s="15"/>
      <c r="M1212" s="15"/>
      <c r="N1212" s="16"/>
      <c r="O1212" s="8"/>
      <c r="P1212" s="8"/>
      <c r="Q1212" s="8"/>
      <c r="R1212" s="16"/>
      <c r="S1212" s="16"/>
      <c r="T1212" s="19"/>
      <c r="U1212" s="16"/>
      <c r="V1212" s="19"/>
      <c r="W1212" s="160"/>
      <c r="X1212" s="160"/>
      <c r="Y1212" s="160"/>
      <c r="Z1212" s="160"/>
      <c r="AA1212" s="160"/>
      <c r="AB1212" s="10"/>
      <c r="AD1212" s="160"/>
    </row>
    <row r="1213" spans="4:30" x14ac:dyDescent="0.2">
      <c r="D1213" s="8"/>
      <c r="E1213" s="6"/>
      <c r="G1213" s="10"/>
      <c r="J1213" s="142"/>
      <c r="K1213" s="15"/>
      <c r="L1213" s="15"/>
      <c r="M1213" s="15"/>
      <c r="N1213" s="16"/>
      <c r="O1213" s="8"/>
      <c r="P1213" s="8"/>
      <c r="Q1213" s="8"/>
      <c r="R1213" s="16"/>
      <c r="S1213" s="16"/>
      <c r="T1213" s="19"/>
      <c r="U1213" s="16"/>
      <c r="V1213" s="19"/>
      <c r="W1213" s="160"/>
      <c r="X1213" s="160"/>
      <c r="Y1213" s="160"/>
      <c r="Z1213" s="160"/>
      <c r="AA1213" s="160"/>
      <c r="AB1213" s="10"/>
      <c r="AD1213" s="160"/>
    </row>
    <row r="1214" spans="4:30" x14ac:dyDescent="0.2">
      <c r="D1214" s="8"/>
      <c r="E1214" s="6"/>
      <c r="G1214" s="10"/>
      <c r="J1214" s="142"/>
      <c r="K1214" s="15"/>
      <c r="L1214" s="15"/>
      <c r="M1214" s="15"/>
      <c r="N1214" s="16"/>
      <c r="O1214" s="8"/>
      <c r="P1214" s="8"/>
      <c r="Q1214" s="8"/>
      <c r="R1214" s="16"/>
      <c r="S1214" s="16"/>
      <c r="T1214" s="19"/>
      <c r="U1214" s="16"/>
      <c r="V1214" s="19"/>
      <c r="W1214" s="160"/>
      <c r="X1214" s="160"/>
      <c r="Y1214" s="160"/>
      <c r="Z1214" s="160"/>
      <c r="AA1214" s="160"/>
      <c r="AB1214" s="10"/>
      <c r="AD1214" s="160"/>
    </row>
    <row r="1215" spans="4:30" x14ac:dyDescent="0.2">
      <c r="D1215" s="8"/>
      <c r="E1215" s="6"/>
      <c r="G1215" s="10"/>
      <c r="J1215" s="142"/>
      <c r="K1215" s="15"/>
      <c r="L1215" s="15"/>
      <c r="M1215" s="15"/>
      <c r="N1215" s="16"/>
      <c r="O1215" s="8"/>
      <c r="P1215" s="8"/>
      <c r="Q1215" s="8"/>
      <c r="R1215" s="16"/>
      <c r="S1215" s="16"/>
      <c r="T1215" s="19"/>
      <c r="U1215" s="16"/>
      <c r="V1215" s="19"/>
      <c r="W1215" s="160"/>
      <c r="X1215" s="160"/>
      <c r="Y1215" s="160"/>
      <c r="Z1215" s="160"/>
      <c r="AA1215" s="160"/>
      <c r="AB1215" s="10"/>
      <c r="AD1215" s="160"/>
    </row>
    <row r="1216" spans="4:30" x14ac:dyDescent="0.2">
      <c r="D1216" s="8"/>
      <c r="E1216" s="6"/>
      <c r="G1216" s="10"/>
      <c r="J1216" s="142"/>
      <c r="K1216" s="15"/>
      <c r="L1216" s="15"/>
      <c r="M1216" s="15"/>
      <c r="N1216" s="16"/>
      <c r="O1216" s="8"/>
      <c r="P1216" s="8"/>
      <c r="Q1216" s="8"/>
      <c r="R1216" s="16"/>
      <c r="S1216" s="16"/>
      <c r="T1216" s="19"/>
      <c r="U1216" s="16"/>
      <c r="V1216" s="19"/>
      <c r="W1216" s="160"/>
      <c r="X1216" s="160"/>
      <c r="Y1216" s="160"/>
      <c r="Z1216" s="160"/>
      <c r="AA1216" s="160"/>
      <c r="AB1216" s="10"/>
      <c r="AD1216" s="160"/>
    </row>
    <row r="1217" spans="4:30" x14ac:dyDescent="0.2">
      <c r="D1217" s="8"/>
      <c r="E1217" s="6"/>
      <c r="G1217" s="10"/>
      <c r="J1217" s="142"/>
      <c r="K1217" s="15"/>
      <c r="L1217" s="15"/>
      <c r="M1217" s="15"/>
      <c r="N1217" s="16"/>
      <c r="O1217" s="8"/>
      <c r="P1217" s="8"/>
      <c r="Q1217" s="8"/>
      <c r="R1217" s="16"/>
      <c r="S1217" s="16"/>
      <c r="T1217" s="19"/>
      <c r="U1217" s="16"/>
      <c r="V1217" s="19"/>
      <c r="W1217" s="160"/>
      <c r="X1217" s="160"/>
      <c r="Y1217" s="160"/>
      <c r="Z1217" s="160"/>
      <c r="AA1217" s="160"/>
      <c r="AB1217" s="10"/>
      <c r="AD1217" s="160"/>
    </row>
    <row r="1218" spans="4:30" x14ac:dyDescent="0.2">
      <c r="D1218" s="8"/>
      <c r="E1218" s="6"/>
      <c r="G1218" s="10"/>
      <c r="J1218" s="142"/>
      <c r="K1218" s="15"/>
      <c r="L1218" s="15"/>
      <c r="M1218" s="15"/>
      <c r="N1218" s="16"/>
      <c r="O1218" s="8"/>
      <c r="P1218" s="8"/>
      <c r="Q1218" s="8"/>
      <c r="R1218" s="16"/>
      <c r="S1218" s="16"/>
      <c r="T1218" s="19"/>
      <c r="U1218" s="16"/>
      <c r="V1218" s="19"/>
      <c r="W1218" s="160"/>
      <c r="X1218" s="160"/>
      <c r="Y1218" s="160"/>
      <c r="Z1218" s="160"/>
      <c r="AA1218" s="160"/>
      <c r="AB1218" s="10"/>
      <c r="AD1218" s="160"/>
    </row>
    <row r="1219" spans="4:30" x14ac:dyDescent="0.2">
      <c r="D1219" s="8"/>
      <c r="E1219" s="6"/>
      <c r="G1219" s="10"/>
      <c r="J1219" s="142"/>
      <c r="K1219" s="15"/>
      <c r="L1219" s="15"/>
      <c r="M1219" s="15"/>
      <c r="N1219" s="16"/>
      <c r="O1219" s="8"/>
      <c r="P1219" s="8"/>
      <c r="Q1219" s="8"/>
      <c r="R1219" s="16"/>
      <c r="S1219" s="16"/>
      <c r="T1219" s="19"/>
      <c r="U1219" s="16"/>
      <c r="V1219" s="19"/>
      <c r="W1219" s="160"/>
      <c r="X1219" s="160"/>
      <c r="Y1219" s="160"/>
      <c r="Z1219" s="160"/>
      <c r="AA1219" s="160"/>
      <c r="AB1219" s="10"/>
      <c r="AD1219" s="160"/>
    </row>
    <row r="1220" spans="4:30" x14ac:dyDescent="0.2">
      <c r="D1220" s="8"/>
      <c r="E1220" s="6"/>
      <c r="G1220" s="10"/>
      <c r="J1220" s="142"/>
      <c r="K1220" s="15"/>
      <c r="L1220" s="15"/>
      <c r="M1220" s="15"/>
      <c r="N1220" s="16"/>
      <c r="O1220" s="8"/>
      <c r="P1220" s="8"/>
      <c r="Q1220" s="8"/>
      <c r="R1220" s="16"/>
      <c r="S1220" s="16"/>
      <c r="T1220" s="19"/>
      <c r="U1220" s="16"/>
      <c r="V1220" s="19"/>
      <c r="W1220" s="160"/>
      <c r="X1220" s="160"/>
      <c r="Y1220" s="160"/>
      <c r="Z1220" s="160"/>
      <c r="AA1220" s="160"/>
      <c r="AB1220" s="10"/>
      <c r="AD1220" s="160"/>
    </row>
    <row r="1221" spans="4:30" x14ac:dyDescent="0.2">
      <c r="D1221" s="8"/>
      <c r="E1221" s="6"/>
      <c r="G1221" s="10"/>
      <c r="J1221" s="142"/>
      <c r="K1221" s="15"/>
      <c r="L1221" s="15"/>
      <c r="M1221" s="15"/>
      <c r="N1221" s="16"/>
      <c r="O1221" s="8"/>
      <c r="P1221" s="8"/>
      <c r="Q1221" s="8"/>
      <c r="R1221" s="16"/>
      <c r="S1221" s="16"/>
      <c r="T1221" s="19"/>
      <c r="U1221" s="16"/>
      <c r="V1221" s="19"/>
      <c r="W1221" s="160"/>
      <c r="X1221" s="160"/>
      <c r="Y1221" s="160"/>
      <c r="Z1221" s="160"/>
      <c r="AA1221" s="160"/>
      <c r="AB1221" s="10"/>
      <c r="AD1221" s="160"/>
    </row>
    <row r="1222" spans="4:30" x14ac:dyDescent="0.2">
      <c r="D1222" s="8"/>
      <c r="E1222" s="6"/>
      <c r="G1222" s="10"/>
      <c r="J1222" s="142"/>
      <c r="K1222" s="15"/>
      <c r="L1222" s="15"/>
      <c r="M1222" s="15"/>
      <c r="N1222" s="16"/>
      <c r="O1222" s="8"/>
      <c r="P1222" s="8"/>
      <c r="Q1222" s="8"/>
      <c r="R1222" s="16"/>
      <c r="S1222" s="16"/>
      <c r="T1222" s="19"/>
      <c r="U1222" s="16"/>
      <c r="V1222" s="19"/>
      <c r="W1222" s="160"/>
      <c r="X1222" s="160"/>
      <c r="Y1222" s="160"/>
      <c r="Z1222" s="160"/>
      <c r="AA1222" s="160"/>
      <c r="AB1222" s="10"/>
      <c r="AD1222" s="160"/>
    </row>
    <row r="1223" spans="4:30" x14ac:dyDescent="0.2">
      <c r="D1223" s="8"/>
      <c r="E1223" s="6"/>
      <c r="G1223" s="10"/>
      <c r="J1223" s="142"/>
      <c r="K1223" s="15"/>
      <c r="L1223" s="15"/>
      <c r="M1223" s="15"/>
      <c r="N1223" s="16"/>
      <c r="O1223" s="8"/>
      <c r="P1223" s="8"/>
      <c r="Q1223" s="8"/>
      <c r="R1223" s="16"/>
      <c r="S1223" s="16"/>
      <c r="T1223" s="19"/>
      <c r="U1223" s="16"/>
      <c r="V1223" s="19"/>
      <c r="W1223" s="160"/>
      <c r="X1223" s="160"/>
      <c r="Y1223" s="160"/>
      <c r="Z1223" s="160"/>
      <c r="AA1223" s="160"/>
      <c r="AB1223" s="10"/>
      <c r="AD1223" s="160"/>
    </row>
    <row r="1224" spans="4:30" x14ac:dyDescent="0.2">
      <c r="D1224" s="8"/>
      <c r="E1224" s="6"/>
      <c r="G1224" s="10"/>
      <c r="J1224" s="142"/>
      <c r="K1224" s="15"/>
      <c r="L1224" s="15"/>
      <c r="M1224" s="15"/>
      <c r="N1224" s="16"/>
      <c r="O1224" s="8"/>
      <c r="P1224" s="8"/>
      <c r="Q1224" s="8"/>
      <c r="R1224" s="16"/>
      <c r="S1224" s="16"/>
      <c r="T1224" s="19"/>
      <c r="U1224" s="16"/>
      <c r="V1224" s="19"/>
      <c r="W1224" s="160"/>
      <c r="X1224" s="160"/>
      <c r="Y1224" s="160"/>
      <c r="Z1224" s="160"/>
      <c r="AA1224" s="160"/>
      <c r="AB1224" s="10"/>
      <c r="AD1224" s="160"/>
    </row>
    <row r="1225" spans="4:30" x14ac:dyDescent="0.2">
      <c r="D1225" s="8"/>
      <c r="E1225" s="6"/>
      <c r="G1225" s="10"/>
      <c r="J1225" s="142"/>
      <c r="K1225" s="15"/>
      <c r="L1225" s="15"/>
      <c r="M1225" s="15"/>
      <c r="N1225" s="16"/>
      <c r="O1225" s="8"/>
      <c r="P1225" s="8"/>
      <c r="Q1225" s="8"/>
      <c r="R1225" s="16"/>
      <c r="S1225" s="16"/>
      <c r="T1225" s="19"/>
      <c r="U1225" s="16"/>
      <c r="V1225" s="19"/>
      <c r="W1225" s="160"/>
      <c r="X1225" s="160"/>
      <c r="Y1225" s="160"/>
      <c r="Z1225" s="160"/>
      <c r="AA1225" s="160"/>
      <c r="AB1225" s="10"/>
      <c r="AD1225" s="160"/>
    </row>
    <row r="1226" spans="4:30" x14ac:dyDescent="0.2">
      <c r="D1226" s="8"/>
      <c r="E1226" s="6"/>
      <c r="G1226" s="10"/>
      <c r="J1226" s="142"/>
      <c r="K1226" s="15"/>
      <c r="L1226" s="15"/>
      <c r="M1226" s="15"/>
      <c r="N1226" s="16"/>
      <c r="O1226" s="8"/>
      <c r="P1226" s="8"/>
      <c r="Q1226" s="8"/>
      <c r="R1226" s="16"/>
      <c r="S1226" s="16"/>
      <c r="T1226" s="19"/>
      <c r="U1226" s="16"/>
      <c r="V1226" s="19"/>
      <c r="W1226" s="160"/>
      <c r="X1226" s="160"/>
      <c r="Y1226" s="160"/>
      <c r="Z1226" s="160"/>
      <c r="AA1226" s="160"/>
      <c r="AB1226" s="10"/>
      <c r="AD1226" s="160"/>
    </row>
    <row r="1227" spans="4:30" x14ac:dyDescent="0.2">
      <c r="D1227" s="8"/>
      <c r="E1227" s="6"/>
      <c r="G1227" s="10"/>
      <c r="J1227" s="142"/>
      <c r="K1227" s="15"/>
      <c r="L1227" s="15"/>
      <c r="M1227" s="15"/>
      <c r="N1227" s="16"/>
      <c r="O1227" s="8"/>
      <c r="P1227" s="8"/>
      <c r="Q1227" s="8"/>
      <c r="R1227" s="16"/>
      <c r="S1227" s="16"/>
      <c r="T1227" s="19"/>
      <c r="U1227" s="16"/>
      <c r="V1227" s="19"/>
      <c r="W1227" s="160"/>
      <c r="X1227" s="160"/>
      <c r="Y1227" s="160"/>
      <c r="Z1227" s="160"/>
      <c r="AA1227" s="160"/>
      <c r="AB1227" s="10"/>
      <c r="AD1227" s="160"/>
    </row>
    <row r="1228" spans="4:30" x14ac:dyDescent="0.2">
      <c r="D1228" s="8"/>
      <c r="E1228" s="6"/>
      <c r="G1228" s="10"/>
      <c r="J1228" s="142"/>
      <c r="K1228" s="15"/>
      <c r="L1228" s="15"/>
      <c r="M1228" s="15"/>
      <c r="N1228" s="16"/>
      <c r="O1228" s="8"/>
      <c r="P1228" s="8"/>
      <c r="Q1228" s="8"/>
      <c r="R1228" s="16"/>
      <c r="S1228" s="16"/>
      <c r="T1228" s="19"/>
      <c r="U1228" s="16"/>
      <c r="V1228" s="19"/>
      <c r="W1228" s="160"/>
      <c r="X1228" s="160"/>
      <c r="Y1228" s="160"/>
      <c r="Z1228" s="160"/>
      <c r="AA1228" s="160"/>
      <c r="AB1228" s="10"/>
      <c r="AD1228" s="160"/>
    </row>
    <row r="1229" spans="4:30" x14ac:dyDescent="0.2">
      <c r="D1229" s="8"/>
      <c r="E1229" s="6"/>
      <c r="G1229" s="10"/>
      <c r="J1229" s="142"/>
      <c r="K1229" s="15"/>
      <c r="L1229" s="15"/>
      <c r="M1229" s="15"/>
      <c r="N1229" s="16"/>
      <c r="O1229" s="8"/>
      <c r="P1229" s="8"/>
      <c r="Q1229" s="8"/>
      <c r="R1229" s="16"/>
      <c r="S1229" s="16"/>
      <c r="T1229" s="19"/>
      <c r="U1229" s="16"/>
      <c r="V1229" s="19"/>
      <c r="W1229" s="160"/>
      <c r="X1229" s="160"/>
      <c r="Y1229" s="160"/>
      <c r="Z1229" s="160"/>
      <c r="AA1229" s="160"/>
      <c r="AB1229" s="10"/>
      <c r="AD1229" s="160"/>
    </row>
    <row r="1230" spans="4:30" x14ac:dyDescent="0.2">
      <c r="D1230" s="8"/>
      <c r="E1230" s="6"/>
      <c r="G1230" s="10"/>
      <c r="J1230" s="142"/>
      <c r="K1230" s="15"/>
      <c r="L1230" s="15"/>
      <c r="M1230" s="15"/>
      <c r="N1230" s="16"/>
      <c r="O1230" s="8"/>
      <c r="P1230" s="8"/>
      <c r="Q1230" s="8"/>
      <c r="R1230" s="16"/>
      <c r="S1230" s="16"/>
      <c r="T1230" s="19"/>
      <c r="U1230" s="16"/>
      <c r="V1230" s="19"/>
      <c r="W1230" s="160"/>
      <c r="X1230" s="160"/>
      <c r="Y1230" s="160"/>
      <c r="Z1230" s="160"/>
      <c r="AA1230" s="160"/>
      <c r="AB1230" s="10"/>
      <c r="AD1230" s="160"/>
    </row>
    <row r="1231" spans="4:30" x14ac:dyDescent="0.2">
      <c r="D1231" s="8"/>
      <c r="E1231" s="6"/>
      <c r="G1231" s="10"/>
      <c r="J1231" s="142"/>
      <c r="K1231" s="15"/>
      <c r="L1231" s="15"/>
      <c r="M1231" s="15"/>
      <c r="N1231" s="16"/>
      <c r="O1231" s="8"/>
      <c r="P1231" s="8"/>
      <c r="Q1231" s="8"/>
      <c r="R1231" s="16"/>
      <c r="S1231" s="16"/>
      <c r="T1231" s="19"/>
      <c r="U1231" s="16"/>
      <c r="V1231" s="19"/>
      <c r="W1231" s="160"/>
      <c r="X1231" s="160"/>
      <c r="Y1231" s="160"/>
      <c r="Z1231" s="160"/>
      <c r="AA1231" s="160"/>
      <c r="AB1231" s="10"/>
      <c r="AD1231" s="160"/>
    </row>
    <row r="1232" spans="4:30" x14ac:dyDescent="0.2">
      <c r="D1232" s="8"/>
      <c r="E1232" s="6"/>
      <c r="G1232" s="10"/>
      <c r="J1232" s="142"/>
      <c r="K1232" s="15"/>
      <c r="L1232" s="15"/>
      <c r="M1232" s="15"/>
      <c r="N1232" s="16"/>
      <c r="O1232" s="8"/>
      <c r="P1232" s="8"/>
      <c r="Q1232" s="8"/>
      <c r="R1232" s="16"/>
      <c r="S1232" s="16"/>
      <c r="T1232" s="19"/>
      <c r="U1232" s="16"/>
      <c r="V1232" s="19"/>
      <c r="W1232" s="160"/>
      <c r="X1232" s="160"/>
      <c r="Y1232" s="160"/>
      <c r="Z1232" s="160"/>
      <c r="AA1232" s="160"/>
      <c r="AB1232" s="10"/>
      <c r="AD1232" s="160"/>
    </row>
    <row r="1233" spans="4:30" x14ac:dyDescent="0.2">
      <c r="D1233" s="8"/>
      <c r="E1233" s="6"/>
      <c r="G1233" s="10"/>
      <c r="J1233" s="142"/>
      <c r="K1233" s="15"/>
      <c r="L1233" s="15"/>
      <c r="M1233" s="15"/>
      <c r="N1233" s="16"/>
      <c r="O1233" s="8"/>
      <c r="P1233" s="8"/>
      <c r="Q1233" s="8"/>
      <c r="R1233" s="16"/>
      <c r="S1233" s="16"/>
      <c r="T1233" s="19"/>
      <c r="U1233" s="16"/>
      <c r="V1233" s="19"/>
      <c r="W1233" s="160"/>
      <c r="X1233" s="160"/>
      <c r="Y1233" s="160"/>
      <c r="Z1233" s="160"/>
      <c r="AA1233" s="160"/>
      <c r="AB1233" s="10"/>
      <c r="AD1233" s="160"/>
    </row>
    <row r="1234" spans="4:30" x14ac:dyDescent="0.2">
      <c r="D1234" s="8"/>
      <c r="E1234" s="6"/>
      <c r="G1234" s="10"/>
      <c r="J1234" s="142"/>
      <c r="K1234" s="15"/>
      <c r="L1234" s="15"/>
      <c r="M1234" s="15"/>
      <c r="N1234" s="16"/>
      <c r="O1234" s="8"/>
      <c r="P1234" s="8"/>
      <c r="Q1234" s="8"/>
      <c r="R1234" s="16"/>
      <c r="S1234" s="16"/>
      <c r="T1234" s="19"/>
      <c r="U1234" s="16"/>
      <c r="V1234" s="19"/>
      <c r="W1234" s="160"/>
      <c r="X1234" s="160"/>
      <c r="Y1234" s="160"/>
      <c r="Z1234" s="160"/>
      <c r="AA1234" s="160"/>
      <c r="AB1234" s="10"/>
      <c r="AD1234" s="160"/>
    </row>
    <row r="1235" spans="4:30" x14ac:dyDescent="0.2">
      <c r="D1235" s="8"/>
      <c r="E1235" s="6"/>
      <c r="G1235" s="10"/>
      <c r="J1235" s="142"/>
      <c r="K1235" s="15"/>
      <c r="L1235" s="15"/>
      <c r="M1235" s="15"/>
      <c r="N1235" s="16"/>
      <c r="O1235" s="8"/>
      <c r="P1235" s="8"/>
      <c r="Q1235" s="8"/>
      <c r="R1235" s="16"/>
      <c r="S1235" s="16"/>
      <c r="T1235" s="19"/>
      <c r="U1235" s="16"/>
      <c r="V1235" s="19"/>
      <c r="W1235" s="160"/>
      <c r="X1235" s="160"/>
      <c r="Y1235" s="160"/>
      <c r="Z1235" s="160"/>
      <c r="AA1235" s="160"/>
      <c r="AB1235" s="10"/>
      <c r="AD1235" s="160"/>
    </row>
    <row r="1236" spans="4:30" x14ac:dyDescent="0.2">
      <c r="D1236" s="8"/>
      <c r="E1236" s="6"/>
      <c r="G1236" s="10"/>
      <c r="J1236" s="142"/>
      <c r="K1236" s="15"/>
      <c r="L1236" s="15"/>
      <c r="M1236" s="15"/>
      <c r="N1236" s="16"/>
      <c r="O1236" s="8"/>
      <c r="P1236" s="8"/>
      <c r="Q1236" s="8"/>
      <c r="R1236" s="16"/>
      <c r="S1236" s="16"/>
      <c r="T1236" s="19"/>
      <c r="U1236" s="16"/>
      <c r="V1236" s="19"/>
      <c r="W1236" s="160"/>
      <c r="X1236" s="160"/>
      <c r="Y1236" s="160"/>
      <c r="Z1236" s="160"/>
      <c r="AA1236" s="160"/>
      <c r="AB1236" s="10"/>
      <c r="AD1236" s="160"/>
    </row>
    <row r="1237" spans="4:30" x14ac:dyDescent="0.2">
      <c r="D1237" s="8"/>
      <c r="E1237" s="6"/>
      <c r="G1237" s="10"/>
      <c r="J1237" s="142"/>
      <c r="K1237" s="15"/>
      <c r="L1237" s="15"/>
      <c r="M1237" s="15"/>
      <c r="N1237" s="16"/>
      <c r="O1237" s="8"/>
      <c r="P1237" s="8"/>
      <c r="Q1237" s="8"/>
      <c r="R1237" s="16"/>
      <c r="S1237" s="16"/>
      <c r="T1237" s="19"/>
      <c r="U1237" s="16"/>
      <c r="V1237" s="19"/>
      <c r="W1237" s="160"/>
      <c r="X1237" s="160"/>
      <c r="Y1237" s="160"/>
      <c r="Z1237" s="160"/>
      <c r="AA1237" s="160"/>
      <c r="AB1237" s="10"/>
      <c r="AD1237" s="160"/>
    </row>
    <row r="1238" spans="4:30" x14ac:dyDescent="0.2">
      <c r="D1238" s="8"/>
      <c r="E1238" s="6"/>
      <c r="G1238" s="10"/>
      <c r="J1238" s="142"/>
      <c r="K1238" s="15"/>
      <c r="L1238" s="15"/>
      <c r="M1238" s="15"/>
      <c r="N1238" s="16"/>
      <c r="O1238" s="8"/>
      <c r="P1238" s="8"/>
      <c r="Q1238" s="8"/>
      <c r="R1238" s="16"/>
      <c r="S1238" s="16"/>
      <c r="T1238" s="19"/>
      <c r="U1238" s="16"/>
      <c r="V1238" s="19"/>
      <c r="W1238" s="160"/>
      <c r="X1238" s="160"/>
      <c r="Y1238" s="160"/>
      <c r="Z1238" s="160"/>
      <c r="AA1238" s="160"/>
      <c r="AB1238" s="10"/>
      <c r="AD1238" s="160"/>
    </row>
    <row r="1239" spans="4:30" x14ac:dyDescent="0.2">
      <c r="D1239" s="8"/>
      <c r="E1239" s="6"/>
      <c r="G1239" s="10"/>
      <c r="J1239" s="142"/>
      <c r="K1239" s="15"/>
      <c r="L1239" s="15"/>
      <c r="M1239" s="15"/>
      <c r="N1239" s="16"/>
      <c r="O1239" s="8"/>
      <c r="P1239" s="8"/>
      <c r="Q1239" s="8"/>
      <c r="R1239" s="16"/>
      <c r="S1239" s="16"/>
      <c r="T1239" s="19"/>
      <c r="U1239" s="16"/>
      <c r="V1239" s="19"/>
      <c r="W1239" s="160"/>
      <c r="X1239" s="160"/>
      <c r="Y1239" s="160"/>
      <c r="Z1239" s="160"/>
      <c r="AA1239" s="160"/>
      <c r="AB1239" s="10"/>
      <c r="AD1239" s="160"/>
    </row>
    <row r="1240" spans="4:30" x14ac:dyDescent="0.2">
      <c r="D1240" s="8"/>
      <c r="E1240" s="6"/>
      <c r="G1240" s="10"/>
      <c r="J1240" s="142"/>
      <c r="K1240" s="15"/>
      <c r="L1240" s="15"/>
      <c r="M1240" s="15"/>
      <c r="N1240" s="16"/>
      <c r="O1240" s="8"/>
      <c r="P1240" s="8"/>
      <c r="Q1240" s="8"/>
      <c r="R1240" s="16"/>
      <c r="S1240" s="16"/>
      <c r="T1240" s="19"/>
      <c r="U1240" s="16"/>
      <c r="V1240" s="19"/>
      <c r="W1240" s="160"/>
      <c r="X1240" s="160"/>
      <c r="Y1240" s="160"/>
      <c r="Z1240" s="160"/>
      <c r="AA1240" s="160"/>
      <c r="AB1240" s="10"/>
      <c r="AD1240" s="160"/>
    </row>
    <row r="1241" spans="4:30" x14ac:dyDescent="0.2">
      <c r="D1241" s="8"/>
      <c r="E1241" s="6"/>
      <c r="G1241" s="10"/>
      <c r="J1241" s="142"/>
      <c r="K1241" s="15"/>
      <c r="L1241" s="15"/>
      <c r="M1241" s="15"/>
      <c r="N1241" s="16"/>
      <c r="O1241" s="8"/>
      <c r="P1241" s="8"/>
      <c r="Q1241" s="8"/>
      <c r="R1241" s="16"/>
      <c r="S1241" s="16"/>
      <c r="T1241" s="19"/>
      <c r="U1241" s="16"/>
      <c r="V1241" s="19"/>
      <c r="W1241" s="160"/>
      <c r="X1241" s="160"/>
      <c r="Y1241" s="160"/>
      <c r="Z1241" s="160"/>
      <c r="AA1241" s="160"/>
      <c r="AB1241" s="10"/>
      <c r="AD1241" s="160"/>
    </row>
    <row r="1242" spans="4:30" x14ac:dyDescent="0.2">
      <c r="D1242" s="8"/>
      <c r="E1242" s="6"/>
      <c r="G1242" s="10"/>
      <c r="J1242" s="142"/>
      <c r="K1242" s="15"/>
      <c r="L1242" s="15"/>
      <c r="M1242" s="15"/>
      <c r="N1242" s="16"/>
      <c r="O1242" s="8"/>
      <c r="P1242" s="8"/>
      <c r="Q1242" s="8"/>
      <c r="R1242" s="16"/>
      <c r="S1242" s="16"/>
      <c r="T1242" s="19"/>
      <c r="U1242" s="16"/>
      <c r="V1242" s="19"/>
      <c r="W1242" s="160"/>
      <c r="X1242" s="160"/>
      <c r="Y1242" s="160"/>
      <c r="Z1242" s="160"/>
      <c r="AA1242" s="160"/>
      <c r="AB1242" s="10"/>
      <c r="AD1242" s="160"/>
    </row>
    <row r="1243" spans="4:30" x14ac:dyDescent="0.2">
      <c r="D1243" s="8"/>
      <c r="E1243" s="6"/>
      <c r="G1243" s="10"/>
      <c r="J1243" s="142"/>
      <c r="K1243" s="15"/>
      <c r="L1243" s="15"/>
      <c r="M1243" s="15"/>
      <c r="N1243" s="16"/>
      <c r="O1243" s="8"/>
      <c r="P1243" s="8"/>
      <c r="Q1243" s="8"/>
      <c r="R1243" s="16"/>
      <c r="S1243" s="16"/>
      <c r="T1243" s="19"/>
      <c r="U1243" s="16"/>
      <c r="V1243" s="19"/>
      <c r="W1243" s="160"/>
      <c r="X1243" s="160"/>
      <c r="Y1243" s="160"/>
      <c r="Z1243" s="160"/>
      <c r="AA1243" s="160"/>
      <c r="AB1243" s="10"/>
      <c r="AD1243" s="160"/>
    </row>
    <row r="1244" spans="4:30" x14ac:dyDescent="0.2">
      <c r="D1244" s="8"/>
      <c r="E1244" s="6"/>
      <c r="G1244" s="10"/>
      <c r="J1244" s="142"/>
      <c r="K1244" s="15"/>
      <c r="L1244" s="15"/>
      <c r="M1244" s="15"/>
      <c r="N1244" s="16"/>
      <c r="O1244" s="8"/>
      <c r="P1244" s="8"/>
      <c r="Q1244" s="8"/>
      <c r="R1244" s="16"/>
      <c r="S1244" s="16"/>
      <c r="T1244" s="19"/>
      <c r="U1244" s="16"/>
      <c r="V1244" s="19"/>
      <c r="W1244" s="160"/>
      <c r="X1244" s="160"/>
      <c r="Y1244" s="160"/>
      <c r="Z1244" s="160"/>
      <c r="AA1244" s="160"/>
      <c r="AB1244" s="10"/>
      <c r="AD1244" s="160"/>
    </row>
    <row r="1245" spans="4:30" x14ac:dyDescent="0.2">
      <c r="D1245" s="8"/>
      <c r="E1245" s="6"/>
      <c r="G1245" s="10"/>
      <c r="J1245" s="142"/>
      <c r="K1245" s="15"/>
      <c r="L1245" s="15"/>
      <c r="M1245" s="15"/>
      <c r="N1245" s="16"/>
      <c r="O1245" s="8"/>
      <c r="P1245" s="8"/>
      <c r="Q1245" s="8"/>
      <c r="R1245" s="16"/>
      <c r="S1245" s="16"/>
      <c r="T1245" s="19"/>
      <c r="U1245" s="16"/>
      <c r="V1245" s="19"/>
      <c r="W1245" s="160"/>
      <c r="X1245" s="160"/>
      <c r="Y1245" s="160"/>
      <c r="Z1245" s="160"/>
      <c r="AA1245" s="160"/>
      <c r="AB1245" s="10"/>
      <c r="AD1245" s="160"/>
    </row>
    <row r="1246" spans="4:30" x14ac:dyDescent="0.2">
      <c r="D1246" s="8"/>
      <c r="E1246" s="6"/>
      <c r="G1246" s="10"/>
      <c r="J1246" s="142"/>
      <c r="K1246" s="15"/>
      <c r="L1246" s="15"/>
      <c r="M1246" s="15"/>
      <c r="N1246" s="16"/>
      <c r="O1246" s="8"/>
      <c r="P1246" s="8"/>
      <c r="Q1246" s="8"/>
      <c r="R1246" s="16"/>
      <c r="S1246" s="16"/>
      <c r="T1246" s="19"/>
      <c r="U1246" s="16"/>
      <c r="V1246" s="19"/>
      <c r="W1246" s="160"/>
      <c r="X1246" s="160"/>
      <c r="Y1246" s="160"/>
      <c r="Z1246" s="160"/>
      <c r="AA1246" s="160"/>
      <c r="AB1246" s="10"/>
      <c r="AD1246" s="160"/>
    </row>
    <row r="1247" spans="4:30" x14ac:dyDescent="0.2">
      <c r="D1247" s="8"/>
      <c r="E1247" s="6"/>
      <c r="G1247" s="10"/>
      <c r="J1247" s="142"/>
      <c r="K1247" s="15"/>
      <c r="L1247" s="15"/>
      <c r="M1247" s="15"/>
      <c r="N1247" s="16"/>
      <c r="O1247" s="8"/>
      <c r="P1247" s="8"/>
      <c r="Q1247" s="8"/>
      <c r="R1247" s="16"/>
      <c r="S1247" s="16"/>
      <c r="T1247" s="19"/>
      <c r="U1247" s="16"/>
      <c r="V1247" s="19"/>
      <c r="W1247" s="160"/>
      <c r="X1247" s="160"/>
      <c r="Y1247" s="160"/>
      <c r="Z1247" s="160"/>
      <c r="AA1247" s="160"/>
      <c r="AB1247" s="10"/>
      <c r="AD1247" s="160"/>
    </row>
    <row r="1248" spans="4:30" x14ac:dyDescent="0.2">
      <c r="D1248" s="8"/>
      <c r="E1248" s="6"/>
      <c r="G1248" s="10"/>
      <c r="J1248" s="142"/>
      <c r="K1248" s="15"/>
      <c r="L1248" s="15"/>
      <c r="M1248" s="15"/>
      <c r="N1248" s="16"/>
      <c r="O1248" s="8"/>
      <c r="P1248" s="8"/>
      <c r="Q1248" s="8"/>
      <c r="R1248" s="16"/>
      <c r="S1248" s="16"/>
      <c r="T1248" s="19"/>
      <c r="U1248" s="16"/>
      <c r="V1248" s="19"/>
      <c r="W1248" s="160"/>
      <c r="X1248" s="160"/>
      <c r="Y1248" s="160"/>
      <c r="Z1248" s="160"/>
      <c r="AA1248" s="160"/>
      <c r="AB1248" s="10"/>
      <c r="AD1248" s="160"/>
    </row>
    <row r="1249" spans="4:30" x14ac:dyDescent="0.2">
      <c r="D1249" s="8"/>
      <c r="E1249" s="6"/>
      <c r="G1249" s="10"/>
      <c r="J1249" s="142"/>
      <c r="K1249" s="15"/>
      <c r="L1249" s="15"/>
      <c r="M1249" s="15"/>
      <c r="N1249" s="16"/>
      <c r="O1249" s="8"/>
      <c r="P1249" s="8"/>
      <c r="Q1249" s="8"/>
      <c r="R1249" s="16"/>
      <c r="S1249" s="16"/>
      <c r="T1249" s="19"/>
      <c r="U1249" s="16"/>
      <c r="V1249" s="19"/>
      <c r="W1249" s="160"/>
      <c r="X1249" s="160"/>
      <c r="Y1249" s="160"/>
      <c r="Z1249" s="160"/>
      <c r="AA1249" s="160"/>
      <c r="AB1249" s="10"/>
      <c r="AD1249" s="160"/>
    </row>
    <row r="1250" spans="4:30" x14ac:dyDescent="0.2">
      <c r="D1250" s="8"/>
      <c r="E1250" s="6"/>
      <c r="G1250" s="10"/>
      <c r="J1250" s="142"/>
      <c r="K1250" s="15"/>
      <c r="L1250" s="15"/>
      <c r="M1250" s="15"/>
      <c r="N1250" s="16"/>
      <c r="O1250" s="8"/>
      <c r="P1250" s="8"/>
      <c r="Q1250" s="8"/>
      <c r="R1250" s="16"/>
      <c r="S1250" s="16"/>
      <c r="T1250" s="19"/>
      <c r="U1250" s="16"/>
      <c r="V1250" s="19"/>
      <c r="W1250" s="160"/>
      <c r="X1250" s="160"/>
      <c r="Y1250" s="160"/>
      <c r="Z1250" s="160"/>
      <c r="AA1250" s="160"/>
      <c r="AB1250" s="10"/>
      <c r="AD1250" s="160"/>
    </row>
    <row r="1251" spans="4:30" x14ac:dyDescent="0.2">
      <c r="D1251" s="8"/>
      <c r="E1251" s="6"/>
      <c r="G1251" s="10"/>
      <c r="J1251" s="142"/>
      <c r="K1251" s="15"/>
      <c r="L1251" s="15"/>
      <c r="M1251" s="15"/>
      <c r="N1251" s="16"/>
      <c r="O1251" s="8"/>
      <c r="P1251" s="8"/>
      <c r="Q1251" s="8"/>
      <c r="R1251" s="16"/>
      <c r="S1251" s="16"/>
      <c r="T1251" s="19"/>
      <c r="U1251" s="16"/>
      <c r="V1251" s="19"/>
      <c r="W1251" s="160"/>
      <c r="X1251" s="160"/>
      <c r="Y1251" s="160"/>
      <c r="Z1251" s="160"/>
      <c r="AA1251" s="160"/>
      <c r="AB1251" s="10"/>
      <c r="AD1251" s="160"/>
    </row>
    <row r="1252" spans="4:30" x14ac:dyDescent="0.2">
      <c r="D1252" s="8"/>
      <c r="E1252" s="6"/>
      <c r="G1252" s="10"/>
      <c r="J1252" s="142"/>
      <c r="K1252" s="15"/>
      <c r="L1252" s="15"/>
      <c r="M1252" s="15"/>
      <c r="N1252" s="16"/>
      <c r="O1252" s="8"/>
      <c r="P1252" s="8"/>
      <c r="Q1252" s="8"/>
      <c r="R1252" s="16"/>
      <c r="S1252" s="16"/>
      <c r="T1252" s="19"/>
      <c r="U1252" s="16"/>
      <c r="V1252" s="19"/>
      <c r="W1252" s="160"/>
      <c r="X1252" s="160"/>
      <c r="Y1252" s="160"/>
      <c r="Z1252" s="160"/>
      <c r="AA1252" s="160"/>
      <c r="AB1252" s="10"/>
      <c r="AD1252" s="160"/>
    </row>
    <row r="1253" spans="4:30" x14ac:dyDescent="0.2">
      <c r="D1253" s="8"/>
      <c r="E1253" s="6"/>
      <c r="G1253" s="10"/>
      <c r="J1253" s="142"/>
      <c r="K1253" s="15"/>
      <c r="L1253" s="15"/>
      <c r="M1253" s="15"/>
      <c r="N1253" s="16"/>
      <c r="O1253" s="8"/>
      <c r="P1253" s="8"/>
      <c r="Q1253" s="8"/>
      <c r="R1253" s="16"/>
      <c r="S1253" s="16"/>
      <c r="T1253" s="19"/>
      <c r="U1253" s="16"/>
      <c r="V1253" s="19"/>
      <c r="W1253" s="160"/>
      <c r="X1253" s="160"/>
      <c r="Y1253" s="160"/>
      <c r="Z1253" s="160"/>
      <c r="AA1253" s="160"/>
      <c r="AB1253" s="10"/>
      <c r="AD1253" s="160"/>
    </row>
    <row r="1254" spans="4:30" x14ac:dyDescent="0.2">
      <c r="D1254" s="8"/>
      <c r="E1254" s="6"/>
      <c r="G1254" s="10"/>
      <c r="J1254" s="142"/>
      <c r="K1254" s="15"/>
      <c r="L1254" s="15"/>
      <c r="M1254" s="15"/>
      <c r="N1254" s="16"/>
      <c r="O1254" s="8"/>
      <c r="P1254" s="8"/>
      <c r="Q1254" s="8"/>
      <c r="R1254" s="16"/>
      <c r="S1254" s="16"/>
      <c r="T1254" s="19"/>
      <c r="U1254" s="16"/>
      <c r="V1254" s="19"/>
      <c r="W1254" s="160"/>
      <c r="X1254" s="160"/>
      <c r="Y1254" s="160"/>
      <c r="Z1254" s="160"/>
      <c r="AA1254" s="160"/>
      <c r="AB1254" s="10"/>
      <c r="AD1254" s="160"/>
    </row>
    <row r="1255" spans="4:30" x14ac:dyDescent="0.2">
      <c r="D1255" s="8"/>
      <c r="E1255" s="6"/>
      <c r="G1255" s="10"/>
      <c r="J1255" s="142"/>
      <c r="K1255" s="15"/>
      <c r="L1255" s="15"/>
      <c r="M1255" s="15"/>
      <c r="N1255" s="16"/>
      <c r="O1255" s="8"/>
      <c r="P1255" s="8"/>
      <c r="Q1255" s="8"/>
      <c r="R1255" s="16"/>
      <c r="S1255" s="16"/>
      <c r="T1255" s="19"/>
      <c r="U1255" s="16"/>
      <c r="V1255" s="19"/>
      <c r="W1255" s="160"/>
      <c r="X1255" s="160"/>
      <c r="Y1255" s="160"/>
      <c r="Z1255" s="160"/>
      <c r="AA1255" s="160"/>
      <c r="AB1255" s="10"/>
      <c r="AD1255" s="160"/>
    </row>
    <row r="1256" spans="4:30" x14ac:dyDescent="0.2">
      <c r="D1256" s="8"/>
      <c r="E1256" s="6"/>
      <c r="G1256" s="10"/>
      <c r="J1256" s="142"/>
      <c r="K1256" s="15"/>
      <c r="L1256" s="15"/>
      <c r="M1256" s="15"/>
      <c r="N1256" s="16"/>
      <c r="O1256" s="8"/>
      <c r="P1256" s="8"/>
      <c r="Q1256" s="8"/>
      <c r="R1256" s="16"/>
      <c r="S1256" s="16"/>
      <c r="T1256" s="19"/>
      <c r="U1256" s="16"/>
      <c r="V1256" s="19"/>
      <c r="W1256" s="160"/>
      <c r="X1256" s="160"/>
      <c r="Y1256" s="160"/>
      <c r="Z1256" s="160"/>
      <c r="AA1256" s="160"/>
      <c r="AB1256" s="10"/>
      <c r="AD1256" s="160"/>
    </row>
    <row r="1257" spans="4:30" x14ac:dyDescent="0.2">
      <c r="D1257" s="8"/>
      <c r="E1257" s="6"/>
      <c r="G1257" s="10"/>
      <c r="J1257" s="142"/>
      <c r="K1257" s="15"/>
      <c r="L1257" s="15"/>
      <c r="M1257" s="15"/>
      <c r="N1257" s="16"/>
      <c r="O1257" s="8"/>
      <c r="P1257" s="8"/>
      <c r="Q1257" s="8"/>
      <c r="R1257" s="16"/>
      <c r="S1257" s="16"/>
      <c r="T1257" s="19"/>
      <c r="U1257" s="16"/>
      <c r="V1257" s="19"/>
      <c r="W1257" s="160"/>
      <c r="X1257" s="160"/>
      <c r="Y1257" s="160"/>
      <c r="Z1257" s="160"/>
      <c r="AA1257" s="160"/>
      <c r="AB1257" s="10"/>
      <c r="AD1257" s="160"/>
    </row>
    <row r="1258" spans="4:30" x14ac:dyDescent="0.2">
      <c r="D1258" s="8"/>
      <c r="E1258" s="6"/>
      <c r="G1258" s="10"/>
      <c r="J1258" s="142"/>
      <c r="K1258" s="15"/>
      <c r="L1258" s="15"/>
      <c r="M1258" s="15"/>
      <c r="N1258" s="16"/>
      <c r="O1258" s="8"/>
      <c r="P1258" s="8"/>
      <c r="Q1258" s="8"/>
      <c r="R1258" s="16"/>
      <c r="S1258" s="16"/>
      <c r="T1258" s="19"/>
      <c r="U1258" s="16"/>
      <c r="V1258" s="19"/>
      <c r="W1258" s="160"/>
      <c r="X1258" s="160"/>
      <c r="Y1258" s="160"/>
      <c r="Z1258" s="160"/>
      <c r="AA1258" s="160"/>
      <c r="AB1258" s="10"/>
      <c r="AD1258" s="160"/>
    </row>
    <row r="1259" spans="4:30" x14ac:dyDescent="0.2">
      <c r="D1259" s="8"/>
      <c r="E1259" s="6"/>
      <c r="G1259" s="10"/>
      <c r="J1259" s="142"/>
      <c r="K1259" s="15"/>
      <c r="L1259" s="15"/>
      <c r="M1259" s="15"/>
      <c r="N1259" s="16"/>
      <c r="O1259" s="8"/>
      <c r="P1259" s="8"/>
      <c r="Q1259" s="8"/>
      <c r="R1259" s="16"/>
      <c r="S1259" s="16"/>
      <c r="T1259" s="19"/>
      <c r="U1259" s="16"/>
      <c r="V1259" s="19"/>
      <c r="W1259" s="160"/>
      <c r="X1259" s="160"/>
      <c r="Y1259" s="160"/>
      <c r="Z1259" s="160"/>
      <c r="AA1259" s="160"/>
      <c r="AB1259" s="10"/>
      <c r="AD1259" s="160"/>
    </row>
    <row r="1260" spans="4:30" x14ac:dyDescent="0.2">
      <c r="D1260" s="8"/>
      <c r="E1260" s="6"/>
      <c r="G1260" s="10"/>
      <c r="J1260" s="142"/>
      <c r="K1260" s="15"/>
      <c r="L1260" s="15"/>
      <c r="M1260" s="15"/>
      <c r="N1260" s="16"/>
      <c r="O1260" s="8"/>
      <c r="P1260" s="8"/>
      <c r="Q1260" s="8"/>
      <c r="R1260" s="16"/>
      <c r="S1260" s="16"/>
      <c r="T1260" s="19"/>
      <c r="U1260" s="16"/>
      <c r="V1260" s="19"/>
      <c r="W1260" s="160"/>
      <c r="X1260" s="160"/>
      <c r="Y1260" s="160"/>
      <c r="Z1260" s="160"/>
      <c r="AA1260" s="160"/>
      <c r="AB1260" s="10"/>
      <c r="AD1260" s="160"/>
    </row>
    <row r="1261" spans="4:30" x14ac:dyDescent="0.2">
      <c r="D1261" s="8"/>
      <c r="E1261" s="6"/>
      <c r="G1261" s="10"/>
      <c r="J1261" s="142"/>
      <c r="K1261" s="15"/>
      <c r="L1261" s="15"/>
      <c r="M1261" s="15"/>
      <c r="N1261" s="16"/>
      <c r="O1261" s="8"/>
      <c r="P1261" s="8"/>
      <c r="Q1261" s="8"/>
      <c r="R1261" s="16"/>
      <c r="S1261" s="16"/>
      <c r="T1261" s="19"/>
      <c r="U1261" s="16"/>
      <c r="V1261" s="19"/>
      <c r="W1261" s="160"/>
      <c r="X1261" s="160"/>
      <c r="Y1261" s="160"/>
      <c r="Z1261" s="160"/>
      <c r="AA1261" s="160"/>
      <c r="AB1261" s="10"/>
      <c r="AD1261" s="160"/>
    </row>
    <row r="1262" spans="4:30" x14ac:dyDescent="0.2">
      <c r="D1262" s="8"/>
      <c r="E1262" s="6"/>
      <c r="G1262" s="10"/>
      <c r="J1262" s="142"/>
      <c r="K1262" s="15"/>
      <c r="L1262" s="15"/>
      <c r="M1262" s="15"/>
      <c r="N1262" s="16"/>
      <c r="O1262" s="8"/>
      <c r="P1262" s="8"/>
      <c r="Q1262" s="8"/>
      <c r="R1262" s="16"/>
      <c r="S1262" s="16"/>
      <c r="T1262" s="19"/>
      <c r="U1262" s="16"/>
      <c r="V1262" s="19"/>
      <c r="W1262" s="160"/>
      <c r="X1262" s="160"/>
      <c r="Y1262" s="160"/>
      <c r="Z1262" s="160"/>
      <c r="AA1262" s="160"/>
      <c r="AB1262" s="10"/>
      <c r="AD1262" s="160"/>
    </row>
    <row r="1263" spans="4:30" x14ac:dyDescent="0.2">
      <c r="D1263" s="8"/>
      <c r="E1263" s="6"/>
      <c r="G1263" s="10"/>
      <c r="J1263" s="142"/>
      <c r="K1263" s="15"/>
      <c r="L1263" s="15"/>
      <c r="M1263" s="15"/>
      <c r="N1263" s="16"/>
      <c r="O1263" s="8"/>
      <c r="P1263" s="8"/>
      <c r="Q1263" s="8"/>
      <c r="R1263" s="16"/>
      <c r="S1263" s="16"/>
      <c r="T1263" s="19"/>
      <c r="U1263" s="16"/>
      <c r="V1263" s="19"/>
      <c r="W1263" s="160"/>
      <c r="X1263" s="160"/>
      <c r="Y1263" s="160"/>
      <c r="Z1263" s="160"/>
      <c r="AA1263" s="160"/>
      <c r="AB1263" s="10"/>
      <c r="AD1263" s="160"/>
    </row>
    <row r="1264" spans="4:30" x14ac:dyDescent="0.2">
      <c r="D1264" s="8"/>
      <c r="E1264" s="6"/>
      <c r="G1264" s="10"/>
      <c r="J1264" s="142"/>
      <c r="K1264" s="15"/>
      <c r="L1264" s="15"/>
      <c r="M1264" s="15"/>
      <c r="N1264" s="16"/>
      <c r="O1264" s="8"/>
      <c r="P1264" s="8"/>
      <c r="Q1264" s="8"/>
      <c r="R1264" s="16"/>
      <c r="S1264" s="16"/>
      <c r="T1264" s="19"/>
      <c r="U1264" s="16"/>
      <c r="V1264" s="19"/>
      <c r="W1264" s="160"/>
      <c r="X1264" s="160"/>
      <c r="Y1264" s="160"/>
      <c r="Z1264" s="160"/>
      <c r="AA1264" s="160"/>
      <c r="AB1264" s="10"/>
      <c r="AD1264" s="160"/>
    </row>
    <row r="1265" spans="4:30" x14ac:dyDescent="0.2">
      <c r="D1265" s="8"/>
      <c r="E1265" s="6"/>
      <c r="G1265" s="10"/>
      <c r="J1265" s="142"/>
      <c r="K1265" s="15"/>
      <c r="L1265" s="15"/>
      <c r="M1265" s="15"/>
      <c r="N1265" s="16"/>
      <c r="O1265" s="8"/>
      <c r="P1265" s="8"/>
      <c r="Q1265" s="8"/>
      <c r="R1265" s="16"/>
      <c r="S1265" s="16"/>
      <c r="T1265" s="19"/>
      <c r="U1265" s="16"/>
      <c r="V1265" s="19"/>
      <c r="W1265" s="160"/>
      <c r="X1265" s="160"/>
      <c r="Y1265" s="160"/>
      <c r="Z1265" s="160"/>
      <c r="AA1265" s="160"/>
      <c r="AB1265" s="10"/>
      <c r="AD1265" s="160"/>
    </row>
    <row r="1266" spans="4:30" x14ac:dyDescent="0.2">
      <c r="D1266" s="8"/>
      <c r="E1266" s="6"/>
      <c r="G1266" s="10"/>
      <c r="J1266" s="142"/>
      <c r="K1266" s="15"/>
      <c r="L1266" s="15"/>
      <c r="M1266" s="15"/>
      <c r="N1266" s="16"/>
      <c r="O1266" s="8"/>
      <c r="P1266" s="8"/>
      <c r="Q1266" s="8"/>
      <c r="R1266" s="16"/>
      <c r="S1266" s="16"/>
      <c r="T1266" s="19"/>
      <c r="U1266" s="16"/>
      <c r="V1266" s="19"/>
      <c r="W1266" s="160"/>
      <c r="X1266" s="160"/>
      <c r="Y1266" s="160"/>
      <c r="Z1266" s="160"/>
      <c r="AA1266" s="160"/>
      <c r="AB1266" s="10"/>
      <c r="AD1266" s="160"/>
    </row>
    <row r="1267" spans="4:30" x14ac:dyDescent="0.2">
      <c r="D1267" s="8"/>
      <c r="E1267" s="6"/>
      <c r="G1267" s="10"/>
      <c r="J1267" s="142"/>
      <c r="K1267" s="15"/>
      <c r="L1267" s="15"/>
      <c r="M1267" s="15"/>
      <c r="N1267" s="16"/>
      <c r="O1267" s="8"/>
      <c r="P1267" s="8"/>
      <c r="Q1267" s="8"/>
      <c r="R1267" s="16"/>
      <c r="S1267" s="16"/>
      <c r="T1267" s="19"/>
      <c r="U1267" s="16"/>
      <c r="V1267" s="19"/>
      <c r="W1267" s="160"/>
      <c r="X1267" s="160"/>
      <c r="Y1267" s="160"/>
      <c r="Z1267" s="160"/>
      <c r="AA1267" s="160"/>
      <c r="AB1267" s="10"/>
      <c r="AD1267" s="160"/>
    </row>
    <row r="1268" spans="4:30" x14ac:dyDescent="0.2">
      <c r="D1268" s="8"/>
      <c r="E1268" s="6"/>
      <c r="G1268" s="10"/>
      <c r="J1268" s="142"/>
      <c r="K1268" s="15"/>
      <c r="L1268" s="15"/>
      <c r="M1268" s="15"/>
      <c r="N1268" s="16"/>
      <c r="O1268" s="8"/>
      <c r="P1268" s="8"/>
      <c r="Q1268" s="8"/>
      <c r="R1268" s="16"/>
      <c r="S1268" s="16"/>
      <c r="T1268" s="19"/>
      <c r="U1268" s="16"/>
      <c r="V1268" s="19"/>
      <c r="W1268" s="160"/>
      <c r="X1268" s="160"/>
      <c r="Y1268" s="160"/>
      <c r="Z1268" s="160"/>
      <c r="AA1268" s="160"/>
      <c r="AB1268" s="10"/>
      <c r="AD1268" s="160"/>
    </row>
    <row r="1269" spans="4:30" x14ac:dyDescent="0.2">
      <c r="D1269" s="8"/>
      <c r="E1269" s="6"/>
      <c r="G1269" s="10"/>
      <c r="J1269" s="142"/>
      <c r="K1269" s="15"/>
      <c r="L1269" s="15"/>
      <c r="M1269" s="15"/>
      <c r="N1269" s="16"/>
      <c r="O1269" s="8"/>
      <c r="P1269" s="8"/>
      <c r="Q1269" s="8"/>
      <c r="R1269" s="16"/>
      <c r="S1269" s="16"/>
      <c r="T1269" s="19"/>
      <c r="U1269" s="16"/>
      <c r="V1269" s="19"/>
      <c r="W1269" s="160"/>
      <c r="X1269" s="160"/>
      <c r="Y1269" s="160"/>
      <c r="Z1269" s="160"/>
      <c r="AA1269" s="160"/>
      <c r="AB1269" s="10"/>
      <c r="AD1269" s="160"/>
    </row>
    <row r="1270" spans="4:30" x14ac:dyDescent="0.2">
      <c r="D1270" s="8"/>
      <c r="E1270" s="6"/>
      <c r="G1270" s="10"/>
      <c r="J1270" s="142"/>
      <c r="K1270" s="15"/>
      <c r="L1270" s="15"/>
      <c r="M1270" s="15"/>
      <c r="N1270" s="16"/>
      <c r="O1270" s="8"/>
      <c r="P1270" s="8"/>
      <c r="Q1270" s="8"/>
      <c r="R1270" s="16"/>
      <c r="S1270" s="16"/>
      <c r="T1270" s="19"/>
      <c r="U1270" s="16"/>
      <c r="V1270" s="19"/>
      <c r="W1270" s="160"/>
      <c r="X1270" s="160"/>
      <c r="Y1270" s="160"/>
      <c r="Z1270" s="160"/>
      <c r="AA1270" s="160"/>
      <c r="AB1270" s="10"/>
      <c r="AD1270" s="160"/>
    </row>
    <row r="1271" spans="4:30" x14ac:dyDescent="0.2">
      <c r="D1271" s="8"/>
      <c r="E1271" s="6"/>
      <c r="G1271" s="10"/>
      <c r="J1271" s="142"/>
      <c r="K1271" s="15"/>
      <c r="L1271" s="15"/>
      <c r="M1271" s="15"/>
      <c r="N1271" s="16"/>
      <c r="O1271" s="8"/>
      <c r="P1271" s="8"/>
      <c r="Q1271" s="8"/>
      <c r="R1271" s="16"/>
      <c r="S1271" s="16"/>
      <c r="T1271" s="19"/>
      <c r="U1271" s="16"/>
      <c r="V1271" s="19"/>
      <c r="W1271" s="160"/>
      <c r="X1271" s="160"/>
      <c r="Y1271" s="160"/>
      <c r="Z1271" s="160"/>
      <c r="AA1271" s="160"/>
      <c r="AB1271" s="10"/>
      <c r="AD1271" s="160"/>
    </row>
    <row r="1272" spans="4:30" x14ac:dyDescent="0.2">
      <c r="D1272" s="8"/>
      <c r="E1272" s="6"/>
      <c r="G1272" s="10"/>
      <c r="J1272" s="142"/>
      <c r="K1272" s="15"/>
      <c r="L1272" s="15"/>
      <c r="M1272" s="15"/>
      <c r="N1272" s="16"/>
      <c r="O1272" s="8"/>
      <c r="P1272" s="8"/>
      <c r="Q1272" s="8"/>
      <c r="R1272" s="16"/>
      <c r="S1272" s="16"/>
      <c r="T1272" s="19"/>
      <c r="U1272" s="16"/>
      <c r="V1272" s="19"/>
      <c r="W1272" s="160"/>
      <c r="X1272" s="160"/>
      <c r="Y1272" s="160"/>
      <c r="Z1272" s="160"/>
      <c r="AA1272" s="160"/>
      <c r="AB1272" s="10"/>
      <c r="AD1272" s="160"/>
    </row>
    <row r="1273" spans="4:30" x14ac:dyDescent="0.2">
      <c r="D1273" s="8"/>
      <c r="E1273" s="6"/>
      <c r="G1273" s="10"/>
      <c r="J1273" s="142"/>
      <c r="K1273" s="15"/>
      <c r="L1273" s="15"/>
      <c r="M1273" s="15"/>
      <c r="N1273" s="16"/>
      <c r="O1273" s="8"/>
      <c r="P1273" s="8"/>
      <c r="Q1273" s="8"/>
      <c r="R1273" s="16"/>
      <c r="S1273" s="16"/>
      <c r="T1273" s="19"/>
      <c r="U1273" s="16"/>
      <c r="V1273" s="19"/>
      <c r="W1273" s="160"/>
      <c r="X1273" s="160"/>
      <c r="Y1273" s="160"/>
      <c r="Z1273" s="160"/>
      <c r="AA1273" s="160"/>
      <c r="AB1273" s="10"/>
      <c r="AD1273" s="160"/>
    </row>
    <row r="1274" spans="4:30" x14ac:dyDescent="0.2">
      <c r="D1274" s="8"/>
      <c r="E1274" s="6"/>
      <c r="G1274" s="10"/>
      <c r="J1274" s="142"/>
      <c r="K1274" s="15"/>
      <c r="L1274" s="15"/>
      <c r="M1274" s="15"/>
      <c r="N1274" s="16"/>
      <c r="O1274" s="8"/>
      <c r="P1274" s="8"/>
      <c r="Q1274" s="8"/>
      <c r="R1274" s="16"/>
      <c r="S1274" s="16"/>
      <c r="T1274" s="19"/>
      <c r="U1274" s="16"/>
      <c r="V1274" s="19"/>
      <c r="W1274" s="160"/>
      <c r="X1274" s="160"/>
      <c r="Y1274" s="160"/>
      <c r="Z1274" s="160"/>
      <c r="AA1274" s="160"/>
      <c r="AB1274" s="10"/>
      <c r="AD1274" s="160"/>
    </row>
    <row r="1275" spans="4:30" x14ac:dyDescent="0.2">
      <c r="D1275" s="8"/>
      <c r="E1275" s="6"/>
      <c r="G1275" s="10"/>
      <c r="J1275" s="142"/>
      <c r="K1275" s="15"/>
      <c r="L1275" s="15"/>
      <c r="M1275" s="15"/>
      <c r="N1275" s="16"/>
      <c r="O1275" s="8"/>
      <c r="P1275" s="8"/>
      <c r="Q1275" s="8"/>
      <c r="R1275" s="16"/>
      <c r="S1275" s="16"/>
      <c r="T1275" s="19"/>
      <c r="U1275" s="16"/>
      <c r="V1275" s="19"/>
      <c r="W1275" s="160"/>
      <c r="X1275" s="160"/>
      <c r="Y1275" s="160"/>
      <c r="Z1275" s="160"/>
      <c r="AA1275" s="160"/>
      <c r="AB1275" s="10"/>
      <c r="AD1275" s="160"/>
    </row>
    <row r="1276" spans="4:30" x14ac:dyDescent="0.2">
      <c r="D1276" s="8"/>
      <c r="E1276" s="6"/>
      <c r="G1276" s="10"/>
      <c r="J1276" s="142"/>
      <c r="K1276" s="15"/>
      <c r="L1276" s="15"/>
      <c r="M1276" s="15"/>
      <c r="N1276" s="16"/>
      <c r="O1276" s="8"/>
      <c r="P1276" s="8"/>
      <c r="Q1276" s="8"/>
      <c r="R1276" s="16"/>
      <c r="S1276" s="16"/>
      <c r="T1276" s="19"/>
      <c r="U1276" s="16"/>
      <c r="V1276" s="19"/>
      <c r="W1276" s="160"/>
      <c r="X1276" s="160"/>
      <c r="Y1276" s="160"/>
      <c r="Z1276" s="160"/>
      <c r="AA1276" s="160"/>
      <c r="AB1276" s="10"/>
      <c r="AD1276" s="160"/>
    </row>
    <row r="1277" spans="4:30" x14ac:dyDescent="0.2">
      <c r="D1277" s="8"/>
      <c r="E1277" s="6"/>
      <c r="G1277" s="10"/>
      <c r="J1277" s="142"/>
      <c r="K1277" s="15"/>
      <c r="L1277" s="15"/>
      <c r="M1277" s="15"/>
      <c r="N1277" s="16"/>
      <c r="O1277" s="8"/>
      <c r="P1277" s="8"/>
      <c r="Q1277" s="8"/>
      <c r="R1277" s="16"/>
      <c r="S1277" s="16"/>
      <c r="T1277" s="19"/>
      <c r="U1277" s="16"/>
      <c r="V1277" s="19"/>
      <c r="W1277" s="160"/>
      <c r="X1277" s="160"/>
      <c r="Y1277" s="160"/>
      <c r="Z1277" s="160"/>
      <c r="AA1277" s="160"/>
      <c r="AB1277" s="10"/>
      <c r="AD1277" s="160"/>
    </row>
    <row r="1278" spans="4:30" x14ac:dyDescent="0.2">
      <c r="D1278" s="8"/>
      <c r="E1278" s="6"/>
      <c r="G1278" s="10"/>
      <c r="J1278" s="142"/>
      <c r="K1278" s="15"/>
      <c r="L1278" s="15"/>
      <c r="M1278" s="15"/>
      <c r="N1278" s="16"/>
      <c r="O1278" s="8"/>
      <c r="P1278" s="8"/>
      <c r="Q1278" s="8"/>
      <c r="R1278" s="16"/>
      <c r="S1278" s="16"/>
      <c r="T1278" s="19"/>
      <c r="U1278" s="16"/>
      <c r="V1278" s="19"/>
      <c r="W1278" s="160"/>
      <c r="X1278" s="160"/>
      <c r="Y1278" s="160"/>
      <c r="Z1278" s="160"/>
      <c r="AA1278" s="160"/>
      <c r="AB1278" s="10"/>
      <c r="AD1278" s="160"/>
    </row>
    <row r="1279" spans="4:30" x14ac:dyDescent="0.2">
      <c r="D1279" s="8"/>
      <c r="E1279" s="6"/>
      <c r="G1279" s="10"/>
      <c r="J1279" s="142"/>
      <c r="K1279" s="15"/>
      <c r="L1279" s="15"/>
      <c r="M1279" s="15"/>
      <c r="N1279" s="16"/>
      <c r="O1279" s="8"/>
      <c r="P1279" s="8"/>
      <c r="Q1279" s="8"/>
      <c r="R1279" s="16"/>
      <c r="S1279" s="16"/>
      <c r="T1279" s="19"/>
      <c r="U1279" s="16"/>
      <c r="V1279" s="19"/>
      <c r="W1279" s="160"/>
      <c r="X1279" s="160"/>
      <c r="Y1279" s="160"/>
      <c r="Z1279" s="160"/>
      <c r="AA1279" s="160"/>
      <c r="AB1279" s="10"/>
      <c r="AD1279" s="160"/>
    </row>
    <row r="1280" spans="4:30" x14ac:dyDescent="0.2">
      <c r="D1280" s="8"/>
      <c r="E1280" s="6"/>
      <c r="G1280" s="10"/>
      <c r="J1280" s="142"/>
      <c r="K1280" s="15"/>
      <c r="L1280" s="15"/>
      <c r="M1280" s="15"/>
      <c r="N1280" s="16"/>
      <c r="O1280" s="8"/>
      <c r="P1280" s="8"/>
      <c r="Q1280" s="8"/>
      <c r="R1280" s="16"/>
      <c r="S1280" s="16"/>
      <c r="T1280" s="19"/>
      <c r="U1280" s="16"/>
      <c r="V1280" s="19"/>
      <c r="W1280" s="160"/>
      <c r="X1280" s="160"/>
      <c r="Y1280" s="160"/>
      <c r="Z1280" s="160"/>
      <c r="AA1280" s="160"/>
      <c r="AB1280" s="10"/>
      <c r="AD1280" s="160"/>
    </row>
    <row r="1281" spans="4:30" x14ac:dyDescent="0.2">
      <c r="D1281" s="8"/>
      <c r="E1281" s="6"/>
      <c r="G1281" s="10"/>
      <c r="J1281" s="142"/>
      <c r="K1281" s="15"/>
      <c r="L1281" s="15"/>
      <c r="M1281" s="15"/>
      <c r="N1281" s="16"/>
      <c r="O1281" s="8"/>
      <c r="P1281" s="8"/>
      <c r="Q1281" s="8"/>
      <c r="R1281" s="16"/>
      <c r="S1281" s="16"/>
      <c r="T1281" s="19"/>
      <c r="U1281" s="16"/>
      <c r="V1281" s="19"/>
      <c r="W1281" s="160"/>
      <c r="X1281" s="160"/>
      <c r="Y1281" s="160"/>
      <c r="Z1281" s="160"/>
      <c r="AA1281" s="160"/>
      <c r="AB1281" s="10"/>
      <c r="AD1281" s="160"/>
    </row>
    <row r="1282" spans="4:30" x14ac:dyDescent="0.2">
      <c r="D1282" s="8"/>
      <c r="E1282" s="6"/>
      <c r="G1282" s="10"/>
      <c r="J1282" s="142"/>
      <c r="K1282" s="15"/>
      <c r="L1282" s="15"/>
      <c r="M1282" s="15"/>
      <c r="N1282" s="16"/>
      <c r="O1282" s="8"/>
      <c r="P1282" s="8"/>
      <c r="Q1282" s="8"/>
      <c r="R1282" s="16"/>
      <c r="S1282" s="16"/>
      <c r="T1282" s="19"/>
      <c r="U1282" s="16"/>
      <c r="V1282" s="19"/>
      <c r="W1282" s="160"/>
      <c r="X1282" s="160"/>
      <c r="Y1282" s="160"/>
      <c r="Z1282" s="160"/>
      <c r="AA1282" s="160"/>
      <c r="AB1282" s="10"/>
      <c r="AD1282" s="160"/>
    </row>
    <row r="1283" spans="4:30" x14ac:dyDescent="0.2">
      <c r="D1283" s="8"/>
      <c r="E1283" s="6"/>
      <c r="G1283" s="10"/>
      <c r="J1283" s="142"/>
      <c r="K1283" s="15"/>
      <c r="L1283" s="15"/>
      <c r="M1283" s="15"/>
      <c r="N1283" s="16"/>
      <c r="O1283" s="8"/>
      <c r="P1283" s="8"/>
      <c r="Q1283" s="8"/>
      <c r="R1283" s="16"/>
      <c r="S1283" s="16"/>
      <c r="T1283" s="19"/>
      <c r="U1283" s="16"/>
      <c r="V1283" s="19"/>
      <c r="W1283" s="160"/>
      <c r="X1283" s="160"/>
      <c r="Y1283" s="160"/>
      <c r="Z1283" s="160"/>
      <c r="AA1283" s="160"/>
      <c r="AB1283" s="10"/>
      <c r="AD1283" s="160"/>
    </row>
    <row r="1284" spans="4:30" x14ac:dyDescent="0.2">
      <c r="D1284" s="8"/>
      <c r="E1284" s="6"/>
      <c r="G1284" s="10"/>
      <c r="J1284" s="142"/>
      <c r="K1284" s="15"/>
      <c r="L1284" s="15"/>
      <c r="M1284" s="15"/>
      <c r="N1284" s="16"/>
      <c r="O1284" s="8"/>
      <c r="P1284" s="8"/>
      <c r="Q1284" s="8"/>
      <c r="R1284" s="16"/>
      <c r="S1284" s="16"/>
      <c r="T1284" s="19"/>
      <c r="U1284" s="16"/>
      <c r="V1284" s="19"/>
      <c r="W1284" s="160"/>
      <c r="X1284" s="160"/>
      <c r="Y1284" s="160"/>
      <c r="Z1284" s="160"/>
      <c r="AA1284" s="160"/>
      <c r="AB1284" s="10"/>
      <c r="AD1284" s="160"/>
    </row>
    <row r="1285" spans="4:30" x14ac:dyDescent="0.2">
      <c r="D1285" s="8"/>
      <c r="E1285" s="6"/>
      <c r="G1285" s="10"/>
      <c r="J1285" s="142"/>
      <c r="K1285" s="15"/>
      <c r="L1285" s="15"/>
      <c r="M1285" s="15"/>
      <c r="N1285" s="16"/>
      <c r="O1285" s="8"/>
      <c r="P1285" s="8"/>
      <c r="Q1285" s="8"/>
      <c r="R1285" s="16"/>
      <c r="S1285" s="16"/>
      <c r="T1285" s="19"/>
      <c r="U1285" s="16"/>
      <c r="V1285" s="19"/>
      <c r="W1285" s="160"/>
      <c r="X1285" s="160"/>
      <c r="Y1285" s="160"/>
      <c r="Z1285" s="160"/>
      <c r="AA1285" s="160"/>
      <c r="AB1285" s="10"/>
      <c r="AD1285" s="160"/>
    </row>
    <row r="1286" spans="4:30" x14ac:dyDescent="0.2">
      <c r="D1286" s="8"/>
      <c r="E1286" s="6"/>
      <c r="G1286" s="10"/>
      <c r="J1286" s="142"/>
      <c r="K1286" s="15"/>
      <c r="L1286" s="15"/>
      <c r="M1286" s="15"/>
      <c r="N1286" s="16"/>
      <c r="O1286" s="8"/>
      <c r="P1286" s="8"/>
      <c r="Q1286" s="8"/>
      <c r="R1286" s="16"/>
      <c r="S1286" s="16"/>
      <c r="T1286" s="19"/>
      <c r="U1286" s="16"/>
      <c r="V1286" s="19"/>
      <c r="W1286" s="160"/>
      <c r="X1286" s="160"/>
      <c r="Y1286" s="160"/>
      <c r="Z1286" s="160"/>
      <c r="AA1286" s="160"/>
      <c r="AB1286" s="10"/>
      <c r="AD1286" s="160"/>
    </row>
    <row r="1287" spans="4:30" x14ac:dyDescent="0.2">
      <c r="D1287" s="8"/>
      <c r="E1287" s="6"/>
      <c r="G1287" s="10"/>
      <c r="J1287" s="142"/>
      <c r="K1287" s="15"/>
      <c r="L1287" s="15"/>
      <c r="M1287" s="15"/>
      <c r="N1287" s="16"/>
      <c r="O1287" s="8"/>
      <c r="P1287" s="8"/>
      <c r="Q1287" s="8"/>
      <c r="R1287" s="16"/>
      <c r="S1287" s="16"/>
      <c r="T1287" s="19"/>
      <c r="U1287" s="16"/>
      <c r="V1287" s="19"/>
      <c r="W1287" s="160"/>
      <c r="X1287" s="160"/>
      <c r="Y1287" s="160"/>
      <c r="Z1287" s="160"/>
      <c r="AA1287" s="160"/>
      <c r="AB1287" s="10"/>
      <c r="AD1287" s="160"/>
    </row>
    <row r="1288" spans="4:30" x14ac:dyDescent="0.2">
      <c r="D1288" s="8"/>
      <c r="E1288" s="6"/>
      <c r="G1288" s="10"/>
      <c r="J1288" s="142"/>
      <c r="K1288" s="15"/>
      <c r="L1288" s="15"/>
      <c r="M1288" s="15"/>
      <c r="N1288" s="16"/>
      <c r="O1288" s="8"/>
      <c r="P1288" s="8"/>
      <c r="Q1288" s="8"/>
      <c r="R1288" s="16"/>
      <c r="S1288" s="16"/>
      <c r="T1288" s="19"/>
      <c r="U1288" s="16"/>
      <c r="V1288" s="19"/>
      <c r="W1288" s="160"/>
      <c r="X1288" s="160"/>
      <c r="Y1288" s="160"/>
      <c r="Z1288" s="160"/>
      <c r="AA1288" s="160"/>
      <c r="AB1288" s="10"/>
      <c r="AD1288" s="160"/>
    </row>
    <row r="1289" spans="4:30" x14ac:dyDescent="0.2">
      <c r="D1289" s="8"/>
      <c r="E1289" s="6"/>
      <c r="G1289" s="10"/>
      <c r="J1289" s="142"/>
      <c r="K1289" s="15"/>
      <c r="L1289" s="15"/>
      <c r="M1289" s="15"/>
      <c r="N1289" s="16"/>
      <c r="O1289" s="8"/>
      <c r="P1289" s="8"/>
      <c r="Q1289" s="8"/>
      <c r="R1289" s="16"/>
      <c r="S1289" s="16"/>
      <c r="T1289" s="19"/>
      <c r="U1289" s="16"/>
      <c r="V1289" s="19"/>
      <c r="W1289" s="160"/>
      <c r="X1289" s="160"/>
      <c r="Y1289" s="160"/>
      <c r="Z1289" s="160"/>
      <c r="AA1289" s="160"/>
      <c r="AB1289" s="10"/>
      <c r="AD1289" s="160"/>
    </row>
    <row r="1290" spans="4:30" x14ac:dyDescent="0.2">
      <c r="D1290" s="8"/>
      <c r="E1290" s="6"/>
      <c r="G1290" s="10"/>
      <c r="J1290" s="142"/>
      <c r="K1290" s="15"/>
      <c r="L1290" s="15"/>
      <c r="M1290" s="15"/>
      <c r="N1290" s="16"/>
      <c r="O1290" s="8"/>
      <c r="P1290" s="8"/>
      <c r="Q1290" s="8"/>
      <c r="R1290" s="16"/>
      <c r="S1290" s="16"/>
      <c r="T1290" s="19"/>
      <c r="U1290" s="16"/>
      <c r="V1290" s="19"/>
      <c r="W1290" s="160"/>
      <c r="X1290" s="160"/>
      <c r="Y1290" s="160"/>
      <c r="Z1290" s="160"/>
      <c r="AA1290" s="160"/>
      <c r="AB1290" s="10"/>
      <c r="AD1290" s="160"/>
    </row>
    <row r="1291" spans="4:30" x14ac:dyDescent="0.2">
      <c r="D1291" s="8"/>
      <c r="E1291" s="6"/>
      <c r="G1291" s="10"/>
      <c r="J1291" s="142"/>
      <c r="K1291" s="15"/>
      <c r="L1291" s="15"/>
      <c r="M1291" s="15"/>
      <c r="N1291" s="16"/>
      <c r="O1291" s="8"/>
      <c r="P1291" s="8"/>
      <c r="Q1291" s="8"/>
      <c r="R1291" s="16"/>
      <c r="S1291" s="16"/>
      <c r="T1291" s="19"/>
      <c r="U1291" s="16"/>
      <c r="V1291" s="19"/>
      <c r="W1291" s="160"/>
      <c r="X1291" s="160"/>
      <c r="Y1291" s="160"/>
      <c r="Z1291" s="160"/>
      <c r="AA1291" s="160"/>
      <c r="AB1291" s="10"/>
      <c r="AD1291" s="160"/>
    </row>
    <row r="1292" spans="4:30" x14ac:dyDescent="0.2">
      <c r="D1292" s="8"/>
      <c r="E1292" s="6"/>
      <c r="G1292" s="10"/>
      <c r="J1292" s="142"/>
      <c r="K1292" s="15"/>
      <c r="L1292" s="15"/>
      <c r="M1292" s="15"/>
      <c r="N1292" s="16"/>
      <c r="O1292" s="8"/>
      <c r="P1292" s="8"/>
      <c r="Q1292" s="8"/>
      <c r="R1292" s="16"/>
      <c r="S1292" s="16"/>
      <c r="T1292" s="19"/>
      <c r="U1292" s="16"/>
      <c r="V1292" s="19"/>
      <c r="W1292" s="160"/>
      <c r="X1292" s="160"/>
      <c r="Y1292" s="160"/>
      <c r="Z1292" s="160"/>
      <c r="AA1292" s="160"/>
      <c r="AB1292" s="10"/>
      <c r="AD1292" s="160"/>
    </row>
    <row r="1293" spans="4:30" x14ac:dyDescent="0.2">
      <c r="D1293" s="8"/>
      <c r="E1293" s="6"/>
      <c r="G1293" s="10"/>
      <c r="J1293" s="142"/>
      <c r="K1293" s="15"/>
      <c r="L1293" s="15"/>
      <c r="M1293" s="15"/>
      <c r="N1293" s="16"/>
      <c r="O1293" s="8"/>
      <c r="P1293" s="8"/>
      <c r="Q1293" s="8"/>
      <c r="R1293" s="16"/>
      <c r="S1293" s="16"/>
      <c r="T1293" s="19"/>
      <c r="U1293" s="16"/>
      <c r="V1293" s="19"/>
      <c r="W1293" s="160"/>
      <c r="X1293" s="160"/>
      <c r="Y1293" s="160"/>
      <c r="Z1293" s="160"/>
      <c r="AA1293" s="160"/>
      <c r="AB1293" s="10"/>
      <c r="AD1293" s="160"/>
    </row>
    <row r="1294" spans="4:30" x14ac:dyDescent="0.2">
      <c r="D1294" s="8"/>
      <c r="E1294" s="6"/>
      <c r="G1294" s="10"/>
      <c r="J1294" s="142"/>
      <c r="K1294" s="15"/>
      <c r="L1294" s="15"/>
      <c r="M1294" s="15"/>
      <c r="N1294" s="16"/>
      <c r="O1294" s="8"/>
      <c r="P1294" s="8"/>
      <c r="Q1294" s="8"/>
      <c r="R1294" s="16"/>
      <c r="S1294" s="16"/>
      <c r="T1294" s="19"/>
      <c r="U1294" s="16"/>
      <c r="V1294" s="19"/>
      <c r="W1294" s="160"/>
      <c r="X1294" s="160"/>
      <c r="Y1294" s="160"/>
      <c r="Z1294" s="160"/>
      <c r="AA1294" s="160"/>
      <c r="AB1294" s="10"/>
      <c r="AD1294" s="160"/>
    </row>
    <row r="1295" spans="4:30" x14ac:dyDescent="0.2">
      <c r="D1295" s="8"/>
      <c r="E1295" s="6"/>
      <c r="G1295" s="10"/>
      <c r="J1295" s="142"/>
      <c r="K1295" s="15"/>
      <c r="L1295" s="15"/>
      <c r="M1295" s="15"/>
      <c r="N1295" s="16"/>
      <c r="O1295" s="8"/>
      <c r="P1295" s="8"/>
      <c r="Q1295" s="8"/>
      <c r="R1295" s="16"/>
      <c r="S1295" s="16"/>
      <c r="T1295" s="19"/>
      <c r="U1295" s="16"/>
      <c r="V1295" s="19"/>
      <c r="W1295" s="160"/>
      <c r="X1295" s="160"/>
      <c r="Y1295" s="160"/>
      <c r="Z1295" s="160"/>
      <c r="AA1295" s="160"/>
      <c r="AB1295" s="10"/>
      <c r="AD1295" s="160"/>
    </row>
    <row r="1296" spans="4:30" x14ac:dyDescent="0.2">
      <c r="D1296" s="8"/>
      <c r="E1296" s="6"/>
      <c r="G1296" s="10"/>
      <c r="J1296" s="142"/>
      <c r="K1296" s="15"/>
      <c r="L1296" s="15"/>
      <c r="M1296" s="15"/>
      <c r="N1296" s="16"/>
      <c r="O1296" s="8"/>
      <c r="P1296" s="8"/>
      <c r="Q1296" s="8"/>
      <c r="R1296" s="16"/>
      <c r="S1296" s="16"/>
      <c r="T1296" s="19"/>
      <c r="U1296" s="16"/>
      <c r="V1296" s="19"/>
      <c r="W1296" s="160"/>
      <c r="X1296" s="160"/>
      <c r="Y1296" s="160"/>
      <c r="Z1296" s="160"/>
      <c r="AA1296" s="160"/>
      <c r="AB1296" s="10"/>
      <c r="AD1296" s="160"/>
    </row>
    <row r="1297" spans="4:30" x14ac:dyDescent="0.2">
      <c r="D1297" s="8"/>
      <c r="E1297" s="6"/>
      <c r="G1297" s="10"/>
      <c r="J1297" s="142"/>
      <c r="K1297" s="15"/>
      <c r="L1297" s="15"/>
      <c r="M1297" s="15"/>
      <c r="N1297" s="16"/>
      <c r="O1297" s="8"/>
      <c r="P1297" s="8"/>
      <c r="Q1297" s="8"/>
      <c r="R1297" s="16"/>
      <c r="S1297" s="16"/>
      <c r="T1297" s="19"/>
      <c r="U1297" s="16"/>
      <c r="V1297" s="19"/>
      <c r="W1297" s="160"/>
      <c r="X1297" s="160"/>
      <c r="Y1297" s="160"/>
      <c r="Z1297" s="160"/>
      <c r="AA1297" s="160"/>
      <c r="AB1297" s="10"/>
      <c r="AD1297" s="160"/>
    </row>
    <row r="1298" spans="4:30" x14ac:dyDescent="0.2">
      <c r="D1298" s="8"/>
      <c r="E1298" s="6"/>
      <c r="G1298" s="10"/>
      <c r="J1298" s="142"/>
      <c r="K1298" s="15"/>
      <c r="L1298" s="15"/>
      <c r="M1298" s="15"/>
      <c r="N1298" s="16"/>
      <c r="O1298" s="8"/>
      <c r="P1298" s="8"/>
      <c r="Q1298" s="8"/>
      <c r="R1298" s="16"/>
      <c r="S1298" s="16"/>
      <c r="T1298" s="19"/>
      <c r="U1298" s="16"/>
      <c r="V1298" s="19"/>
      <c r="W1298" s="160"/>
      <c r="X1298" s="160"/>
      <c r="Y1298" s="160"/>
      <c r="Z1298" s="160"/>
      <c r="AA1298" s="160"/>
      <c r="AB1298" s="10"/>
      <c r="AD1298" s="160"/>
    </row>
    <row r="1299" spans="4:30" x14ac:dyDescent="0.2">
      <c r="D1299" s="8"/>
      <c r="E1299" s="6"/>
      <c r="G1299" s="10"/>
      <c r="J1299" s="142"/>
      <c r="K1299" s="15"/>
      <c r="L1299" s="15"/>
      <c r="M1299" s="15"/>
      <c r="N1299" s="16"/>
      <c r="O1299" s="8"/>
      <c r="P1299" s="8"/>
      <c r="Q1299" s="8"/>
      <c r="R1299" s="16"/>
      <c r="S1299" s="16"/>
      <c r="T1299" s="19"/>
      <c r="U1299" s="16"/>
      <c r="V1299" s="19"/>
      <c r="W1299" s="160"/>
      <c r="X1299" s="160"/>
      <c r="Y1299" s="160"/>
      <c r="Z1299" s="160"/>
      <c r="AA1299" s="160"/>
      <c r="AB1299" s="10"/>
      <c r="AD1299" s="160"/>
    </row>
    <row r="1300" spans="4:30" x14ac:dyDescent="0.2">
      <c r="D1300" s="8"/>
      <c r="E1300" s="6"/>
      <c r="G1300" s="10"/>
      <c r="J1300" s="142"/>
      <c r="K1300" s="15"/>
      <c r="L1300" s="15"/>
      <c r="M1300" s="15"/>
      <c r="N1300" s="16"/>
      <c r="O1300" s="8"/>
      <c r="P1300" s="8"/>
      <c r="Q1300" s="8"/>
      <c r="R1300" s="16"/>
      <c r="S1300" s="16"/>
      <c r="T1300" s="19"/>
      <c r="U1300" s="16"/>
      <c r="V1300" s="19"/>
      <c r="W1300" s="160"/>
      <c r="X1300" s="160"/>
      <c r="Y1300" s="160"/>
      <c r="Z1300" s="160"/>
      <c r="AA1300" s="160"/>
      <c r="AB1300" s="10"/>
      <c r="AD1300" s="160"/>
    </row>
    <row r="1301" spans="4:30" x14ac:dyDescent="0.2">
      <c r="D1301" s="8"/>
      <c r="E1301" s="6"/>
      <c r="G1301" s="10"/>
      <c r="J1301" s="142"/>
      <c r="K1301" s="15"/>
      <c r="L1301" s="15"/>
      <c r="M1301" s="15"/>
      <c r="N1301" s="16"/>
      <c r="O1301" s="8"/>
      <c r="P1301" s="8"/>
      <c r="Q1301" s="8"/>
      <c r="R1301" s="16"/>
      <c r="S1301" s="16"/>
      <c r="T1301" s="19"/>
      <c r="U1301" s="16"/>
      <c r="V1301" s="19"/>
      <c r="W1301" s="160"/>
      <c r="X1301" s="160"/>
      <c r="Y1301" s="160"/>
      <c r="Z1301" s="160"/>
      <c r="AA1301" s="160"/>
      <c r="AB1301" s="10"/>
      <c r="AD1301" s="160"/>
    </row>
    <row r="1302" spans="4:30" x14ac:dyDescent="0.2">
      <c r="D1302" s="8"/>
      <c r="E1302" s="6"/>
      <c r="G1302" s="10"/>
      <c r="J1302" s="142"/>
      <c r="K1302" s="15"/>
      <c r="L1302" s="15"/>
      <c r="M1302" s="15"/>
      <c r="N1302" s="16"/>
      <c r="O1302" s="8"/>
      <c r="P1302" s="8"/>
      <c r="Q1302" s="8"/>
      <c r="R1302" s="16"/>
      <c r="S1302" s="16"/>
      <c r="T1302" s="19"/>
      <c r="U1302" s="16"/>
      <c r="V1302" s="19"/>
      <c r="W1302" s="160"/>
      <c r="X1302" s="160"/>
      <c r="Y1302" s="160"/>
      <c r="Z1302" s="160"/>
      <c r="AA1302" s="160"/>
      <c r="AB1302" s="10"/>
      <c r="AD1302" s="160"/>
    </row>
    <row r="1303" spans="4:30" x14ac:dyDescent="0.2">
      <c r="D1303" s="8"/>
      <c r="E1303" s="6"/>
      <c r="G1303" s="10"/>
      <c r="J1303" s="142"/>
      <c r="K1303" s="15"/>
      <c r="L1303" s="15"/>
      <c r="M1303" s="15"/>
      <c r="N1303" s="16"/>
      <c r="O1303" s="8"/>
      <c r="P1303" s="8"/>
      <c r="Q1303" s="8"/>
      <c r="R1303" s="16"/>
      <c r="S1303" s="16"/>
      <c r="T1303" s="19"/>
      <c r="U1303" s="16"/>
      <c r="V1303" s="19"/>
      <c r="W1303" s="160"/>
      <c r="X1303" s="160"/>
      <c r="Y1303" s="160"/>
      <c r="Z1303" s="160"/>
      <c r="AA1303" s="160"/>
      <c r="AB1303" s="10"/>
      <c r="AD1303" s="160"/>
    </row>
    <row r="1304" spans="4:30" x14ac:dyDescent="0.2">
      <c r="D1304" s="8"/>
      <c r="E1304" s="6"/>
      <c r="G1304" s="10"/>
      <c r="J1304" s="142"/>
      <c r="K1304" s="15"/>
      <c r="L1304" s="15"/>
      <c r="M1304" s="15"/>
      <c r="N1304" s="16"/>
      <c r="O1304" s="8"/>
      <c r="P1304" s="8"/>
      <c r="Q1304" s="8"/>
      <c r="R1304" s="16"/>
      <c r="S1304" s="16"/>
      <c r="T1304" s="19"/>
      <c r="U1304" s="16"/>
      <c r="V1304" s="19"/>
      <c r="W1304" s="160"/>
      <c r="X1304" s="160"/>
      <c r="Y1304" s="160"/>
      <c r="Z1304" s="160"/>
      <c r="AA1304" s="160"/>
      <c r="AB1304" s="10"/>
      <c r="AD1304" s="160"/>
    </row>
    <row r="1305" spans="4:30" x14ac:dyDescent="0.2">
      <c r="D1305" s="8"/>
      <c r="E1305" s="6"/>
      <c r="G1305" s="10"/>
      <c r="J1305" s="142"/>
      <c r="K1305" s="15"/>
      <c r="L1305" s="15"/>
      <c r="M1305" s="15"/>
      <c r="N1305" s="16"/>
      <c r="O1305" s="8"/>
      <c r="P1305" s="8"/>
      <c r="Q1305" s="8"/>
      <c r="R1305" s="16"/>
      <c r="S1305" s="16"/>
      <c r="T1305" s="19"/>
      <c r="U1305" s="16"/>
      <c r="V1305" s="19"/>
      <c r="W1305" s="160"/>
      <c r="X1305" s="160"/>
      <c r="Y1305" s="160"/>
      <c r="Z1305" s="160"/>
      <c r="AA1305" s="160"/>
      <c r="AB1305" s="10"/>
      <c r="AD1305" s="160"/>
    </row>
    <row r="1306" spans="4:30" x14ac:dyDescent="0.2">
      <c r="D1306" s="8"/>
      <c r="E1306" s="6"/>
      <c r="G1306" s="10"/>
      <c r="J1306" s="142"/>
      <c r="K1306" s="15"/>
      <c r="L1306" s="15"/>
      <c r="M1306" s="15"/>
      <c r="N1306" s="16"/>
      <c r="O1306" s="8"/>
      <c r="P1306" s="8"/>
      <c r="Q1306" s="8"/>
      <c r="R1306" s="16"/>
      <c r="S1306" s="16"/>
      <c r="T1306" s="19"/>
      <c r="U1306" s="16"/>
      <c r="V1306" s="19"/>
      <c r="W1306" s="160"/>
      <c r="X1306" s="160"/>
      <c r="Y1306" s="160"/>
      <c r="Z1306" s="160"/>
      <c r="AA1306" s="160"/>
      <c r="AB1306" s="10"/>
      <c r="AD1306" s="160"/>
    </row>
    <row r="1307" spans="4:30" x14ac:dyDescent="0.2">
      <c r="D1307" s="8"/>
      <c r="E1307" s="6"/>
      <c r="G1307" s="10"/>
      <c r="J1307" s="142"/>
      <c r="K1307" s="15"/>
      <c r="L1307" s="15"/>
      <c r="M1307" s="15"/>
      <c r="N1307" s="16"/>
      <c r="O1307" s="8"/>
      <c r="P1307" s="8"/>
      <c r="Q1307" s="8"/>
      <c r="R1307" s="16"/>
      <c r="S1307" s="16"/>
      <c r="T1307" s="19"/>
      <c r="U1307" s="16"/>
      <c r="V1307" s="19"/>
      <c r="W1307" s="160"/>
      <c r="X1307" s="160"/>
      <c r="Y1307" s="160"/>
      <c r="Z1307" s="160"/>
      <c r="AA1307" s="160"/>
      <c r="AB1307" s="10"/>
      <c r="AD1307" s="160"/>
    </row>
    <row r="1308" spans="4:30" x14ac:dyDescent="0.2">
      <c r="D1308" s="8"/>
      <c r="E1308" s="6"/>
      <c r="G1308" s="10"/>
      <c r="J1308" s="142"/>
      <c r="K1308" s="15"/>
      <c r="L1308" s="15"/>
      <c r="M1308" s="15"/>
      <c r="N1308" s="16"/>
      <c r="O1308" s="8"/>
      <c r="P1308" s="8"/>
      <c r="Q1308" s="8"/>
      <c r="R1308" s="16"/>
      <c r="S1308" s="16"/>
      <c r="T1308" s="19"/>
      <c r="U1308" s="16"/>
      <c r="V1308" s="19"/>
      <c r="W1308" s="160"/>
      <c r="X1308" s="160"/>
      <c r="Y1308" s="160"/>
      <c r="Z1308" s="160"/>
      <c r="AA1308" s="160"/>
      <c r="AB1308" s="10"/>
      <c r="AD1308" s="160"/>
    </row>
    <row r="1309" spans="4:30" x14ac:dyDescent="0.2">
      <c r="D1309" s="8"/>
      <c r="E1309" s="6"/>
      <c r="G1309" s="10"/>
      <c r="J1309" s="142"/>
      <c r="K1309" s="15"/>
      <c r="L1309" s="15"/>
      <c r="M1309" s="15"/>
      <c r="N1309" s="16"/>
      <c r="O1309" s="8"/>
      <c r="P1309" s="8"/>
      <c r="Q1309" s="8"/>
      <c r="R1309" s="16"/>
      <c r="S1309" s="16"/>
      <c r="T1309" s="19"/>
      <c r="U1309" s="16"/>
      <c r="V1309" s="19"/>
      <c r="W1309" s="160"/>
      <c r="X1309" s="160"/>
      <c r="Y1309" s="160"/>
      <c r="Z1309" s="160"/>
      <c r="AA1309" s="160"/>
      <c r="AB1309" s="10"/>
      <c r="AD1309" s="160"/>
    </row>
    <row r="1310" spans="4:30" x14ac:dyDescent="0.2">
      <c r="D1310" s="8"/>
      <c r="E1310" s="6"/>
      <c r="G1310" s="10"/>
      <c r="J1310" s="142"/>
      <c r="K1310" s="15"/>
      <c r="L1310" s="15"/>
      <c r="M1310" s="15"/>
      <c r="N1310" s="16"/>
      <c r="O1310" s="8"/>
      <c r="P1310" s="8"/>
      <c r="Q1310" s="8"/>
      <c r="R1310" s="16"/>
      <c r="S1310" s="16"/>
      <c r="T1310" s="19"/>
      <c r="U1310" s="16"/>
      <c r="V1310" s="19"/>
      <c r="W1310" s="160"/>
      <c r="X1310" s="160"/>
      <c r="Y1310" s="160"/>
      <c r="Z1310" s="160"/>
      <c r="AA1310" s="160"/>
      <c r="AB1310" s="10"/>
      <c r="AD1310" s="160"/>
    </row>
    <row r="1311" spans="4:30" x14ac:dyDescent="0.2">
      <c r="D1311" s="8"/>
      <c r="E1311" s="6"/>
      <c r="G1311" s="10"/>
      <c r="J1311" s="142"/>
      <c r="K1311" s="15"/>
      <c r="L1311" s="15"/>
      <c r="M1311" s="15"/>
      <c r="N1311" s="16"/>
      <c r="O1311" s="8"/>
      <c r="P1311" s="8"/>
      <c r="Q1311" s="8"/>
      <c r="R1311" s="16"/>
      <c r="S1311" s="16"/>
      <c r="T1311" s="19"/>
      <c r="U1311" s="16"/>
      <c r="V1311" s="19"/>
      <c r="W1311" s="160"/>
      <c r="X1311" s="160"/>
      <c r="Y1311" s="160"/>
      <c r="Z1311" s="160"/>
      <c r="AA1311" s="160"/>
      <c r="AB1311" s="10"/>
      <c r="AD1311" s="160"/>
    </row>
    <row r="1312" spans="4:30" x14ac:dyDescent="0.2">
      <c r="D1312" s="8"/>
      <c r="E1312" s="6"/>
      <c r="G1312" s="10"/>
      <c r="J1312" s="142"/>
      <c r="K1312" s="15"/>
      <c r="L1312" s="15"/>
      <c r="M1312" s="15"/>
      <c r="N1312" s="16"/>
      <c r="O1312" s="8"/>
      <c r="P1312" s="8"/>
      <c r="Q1312" s="8"/>
      <c r="R1312" s="16"/>
      <c r="S1312" s="16"/>
      <c r="T1312" s="19"/>
      <c r="U1312" s="16"/>
      <c r="V1312" s="19"/>
      <c r="W1312" s="160"/>
      <c r="X1312" s="160"/>
      <c r="Y1312" s="160"/>
      <c r="Z1312" s="160"/>
      <c r="AA1312" s="160"/>
      <c r="AB1312" s="10"/>
      <c r="AD1312" s="160"/>
    </row>
    <row r="1313" spans="4:30" x14ac:dyDescent="0.2">
      <c r="D1313" s="8"/>
      <c r="E1313" s="6"/>
      <c r="G1313" s="10"/>
      <c r="J1313" s="142"/>
      <c r="K1313" s="15"/>
      <c r="L1313" s="15"/>
      <c r="M1313" s="15"/>
      <c r="N1313" s="16"/>
      <c r="O1313" s="8"/>
      <c r="P1313" s="8"/>
      <c r="Q1313" s="8"/>
      <c r="R1313" s="16"/>
      <c r="S1313" s="16"/>
      <c r="T1313" s="19"/>
      <c r="U1313" s="16"/>
      <c r="V1313" s="19"/>
      <c r="W1313" s="160"/>
      <c r="X1313" s="160"/>
      <c r="Y1313" s="160"/>
      <c r="Z1313" s="160"/>
      <c r="AA1313" s="160"/>
      <c r="AB1313" s="10"/>
      <c r="AD1313" s="160"/>
    </row>
    <row r="1314" spans="4:30" x14ac:dyDescent="0.2">
      <c r="D1314" s="8"/>
      <c r="E1314" s="6"/>
      <c r="G1314" s="10"/>
      <c r="J1314" s="142"/>
      <c r="K1314" s="15"/>
      <c r="L1314" s="15"/>
      <c r="M1314" s="15"/>
      <c r="N1314" s="16"/>
      <c r="O1314" s="8"/>
      <c r="P1314" s="8"/>
      <c r="Q1314" s="8"/>
      <c r="R1314" s="16"/>
      <c r="S1314" s="16"/>
      <c r="T1314" s="19"/>
      <c r="U1314" s="16"/>
      <c r="V1314" s="19"/>
      <c r="W1314" s="160"/>
      <c r="X1314" s="160"/>
      <c r="Y1314" s="160"/>
      <c r="Z1314" s="160"/>
      <c r="AA1314" s="160"/>
      <c r="AB1314" s="10"/>
      <c r="AD1314" s="160"/>
    </row>
    <row r="1315" spans="4:30" x14ac:dyDescent="0.2">
      <c r="D1315" s="8"/>
      <c r="E1315" s="6"/>
      <c r="G1315" s="10"/>
      <c r="J1315" s="142"/>
      <c r="K1315" s="15"/>
      <c r="L1315" s="15"/>
      <c r="M1315" s="15"/>
      <c r="N1315" s="16"/>
      <c r="O1315" s="8"/>
      <c r="P1315" s="8"/>
      <c r="Q1315" s="8"/>
      <c r="R1315" s="16"/>
      <c r="S1315" s="16"/>
      <c r="T1315" s="19"/>
      <c r="U1315" s="16"/>
      <c r="V1315" s="19"/>
      <c r="W1315" s="160"/>
      <c r="X1315" s="160"/>
      <c r="Y1315" s="160"/>
      <c r="Z1315" s="160"/>
      <c r="AA1315" s="160"/>
      <c r="AB1315" s="10"/>
      <c r="AD1315" s="160"/>
    </row>
    <row r="1316" spans="4:30" x14ac:dyDescent="0.2">
      <c r="D1316" s="8"/>
      <c r="E1316" s="6"/>
      <c r="G1316" s="10"/>
      <c r="J1316" s="142"/>
      <c r="K1316" s="15"/>
      <c r="L1316" s="15"/>
      <c r="M1316" s="15"/>
      <c r="N1316" s="16"/>
      <c r="O1316" s="8"/>
      <c r="P1316" s="8"/>
      <c r="Q1316" s="8"/>
      <c r="R1316" s="16"/>
      <c r="S1316" s="16"/>
      <c r="T1316" s="19"/>
      <c r="U1316" s="16"/>
      <c r="V1316" s="19"/>
      <c r="W1316" s="160"/>
      <c r="X1316" s="160"/>
      <c r="Y1316" s="160"/>
      <c r="Z1316" s="160"/>
      <c r="AA1316" s="160"/>
      <c r="AB1316" s="10"/>
      <c r="AD1316" s="160"/>
    </row>
    <row r="1317" spans="4:30" x14ac:dyDescent="0.2">
      <c r="D1317" s="8"/>
      <c r="E1317" s="6"/>
      <c r="G1317" s="10"/>
      <c r="J1317" s="142"/>
      <c r="K1317" s="15"/>
      <c r="L1317" s="15"/>
      <c r="M1317" s="15"/>
      <c r="N1317" s="16"/>
      <c r="O1317" s="8"/>
      <c r="P1317" s="8"/>
      <c r="Q1317" s="8"/>
      <c r="R1317" s="16"/>
      <c r="S1317" s="16"/>
      <c r="T1317" s="19"/>
      <c r="U1317" s="16"/>
      <c r="V1317" s="19"/>
      <c r="W1317" s="160"/>
      <c r="X1317" s="160"/>
      <c r="Y1317" s="160"/>
      <c r="Z1317" s="160"/>
      <c r="AA1317" s="160"/>
      <c r="AB1317" s="10"/>
      <c r="AD1317" s="160"/>
    </row>
    <row r="1318" spans="4:30" x14ac:dyDescent="0.2">
      <c r="D1318" s="8"/>
      <c r="E1318" s="6"/>
      <c r="G1318" s="10"/>
      <c r="J1318" s="142"/>
      <c r="K1318" s="15"/>
      <c r="L1318" s="15"/>
      <c r="M1318" s="15"/>
      <c r="N1318" s="16"/>
      <c r="O1318" s="8"/>
      <c r="P1318" s="8"/>
      <c r="Q1318" s="8"/>
      <c r="R1318" s="16"/>
      <c r="S1318" s="16"/>
      <c r="T1318" s="19"/>
      <c r="U1318" s="16"/>
      <c r="V1318" s="19"/>
      <c r="W1318" s="160"/>
      <c r="X1318" s="160"/>
      <c r="Y1318" s="160"/>
      <c r="Z1318" s="160"/>
      <c r="AA1318" s="160"/>
      <c r="AB1318" s="10"/>
      <c r="AD1318" s="160"/>
    </row>
    <row r="1319" spans="4:30" x14ac:dyDescent="0.2">
      <c r="D1319" s="8"/>
      <c r="E1319" s="6"/>
      <c r="G1319" s="10"/>
      <c r="J1319" s="142"/>
      <c r="K1319" s="15"/>
      <c r="L1319" s="15"/>
      <c r="M1319" s="15"/>
      <c r="N1319" s="16"/>
      <c r="O1319" s="8"/>
      <c r="P1319" s="8"/>
      <c r="Q1319" s="8"/>
      <c r="R1319" s="16"/>
      <c r="S1319" s="16"/>
      <c r="T1319" s="19"/>
      <c r="U1319" s="16"/>
      <c r="V1319" s="19"/>
      <c r="W1319" s="160"/>
      <c r="X1319" s="160"/>
      <c r="Y1319" s="160"/>
      <c r="Z1319" s="160"/>
      <c r="AA1319" s="160"/>
      <c r="AB1319" s="10"/>
      <c r="AD1319" s="160"/>
    </row>
    <row r="1320" spans="4:30" x14ac:dyDescent="0.2">
      <c r="D1320" s="8"/>
      <c r="E1320" s="6"/>
      <c r="G1320" s="10"/>
      <c r="J1320" s="142"/>
      <c r="K1320" s="15"/>
      <c r="L1320" s="15"/>
      <c r="M1320" s="15"/>
      <c r="N1320" s="16"/>
      <c r="O1320" s="8"/>
      <c r="P1320" s="8"/>
      <c r="Q1320" s="8"/>
      <c r="R1320" s="16"/>
      <c r="S1320" s="16"/>
      <c r="T1320" s="19"/>
      <c r="U1320" s="16"/>
      <c r="V1320" s="19"/>
      <c r="W1320" s="160"/>
      <c r="X1320" s="160"/>
      <c r="Y1320" s="160"/>
      <c r="Z1320" s="160"/>
      <c r="AA1320" s="160"/>
      <c r="AB1320" s="10"/>
      <c r="AD1320" s="160"/>
    </row>
    <row r="1321" spans="4:30" x14ac:dyDescent="0.2">
      <c r="D1321" s="8"/>
      <c r="E1321" s="6"/>
      <c r="G1321" s="10"/>
      <c r="J1321" s="142"/>
      <c r="K1321" s="15"/>
      <c r="L1321" s="15"/>
      <c r="M1321" s="15"/>
      <c r="N1321" s="16"/>
      <c r="O1321" s="8"/>
      <c r="P1321" s="8"/>
      <c r="Q1321" s="8"/>
      <c r="R1321" s="16"/>
      <c r="S1321" s="16"/>
      <c r="T1321" s="19"/>
      <c r="U1321" s="16"/>
      <c r="V1321" s="19"/>
      <c r="W1321" s="160"/>
      <c r="X1321" s="160"/>
      <c r="Y1321" s="160"/>
      <c r="Z1321" s="160"/>
      <c r="AA1321" s="160"/>
      <c r="AB1321" s="10"/>
      <c r="AD1321" s="160"/>
    </row>
    <row r="1322" spans="4:30" x14ac:dyDescent="0.2">
      <c r="D1322" s="8"/>
      <c r="E1322" s="6"/>
      <c r="G1322" s="10"/>
      <c r="J1322" s="142"/>
      <c r="K1322" s="15"/>
      <c r="L1322" s="15"/>
      <c r="M1322" s="15"/>
      <c r="N1322" s="16"/>
      <c r="O1322" s="8"/>
      <c r="P1322" s="8"/>
      <c r="Q1322" s="8"/>
      <c r="R1322" s="16"/>
      <c r="S1322" s="16"/>
      <c r="T1322" s="19"/>
      <c r="U1322" s="16"/>
      <c r="V1322" s="19"/>
      <c r="W1322" s="160"/>
      <c r="X1322" s="160"/>
      <c r="Y1322" s="160"/>
      <c r="Z1322" s="160"/>
      <c r="AA1322" s="160"/>
      <c r="AB1322" s="10"/>
      <c r="AD1322" s="160"/>
    </row>
    <row r="1323" spans="4:30" x14ac:dyDescent="0.2">
      <c r="D1323" s="8"/>
      <c r="E1323" s="6"/>
      <c r="G1323" s="10"/>
      <c r="J1323" s="142"/>
      <c r="K1323" s="15"/>
      <c r="L1323" s="15"/>
      <c r="M1323" s="15"/>
      <c r="N1323" s="16"/>
      <c r="O1323" s="8"/>
      <c r="P1323" s="8"/>
      <c r="Q1323" s="8"/>
      <c r="R1323" s="16"/>
      <c r="S1323" s="16"/>
      <c r="T1323" s="19"/>
      <c r="U1323" s="16"/>
      <c r="V1323" s="19"/>
      <c r="W1323" s="160"/>
      <c r="X1323" s="160"/>
      <c r="Y1323" s="160"/>
      <c r="Z1323" s="160"/>
      <c r="AA1323" s="160"/>
      <c r="AB1323" s="10"/>
      <c r="AD1323" s="160"/>
    </row>
    <row r="1324" spans="4:30" x14ac:dyDescent="0.2">
      <c r="D1324" s="8"/>
      <c r="E1324" s="6"/>
      <c r="G1324" s="10"/>
      <c r="J1324" s="142"/>
      <c r="K1324" s="15"/>
      <c r="L1324" s="15"/>
      <c r="M1324" s="15"/>
      <c r="N1324" s="16"/>
      <c r="O1324" s="8"/>
      <c r="P1324" s="8"/>
      <c r="Q1324" s="8"/>
      <c r="R1324" s="16"/>
      <c r="S1324" s="16"/>
      <c r="T1324" s="19"/>
      <c r="U1324" s="16"/>
      <c r="V1324" s="19"/>
      <c r="W1324" s="160"/>
      <c r="X1324" s="160"/>
      <c r="Y1324" s="160"/>
      <c r="Z1324" s="160"/>
      <c r="AA1324" s="160"/>
      <c r="AB1324" s="10"/>
      <c r="AD1324" s="160"/>
    </row>
    <row r="1325" spans="4:30" x14ac:dyDescent="0.2">
      <c r="D1325" s="8"/>
      <c r="E1325" s="6"/>
      <c r="G1325" s="10"/>
      <c r="J1325" s="142"/>
      <c r="K1325" s="15"/>
      <c r="L1325" s="15"/>
      <c r="M1325" s="15"/>
      <c r="N1325" s="16"/>
      <c r="O1325" s="8"/>
      <c r="P1325" s="8"/>
      <c r="Q1325" s="8"/>
      <c r="R1325" s="16"/>
      <c r="S1325" s="16"/>
      <c r="T1325" s="19"/>
      <c r="U1325" s="16"/>
      <c r="V1325" s="19"/>
      <c r="W1325" s="160"/>
      <c r="X1325" s="160"/>
      <c r="Y1325" s="160"/>
      <c r="Z1325" s="160"/>
      <c r="AA1325" s="160"/>
      <c r="AB1325" s="10"/>
      <c r="AD1325" s="160"/>
    </row>
    <row r="1326" spans="4:30" x14ac:dyDescent="0.2">
      <c r="D1326" s="8"/>
      <c r="E1326" s="6"/>
      <c r="G1326" s="10"/>
      <c r="J1326" s="142"/>
      <c r="K1326" s="15"/>
      <c r="L1326" s="15"/>
      <c r="M1326" s="15"/>
      <c r="N1326" s="16"/>
      <c r="O1326" s="8"/>
      <c r="P1326" s="8"/>
      <c r="Q1326" s="8"/>
      <c r="R1326" s="16"/>
      <c r="S1326" s="16"/>
      <c r="T1326" s="19"/>
      <c r="U1326" s="16"/>
      <c r="V1326" s="19"/>
      <c r="W1326" s="160"/>
      <c r="X1326" s="160"/>
      <c r="Y1326" s="160"/>
      <c r="Z1326" s="160"/>
      <c r="AA1326" s="160"/>
      <c r="AB1326" s="10"/>
      <c r="AD1326" s="160"/>
    </row>
    <row r="1327" spans="4:30" x14ac:dyDescent="0.2">
      <c r="D1327" s="8"/>
      <c r="E1327" s="6"/>
      <c r="G1327" s="10"/>
      <c r="J1327" s="142"/>
      <c r="K1327" s="15"/>
      <c r="L1327" s="15"/>
      <c r="M1327" s="15"/>
      <c r="N1327" s="16"/>
      <c r="O1327" s="8"/>
      <c r="P1327" s="8"/>
      <c r="Q1327" s="8"/>
      <c r="R1327" s="16"/>
      <c r="S1327" s="16"/>
      <c r="T1327" s="19"/>
      <c r="U1327" s="16"/>
      <c r="V1327" s="19"/>
      <c r="W1327" s="160"/>
      <c r="X1327" s="160"/>
      <c r="Y1327" s="160"/>
      <c r="Z1327" s="160"/>
      <c r="AA1327" s="160"/>
      <c r="AB1327" s="10"/>
      <c r="AD1327" s="160"/>
    </row>
    <row r="1328" spans="4:30" x14ac:dyDescent="0.2">
      <c r="D1328" s="8"/>
      <c r="E1328" s="6"/>
      <c r="G1328" s="10"/>
      <c r="J1328" s="142"/>
      <c r="K1328" s="15"/>
      <c r="L1328" s="15"/>
      <c r="M1328" s="15"/>
      <c r="N1328" s="16"/>
      <c r="O1328" s="8"/>
      <c r="P1328" s="8"/>
      <c r="Q1328" s="8"/>
      <c r="R1328" s="16"/>
      <c r="S1328" s="16"/>
      <c r="T1328" s="19"/>
      <c r="U1328" s="16"/>
      <c r="V1328" s="19"/>
      <c r="W1328" s="160"/>
      <c r="X1328" s="160"/>
      <c r="Y1328" s="160"/>
      <c r="Z1328" s="160"/>
      <c r="AA1328" s="160"/>
      <c r="AB1328" s="10"/>
      <c r="AD1328" s="160"/>
    </row>
    <row r="1329" spans="4:30" x14ac:dyDescent="0.2">
      <c r="D1329" s="8"/>
      <c r="E1329" s="6"/>
      <c r="G1329" s="10"/>
      <c r="J1329" s="142"/>
      <c r="K1329" s="15"/>
      <c r="L1329" s="15"/>
      <c r="M1329" s="15"/>
      <c r="N1329" s="16"/>
      <c r="O1329" s="8"/>
      <c r="P1329" s="8"/>
      <c r="Q1329" s="8"/>
      <c r="R1329" s="16"/>
      <c r="S1329" s="16"/>
      <c r="T1329" s="19"/>
      <c r="U1329" s="16"/>
      <c r="V1329" s="19"/>
      <c r="W1329" s="160"/>
      <c r="X1329" s="160"/>
      <c r="Y1329" s="160"/>
      <c r="Z1329" s="160"/>
      <c r="AA1329" s="160"/>
      <c r="AB1329" s="10"/>
      <c r="AD1329" s="160"/>
    </row>
    <row r="1330" spans="4:30" x14ac:dyDescent="0.2">
      <c r="D1330" s="8"/>
      <c r="E1330" s="6"/>
      <c r="G1330" s="10"/>
      <c r="J1330" s="142"/>
      <c r="K1330" s="15"/>
      <c r="L1330" s="15"/>
      <c r="M1330" s="15"/>
      <c r="N1330" s="16"/>
      <c r="O1330" s="8"/>
      <c r="P1330" s="8"/>
      <c r="Q1330" s="8"/>
      <c r="R1330" s="16"/>
      <c r="S1330" s="16"/>
      <c r="T1330" s="19"/>
      <c r="U1330" s="16"/>
      <c r="V1330" s="19"/>
      <c r="W1330" s="160"/>
      <c r="X1330" s="160"/>
      <c r="Y1330" s="160"/>
      <c r="Z1330" s="160"/>
      <c r="AA1330" s="160"/>
      <c r="AB1330" s="10"/>
      <c r="AD1330" s="160"/>
    </row>
    <row r="1331" spans="4:30" x14ac:dyDescent="0.2">
      <c r="D1331" s="8"/>
      <c r="E1331" s="6"/>
      <c r="G1331" s="10"/>
      <c r="J1331" s="142"/>
      <c r="K1331" s="15"/>
      <c r="L1331" s="15"/>
      <c r="M1331" s="15"/>
      <c r="N1331" s="16"/>
      <c r="O1331" s="8"/>
      <c r="P1331" s="8"/>
      <c r="Q1331" s="8"/>
      <c r="R1331" s="16"/>
      <c r="S1331" s="16"/>
      <c r="T1331" s="19"/>
      <c r="U1331" s="16"/>
      <c r="V1331" s="19"/>
      <c r="W1331" s="160"/>
      <c r="X1331" s="160"/>
      <c r="Y1331" s="160"/>
      <c r="Z1331" s="160"/>
      <c r="AA1331" s="160"/>
      <c r="AB1331" s="10"/>
      <c r="AD1331" s="160"/>
    </row>
    <row r="1332" spans="4:30" x14ac:dyDescent="0.2">
      <c r="D1332" s="8"/>
      <c r="E1332" s="6"/>
      <c r="G1332" s="10"/>
      <c r="J1332" s="142"/>
      <c r="K1332" s="15"/>
      <c r="L1332" s="15"/>
      <c r="M1332" s="15"/>
      <c r="N1332" s="16"/>
      <c r="O1332" s="8"/>
      <c r="P1332" s="8"/>
      <c r="Q1332" s="8"/>
      <c r="R1332" s="16"/>
      <c r="S1332" s="16"/>
      <c r="T1332" s="19"/>
      <c r="U1332" s="16"/>
      <c r="V1332" s="19"/>
      <c r="W1332" s="160"/>
      <c r="X1332" s="160"/>
      <c r="Y1332" s="160"/>
      <c r="Z1332" s="160"/>
      <c r="AA1332" s="160"/>
      <c r="AB1332" s="10"/>
      <c r="AD1332" s="160"/>
    </row>
    <row r="1333" spans="4:30" x14ac:dyDescent="0.2">
      <c r="D1333" s="8"/>
      <c r="E1333" s="6"/>
      <c r="G1333" s="10"/>
      <c r="J1333" s="142"/>
      <c r="K1333" s="15"/>
      <c r="L1333" s="15"/>
      <c r="M1333" s="15"/>
      <c r="N1333" s="16"/>
      <c r="O1333" s="8"/>
      <c r="P1333" s="8"/>
      <c r="Q1333" s="8"/>
      <c r="R1333" s="16"/>
      <c r="S1333" s="16"/>
      <c r="T1333" s="19"/>
      <c r="U1333" s="16"/>
      <c r="V1333" s="19"/>
      <c r="W1333" s="160"/>
      <c r="X1333" s="160"/>
      <c r="Y1333" s="160"/>
      <c r="Z1333" s="160"/>
      <c r="AA1333" s="160"/>
      <c r="AB1333" s="10"/>
      <c r="AD1333" s="160"/>
    </row>
    <row r="1334" spans="4:30" x14ac:dyDescent="0.2">
      <c r="D1334" s="8"/>
      <c r="E1334" s="6"/>
      <c r="G1334" s="10"/>
      <c r="J1334" s="142"/>
      <c r="K1334" s="15"/>
      <c r="L1334" s="15"/>
      <c r="M1334" s="15"/>
      <c r="N1334" s="16"/>
      <c r="O1334" s="8"/>
      <c r="P1334" s="8"/>
      <c r="Q1334" s="8"/>
      <c r="R1334" s="16"/>
      <c r="S1334" s="16"/>
      <c r="T1334" s="19"/>
      <c r="U1334" s="16"/>
      <c r="V1334" s="19"/>
      <c r="W1334" s="160"/>
      <c r="X1334" s="160"/>
      <c r="Y1334" s="160"/>
      <c r="Z1334" s="160"/>
      <c r="AA1334" s="160"/>
      <c r="AB1334" s="10"/>
      <c r="AD1334" s="160"/>
    </row>
    <row r="1335" spans="4:30" x14ac:dyDescent="0.2">
      <c r="D1335" s="8"/>
      <c r="E1335" s="6"/>
      <c r="G1335" s="10"/>
      <c r="J1335" s="142"/>
      <c r="K1335" s="15"/>
      <c r="L1335" s="15"/>
      <c r="M1335" s="15"/>
      <c r="N1335" s="16"/>
      <c r="O1335" s="8"/>
      <c r="P1335" s="8"/>
      <c r="Q1335" s="8"/>
      <c r="R1335" s="16"/>
      <c r="S1335" s="16"/>
      <c r="T1335" s="19"/>
      <c r="U1335" s="16"/>
      <c r="V1335" s="19"/>
      <c r="W1335" s="160"/>
      <c r="X1335" s="160"/>
      <c r="Y1335" s="160"/>
      <c r="Z1335" s="160"/>
      <c r="AA1335" s="160"/>
      <c r="AB1335" s="10"/>
      <c r="AD1335" s="160"/>
    </row>
    <row r="1336" spans="4:30" x14ac:dyDescent="0.2">
      <c r="D1336" s="8"/>
      <c r="E1336" s="6"/>
      <c r="G1336" s="10"/>
      <c r="J1336" s="142"/>
      <c r="K1336" s="15"/>
      <c r="L1336" s="15"/>
      <c r="M1336" s="15"/>
      <c r="N1336" s="16"/>
      <c r="O1336" s="8"/>
      <c r="P1336" s="8"/>
      <c r="Q1336" s="8"/>
      <c r="R1336" s="16"/>
      <c r="S1336" s="16"/>
      <c r="T1336" s="19"/>
      <c r="U1336" s="16"/>
      <c r="V1336" s="19"/>
      <c r="W1336" s="160"/>
      <c r="X1336" s="160"/>
      <c r="Y1336" s="160"/>
      <c r="Z1336" s="160"/>
      <c r="AA1336" s="160"/>
      <c r="AB1336" s="10"/>
      <c r="AD1336" s="160"/>
    </row>
    <row r="1337" spans="4:30" x14ac:dyDescent="0.2">
      <c r="D1337" s="8"/>
      <c r="E1337" s="6"/>
      <c r="G1337" s="10"/>
      <c r="J1337" s="142"/>
      <c r="K1337" s="15"/>
      <c r="L1337" s="15"/>
      <c r="M1337" s="15"/>
      <c r="N1337" s="16"/>
      <c r="O1337" s="8"/>
      <c r="P1337" s="8"/>
      <c r="Q1337" s="8"/>
      <c r="R1337" s="16"/>
      <c r="S1337" s="16"/>
      <c r="T1337" s="19"/>
      <c r="U1337" s="16"/>
      <c r="V1337" s="19"/>
      <c r="W1337" s="160"/>
      <c r="X1337" s="160"/>
      <c r="Y1337" s="160"/>
      <c r="Z1337" s="160"/>
      <c r="AA1337" s="160"/>
      <c r="AB1337" s="10"/>
      <c r="AD1337" s="160"/>
    </row>
    <row r="1338" spans="4:30" x14ac:dyDescent="0.2">
      <c r="D1338" s="8"/>
      <c r="E1338" s="6"/>
      <c r="G1338" s="10"/>
      <c r="J1338" s="142"/>
      <c r="K1338" s="15"/>
      <c r="L1338" s="15"/>
      <c r="M1338" s="15"/>
      <c r="N1338" s="16"/>
      <c r="O1338" s="8"/>
      <c r="P1338" s="8"/>
      <c r="Q1338" s="8"/>
      <c r="R1338" s="16"/>
      <c r="S1338" s="16"/>
      <c r="T1338" s="19"/>
      <c r="U1338" s="16"/>
      <c r="V1338" s="19"/>
      <c r="W1338" s="160"/>
      <c r="X1338" s="160"/>
      <c r="Y1338" s="160"/>
      <c r="Z1338" s="160"/>
      <c r="AA1338" s="160"/>
      <c r="AB1338" s="10"/>
      <c r="AD1338" s="160"/>
    </row>
    <row r="1339" spans="4:30" x14ac:dyDescent="0.2">
      <c r="D1339" s="8"/>
      <c r="E1339" s="6"/>
      <c r="G1339" s="10"/>
      <c r="J1339" s="142"/>
      <c r="K1339" s="15"/>
      <c r="L1339" s="15"/>
      <c r="M1339" s="15"/>
      <c r="N1339" s="16"/>
      <c r="O1339" s="8"/>
      <c r="P1339" s="8"/>
      <c r="Q1339" s="8"/>
      <c r="R1339" s="16"/>
      <c r="S1339" s="16"/>
      <c r="T1339" s="19"/>
      <c r="U1339" s="16"/>
      <c r="V1339" s="19"/>
      <c r="W1339" s="160"/>
      <c r="X1339" s="160"/>
      <c r="Y1339" s="160"/>
      <c r="Z1339" s="160"/>
      <c r="AA1339" s="160"/>
      <c r="AB1339" s="10"/>
      <c r="AD1339" s="160"/>
    </row>
    <row r="1340" spans="4:30" x14ac:dyDescent="0.2">
      <c r="D1340" s="8"/>
      <c r="E1340" s="6"/>
      <c r="G1340" s="10"/>
      <c r="J1340" s="142"/>
      <c r="K1340" s="15"/>
      <c r="L1340" s="15"/>
      <c r="M1340" s="15"/>
      <c r="N1340" s="16"/>
      <c r="O1340" s="8"/>
      <c r="P1340" s="8"/>
      <c r="Q1340" s="8"/>
      <c r="R1340" s="16"/>
      <c r="S1340" s="16"/>
      <c r="T1340" s="19"/>
      <c r="U1340" s="16"/>
      <c r="V1340" s="19"/>
      <c r="W1340" s="160"/>
      <c r="X1340" s="160"/>
      <c r="Y1340" s="160"/>
      <c r="Z1340" s="160"/>
      <c r="AA1340" s="160"/>
      <c r="AB1340" s="10"/>
      <c r="AD1340" s="160"/>
    </row>
    <row r="1341" spans="4:30" x14ac:dyDescent="0.2">
      <c r="D1341" s="8"/>
      <c r="E1341" s="6"/>
      <c r="G1341" s="10"/>
      <c r="J1341" s="142"/>
      <c r="K1341" s="15"/>
      <c r="L1341" s="15"/>
      <c r="M1341" s="15"/>
      <c r="N1341" s="16"/>
      <c r="O1341" s="8"/>
      <c r="P1341" s="8"/>
      <c r="Q1341" s="8"/>
      <c r="R1341" s="16"/>
      <c r="S1341" s="16"/>
      <c r="T1341" s="19"/>
      <c r="U1341" s="16"/>
      <c r="V1341" s="19"/>
      <c r="W1341" s="160"/>
      <c r="X1341" s="160"/>
      <c r="Y1341" s="160"/>
      <c r="Z1341" s="160"/>
      <c r="AA1341" s="160"/>
      <c r="AB1341" s="10"/>
      <c r="AD1341" s="160"/>
    </row>
    <row r="1342" spans="4:30" x14ac:dyDescent="0.2">
      <c r="D1342" s="8"/>
      <c r="E1342" s="6"/>
      <c r="G1342" s="10"/>
      <c r="J1342" s="142"/>
      <c r="K1342" s="15"/>
      <c r="L1342" s="15"/>
      <c r="M1342" s="15"/>
      <c r="N1342" s="16"/>
      <c r="O1342" s="8"/>
      <c r="P1342" s="8"/>
      <c r="Q1342" s="8"/>
      <c r="R1342" s="16"/>
      <c r="S1342" s="16"/>
      <c r="T1342" s="19"/>
      <c r="U1342" s="16"/>
      <c r="V1342" s="19"/>
      <c r="W1342" s="160"/>
      <c r="X1342" s="160"/>
      <c r="Y1342" s="160"/>
      <c r="Z1342" s="160"/>
      <c r="AA1342" s="160"/>
      <c r="AB1342" s="10"/>
      <c r="AD1342" s="160"/>
    </row>
    <row r="1343" spans="4:30" x14ac:dyDescent="0.2">
      <c r="D1343" s="8"/>
      <c r="E1343" s="6"/>
      <c r="G1343" s="10"/>
      <c r="J1343" s="142"/>
      <c r="K1343" s="15"/>
      <c r="L1343" s="15"/>
      <c r="M1343" s="15"/>
      <c r="N1343" s="16"/>
      <c r="O1343" s="8"/>
      <c r="P1343" s="8"/>
      <c r="Q1343" s="8"/>
      <c r="R1343" s="16"/>
      <c r="S1343" s="16"/>
      <c r="T1343" s="19"/>
      <c r="U1343" s="16"/>
      <c r="V1343" s="19"/>
      <c r="W1343" s="160"/>
      <c r="X1343" s="160"/>
      <c r="Y1343" s="160"/>
      <c r="Z1343" s="160"/>
      <c r="AA1343" s="160"/>
      <c r="AB1343" s="10"/>
      <c r="AD1343" s="160"/>
    </row>
    <row r="1344" spans="4:30" x14ac:dyDescent="0.2">
      <c r="D1344" s="8"/>
      <c r="E1344" s="6"/>
      <c r="G1344" s="10"/>
      <c r="J1344" s="142"/>
      <c r="K1344" s="15"/>
      <c r="L1344" s="15"/>
      <c r="M1344" s="15"/>
      <c r="N1344" s="16"/>
      <c r="O1344" s="8"/>
      <c r="P1344" s="8"/>
      <c r="Q1344" s="8"/>
      <c r="R1344" s="16"/>
      <c r="S1344" s="16"/>
      <c r="T1344" s="19"/>
      <c r="U1344" s="16"/>
      <c r="V1344" s="19"/>
      <c r="W1344" s="160"/>
      <c r="X1344" s="160"/>
      <c r="Y1344" s="160"/>
      <c r="Z1344" s="160"/>
      <c r="AA1344" s="160"/>
      <c r="AB1344" s="10"/>
      <c r="AD1344" s="160"/>
    </row>
    <row r="1345" spans="4:30" x14ac:dyDescent="0.2">
      <c r="D1345" s="8"/>
      <c r="E1345" s="6"/>
      <c r="G1345" s="10"/>
      <c r="J1345" s="142"/>
      <c r="K1345" s="15"/>
      <c r="L1345" s="15"/>
      <c r="M1345" s="15"/>
      <c r="N1345" s="16"/>
      <c r="O1345" s="8"/>
      <c r="P1345" s="8"/>
      <c r="Q1345" s="8"/>
      <c r="R1345" s="16"/>
      <c r="S1345" s="16"/>
      <c r="T1345" s="19"/>
      <c r="U1345" s="16"/>
      <c r="V1345" s="19"/>
      <c r="W1345" s="160"/>
      <c r="X1345" s="160"/>
      <c r="Y1345" s="160"/>
      <c r="Z1345" s="160"/>
      <c r="AA1345" s="160"/>
      <c r="AB1345" s="10"/>
      <c r="AD1345" s="160"/>
    </row>
    <row r="1346" spans="4:30" x14ac:dyDescent="0.2">
      <c r="D1346" s="8"/>
      <c r="E1346" s="6"/>
      <c r="G1346" s="10"/>
      <c r="J1346" s="142"/>
      <c r="K1346" s="15"/>
      <c r="L1346" s="15"/>
      <c r="M1346" s="15"/>
      <c r="N1346" s="16"/>
      <c r="O1346" s="8"/>
      <c r="P1346" s="8"/>
      <c r="Q1346" s="8"/>
      <c r="R1346" s="16"/>
      <c r="S1346" s="16"/>
      <c r="T1346" s="19"/>
      <c r="U1346" s="16"/>
      <c r="V1346" s="19"/>
      <c r="W1346" s="160"/>
      <c r="X1346" s="160"/>
      <c r="Y1346" s="160"/>
      <c r="Z1346" s="160"/>
      <c r="AA1346" s="160"/>
      <c r="AB1346" s="10"/>
      <c r="AD1346" s="160"/>
    </row>
    <row r="1347" spans="4:30" x14ac:dyDescent="0.2">
      <c r="D1347" s="8"/>
      <c r="E1347" s="6"/>
      <c r="G1347" s="10"/>
      <c r="J1347" s="142"/>
      <c r="K1347" s="15"/>
      <c r="L1347" s="15"/>
      <c r="M1347" s="15"/>
      <c r="N1347" s="16"/>
      <c r="O1347" s="8"/>
      <c r="P1347" s="8"/>
      <c r="Q1347" s="8"/>
      <c r="R1347" s="16"/>
      <c r="S1347" s="16"/>
      <c r="T1347" s="19"/>
      <c r="U1347" s="16"/>
      <c r="V1347" s="19"/>
      <c r="W1347" s="160"/>
      <c r="X1347" s="160"/>
      <c r="Y1347" s="160"/>
      <c r="Z1347" s="160"/>
      <c r="AA1347" s="160"/>
      <c r="AB1347" s="10"/>
      <c r="AD1347" s="160"/>
    </row>
    <row r="1348" spans="4:30" x14ac:dyDescent="0.2">
      <c r="D1348" s="8"/>
      <c r="E1348" s="6"/>
      <c r="G1348" s="10"/>
      <c r="J1348" s="142"/>
      <c r="K1348" s="15"/>
      <c r="L1348" s="15"/>
      <c r="M1348" s="15"/>
      <c r="N1348" s="16"/>
      <c r="O1348" s="8"/>
      <c r="P1348" s="8"/>
      <c r="Q1348" s="8"/>
      <c r="R1348" s="16"/>
      <c r="S1348" s="16"/>
      <c r="T1348" s="19"/>
      <c r="U1348" s="16"/>
      <c r="V1348" s="19"/>
      <c r="W1348" s="160"/>
      <c r="X1348" s="160"/>
      <c r="Y1348" s="160"/>
      <c r="Z1348" s="160"/>
      <c r="AA1348" s="160"/>
      <c r="AB1348" s="10"/>
      <c r="AD1348" s="160"/>
    </row>
    <row r="1349" spans="4:30" x14ac:dyDescent="0.2">
      <c r="D1349" s="8"/>
      <c r="E1349" s="6"/>
      <c r="G1349" s="10"/>
      <c r="J1349" s="142"/>
      <c r="K1349" s="15"/>
      <c r="L1349" s="15"/>
      <c r="M1349" s="15"/>
      <c r="N1349" s="16"/>
      <c r="O1349" s="8"/>
      <c r="P1349" s="8"/>
      <c r="Q1349" s="8"/>
      <c r="R1349" s="16"/>
      <c r="S1349" s="16"/>
      <c r="T1349" s="19"/>
      <c r="U1349" s="16"/>
      <c r="V1349" s="19"/>
      <c r="W1349" s="160"/>
      <c r="X1349" s="160"/>
      <c r="Y1349" s="160"/>
      <c r="Z1349" s="160"/>
      <c r="AA1349" s="160"/>
      <c r="AB1349" s="10"/>
      <c r="AD1349" s="160"/>
    </row>
    <row r="1350" spans="4:30" x14ac:dyDescent="0.2">
      <c r="D1350" s="8"/>
      <c r="E1350" s="6"/>
      <c r="G1350" s="10"/>
      <c r="J1350" s="142"/>
      <c r="K1350" s="15"/>
      <c r="L1350" s="15"/>
      <c r="M1350" s="15"/>
      <c r="N1350" s="16"/>
      <c r="O1350" s="8"/>
      <c r="P1350" s="8"/>
      <c r="Q1350" s="8"/>
      <c r="R1350" s="16"/>
      <c r="S1350" s="16"/>
      <c r="T1350" s="19"/>
      <c r="U1350" s="16"/>
      <c r="V1350" s="19"/>
      <c r="W1350" s="160"/>
      <c r="X1350" s="160"/>
      <c r="Y1350" s="160"/>
      <c r="Z1350" s="160"/>
      <c r="AA1350" s="160"/>
      <c r="AB1350" s="10"/>
      <c r="AD1350" s="160"/>
    </row>
    <row r="1351" spans="4:30" x14ac:dyDescent="0.2">
      <c r="D1351" s="8"/>
      <c r="E1351" s="6"/>
      <c r="G1351" s="10"/>
      <c r="J1351" s="142"/>
      <c r="K1351" s="15"/>
      <c r="L1351" s="15"/>
      <c r="M1351" s="15"/>
      <c r="N1351" s="16"/>
      <c r="O1351" s="8"/>
      <c r="P1351" s="8"/>
      <c r="Q1351" s="8"/>
      <c r="R1351" s="16"/>
      <c r="S1351" s="16"/>
      <c r="T1351" s="19"/>
      <c r="U1351" s="16"/>
      <c r="V1351" s="19"/>
      <c r="W1351" s="160"/>
      <c r="X1351" s="160"/>
      <c r="Y1351" s="160"/>
      <c r="Z1351" s="160"/>
      <c r="AA1351" s="160"/>
      <c r="AB1351" s="10"/>
      <c r="AD1351" s="160"/>
    </row>
    <row r="1352" spans="4:30" x14ac:dyDescent="0.2">
      <c r="D1352" s="8"/>
      <c r="E1352" s="6"/>
      <c r="G1352" s="10"/>
      <c r="J1352" s="142"/>
      <c r="K1352" s="15"/>
      <c r="L1352" s="15"/>
      <c r="M1352" s="15"/>
      <c r="N1352" s="16"/>
      <c r="O1352" s="8"/>
      <c r="P1352" s="8"/>
      <c r="Q1352" s="8"/>
      <c r="R1352" s="16"/>
      <c r="S1352" s="16"/>
      <c r="T1352" s="19"/>
      <c r="U1352" s="16"/>
      <c r="V1352" s="19"/>
      <c r="W1352" s="160"/>
      <c r="X1352" s="160"/>
      <c r="Y1352" s="160"/>
      <c r="Z1352" s="160"/>
      <c r="AA1352" s="160"/>
      <c r="AB1352" s="10"/>
      <c r="AD1352" s="160"/>
    </row>
    <row r="1353" spans="4:30" x14ac:dyDescent="0.2">
      <c r="D1353" s="8"/>
      <c r="E1353" s="6"/>
      <c r="G1353" s="10"/>
      <c r="J1353" s="142"/>
      <c r="K1353" s="15"/>
      <c r="L1353" s="15"/>
      <c r="M1353" s="15"/>
      <c r="N1353" s="16"/>
      <c r="O1353" s="8"/>
      <c r="P1353" s="8"/>
      <c r="Q1353" s="8"/>
      <c r="R1353" s="16"/>
      <c r="S1353" s="16"/>
      <c r="T1353" s="19"/>
      <c r="U1353" s="16"/>
      <c r="V1353" s="19"/>
      <c r="W1353" s="160"/>
      <c r="X1353" s="160"/>
      <c r="Y1353" s="160"/>
      <c r="Z1353" s="160"/>
      <c r="AA1353" s="160"/>
      <c r="AB1353" s="10"/>
      <c r="AD1353" s="160"/>
    </row>
    <row r="1354" spans="4:30" x14ac:dyDescent="0.2">
      <c r="D1354" s="8"/>
      <c r="E1354" s="6"/>
      <c r="G1354" s="10"/>
      <c r="J1354" s="142"/>
      <c r="K1354" s="15"/>
      <c r="L1354" s="15"/>
      <c r="M1354" s="15"/>
      <c r="N1354" s="16"/>
      <c r="O1354" s="8"/>
      <c r="P1354" s="8"/>
      <c r="Q1354" s="8"/>
      <c r="R1354" s="16"/>
      <c r="S1354" s="16"/>
      <c r="T1354" s="19"/>
      <c r="U1354" s="16"/>
      <c r="V1354" s="19"/>
      <c r="W1354" s="160"/>
      <c r="X1354" s="160"/>
      <c r="Y1354" s="160"/>
      <c r="Z1354" s="160"/>
      <c r="AA1354" s="160"/>
      <c r="AB1354" s="10"/>
      <c r="AD1354" s="160"/>
    </row>
    <row r="1355" spans="4:30" x14ac:dyDescent="0.2">
      <c r="D1355" s="8"/>
      <c r="E1355" s="6"/>
      <c r="G1355" s="10"/>
      <c r="J1355" s="142"/>
      <c r="K1355" s="15"/>
      <c r="L1355" s="15"/>
      <c r="M1355" s="15"/>
      <c r="N1355" s="16"/>
      <c r="O1355" s="8"/>
      <c r="P1355" s="8"/>
      <c r="Q1355" s="8"/>
      <c r="R1355" s="16"/>
      <c r="S1355" s="16"/>
      <c r="T1355" s="19"/>
      <c r="U1355" s="16"/>
      <c r="V1355" s="19"/>
      <c r="W1355" s="160"/>
      <c r="X1355" s="160"/>
      <c r="Y1355" s="160"/>
      <c r="Z1355" s="160"/>
      <c r="AA1355" s="160"/>
      <c r="AB1355" s="10"/>
      <c r="AD1355" s="160"/>
    </row>
    <row r="1356" spans="4:30" x14ac:dyDescent="0.2">
      <c r="D1356" s="8"/>
      <c r="E1356" s="6"/>
      <c r="G1356" s="10"/>
      <c r="J1356" s="142"/>
      <c r="K1356" s="15"/>
      <c r="L1356" s="15"/>
      <c r="M1356" s="15"/>
      <c r="N1356" s="16"/>
      <c r="O1356" s="8"/>
      <c r="P1356" s="8"/>
      <c r="Q1356" s="8"/>
      <c r="R1356" s="16"/>
      <c r="S1356" s="16"/>
      <c r="T1356" s="19"/>
      <c r="U1356" s="16"/>
      <c r="V1356" s="19"/>
      <c r="W1356" s="160"/>
      <c r="X1356" s="160"/>
      <c r="Y1356" s="160"/>
      <c r="Z1356" s="160"/>
      <c r="AA1356" s="160"/>
      <c r="AB1356" s="10"/>
      <c r="AD1356" s="160"/>
    </row>
    <row r="1357" spans="4:30" x14ac:dyDescent="0.2">
      <c r="D1357" s="8"/>
      <c r="E1357" s="6"/>
      <c r="G1357" s="10"/>
      <c r="J1357" s="142"/>
      <c r="K1357" s="15"/>
      <c r="L1357" s="15"/>
      <c r="M1357" s="15"/>
      <c r="N1357" s="16"/>
      <c r="O1357" s="8"/>
      <c r="P1357" s="8"/>
      <c r="Q1357" s="8"/>
      <c r="R1357" s="16"/>
      <c r="S1357" s="16"/>
      <c r="T1357" s="19"/>
      <c r="U1357" s="16"/>
      <c r="V1357" s="19"/>
      <c r="W1357" s="160"/>
      <c r="X1357" s="160"/>
      <c r="Y1357" s="160"/>
      <c r="Z1357" s="160"/>
      <c r="AA1357" s="160"/>
      <c r="AB1357" s="10"/>
      <c r="AD1357" s="160"/>
    </row>
    <row r="1358" spans="4:30" x14ac:dyDescent="0.2">
      <c r="D1358" s="8"/>
      <c r="E1358" s="6"/>
      <c r="G1358" s="10"/>
      <c r="J1358" s="142"/>
      <c r="K1358" s="15"/>
      <c r="L1358" s="15"/>
      <c r="M1358" s="15"/>
      <c r="N1358" s="16"/>
      <c r="O1358" s="8"/>
      <c r="P1358" s="8"/>
      <c r="Q1358" s="8"/>
      <c r="R1358" s="16"/>
      <c r="S1358" s="16"/>
      <c r="T1358" s="19"/>
      <c r="U1358" s="16"/>
      <c r="V1358" s="19"/>
      <c r="W1358" s="160"/>
      <c r="X1358" s="160"/>
      <c r="Y1358" s="160"/>
      <c r="Z1358" s="160"/>
      <c r="AA1358" s="160"/>
      <c r="AB1358" s="10"/>
      <c r="AD1358" s="160"/>
    </row>
    <row r="1359" spans="4:30" x14ac:dyDescent="0.2">
      <c r="D1359" s="8"/>
      <c r="E1359" s="6"/>
      <c r="G1359" s="10"/>
      <c r="J1359" s="142"/>
      <c r="K1359" s="15"/>
      <c r="L1359" s="15"/>
      <c r="M1359" s="15"/>
      <c r="N1359" s="16"/>
      <c r="O1359" s="8"/>
      <c r="P1359" s="8"/>
      <c r="Q1359" s="8"/>
      <c r="R1359" s="16"/>
      <c r="S1359" s="16"/>
      <c r="T1359" s="19"/>
      <c r="U1359" s="16"/>
      <c r="V1359" s="19"/>
      <c r="W1359" s="160"/>
      <c r="X1359" s="160"/>
      <c r="Y1359" s="160"/>
      <c r="Z1359" s="160"/>
      <c r="AA1359" s="160"/>
      <c r="AB1359" s="10"/>
      <c r="AD1359" s="160"/>
    </row>
    <row r="1360" spans="4:30" x14ac:dyDescent="0.2">
      <c r="D1360" s="8"/>
      <c r="E1360" s="6"/>
      <c r="G1360" s="10"/>
      <c r="J1360" s="142"/>
      <c r="K1360" s="15"/>
      <c r="L1360" s="15"/>
      <c r="M1360" s="15"/>
      <c r="N1360" s="16"/>
      <c r="O1360" s="8"/>
      <c r="P1360" s="8"/>
      <c r="Q1360" s="8"/>
      <c r="R1360" s="16"/>
      <c r="S1360" s="16"/>
      <c r="T1360" s="19"/>
      <c r="U1360" s="16"/>
      <c r="V1360" s="19"/>
      <c r="W1360" s="160"/>
      <c r="X1360" s="160"/>
      <c r="Y1360" s="160"/>
      <c r="Z1360" s="160"/>
      <c r="AA1360" s="160"/>
      <c r="AB1360" s="10"/>
      <c r="AD1360" s="160"/>
    </row>
    <row r="1361" spans="3:30" x14ac:dyDescent="0.2">
      <c r="D1361" s="8"/>
      <c r="E1361" s="6"/>
      <c r="G1361" s="10"/>
      <c r="J1361" s="142"/>
      <c r="K1361" s="15"/>
      <c r="L1361" s="15"/>
      <c r="M1361" s="15"/>
      <c r="N1361" s="16"/>
      <c r="O1361" s="8"/>
      <c r="P1361" s="8"/>
      <c r="Q1361" s="8"/>
      <c r="R1361" s="16"/>
      <c r="S1361" s="16"/>
      <c r="T1361" s="19"/>
      <c r="U1361" s="16"/>
      <c r="V1361" s="19"/>
      <c r="W1361" s="160"/>
      <c r="X1361" s="160"/>
      <c r="Y1361" s="160"/>
      <c r="Z1361" s="160"/>
      <c r="AA1361" s="160"/>
      <c r="AB1361" s="10"/>
      <c r="AD1361" s="160"/>
    </row>
    <row r="1362" spans="3:30" x14ac:dyDescent="0.2">
      <c r="D1362" s="8"/>
      <c r="E1362" s="6"/>
      <c r="G1362" s="10"/>
      <c r="J1362" s="142"/>
      <c r="K1362" s="15"/>
      <c r="L1362" s="15"/>
      <c r="M1362" s="15"/>
      <c r="N1362" s="16"/>
      <c r="O1362" s="8"/>
      <c r="P1362" s="8"/>
      <c r="Q1362" s="8"/>
      <c r="R1362" s="16"/>
      <c r="S1362" s="16"/>
      <c r="T1362" s="19"/>
      <c r="U1362" s="16"/>
      <c r="V1362" s="19"/>
      <c r="W1362" s="160"/>
      <c r="X1362" s="160"/>
      <c r="Y1362" s="160"/>
      <c r="Z1362" s="160"/>
      <c r="AA1362" s="160"/>
      <c r="AB1362" s="10"/>
      <c r="AD1362" s="160"/>
    </row>
    <row r="1363" spans="3:30" x14ac:dyDescent="0.2">
      <c r="D1363" s="8"/>
      <c r="E1363" s="6"/>
      <c r="G1363" s="10"/>
      <c r="J1363" s="142"/>
      <c r="K1363" s="15"/>
      <c r="L1363" s="15"/>
      <c r="M1363" s="15"/>
      <c r="N1363" s="16"/>
      <c r="O1363" s="8"/>
      <c r="P1363" s="8"/>
      <c r="Q1363" s="8"/>
      <c r="R1363" s="16"/>
      <c r="S1363" s="16"/>
      <c r="T1363" s="19"/>
      <c r="U1363" s="16"/>
      <c r="V1363" s="19"/>
      <c r="W1363" s="160"/>
      <c r="X1363" s="160"/>
      <c r="Y1363" s="160"/>
      <c r="Z1363" s="160"/>
      <c r="AA1363" s="160"/>
      <c r="AB1363" s="10"/>
      <c r="AD1363" s="160"/>
    </row>
    <row r="1364" spans="3:30" x14ac:dyDescent="0.2">
      <c r="D1364" s="8"/>
      <c r="E1364" s="6"/>
      <c r="G1364" s="10"/>
      <c r="J1364" s="142"/>
      <c r="K1364" s="15"/>
      <c r="L1364" s="15"/>
      <c r="M1364" s="15"/>
      <c r="N1364" s="16"/>
      <c r="O1364" s="8"/>
      <c r="P1364" s="8"/>
      <c r="Q1364" s="8"/>
      <c r="R1364" s="16"/>
      <c r="S1364" s="16"/>
      <c r="T1364" s="19"/>
      <c r="U1364" s="16"/>
      <c r="V1364" s="19"/>
      <c r="W1364" s="160"/>
      <c r="X1364" s="160"/>
      <c r="Y1364" s="160"/>
      <c r="Z1364" s="160"/>
      <c r="AA1364" s="160"/>
      <c r="AB1364" s="10"/>
      <c r="AD1364" s="160"/>
    </row>
    <row r="1365" spans="3:30" x14ac:dyDescent="0.2">
      <c r="D1365" s="8"/>
      <c r="E1365" s="6"/>
      <c r="G1365" s="10"/>
      <c r="J1365" s="142"/>
      <c r="K1365" s="15"/>
      <c r="L1365" s="15"/>
      <c r="M1365" s="15"/>
      <c r="N1365" s="16"/>
      <c r="O1365" s="8"/>
      <c r="P1365" s="8"/>
      <c r="Q1365" s="8"/>
      <c r="R1365" s="16"/>
      <c r="S1365" s="16"/>
      <c r="T1365" s="19"/>
      <c r="U1365" s="16"/>
      <c r="V1365" s="19"/>
      <c r="W1365" s="160"/>
      <c r="X1365" s="160"/>
      <c r="Y1365" s="160"/>
      <c r="Z1365" s="160"/>
      <c r="AA1365" s="160"/>
      <c r="AB1365" s="10"/>
      <c r="AD1365" s="160"/>
    </row>
    <row r="1366" spans="3:30" x14ac:dyDescent="0.2">
      <c r="D1366" s="8"/>
      <c r="E1366" s="6"/>
      <c r="G1366" s="10"/>
      <c r="J1366" s="142"/>
      <c r="K1366" s="15"/>
      <c r="L1366" s="15"/>
      <c r="M1366" s="15"/>
      <c r="N1366" s="16"/>
      <c r="O1366" s="8"/>
      <c r="P1366" s="8"/>
      <c r="Q1366" s="8"/>
      <c r="R1366" s="16"/>
      <c r="S1366" s="16"/>
      <c r="T1366" s="19"/>
      <c r="U1366" s="16"/>
      <c r="V1366" s="19"/>
      <c r="W1366" s="160"/>
      <c r="X1366" s="160"/>
      <c r="Y1366" s="160"/>
      <c r="Z1366" s="160"/>
      <c r="AA1366" s="160"/>
      <c r="AB1366" s="10"/>
      <c r="AD1366" s="160"/>
    </row>
    <row r="1367" spans="3:30" x14ac:dyDescent="0.2">
      <c r="D1367" s="8"/>
      <c r="E1367" s="6"/>
      <c r="G1367" s="10"/>
      <c r="J1367" s="142"/>
      <c r="K1367" s="15"/>
      <c r="L1367" s="15"/>
      <c r="M1367" s="15"/>
      <c r="N1367" s="16"/>
      <c r="O1367" s="8"/>
      <c r="P1367" s="8"/>
      <c r="Q1367" s="8"/>
      <c r="R1367" s="16"/>
      <c r="S1367" s="16"/>
      <c r="T1367" s="19"/>
      <c r="U1367" s="16"/>
      <c r="V1367" s="19"/>
      <c r="W1367" s="160"/>
      <c r="X1367" s="160"/>
      <c r="Y1367" s="160"/>
      <c r="Z1367" s="160"/>
      <c r="AA1367" s="160"/>
      <c r="AB1367" s="10"/>
      <c r="AD1367" s="160"/>
    </row>
    <row r="1368" spans="3:30" x14ac:dyDescent="0.2">
      <c r="C1368"/>
    </row>
    <row r="1369" spans="3:30" x14ac:dyDescent="0.2">
      <c r="C1369"/>
    </row>
    <row r="1370" spans="3:30" x14ac:dyDescent="0.2">
      <c r="C1370"/>
    </row>
    <row r="1371" spans="3:30" x14ac:dyDescent="0.2">
      <c r="C1371"/>
    </row>
    <row r="1372" spans="3:30" x14ac:dyDescent="0.2">
      <c r="C1372"/>
    </row>
    <row r="1373" spans="3:30" x14ac:dyDescent="0.2">
      <c r="C1373"/>
    </row>
    <row r="1374" spans="3:30" x14ac:dyDescent="0.2">
      <c r="C1374"/>
    </row>
    <row r="1375" spans="3:30" x14ac:dyDescent="0.2">
      <c r="C1375"/>
    </row>
    <row r="1376" spans="3:30" x14ac:dyDescent="0.2">
      <c r="C1376"/>
    </row>
    <row r="1377" spans="3:3" x14ac:dyDescent="0.2">
      <c r="C1377"/>
    </row>
    <row r="1378" spans="3:3" x14ac:dyDescent="0.2">
      <c r="C1378"/>
    </row>
    <row r="1379" spans="3:3" x14ac:dyDescent="0.2">
      <c r="C1379"/>
    </row>
    <row r="1380" spans="3:3" x14ac:dyDescent="0.2">
      <c r="C1380"/>
    </row>
    <row r="1381" spans="3:3" x14ac:dyDescent="0.2">
      <c r="C1381"/>
    </row>
    <row r="1382" spans="3:3" x14ac:dyDescent="0.2">
      <c r="C1382"/>
    </row>
    <row r="1383" spans="3:3" x14ac:dyDescent="0.2">
      <c r="C1383"/>
    </row>
    <row r="1384" spans="3:3" x14ac:dyDescent="0.2">
      <c r="C1384"/>
    </row>
    <row r="1385" spans="3:3" x14ac:dyDescent="0.2">
      <c r="C1385"/>
    </row>
    <row r="1386" spans="3:3" x14ac:dyDescent="0.2">
      <c r="C1386"/>
    </row>
    <row r="1387" spans="3:3" x14ac:dyDescent="0.2">
      <c r="C1387"/>
    </row>
    <row r="1388" spans="3:3" x14ac:dyDescent="0.2">
      <c r="C1388"/>
    </row>
    <row r="1389" spans="3:3" x14ac:dyDescent="0.2">
      <c r="C1389"/>
    </row>
    <row r="1390" spans="3:3" x14ac:dyDescent="0.2">
      <c r="C1390"/>
    </row>
    <row r="1391" spans="3:3" x14ac:dyDescent="0.2">
      <c r="C1391"/>
    </row>
    <row r="1392" spans="3:3" x14ac:dyDescent="0.2">
      <c r="C1392"/>
    </row>
    <row r="1393" spans="3:3" x14ac:dyDescent="0.2">
      <c r="C1393"/>
    </row>
    <row r="1394" spans="3:3" x14ac:dyDescent="0.2">
      <c r="C1394"/>
    </row>
    <row r="1395" spans="3:3" x14ac:dyDescent="0.2">
      <c r="C1395"/>
    </row>
    <row r="1396" spans="3:3" x14ac:dyDescent="0.2">
      <c r="C1396"/>
    </row>
    <row r="1397" spans="3:3" x14ac:dyDescent="0.2">
      <c r="C1397"/>
    </row>
    <row r="1398" spans="3:3" x14ac:dyDescent="0.2">
      <c r="C1398"/>
    </row>
    <row r="1399" spans="3:3" x14ac:dyDescent="0.2">
      <c r="C1399"/>
    </row>
    <row r="1400" spans="3:3" x14ac:dyDescent="0.2">
      <c r="C1400"/>
    </row>
    <row r="1401" spans="3:3" x14ac:dyDescent="0.2">
      <c r="C1401"/>
    </row>
    <row r="1402" spans="3:3" x14ac:dyDescent="0.2">
      <c r="C1402"/>
    </row>
    <row r="1403" spans="3:3" x14ac:dyDescent="0.2">
      <c r="C1403"/>
    </row>
    <row r="1404" spans="3:3" x14ac:dyDescent="0.2">
      <c r="C1404"/>
    </row>
    <row r="1405" spans="3:3" x14ac:dyDescent="0.2">
      <c r="C1405"/>
    </row>
    <row r="1406" spans="3:3" x14ac:dyDescent="0.2">
      <c r="C1406"/>
    </row>
    <row r="1407" spans="3:3" x14ac:dyDescent="0.2">
      <c r="C1407"/>
    </row>
    <row r="1408" spans="3:3" x14ac:dyDescent="0.2">
      <c r="C1408"/>
    </row>
    <row r="1409" spans="3:3" x14ac:dyDescent="0.2">
      <c r="C1409"/>
    </row>
    <row r="1410" spans="3:3" x14ac:dyDescent="0.2">
      <c r="C1410"/>
    </row>
    <row r="1411" spans="3:3" x14ac:dyDescent="0.2">
      <c r="C1411"/>
    </row>
    <row r="1412" spans="3:3" x14ac:dyDescent="0.2">
      <c r="C1412"/>
    </row>
    <row r="1413" spans="3:3" x14ac:dyDescent="0.2">
      <c r="C1413"/>
    </row>
    <row r="1414" spans="3:3" x14ac:dyDescent="0.2">
      <c r="C1414"/>
    </row>
    <row r="1415" spans="3:3" x14ac:dyDescent="0.2">
      <c r="C1415"/>
    </row>
    <row r="1416" spans="3:3" x14ac:dyDescent="0.2">
      <c r="C1416"/>
    </row>
    <row r="1417" spans="3:3" x14ac:dyDescent="0.2">
      <c r="C1417"/>
    </row>
    <row r="1418" spans="3:3" x14ac:dyDescent="0.2">
      <c r="C1418"/>
    </row>
    <row r="1419" spans="3:3" x14ac:dyDescent="0.2">
      <c r="C1419"/>
    </row>
    <row r="1420" spans="3:3" x14ac:dyDescent="0.2">
      <c r="C1420"/>
    </row>
    <row r="1421" spans="3:3" x14ac:dyDescent="0.2">
      <c r="C1421"/>
    </row>
    <row r="1422" spans="3:3" x14ac:dyDescent="0.2">
      <c r="C1422"/>
    </row>
    <row r="1423" spans="3:3" x14ac:dyDescent="0.2">
      <c r="C1423"/>
    </row>
    <row r="1424" spans="3:3" x14ac:dyDescent="0.2">
      <c r="C1424"/>
    </row>
    <row r="1425" spans="3:3" x14ac:dyDescent="0.2">
      <c r="C1425"/>
    </row>
    <row r="1426" spans="3:3" x14ac:dyDescent="0.2">
      <c r="C1426"/>
    </row>
    <row r="1427" spans="3:3" x14ac:dyDescent="0.2">
      <c r="C1427"/>
    </row>
    <row r="1428" spans="3:3" x14ac:dyDescent="0.2">
      <c r="C1428"/>
    </row>
    <row r="1429" spans="3:3" x14ac:dyDescent="0.2">
      <c r="C1429"/>
    </row>
    <row r="1430" spans="3:3" x14ac:dyDescent="0.2">
      <c r="C1430"/>
    </row>
    <row r="1431" spans="3:3" x14ac:dyDescent="0.2">
      <c r="C1431"/>
    </row>
    <row r="1432" spans="3:3" x14ac:dyDescent="0.2">
      <c r="C1432"/>
    </row>
    <row r="1433" spans="3:3" x14ac:dyDescent="0.2">
      <c r="C1433"/>
    </row>
    <row r="1434" spans="3:3" x14ac:dyDescent="0.2">
      <c r="C1434"/>
    </row>
    <row r="1435" spans="3:3" x14ac:dyDescent="0.2">
      <c r="C1435"/>
    </row>
    <row r="1436" spans="3:3" x14ac:dyDescent="0.2">
      <c r="C1436"/>
    </row>
    <row r="1437" spans="3:3" x14ac:dyDescent="0.2">
      <c r="C1437"/>
    </row>
    <row r="1438" spans="3:3" x14ac:dyDescent="0.2">
      <c r="C1438"/>
    </row>
    <row r="1439" spans="3:3" x14ac:dyDescent="0.2">
      <c r="C1439"/>
    </row>
    <row r="1440" spans="3:3" x14ac:dyDescent="0.2">
      <c r="C1440"/>
    </row>
    <row r="1441" spans="3:3" x14ac:dyDescent="0.2">
      <c r="C1441"/>
    </row>
    <row r="1442" spans="3:3" x14ac:dyDescent="0.2">
      <c r="C1442"/>
    </row>
    <row r="1443" spans="3:3" x14ac:dyDescent="0.2">
      <c r="C1443"/>
    </row>
    <row r="1444" spans="3:3" x14ac:dyDescent="0.2">
      <c r="C1444"/>
    </row>
    <row r="1445" spans="3:3" x14ac:dyDescent="0.2">
      <c r="C1445"/>
    </row>
    <row r="1446" spans="3:3" x14ac:dyDescent="0.2">
      <c r="C1446"/>
    </row>
    <row r="1447" spans="3:3" x14ac:dyDescent="0.2">
      <c r="C1447"/>
    </row>
    <row r="1448" spans="3:3" x14ac:dyDescent="0.2">
      <c r="C1448"/>
    </row>
    <row r="1449" spans="3:3" x14ac:dyDescent="0.2">
      <c r="C1449"/>
    </row>
    <row r="1450" spans="3:3" x14ac:dyDescent="0.2">
      <c r="C1450"/>
    </row>
    <row r="1451" spans="3:3" x14ac:dyDescent="0.2">
      <c r="C1451"/>
    </row>
    <row r="1452" spans="3:3" x14ac:dyDescent="0.2">
      <c r="C1452"/>
    </row>
    <row r="1453" spans="3:3" x14ac:dyDescent="0.2">
      <c r="C1453"/>
    </row>
    <row r="1454" spans="3:3" x14ac:dyDescent="0.2">
      <c r="C1454"/>
    </row>
    <row r="1455" spans="3:3" x14ac:dyDescent="0.2">
      <c r="C1455"/>
    </row>
    <row r="1456" spans="3:3" x14ac:dyDescent="0.2">
      <c r="C1456"/>
    </row>
    <row r="1457" spans="3:3" x14ac:dyDescent="0.2">
      <c r="C1457"/>
    </row>
    <row r="1458" spans="3:3" x14ac:dyDescent="0.2">
      <c r="C1458"/>
    </row>
    <row r="1459" spans="3:3" x14ac:dyDescent="0.2">
      <c r="C1459"/>
    </row>
    <row r="1460" spans="3:3" x14ac:dyDescent="0.2">
      <c r="C1460"/>
    </row>
    <row r="1461" spans="3:3" x14ac:dyDescent="0.2">
      <c r="C1461"/>
    </row>
    <row r="1462" spans="3:3" x14ac:dyDescent="0.2">
      <c r="C1462"/>
    </row>
    <row r="1463" spans="3:3" x14ac:dyDescent="0.2">
      <c r="C1463"/>
    </row>
    <row r="1464" spans="3:3" x14ac:dyDescent="0.2">
      <c r="C1464"/>
    </row>
    <row r="1465" spans="3:3" x14ac:dyDescent="0.2">
      <c r="C1465"/>
    </row>
    <row r="1466" spans="3:3" x14ac:dyDescent="0.2">
      <c r="C1466"/>
    </row>
    <row r="1467" spans="3:3" x14ac:dyDescent="0.2">
      <c r="C1467"/>
    </row>
    <row r="1468" spans="3:3" x14ac:dyDescent="0.2">
      <c r="C1468"/>
    </row>
    <row r="1469" spans="3:3" x14ac:dyDescent="0.2">
      <c r="C1469"/>
    </row>
    <row r="1470" spans="3:3" x14ac:dyDescent="0.2">
      <c r="C1470"/>
    </row>
    <row r="1471" spans="3:3" x14ac:dyDescent="0.2">
      <c r="C1471"/>
    </row>
    <row r="1472" spans="3:3" x14ac:dyDescent="0.2">
      <c r="C1472"/>
    </row>
    <row r="1473" spans="3:3" x14ac:dyDescent="0.2">
      <c r="C1473"/>
    </row>
    <row r="1474" spans="3:3" x14ac:dyDescent="0.2">
      <c r="C1474"/>
    </row>
    <row r="1475" spans="3:3" x14ac:dyDescent="0.2">
      <c r="C1475"/>
    </row>
    <row r="1476" spans="3:3" x14ac:dyDescent="0.2">
      <c r="C1476"/>
    </row>
    <row r="1477" spans="3:3" x14ac:dyDescent="0.2">
      <c r="C1477"/>
    </row>
    <row r="1478" spans="3:3" x14ac:dyDescent="0.2">
      <c r="C1478"/>
    </row>
    <row r="1479" spans="3:3" x14ac:dyDescent="0.2">
      <c r="C1479"/>
    </row>
    <row r="1480" spans="3:3" x14ac:dyDescent="0.2">
      <c r="C1480"/>
    </row>
    <row r="1481" spans="3:3" x14ac:dyDescent="0.2">
      <c r="C1481"/>
    </row>
    <row r="1482" spans="3:3" x14ac:dyDescent="0.2">
      <c r="C1482"/>
    </row>
    <row r="1483" spans="3:3" x14ac:dyDescent="0.2">
      <c r="C1483"/>
    </row>
    <row r="1484" spans="3:3" x14ac:dyDescent="0.2">
      <c r="C1484"/>
    </row>
    <row r="1485" spans="3:3" x14ac:dyDescent="0.2">
      <c r="C1485"/>
    </row>
    <row r="1486" spans="3:3" x14ac:dyDescent="0.2">
      <c r="C1486"/>
    </row>
    <row r="1487" spans="3:3" x14ac:dyDescent="0.2">
      <c r="C1487"/>
    </row>
    <row r="1488" spans="3:3" x14ac:dyDescent="0.2">
      <c r="C1488"/>
    </row>
    <row r="1489" spans="3:3" x14ac:dyDescent="0.2">
      <c r="C1489"/>
    </row>
    <row r="1490" spans="3:3" x14ac:dyDescent="0.2">
      <c r="C1490"/>
    </row>
    <row r="1491" spans="3:3" x14ac:dyDescent="0.2">
      <c r="C1491"/>
    </row>
    <row r="1492" spans="3:3" x14ac:dyDescent="0.2">
      <c r="C1492"/>
    </row>
    <row r="1493" spans="3:3" x14ac:dyDescent="0.2">
      <c r="C1493"/>
    </row>
    <row r="1494" spans="3:3" x14ac:dyDescent="0.2">
      <c r="C1494"/>
    </row>
    <row r="1495" spans="3:3" x14ac:dyDescent="0.2">
      <c r="C1495"/>
    </row>
    <row r="1496" spans="3:3" x14ac:dyDescent="0.2">
      <c r="C1496"/>
    </row>
    <row r="1497" spans="3:3" x14ac:dyDescent="0.2">
      <c r="C1497"/>
    </row>
    <row r="1498" spans="3:3" x14ac:dyDescent="0.2">
      <c r="C1498"/>
    </row>
    <row r="1499" spans="3:3" x14ac:dyDescent="0.2">
      <c r="C1499"/>
    </row>
    <row r="1500" spans="3:3" x14ac:dyDescent="0.2">
      <c r="C1500"/>
    </row>
    <row r="1501" spans="3:3" x14ac:dyDescent="0.2">
      <c r="C1501"/>
    </row>
    <row r="1502" spans="3:3" x14ac:dyDescent="0.2">
      <c r="C1502"/>
    </row>
    <row r="1503" spans="3:3" x14ac:dyDescent="0.2">
      <c r="C1503"/>
    </row>
    <row r="1504" spans="3:3" x14ac:dyDescent="0.2">
      <c r="C1504"/>
    </row>
    <row r="1505" spans="3:3" x14ac:dyDescent="0.2">
      <c r="C1505"/>
    </row>
    <row r="1506" spans="3:3" x14ac:dyDescent="0.2">
      <c r="C1506"/>
    </row>
    <row r="1507" spans="3:3" x14ac:dyDescent="0.2">
      <c r="C1507"/>
    </row>
    <row r="1508" spans="3:3" x14ac:dyDescent="0.2">
      <c r="C1508"/>
    </row>
    <row r="1509" spans="3:3" x14ac:dyDescent="0.2">
      <c r="C1509"/>
    </row>
    <row r="1510" spans="3:3" x14ac:dyDescent="0.2">
      <c r="C1510"/>
    </row>
    <row r="1511" spans="3:3" x14ac:dyDescent="0.2">
      <c r="C1511"/>
    </row>
    <row r="1512" spans="3:3" x14ac:dyDescent="0.2">
      <c r="C1512"/>
    </row>
    <row r="1513" spans="3:3" x14ac:dyDescent="0.2">
      <c r="C1513"/>
    </row>
    <row r="1514" spans="3:3" x14ac:dyDescent="0.2">
      <c r="C1514"/>
    </row>
    <row r="1515" spans="3:3" x14ac:dyDescent="0.2">
      <c r="C1515"/>
    </row>
    <row r="1516" spans="3:3" x14ac:dyDescent="0.2">
      <c r="C1516"/>
    </row>
    <row r="1517" spans="3:3" x14ac:dyDescent="0.2">
      <c r="C1517"/>
    </row>
    <row r="1518" spans="3:3" x14ac:dyDescent="0.2">
      <c r="C1518"/>
    </row>
    <row r="1519" spans="3:3" x14ac:dyDescent="0.2">
      <c r="C1519"/>
    </row>
    <row r="1520" spans="3:3" x14ac:dyDescent="0.2">
      <c r="C1520"/>
    </row>
    <row r="1521" spans="3:3" x14ac:dyDescent="0.2">
      <c r="C1521"/>
    </row>
    <row r="1522" spans="3:3" x14ac:dyDescent="0.2">
      <c r="C1522"/>
    </row>
    <row r="1523" spans="3:3" x14ac:dyDescent="0.2">
      <c r="C1523"/>
    </row>
    <row r="1524" spans="3:3" x14ac:dyDescent="0.2">
      <c r="C1524"/>
    </row>
    <row r="1525" spans="3:3" x14ac:dyDescent="0.2">
      <c r="C1525"/>
    </row>
    <row r="1526" spans="3:3" x14ac:dyDescent="0.2">
      <c r="C1526"/>
    </row>
    <row r="1527" spans="3:3" x14ac:dyDescent="0.2">
      <c r="C1527"/>
    </row>
    <row r="1528" spans="3:3" x14ac:dyDescent="0.2">
      <c r="C1528"/>
    </row>
    <row r="1529" spans="3:3" x14ac:dyDescent="0.2">
      <c r="C1529"/>
    </row>
    <row r="1530" spans="3:3" x14ac:dyDescent="0.2">
      <c r="C1530"/>
    </row>
    <row r="1531" spans="3:3" x14ac:dyDescent="0.2">
      <c r="C1531"/>
    </row>
    <row r="1532" spans="3:3" x14ac:dyDescent="0.2">
      <c r="C1532"/>
    </row>
    <row r="1533" spans="3:3" x14ac:dyDescent="0.2">
      <c r="C1533"/>
    </row>
    <row r="1534" spans="3:3" x14ac:dyDescent="0.2">
      <c r="C1534"/>
    </row>
    <row r="1535" spans="3:3" x14ac:dyDescent="0.2">
      <c r="C1535"/>
    </row>
    <row r="1536" spans="3:3" x14ac:dyDescent="0.2">
      <c r="C1536"/>
    </row>
    <row r="1537" spans="3:3" x14ac:dyDescent="0.2">
      <c r="C1537"/>
    </row>
    <row r="1538" spans="3:3" x14ac:dyDescent="0.2">
      <c r="C1538"/>
    </row>
    <row r="1539" spans="3:3" x14ac:dyDescent="0.2">
      <c r="C1539"/>
    </row>
    <row r="1540" spans="3:3" x14ac:dyDescent="0.2">
      <c r="C1540"/>
    </row>
    <row r="1541" spans="3:3" x14ac:dyDescent="0.2">
      <c r="C1541"/>
    </row>
    <row r="1542" spans="3:3" x14ac:dyDescent="0.2">
      <c r="C1542"/>
    </row>
    <row r="1543" spans="3:3" x14ac:dyDescent="0.2">
      <c r="C1543"/>
    </row>
    <row r="1544" spans="3:3" x14ac:dyDescent="0.2">
      <c r="C1544"/>
    </row>
    <row r="1545" spans="3:3" x14ac:dyDescent="0.2">
      <c r="C1545"/>
    </row>
    <row r="1546" spans="3:3" x14ac:dyDescent="0.2">
      <c r="C1546"/>
    </row>
    <row r="1547" spans="3:3" x14ac:dyDescent="0.2">
      <c r="C1547"/>
    </row>
    <row r="1548" spans="3:3" x14ac:dyDescent="0.2">
      <c r="C1548"/>
    </row>
    <row r="1549" spans="3:3" x14ac:dyDescent="0.2">
      <c r="C1549"/>
    </row>
    <row r="1550" spans="3:3" x14ac:dyDescent="0.2">
      <c r="C1550"/>
    </row>
    <row r="1551" spans="3:3" x14ac:dyDescent="0.2">
      <c r="C1551"/>
    </row>
    <row r="1552" spans="3:3" x14ac:dyDescent="0.2">
      <c r="C1552"/>
    </row>
    <row r="1553" spans="3:3" x14ac:dyDescent="0.2">
      <c r="C1553"/>
    </row>
    <row r="1554" spans="3:3" x14ac:dyDescent="0.2">
      <c r="C1554"/>
    </row>
    <row r="1555" spans="3:3" x14ac:dyDescent="0.2">
      <c r="C1555"/>
    </row>
    <row r="1556" spans="3:3" x14ac:dyDescent="0.2">
      <c r="C1556"/>
    </row>
    <row r="1557" spans="3:3" x14ac:dyDescent="0.2">
      <c r="C1557"/>
    </row>
    <row r="1558" spans="3:3" x14ac:dyDescent="0.2">
      <c r="C1558"/>
    </row>
    <row r="1559" spans="3:3" x14ac:dyDescent="0.2">
      <c r="C1559"/>
    </row>
    <row r="1560" spans="3:3" x14ac:dyDescent="0.2">
      <c r="C1560"/>
    </row>
    <row r="1561" spans="3:3" x14ac:dyDescent="0.2">
      <c r="C1561"/>
    </row>
    <row r="1562" spans="3:3" x14ac:dyDescent="0.2">
      <c r="C1562"/>
    </row>
    <row r="1563" spans="3:3" x14ac:dyDescent="0.2">
      <c r="C1563"/>
    </row>
    <row r="1564" spans="3:3" x14ac:dyDescent="0.2">
      <c r="C1564"/>
    </row>
    <row r="1565" spans="3:3" x14ac:dyDescent="0.2">
      <c r="C1565"/>
    </row>
    <row r="1566" spans="3:3" x14ac:dyDescent="0.2">
      <c r="C1566"/>
    </row>
    <row r="1567" spans="3:3" x14ac:dyDescent="0.2">
      <c r="C1567"/>
    </row>
    <row r="1568" spans="3:3" x14ac:dyDescent="0.2">
      <c r="C1568"/>
    </row>
    <row r="1569" spans="3:3" x14ac:dyDescent="0.2">
      <c r="C1569"/>
    </row>
    <row r="1570" spans="3:3" x14ac:dyDescent="0.2">
      <c r="C1570"/>
    </row>
    <row r="1571" spans="3:3" x14ac:dyDescent="0.2">
      <c r="C1571"/>
    </row>
    <row r="1572" spans="3:3" x14ac:dyDescent="0.2">
      <c r="C1572"/>
    </row>
    <row r="1573" spans="3:3" x14ac:dyDescent="0.2">
      <c r="C1573"/>
    </row>
    <row r="1574" spans="3:3" x14ac:dyDescent="0.2">
      <c r="C1574"/>
    </row>
    <row r="1575" spans="3:3" x14ac:dyDescent="0.2">
      <c r="C1575"/>
    </row>
    <row r="1576" spans="3:3" x14ac:dyDescent="0.2">
      <c r="C1576"/>
    </row>
    <row r="1577" spans="3:3" x14ac:dyDescent="0.2">
      <c r="C1577"/>
    </row>
    <row r="1578" spans="3:3" x14ac:dyDescent="0.2">
      <c r="C1578"/>
    </row>
    <row r="1579" spans="3:3" x14ac:dyDescent="0.2">
      <c r="C1579"/>
    </row>
    <row r="1580" spans="3:3" x14ac:dyDescent="0.2">
      <c r="C1580"/>
    </row>
    <row r="1581" spans="3:3" x14ac:dyDescent="0.2">
      <c r="C1581"/>
    </row>
    <row r="1582" spans="3:3" x14ac:dyDescent="0.2">
      <c r="C1582"/>
    </row>
    <row r="1583" spans="3:3" x14ac:dyDescent="0.2">
      <c r="C1583"/>
    </row>
    <row r="1584" spans="3:3" x14ac:dyDescent="0.2">
      <c r="C1584"/>
    </row>
    <row r="1585" spans="3:3" x14ac:dyDescent="0.2">
      <c r="C1585"/>
    </row>
    <row r="1586" spans="3:3" x14ac:dyDescent="0.2">
      <c r="C1586"/>
    </row>
    <row r="1587" spans="3:3" x14ac:dyDescent="0.2">
      <c r="C1587"/>
    </row>
    <row r="1588" spans="3:3" x14ac:dyDescent="0.2">
      <c r="C1588"/>
    </row>
    <row r="1589" spans="3:3" x14ac:dyDescent="0.2">
      <c r="C1589"/>
    </row>
    <row r="1590" spans="3:3" x14ac:dyDescent="0.2">
      <c r="C1590"/>
    </row>
    <row r="1591" spans="3:3" x14ac:dyDescent="0.2">
      <c r="C1591"/>
    </row>
    <row r="1592" spans="3:3" x14ac:dyDescent="0.2">
      <c r="C1592"/>
    </row>
    <row r="1593" spans="3:3" x14ac:dyDescent="0.2">
      <c r="C1593"/>
    </row>
    <row r="1594" spans="3:3" x14ac:dyDescent="0.2">
      <c r="C1594"/>
    </row>
    <row r="1595" spans="3:3" x14ac:dyDescent="0.2">
      <c r="C1595"/>
    </row>
    <row r="1596" spans="3:3" x14ac:dyDescent="0.2">
      <c r="C1596"/>
    </row>
    <row r="1597" spans="3:3" x14ac:dyDescent="0.2">
      <c r="C1597"/>
    </row>
    <row r="1598" spans="3:3" x14ac:dyDescent="0.2">
      <c r="C1598"/>
    </row>
    <row r="1599" spans="3:3" x14ac:dyDescent="0.2">
      <c r="C1599"/>
    </row>
    <row r="1600" spans="3:3" x14ac:dyDescent="0.2">
      <c r="C1600"/>
    </row>
    <row r="1601" spans="3:3" x14ac:dyDescent="0.2">
      <c r="C1601"/>
    </row>
    <row r="1602" spans="3:3" x14ac:dyDescent="0.2">
      <c r="C1602"/>
    </row>
    <row r="1603" spans="3:3" x14ac:dyDescent="0.2">
      <c r="C1603"/>
    </row>
    <row r="1604" spans="3:3" x14ac:dyDescent="0.2">
      <c r="C1604"/>
    </row>
    <row r="1605" spans="3:3" x14ac:dyDescent="0.2">
      <c r="C1605"/>
    </row>
    <row r="1606" spans="3:3" x14ac:dyDescent="0.2">
      <c r="C1606"/>
    </row>
    <row r="1607" spans="3:3" x14ac:dyDescent="0.2">
      <c r="C1607"/>
    </row>
    <row r="1608" spans="3:3" x14ac:dyDescent="0.2">
      <c r="C1608"/>
    </row>
    <row r="1609" spans="3:3" x14ac:dyDescent="0.2">
      <c r="C1609"/>
    </row>
    <row r="1610" spans="3:3" x14ac:dyDescent="0.2">
      <c r="C1610"/>
    </row>
    <row r="1611" spans="3:3" x14ac:dyDescent="0.2">
      <c r="C1611"/>
    </row>
    <row r="1612" spans="3:3" x14ac:dyDescent="0.2">
      <c r="C1612"/>
    </row>
    <row r="1613" spans="3:3" x14ac:dyDescent="0.2">
      <c r="C1613"/>
    </row>
    <row r="1614" spans="3:3" x14ac:dyDescent="0.2">
      <c r="C1614"/>
    </row>
    <row r="1615" spans="3:3" x14ac:dyDescent="0.2">
      <c r="C1615"/>
    </row>
    <row r="1616" spans="3:3" x14ac:dyDescent="0.2">
      <c r="C1616"/>
    </row>
    <row r="1617" spans="3:3" x14ac:dyDescent="0.2">
      <c r="C1617"/>
    </row>
    <row r="1618" spans="3:3" x14ac:dyDescent="0.2">
      <c r="C1618"/>
    </row>
    <row r="1619" spans="3:3" x14ac:dyDescent="0.2">
      <c r="C1619"/>
    </row>
    <row r="1620" spans="3:3" x14ac:dyDescent="0.2">
      <c r="C1620"/>
    </row>
    <row r="1621" spans="3:3" x14ac:dyDescent="0.2">
      <c r="C1621"/>
    </row>
    <row r="1622" spans="3:3" x14ac:dyDescent="0.2">
      <c r="C1622"/>
    </row>
    <row r="1623" spans="3:3" x14ac:dyDescent="0.2">
      <c r="C1623"/>
    </row>
    <row r="1624" spans="3:3" x14ac:dyDescent="0.2">
      <c r="C1624"/>
    </row>
    <row r="1625" spans="3:3" x14ac:dyDescent="0.2">
      <c r="C1625"/>
    </row>
    <row r="1626" spans="3:3" x14ac:dyDescent="0.2">
      <c r="C1626"/>
    </row>
    <row r="1627" spans="3:3" x14ac:dyDescent="0.2">
      <c r="C1627"/>
    </row>
    <row r="1628" spans="3:3" x14ac:dyDescent="0.2">
      <c r="C1628"/>
    </row>
    <row r="1629" spans="3:3" x14ac:dyDescent="0.2">
      <c r="C1629"/>
    </row>
    <row r="1630" spans="3:3" x14ac:dyDescent="0.2">
      <c r="C1630"/>
    </row>
    <row r="1631" spans="3:3" x14ac:dyDescent="0.2">
      <c r="C1631"/>
    </row>
    <row r="1632" spans="3:3" x14ac:dyDescent="0.2">
      <c r="C1632"/>
    </row>
    <row r="1633" spans="3:3" x14ac:dyDescent="0.2">
      <c r="C1633"/>
    </row>
    <row r="1634" spans="3:3" x14ac:dyDescent="0.2">
      <c r="C1634"/>
    </row>
    <row r="1635" spans="3:3" x14ac:dyDescent="0.2">
      <c r="C1635"/>
    </row>
    <row r="1636" spans="3:3" x14ac:dyDescent="0.2">
      <c r="C1636"/>
    </row>
    <row r="1637" spans="3:3" x14ac:dyDescent="0.2">
      <c r="C1637"/>
    </row>
    <row r="1638" spans="3:3" x14ac:dyDescent="0.2">
      <c r="C1638"/>
    </row>
    <row r="1639" spans="3:3" x14ac:dyDescent="0.2">
      <c r="C1639"/>
    </row>
    <row r="1640" spans="3:3" x14ac:dyDescent="0.2">
      <c r="C1640"/>
    </row>
    <row r="1641" spans="3:3" x14ac:dyDescent="0.2">
      <c r="C1641"/>
    </row>
    <row r="1642" spans="3:3" x14ac:dyDescent="0.2">
      <c r="C1642"/>
    </row>
    <row r="1643" spans="3:3" x14ac:dyDescent="0.2">
      <c r="C1643"/>
    </row>
    <row r="1644" spans="3:3" x14ac:dyDescent="0.2">
      <c r="C1644"/>
    </row>
    <row r="1645" spans="3:3" x14ac:dyDescent="0.2">
      <c r="C1645"/>
    </row>
    <row r="1646" spans="3:3" x14ac:dyDescent="0.2">
      <c r="C1646"/>
    </row>
    <row r="1647" spans="3:3" x14ac:dyDescent="0.2">
      <c r="C1647"/>
    </row>
    <row r="1648" spans="3:3" x14ac:dyDescent="0.2">
      <c r="C1648"/>
    </row>
    <row r="1649" spans="3:3" x14ac:dyDescent="0.2">
      <c r="C1649"/>
    </row>
    <row r="1650" spans="3:3" x14ac:dyDescent="0.2">
      <c r="C1650"/>
    </row>
    <row r="1651" spans="3:3" x14ac:dyDescent="0.2">
      <c r="C1651"/>
    </row>
    <row r="1652" spans="3:3" x14ac:dyDescent="0.2">
      <c r="C1652"/>
    </row>
    <row r="1653" spans="3:3" x14ac:dyDescent="0.2">
      <c r="C1653"/>
    </row>
    <row r="1654" spans="3:3" x14ac:dyDescent="0.2">
      <c r="C1654"/>
    </row>
    <row r="1655" spans="3:3" x14ac:dyDescent="0.2">
      <c r="C1655"/>
    </row>
    <row r="1656" spans="3:3" x14ac:dyDescent="0.2">
      <c r="C1656"/>
    </row>
    <row r="1657" spans="3:3" x14ac:dyDescent="0.2">
      <c r="C1657"/>
    </row>
    <row r="1658" spans="3:3" x14ac:dyDescent="0.2">
      <c r="C1658"/>
    </row>
    <row r="1659" spans="3:3" x14ac:dyDescent="0.2">
      <c r="C1659"/>
    </row>
    <row r="1660" spans="3:3" x14ac:dyDescent="0.2">
      <c r="C1660"/>
    </row>
    <row r="1661" spans="3:3" x14ac:dyDescent="0.2">
      <c r="C1661"/>
    </row>
    <row r="1662" spans="3:3" x14ac:dyDescent="0.2">
      <c r="C1662"/>
    </row>
    <row r="1663" spans="3:3" x14ac:dyDescent="0.2">
      <c r="C1663"/>
    </row>
    <row r="1664" spans="3:3" x14ac:dyDescent="0.2">
      <c r="C1664"/>
    </row>
    <row r="1665" spans="3:3" x14ac:dyDescent="0.2">
      <c r="C1665"/>
    </row>
    <row r="1666" spans="3:3" x14ac:dyDescent="0.2">
      <c r="C1666"/>
    </row>
    <row r="1667" spans="3:3" x14ac:dyDescent="0.2">
      <c r="C1667"/>
    </row>
    <row r="1668" spans="3:3" x14ac:dyDescent="0.2">
      <c r="C1668"/>
    </row>
    <row r="1669" spans="3:3" x14ac:dyDescent="0.2">
      <c r="C1669"/>
    </row>
    <row r="1670" spans="3:3" x14ac:dyDescent="0.2">
      <c r="C1670"/>
    </row>
    <row r="1671" spans="3:3" x14ac:dyDescent="0.2">
      <c r="C1671"/>
    </row>
    <row r="1672" spans="3:3" x14ac:dyDescent="0.2">
      <c r="C1672"/>
    </row>
    <row r="1673" spans="3:3" x14ac:dyDescent="0.2">
      <c r="C1673"/>
    </row>
    <row r="1674" spans="3:3" x14ac:dyDescent="0.2">
      <c r="C1674"/>
    </row>
    <row r="1675" spans="3:3" x14ac:dyDescent="0.2">
      <c r="C1675"/>
    </row>
    <row r="1676" spans="3:3" x14ac:dyDescent="0.2">
      <c r="C1676"/>
    </row>
    <row r="1677" spans="3:3" x14ac:dyDescent="0.2">
      <c r="C1677"/>
    </row>
    <row r="1678" spans="3:3" x14ac:dyDescent="0.2">
      <c r="C1678"/>
    </row>
    <row r="1679" spans="3:3" x14ac:dyDescent="0.2">
      <c r="C1679"/>
    </row>
    <row r="1680" spans="3:3" x14ac:dyDescent="0.2">
      <c r="C1680"/>
    </row>
    <row r="1681" spans="3:3" x14ac:dyDescent="0.2">
      <c r="C1681"/>
    </row>
    <row r="1682" spans="3:3" x14ac:dyDescent="0.2">
      <c r="C1682"/>
    </row>
    <row r="1683" spans="3:3" x14ac:dyDescent="0.2">
      <c r="C1683"/>
    </row>
    <row r="1684" spans="3:3" x14ac:dyDescent="0.2">
      <c r="C1684"/>
    </row>
    <row r="1685" spans="3:3" x14ac:dyDescent="0.2">
      <c r="C1685"/>
    </row>
    <row r="1686" spans="3:3" x14ac:dyDescent="0.2">
      <c r="C1686"/>
    </row>
    <row r="1687" spans="3:3" x14ac:dyDescent="0.2">
      <c r="C1687"/>
    </row>
    <row r="1688" spans="3:3" x14ac:dyDescent="0.2">
      <c r="C1688"/>
    </row>
    <row r="1689" spans="3:3" x14ac:dyDescent="0.2">
      <c r="C1689"/>
    </row>
    <row r="1690" spans="3:3" x14ac:dyDescent="0.2">
      <c r="C1690"/>
    </row>
    <row r="1691" spans="3:3" x14ac:dyDescent="0.2">
      <c r="C1691"/>
    </row>
    <row r="1692" spans="3:3" x14ac:dyDescent="0.2">
      <c r="C1692"/>
    </row>
    <row r="1693" spans="3:3" x14ac:dyDescent="0.2">
      <c r="C1693"/>
    </row>
    <row r="1694" spans="3:3" x14ac:dyDescent="0.2">
      <c r="C1694"/>
    </row>
    <row r="1695" spans="3:3" x14ac:dyDescent="0.2">
      <c r="C1695"/>
    </row>
    <row r="1696" spans="3:3" x14ac:dyDescent="0.2">
      <c r="C1696"/>
    </row>
    <row r="1697" spans="3:3" x14ac:dyDescent="0.2">
      <c r="C1697"/>
    </row>
    <row r="1698" spans="3:3" x14ac:dyDescent="0.2">
      <c r="C1698"/>
    </row>
    <row r="1699" spans="3:3" x14ac:dyDescent="0.2">
      <c r="C1699"/>
    </row>
    <row r="1700" spans="3:3" x14ac:dyDescent="0.2">
      <c r="C1700"/>
    </row>
    <row r="1701" spans="3:3" x14ac:dyDescent="0.2">
      <c r="C1701"/>
    </row>
    <row r="1702" spans="3:3" x14ac:dyDescent="0.2">
      <c r="C1702"/>
    </row>
    <row r="1703" spans="3:3" x14ac:dyDescent="0.2">
      <c r="C1703"/>
    </row>
    <row r="1704" spans="3:3" x14ac:dyDescent="0.2">
      <c r="C1704"/>
    </row>
    <row r="1705" spans="3:3" x14ac:dyDescent="0.2">
      <c r="C1705"/>
    </row>
    <row r="1706" spans="3:3" x14ac:dyDescent="0.2">
      <c r="C1706"/>
    </row>
    <row r="1707" spans="3:3" x14ac:dyDescent="0.2">
      <c r="C1707"/>
    </row>
    <row r="1708" spans="3:3" x14ac:dyDescent="0.2">
      <c r="C1708"/>
    </row>
    <row r="1709" spans="3:3" x14ac:dyDescent="0.2">
      <c r="C1709"/>
    </row>
    <row r="1710" spans="3:3" x14ac:dyDescent="0.2">
      <c r="C1710"/>
    </row>
    <row r="1711" spans="3:3" x14ac:dyDescent="0.2">
      <c r="C1711"/>
    </row>
    <row r="1712" spans="3:3" x14ac:dyDescent="0.2">
      <c r="C1712"/>
    </row>
    <row r="1713" spans="3:3" x14ac:dyDescent="0.2">
      <c r="C1713"/>
    </row>
    <row r="1714" spans="3:3" x14ac:dyDescent="0.2">
      <c r="C1714"/>
    </row>
    <row r="1715" spans="3:3" x14ac:dyDescent="0.2">
      <c r="C1715"/>
    </row>
    <row r="1716" spans="3:3" x14ac:dyDescent="0.2">
      <c r="C1716"/>
    </row>
    <row r="1717" spans="3:3" x14ac:dyDescent="0.2">
      <c r="C1717"/>
    </row>
    <row r="1718" spans="3:3" x14ac:dyDescent="0.2">
      <c r="C1718"/>
    </row>
    <row r="1719" spans="3:3" x14ac:dyDescent="0.2">
      <c r="C1719"/>
    </row>
    <row r="1720" spans="3:3" x14ac:dyDescent="0.2">
      <c r="C1720"/>
    </row>
    <row r="1721" spans="3:3" x14ac:dyDescent="0.2">
      <c r="C1721"/>
    </row>
    <row r="1722" spans="3:3" x14ac:dyDescent="0.2">
      <c r="C1722"/>
    </row>
    <row r="1723" spans="3:3" x14ac:dyDescent="0.2">
      <c r="C1723"/>
    </row>
    <row r="1724" spans="3:3" x14ac:dyDescent="0.2">
      <c r="C1724"/>
    </row>
    <row r="1725" spans="3:3" x14ac:dyDescent="0.2">
      <c r="C1725"/>
    </row>
    <row r="1726" spans="3:3" x14ac:dyDescent="0.2">
      <c r="C1726"/>
    </row>
    <row r="1727" spans="3:3" x14ac:dyDescent="0.2">
      <c r="C1727"/>
    </row>
    <row r="1728" spans="3:3" x14ac:dyDescent="0.2">
      <c r="C1728"/>
    </row>
    <row r="1729" spans="3:3" x14ac:dyDescent="0.2">
      <c r="C1729"/>
    </row>
    <row r="1730" spans="3:3" x14ac:dyDescent="0.2">
      <c r="C1730"/>
    </row>
    <row r="1731" spans="3:3" x14ac:dyDescent="0.2">
      <c r="C1731"/>
    </row>
    <row r="1732" spans="3:3" x14ac:dyDescent="0.2">
      <c r="C1732"/>
    </row>
    <row r="1733" spans="3:3" x14ac:dyDescent="0.2">
      <c r="C1733"/>
    </row>
    <row r="1734" spans="3:3" x14ac:dyDescent="0.2">
      <c r="C1734"/>
    </row>
    <row r="1735" spans="3:3" x14ac:dyDescent="0.2">
      <c r="C1735"/>
    </row>
    <row r="1736" spans="3:3" x14ac:dyDescent="0.2">
      <c r="C1736"/>
    </row>
    <row r="1737" spans="3:3" x14ac:dyDescent="0.2">
      <c r="C1737"/>
    </row>
    <row r="1738" spans="3:3" x14ac:dyDescent="0.2">
      <c r="C1738"/>
    </row>
    <row r="1739" spans="3:3" x14ac:dyDescent="0.2">
      <c r="C1739"/>
    </row>
    <row r="1740" spans="3:3" x14ac:dyDescent="0.2">
      <c r="C1740"/>
    </row>
    <row r="1741" spans="3:3" x14ac:dyDescent="0.2">
      <c r="C1741"/>
    </row>
    <row r="1742" spans="3:3" x14ac:dyDescent="0.2">
      <c r="C1742"/>
    </row>
    <row r="1743" spans="3:3" x14ac:dyDescent="0.2">
      <c r="C1743"/>
    </row>
    <row r="1744" spans="3:3" x14ac:dyDescent="0.2">
      <c r="C1744"/>
    </row>
    <row r="1745" spans="3:3" x14ac:dyDescent="0.2">
      <c r="C1745"/>
    </row>
    <row r="1746" spans="3:3" x14ac:dyDescent="0.2">
      <c r="C1746"/>
    </row>
    <row r="1747" spans="3:3" x14ac:dyDescent="0.2">
      <c r="C1747"/>
    </row>
    <row r="1748" spans="3:3" x14ac:dyDescent="0.2">
      <c r="C1748"/>
    </row>
    <row r="1749" spans="3:3" x14ac:dyDescent="0.2">
      <c r="C1749"/>
    </row>
    <row r="1750" spans="3:3" x14ac:dyDescent="0.2">
      <c r="C1750"/>
    </row>
    <row r="1751" spans="3:3" x14ac:dyDescent="0.2">
      <c r="C1751"/>
    </row>
    <row r="1752" spans="3:3" x14ac:dyDescent="0.2">
      <c r="C1752"/>
    </row>
    <row r="1753" spans="3:3" x14ac:dyDescent="0.2">
      <c r="C1753"/>
    </row>
    <row r="1754" spans="3:3" x14ac:dyDescent="0.2">
      <c r="C1754"/>
    </row>
    <row r="1755" spans="3:3" x14ac:dyDescent="0.2">
      <c r="C1755"/>
    </row>
    <row r="1756" spans="3:3" x14ac:dyDescent="0.2">
      <c r="C1756"/>
    </row>
    <row r="1757" spans="3:3" x14ac:dyDescent="0.2">
      <c r="C1757"/>
    </row>
    <row r="1758" spans="3:3" x14ac:dyDescent="0.2">
      <c r="C1758"/>
    </row>
    <row r="1759" spans="3:3" x14ac:dyDescent="0.2">
      <c r="C1759"/>
    </row>
    <row r="1760" spans="3:3" x14ac:dyDescent="0.2">
      <c r="C1760"/>
    </row>
    <row r="1761" spans="3:3" x14ac:dyDescent="0.2">
      <c r="C1761"/>
    </row>
    <row r="1762" spans="3:3" x14ac:dyDescent="0.2">
      <c r="C1762"/>
    </row>
    <row r="1763" spans="3:3" x14ac:dyDescent="0.2">
      <c r="C1763"/>
    </row>
    <row r="1764" spans="3:3" x14ac:dyDescent="0.2">
      <c r="C1764"/>
    </row>
    <row r="1765" spans="3:3" x14ac:dyDescent="0.2">
      <c r="C1765"/>
    </row>
    <row r="1766" spans="3:3" x14ac:dyDescent="0.2">
      <c r="C1766"/>
    </row>
    <row r="1767" spans="3:3" x14ac:dyDescent="0.2">
      <c r="C1767"/>
    </row>
    <row r="1768" spans="3:3" x14ac:dyDescent="0.2">
      <c r="C1768"/>
    </row>
    <row r="1769" spans="3:3" x14ac:dyDescent="0.2">
      <c r="C1769"/>
    </row>
    <row r="1770" spans="3:3" x14ac:dyDescent="0.2">
      <c r="C1770"/>
    </row>
    <row r="1771" spans="3:3" x14ac:dyDescent="0.2">
      <c r="C1771"/>
    </row>
    <row r="1772" spans="3:3" x14ac:dyDescent="0.2">
      <c r="C1772"/>
    </row>
    <row r="1773" spans="3:3" x14ac:dyDescent="0.2">
      <c r="C1773"/>
    </row>
    <row r="1774" spans="3:3" x14ac:dyDescent="0.2">
      <c r="C1774"/>
    </row>
    <row r="1775" spans="3:3" x14ac:dyDescent="0.2">
      <c r="C1775"/>
    </row>
    <row r="1776" spans="3:3" x14ac:dyDescent="0.2">
      <c r="C1776"/>
    </row>
    <row r="1777" spans="3:3" x14ac:dyDescent="0.2">
      <c r="C1777"/>
    </row>
    <row r="1778" spans="3:3" x14ac:dyDescent="0.2">
      <c r="C1778"/>
    </row>
    <row r="1779" spans="3:3" x14ac:dyDescent="0.2">
      <c r="C1779"/>
    </row>
    <row r="1780" spans="3:3" x14ac:dyDescent="0.2">
      <c r="C1780"/>
    </row>
    <row r="1781" spans="3:3" x14ac:dyDescent="0.2">
      <c r="C1781"/>
    </row>
    <row r="1782" spans="3:3" x14ac:dyDescent="0.2">
      <c r="C1782"/>
    </row>
    <row r="1783" spans="3:3" x14ac:dyDescent="0.2">
      <c r="C1783"/>
    </row>
    <row r="1784" spans="3:3" x14ac:dyDescent="0.2">
      <c r="C1784"/>
    </row>
    <row r="1785" spans="3:3" x14ac:dyDescent="0.2">
      <c r="C1785"/>
    </row>
    <row r="1786" spans="3:3" x14ac:dyDescent="0.2">
      <c r="C1786"/>
    </row>
    <row r="1787" spans="3:3" x14ac:dyDescent="0.2">
      <c r="C1787"/>
    </row>
    <row r="1788" spans="3:3" x14ac:dyDescent="0.2">
      <c r="C1788"/>
    </row>
    <row r="1789" spans="3:3" x14ac:dyDescent="0.2">
      <c r="C1789"/>
    </row>
    <row r="1790" spans="3:3" x14ac:dyDescent="0.2">
      <c r="C1790"/>
    </row>
    <row r="1791" spans="3:3" x14ac:dyDescent="0.2">
      <c r="C1791"/>
    </row>
    <row r="1792" spans="3:3" x14ac:dyDescent="0.2">
      <c r="C1792"/>
    </row>
    <row r="1793" spans="3:3" x14ac:dyDescent="0.2">
      <c r="C1793"/>
    </row>
    <row r="1794" spans="3:3" x14ac:dyDescent="0.2">
      <c r="C1794"/>
    </row>
    <row r="1795" spans="3:3" x14ac:dyDescent="0.2">
      <c r="C1795"/>
    </row>
    <row r="1796" spans="3:3" x14ac:dyDescent="0.2">
      <c r="C1796"/>
    </row>
    <row r="1797" spans="3:3" x14ac:dyDescent="0.2">
      <c r="C1797"/>
    </row>
    <row r="1798" spans="3:3" x14ac:dyDescent="0.2">
      <c r="C1798"/>
    </row>
    <row r="1799" spans="3:3" x14ac:dyDescent="0.2">
      <c r="C1799"/>
    </row>
    <row r="1800" spans="3:3" x14ac:dyDescent="0.2">
      <c r="C1800"/>
    </row>
    <row r="1801" spans="3:3" x14ac:dyDescent="0.2">
      <c r="C1801"/>
    </row>
    <row r="1802" spans="3:3" x14ac:dyDescent="0.2">
      <c r="C1802"/>
    </row>
    <row r="1803" spans="3:3" x14ac:dyDescent="0.2">
      <c r="C1803"/>
    </row>
    <row r="1804" spans="3:3" x14ac:dyDescent="0.2">
      <c r="C1804"/>
    </row>
    <row r="1805" spans="3:3" x14ac:dyDescent="0.2">
      <c r="C1805"/>
    </row>
    <row r="1806" spans="3:3" x14ac:dyDescent="0.2">
      <c r="C1806"/>
    </row>
    <row r="1807" spans="3:3" x14ac:dyDescent="0.2">
      <c r="C1807"/>
    </row>
    <row r="1808" spans="3:3" x14ac:dyDescent="0.2">
      <c r="C1808"/>
    </row>
    <row r="1809" spans="3:3" x14ac:dyDescent="0.2">
      <c r="C1809"/>
    </row>
    <row r="1810" spans="3:3" x14ac:dyDescent="0.2">
      <c r="C1810"/>
    </row>
    <row r="1811" spans="3:3" x14ac:dyDescent="0.2">
      <c r="C1811"/>
    </row>
    <row r="1812" spans="3:3" x14ac:dyDescent="0.2">
      <c r="C1812"/>
    </row>
    <row r="1813" spans="3:3" x14ac:dyDescent="0.2">
      <c r="C1813"/>
    </row>
    <row r="1814" spans="3:3" x14ac:dyDescent="0.2">
      <c r="C1814"/>
    </row>
    <row r="1815" spans="3:3" x14ac:dyDescent="0.2">
      <c r="C1815"/>
    </row>
    <row r="1816" spans="3:3" x14ac:dyDescent="0.2">
      <c r="C1816"/>
    </row>
    <row r="1817" spans="3:3" x14ac:dyDescent="0.2">
      <c r="C1817"/>
    </row>
    <row r="1818" spans="3:3" x14ac:dyDescent="0.2">
      <c r="C1818"/>
    </row>
    <row r="1819" spans="3:3" x14ac:dyDescent="0.2">
      <c r="C1819"/>
    </row>
    <row r="1820" spans="3:3" x14ac:dyDescent="0.2">
      <c r="C1820"/>
    </row>
    <row r="1821" spans="3:3" x14ac:dyDescent="0.2">
      <c r="C1821"/>
    </row>
    <row r="1822" spans="3:3" x14ac:dyDescent="0.2">
      <c r="C1822"/>
    </row>
    <row r="1823" spans="3:3" x14ac:dyDescent="0.2">
      <c r="C1823"/>
    </row>
    <row r="1824" spans="3:3" x14ac:dyDescent="0.2">
      <c r="C1824"/>
    </row>
    <row r="1825" spans="3:3" x14ac:dyDescent="0.2">
      <c r="C1825"/>
    </row>
    <row r="1826" spans="3:3" x14ac:dyDescent="0.2">
      <c r="C1826"/>
    </row>
    <row r="1827" spans="3:3" x14ac:dyDescent="0.2">
      <c r="C1827"/>
    </row>
    <row r="1828" spans="3:3" x14ac:dyDescent="0.2">
      <c r="C1828"/>
    </row>
    <row r="1829" spans="3:3" x14ac:dyDescent="0.2">
      <c r="C1829"/>
    </row>
    <row r="1830" spans="3:3" x14ac:dyDescent="0.2">
      <c r="C1830"/>
    </row>
    <row r="1831" spans="3:3" x14ac:dyDescent="0.2">
      <c r="C1831"/>
    </row>
    <row r="1832" spans="3:3" x14ac:dyDescent="0.2">
      <c r="C1832"/>
    </row>
    <row r="1833" spans="3:3" x14ac:dyDescent="0.2">
      <c r="C1833"/>
    </row>
    <row r="1834" spans="3:3" x14ac:dyDescent="0.2">
      <c r="C1834"/>
    </row>
    <row r="1835" spans="3:3" x14ac:dyDescent="0.2">
      <c r="C1835"/>
    </row>
    <row r="1836" spans="3:3" x14ac:dyDescent="0.2">
      <c r="C1836"/>
    </row>
    <row r="1837" spans="3:3" x14ac:dyDescent="0.2">
      <c r="C1837"/>
    </row>
    <row r="1838" spans="3:3" x14ac:dyDescent="0.2">
      <c r="C1838"/>
    </row>
    <row r="1839" spans="3:3" x14ac:dyDescent="0.2">
      <c r="C1839"/>
    </row>
    <row r="1840" spans="3:3" x14ac:dyDescent="0.2">
      <c r="C1840"/>
    </row>
    <row r="1841" spans="3:3" x14ac:dyDescent="0.2">
      <c r="C1841"/>
    </row>
    <row r="1842" spans="3:3" x14ac:dyDescent="0.2">
      <c r="C1842"/>
    </row>
    <row r="1843" spans="3:3" x14ac:dyDescent="0.2">
      <c r="C1843"/>
    </row>
    <row r="1844" spans="3:3" x14ac:dyDescent="0.2">
      <c r="C1844"/>
    </row>
    <row r="1845" spans="3:3" x14ac:dyDescent="0.2">
      <c r="C1845"/>
    </row>
    <row r="1846" spans="3:3" x14ac:dyDescent="0.2">
      <c r="C1846"/>
    </row>
    <row r="1847" spans="3:3" x14ac:dyDescent="0.2">
      <c r="C1847"/>
    </row>
    <row r="1848" spans="3:3" x14ac:dyDescent="0.2">
      <c r="C1848"/>
    </row>
    <row r="1849" spans="3:3" x14ac:dyDescent="0.2">
      <c r="C1849"/>
    </row>
    <row r="1850" spans="3:3" x14ac:dyDescent="0.2">
      <c r="C1850"/>
    </row>
    <row r="1851" spans="3:3" x14ac:dyDescent="0.2">
      <c r="C1851"/>
    </row>
    <row r="1852" spans="3:3" x14ac:dyDescent="0.2">
      <c r="C1852"/>
    </row>
    <row r="1853" spans="3:3" x14ac:dyDescent="0.2">
      <c r="C1853"/>
    </row>
    <row r="1854" spans="3:3" x14ac:dyDescent="0.2">
      <c r="C1854"/>
    </row>
    <row r="1855" spans="3:3" x14ac:dyDescent="0.2">
      <c r="C1855"/>
    </row>
    <row r="1856" spans="3:3" x14ac:dyDescent="0.2">
      <c r="C1856"/>
    </row>
    <row r="1857" spans="3:3" x14ac:dyDescent="0.2">
      <c r="C1857"/>
    </row>
    <row r="1858" spans="3:3" x14ac:dyDescent="0.2">
      <c r="C1858"/>
    </row>
    <row r="1859" spans="3:3" x14ac:dyDescent="0.2">
      <c r="C1859"/>
    </row>
    <row r="1860" spans="3:3" x14ac:dyDescent="0.2">
      <c r="C1860"/>
    </row>
    <row r="1861" spans="3:3" x14ac:dyDescent="0.2">
      <c r="C1861"/>
    </row>
    <row r="1862" spans="3:3" x14ac:dyDescent="0.2">
      <c r="C1862"/>
    </row>
    <row r="1863" spans="3:3" x14ac:dyDescent="0.2">
      <c r="C1863"/>
    </row>
    <row r="1864" spans="3:3" x14ac:dyDescent="0.2">
      <c r="C1864"/>
    </row>
    <row r="1865" spans="3:3" x14ac:dyDescent="0.2">
      <c r="C1865"/>
    </row>
    <row r="1866" spans="3:3" x14ac:dyDescent="0.2">
      <c r="C1866"/>
    </row>
    <row r="1867" spans="3:3" x14ac:dyDescent="0.2">
      <c r="C1867"/>
    </row>
    <row r="1868" spans="3:3" x14ac:dyDescent="0.2">
      <c r="C1868"/>
    </row>
    <row r="1869" spans="3:3" x14ac:dyDescent="0.2">
      <c r="C1869"/>
    </row>
    <row r="1870" spans="3:3" x14ac:dyDescent="0.2">
      <c r="C1870"/>
    </row>
    <row r="1871" spans="3:3" x14ac:dyDescent="0.2">
      <c r="C1871"/>
    </row>
    <row r="1872" spans="3:3" x14ac:dyDescent="0.2">
      <c r="C1872"/>
    </row>
    <row r="1873" spans="3:3" x14ac:dyDescent="0.2">
      <c r="C1873"/>
    </row>
    <row r="1874" spans="3:3" x14ac:dyDescent="0.2">
      <c r="C1874"/>
    </row>
    <row r="1875" spans="3:3" x14ac:dyDescent="0.2">
      <c r="C1875"/>
    </row>
    <row r="1876" spans="3:3" x14ac:dyDescent="0.2">
      <c r="C1876"/>
    </row>
    <row r="1877" spans="3:3" x14ac:dyDescent="0.2">
      <c r="C1877"/>
    </row>
    <row r="1878" spans="3:3" x14ac:dyDescent="0.2">
      <c r="C1878"/>
    </row>
    <row r="1879" spans="3:3" x14ac:dyDescent="0.2">
      <c r="C1879"/>
    </row>
    <row r="1880" spans="3:3" x14ac:dyDescent="0.2">
      <c r="C1880"/>
    </row>
    <row r="1881" spans="3:3" x14ac:dyDescent="0.2">
      <c r="C1881"/>
    </row>
    <row r="1882" spans="3:3" x14ac:dyDescent="0.2">
      <c r="C1882"/>
    </row>
    <row r="1883" spans="3:3" x14ac:dyDescent="0.2">
      <c r="C1883"/>
    </row>
    <row r="1884" spans="3:3" x14ac:dyDescent="0.2">
      <c r="C1884"/>
    </row>
    <row r="1885" spans="3:3" x14ac:dyDescent="0.2">
      <c r="C1885"/>
    </row>
    <row r="1886" spans="3:3" x14ac:dyDescent="0.2">
      <c r="C1886"/>
    </row>
    <row r="1887" spans="3:3" x14ac:dyDescent="0.2">
      <c r="C1887"/>
    </row>
    <row r="1888" spans="3:3" x14ac:dyDescent="0.2">
      <c r="C1888"/>
    </row>
    <row r="1889" spans="3:3" x14ac:dyDescent="0.2">
      <c r="C1889"/>
    </row>
    <row r="1890" spans="3:3" x14ac:dyDescent="0.2">
      <c r="C1890"/>
    </row>
    <row r="1891" spans="3:3" x14ac:dyDescent="0.2">
      <c r="C1891"/>
    </row>
    <row r="1892" spans="3:3" x14ac:dyDescent="0.2">
      <c r="C1892"/>
    </row>
    <row r="1893" spans="3:3" x14ac:dyDescent="0.2">
      <c r="C1893"/>
    </row>
    <row r="1894" spans="3:3" x14ac:dyDescent="0.2">
      <c r="C1894"/>
    </row>
    <row r="1895" spans="3:3" x14ac:dyDescent="0.2">
      <c r="C1895"/>
    </row>
    <row r="1896" spans="3:3" x14ac:dyDescent="0.2">
      <c r="C1896"/>
    </row>
    <row r="1897" spans="3:3" x14ac:dyDescent="0.2">
      <c r="C1897"/>
    </row>
    <row r="1898" spans="3:3" x14ac:dyDescent="0.2">
      <c r="C1898"/>
    </row>
    <row r="1899" spans="3:3" x14ac:dyDescent="0.2">
      <c r="C1899"/>
    </row>
    <row r="1900" spans="3:3" x14ac:dyDescent="0.2">
      <c r="C1900"/>
    </row>
    <row r="1901" spans="3:3" x14ac:dyDescent="0.2">
      <c r="C1901"/>
    </row>
    <row r="1902" spans="3:3" x14ac:dyDescent="0.2">
      <c r="C1902"/>
    </row>
    <row r="1903" spans="3:3" x14ac:dyDescent="0.2">
      <c r="C1903"/>
    </row>
    <row r="1904" spans="3:3" x14ac:dyDescent="0.2">
      <c r="C1904"/>
    </row>
    <row r="1905" spans="3:3" x14ac:dyDescent="0.2">
      <c r="C1905"/>
    </row>
    <row r="1906" spans="3:3" x14ac:dyDescent="0.2">
      <c r="C1906"/>
    </row>
    <row r="1907" spans="3:3" x14ac:dyDescent="0.2">
      <c r="C1907"/>
    </row>
    <row r="1908" spans="3:3" x14ac:dyDescent="0.2">
      <c r="C1908"/>
    </row>
    <row r="1909" spans="3:3" x14ac:dyDescent="0.2">
      <c r="C1909"/>
    </row>
    <row r="1910" spans="3:3" x14ac:dyDescent="0.2">
      <c r="C1910"/>
    </row>
    <row r="1911" spans="3:3" x14ac:dyDescent="0.2">
      <c r="C1911"/>
    </row>
    <row r="1912" spans="3:3" x14ac:dyDescent="0.2">
      <c r="C1912"/>
    </row>
    <row r="1913" spans="3:3" x14ac:dyDescent="0.2">
      <c r="C1913"/>
    </row>
    <row r="1914" spans="3:3" x14ac:dyDescent="0.2">
      <c r="C1914"/>
    </row>
    <row r="1915" spans="3:3" x14ac:dyDescent="0.2">
      <c r="C1915"/>
    </row>
    <row r="1916" spans="3:3" x14ac:dyDescent="0.2">
      <c r="C1916"/>
    </row>
    <row r="1917" spans="3:3" x14ac:dyDescent="0.2">
      <c r="C1917"/>
    </row>
    <row r="1918" spans="3:3" x14ac:dyDescent="0.2">
      <c r="C1918"/>
    </row>
    <row r="1919" spans="3:3" x14ac:dyDescent="0.2">
      <c r="C1919"/>
    </row>
    <row r="1920" spans="3:3" x14ac:dyDescent="0.2">
      <c r="C1920"/>
    </row>
    <row r="1921" spans="3:3" x14ac:dyDescent="0.2">
      <c r="C1921"/>
    </row>
    <row r="1922" spans="3:3" x14ac:dyDescent="0.2">
      <c r="C1922"/>
    </row>
    <row r="1923" spans="3:3" x14ac:dyDescent="0.2">
      <c r="C1923"/>
    </row>
    <row r="1924" spans="3:3" x14ac:dyDescent="0.2">
      <c r="C1924"/>
    </row>
    <row r="1925" spans="3:3" x14ac:dyDescent="0.2">
      <c r="C1925"/>
    </row>
    <row r="1926" spans="3:3" x14ac:dyDescent="0.2">
      <c r="C1926"/>
    </row>
    <row r="1927" spans="3:3" x14ac:dyDescent="0.2">
      <c r="C1927"/>
    </row>
    <row r="1928" spans="3:3" x14ac:dyDescent="0.2">
      <c r="C1928"/>
    </row>
    <row r="1929" spans="3:3" x14ac:dyDescent="0.2">
      <c r="C1929"/>
    </row>
    <row r="1930" spans="3:3" x14ac:dyDescent="0.2">
      <c r="C1930"/>
    </row>
    <row r="1931" spans="3:3" x14ac:dyDescent="0.2">
      <c r="C1931"/>
    </row>
    <row r="1932" spans="3:3" x14ac:dyDescent="0.2">
      <c r="C1932"/>
    </row>
    <row r="1933" spans="3:3" x14ac:dyDescent="0.2">
      <c r="C1933"/>
    </row>
    <row r="1934" spans="3:3" x14ac:dyDescent="0.2">
      <c r="C1934"/>
    </row>
    <row r="1935" spans="3:3" x14ac:dyDescent="0.2">
      <c r="C1935"/>
    </row>
    <row r="1936" spans="3:3" x14ac:dyDescent="0.2">
      <c r="C1936"/>
    </row>
    <row r="1937" spans="3:3" x14ac:dyDescent="0.2">
      <c r="C1937"/>
    </row>
    <row r="1938" spans="3:3" x14ac:dyDescent="0.2">
      <c r="C1938"/>
    </row>
    <row r="1939" spans="3:3" x14ac:dyDescent="0.2">
      <c r="C1939"/>
    </row>
    <row r="1940" spans="3:3" x14ac:dyDescent="0.2">
      <c r="C1940"/>
    </row>
    <row r="1941" spans="3:3" x14ac:dyDescent="0.2">
      <c r="C1941"/>
    </row>
    <row r="1942" spans="3:3" x14ac:dyDescent="0.2">
      <c r="C1942"/>
    </row>
    <row r="1943" spans="3:3" x14ac:dyDescent="0.2">
      <c r="C1943"/>
    </row>
    <row r="1944" spans="3:3" x14ac:dyDescent="0.2">
      <c r="C1944"/>
    </row>
    <row r="1945" spans="3:3" x14ac:dyDescent="0.2">
      <c r="C1945"/>
    </row>
    <row r="1946" spans="3:3" x14ac:dyDescent="0.2">
      <c r="C1946"/>
    </row>
    <row r="1947" spans="3:3" x14ac:dyDescent="0.2">
      <c r="C1947"/>
    </row>
    <row r="1948" spans="3:3" x14ac:dyDescent="0.2">
      <c r="C1948"/>
    </row>
    <row r="1949" spans="3:3" x14ac:dyDescent="0.2">
      <c r="C1949"/>
    </row>
    <row r="1950" spans="3:3" x14ac:dyDescent="0.2">
      <c r="C1950"/>
    </row>
    <row r="1951" spans="3:3" x14ac:dyDescent="0.2">
      <c r="C1951"/>
    </row>
    <row r="1952" spans="3:3" x14ac:dyDescent="0.2">
      <c r="C1952"/>
    </row>
    <row r="1953" spans="3:3" x14ac:dyDescent="0.2">
      <c r="C1953"/>
    </row>
    <row r="1954" spans="3:3" x14ac:dyDescent="0.2">
      <c r="C1954"/>
    </row>
    <row r="1955" spans="3:3" x14ac:dyDescent="0.2">
      <c r="C1955"/>
    </row>
    <row r="1956" spans="3:3" x14ac:dyDescent="0.2">
      <c r="C1956"/>
    </row>
    <row r="1957" spans="3:3" x14ac:dyDescent="0.2">
      <c r="C1957"/>
    </row>
    <row r="1958" spans="3:3" x14ac:dyDescent="0.2">
      <c r="C1958"/>
    </row>
    <row r="1959" spans="3:3" x14ac:dyDescent="0.2">
      <c r="C1959"/>
    </row>
    <row r="1960" spans="3:3" x14ac:dyDescent="0.2">
      <c r="C1960"/>
    </row>
    <row r="1961" spans="3:3" x14ac:dyDescent="0.2">
      <c r="C1961"/>
    </row>
    <row r="1962" spans="3:3" x14ac:dyDescent="0.2">
      <c r="C1962"/>
    </row>
    <row r="1963" spans="3:3" x14ac:dyDescent="0.2">
      <c r="C1963"/>
    </row>
    <row r="1964" spans="3:3" x14ac:dyDescent="0.2">
      <c r="C1964"/>
    </row>
    <row r="1965" spans="3:3" x14ac:dyDescent="0.2">
      <c r="C1965"/>
    </row>
    <row r="1966" spans="3:3" x14ac:dyDescent="0.2">
      <c r="C1966"/>
    </row>
    <row r="1967" spans="3:3" x14ac:dyDescent="0.2">
      <c r="C1967"/>
    </row>
    <row r="1968" spans="3:3" x14ac:dyDescent="0.2">
      <c r="C1968"/>
    </row>
    <row r="1969" spans="3:3" x14ac:dyDescent="0.2">
      <c r="C1969"/>
    </row>
    <row r="1970" spans="3:3" x14ac:dyDescent="0.2">
      <c r="C1970"/>
    </row>
    <row r="1971" spans="3:3" x14ac:dyDescent="0.2">
      <c r="C1971"/>
    </row>
    <row r="1972" spans="3:3" x14ac:dyDescent="0.2">
      <c r="C1972"/>
    </row>
    <row r="1973" spans="3:3" x14ac:dyDescent="0.2">
      <c r="C1973"/>
    </row>
    <row r="1974" spans="3:3" x14ac:dyDescent="0.2">
      <c r="C1974"/>
    </row>
    <row r="1975" spans="3:3" x14ac:dyDescent="0.2">
      <c r="C1975"/>
    </row>
    <row r="1976" spans="3:3" x14ac:dyDescent="0.2">
      <c r="C1976"/>
    </row>
    <row r="1977" spans="3:3" x14ac:dyDescent="0.2">
      <c r="C1977"/>
    </row>
    <row r="1978" spans="3:3" x14ac:dyDescent="0.2">
      <c r="C1978"/>
    </row>
    <row r="1979" spans="3:3" x14ac:dyDescent="0.2">
      <c r="C1979"/>
    </row>
    <row r="1980" spans="3:3" x14ac:dyDescent="0.2">
      <c r="C1980"/>
    </row>
    <row r="1981" spans="3:3" x14ac:dyDescent="0.2">
      <c r="C1981"/>
    </row>
    <row r="1982" spans="3:3" x14ac:dyDescent="0.2">
      <c r="C1982"/>
    </row>
    <row r="1983" spans="3:3" x14ac:dyDescent="0.2">
      <c r="C1983"/>
    </row>
    <row r="1984" spans="3:3" x14ac:dyDescent="0.2">
      <c r="C1984"/>
    </row>
    <row r="1985" spans="3:3" x14ac:dyDescent="0.2">
      <c r="C1985"/>
    </row>
    <row r="1986" spans="3:3" x14ac:dyDescent="0.2">
      <c r="C1986"/>
    </row>
    <row r="1987" spans="3:3" x14ac:dyDescent="0.2">
      <c r="C1987"/>
    </row>
    <row r="1988" spans="3:3" x14ac:dyDescent="0.2">
      <c r="C1988"/>
    </row>
    <row r="1989" spans="3:3" x14ac:dyDescent="0.2">
      <c r="C1989"/>
    </row>
    <row r="1990" spans="3:3" x14ac:dyDescent="0.2">
      <c r="C1990"/>
    </row>
    <row r="1991" spans="3:3" x14ac:dyDescent="0.2">
      <c r="C1991"/>
    </row>
    <row r="1992" spans="3:3" x14ac:dyDescent="0.2">
      <c r="C1992"/>
    </row>
    <row r="1993" spans="3:3" x14ac:dyDescent="0.2">
      <c r="C1993"/>
    </row>
    <row r="1994" spans="3:3" x14ac:dyDescent="0.2">
      <c r="C1994"/>
    </row>
    <row r="1995" spans="3:3" x14ac:dyDescent="0.2">
      <c r="C1995"/>
    </row>
    <row r="1996" spans="3:3" x14ac:dyDescent="0.2">
      <c r="C1996"/>
    </row>
    <row r="1997" spans="3:3" x14ac:dyDescent="0.2">
      <c r="C1997"/>
    </row>
    <row r="1998" spans="3:3" x14ac:dyDescent="0.2">
      <c r="C1998"/>
    </row>
    <row r="1999" spans="3:3" x14ac:dyDescent="0.2">
      <c r="C1999"/>
    </row>
    <row r="2000" spans="3:3" x14ac:dyDescent="0.2">
      <c r="C2000"/>
    </row>
    <row r="2001" spans="3:3" x14ac:dyDescent="0.2">
      <c r="C2001"/>
    </row>
    <row r="2002" spans="3:3" x14ac:dyDescent="0.2">
      <c r="C2002"/>
    </row>
    <row r="2003" spans="3:3" x14ac:dyDescent="0.2">
      <c r="C2003"/>
    </row>
    <row r="2004" spans="3:3" x14ac:dyDescent="0.2">
      <c r="C2004"/>
    </row>
    <row r="2005" spans="3:3" x14ac:dyDescent="0.2">
      <c r="C2005"/>
    </row>
    <row r="2006" spans="3:3" x14ac:dyDescent="0.2">
      <c r="C2006"/>
    </row>
    <row r="2007" spans="3:3" x14ac:dyDescent="0.2">
      <c r="C2007"/>
    </row>
    <row r="2008" spans="3:3" x14ac:dyDescent="0.2">
      <c r="C2008"/>
    </row>
    <row r="2009" spans="3:3" x14ac:dyDescent="0.2">
      <c r="C2009"/>
    </row>
    <row r="2010" spans="3:3" x14ac:dyDescent="0.2">
      <c r="C2010"/>
    </row>
    <row r="2011" spans="3:3" x14ac:dyDescent="0.2">
      <c r="C2011"/>
    </row>
    <row r="2012" spans="3:3" x14ac:dyDescent="0.2">
      <c r="C2012"/>
    </row>
    <row r="2013" spans="3:3" x14ac:dyDescent="0.2">
      <c r="C2013"/>
    </row>
    <row r="2014" spans="3:3" x14ac:dyDescent="0.2">
      <c r="C2014"/>
    </row>
    <row r="2015" spans="3:3" x14ac:dyDescent="0.2">
      <c r="C2015"/>
    </row>
    <row r="2016" spans="3:3" x14ac:dyDescent="0.2">
      <c r="C2016"/>
    </row>
    <row r="2017" spans="3:3" x14ac:dyDescent="0.2">
      <c r="C2017"/>
    </row>
    <row r="2018" spans="3:3" x14ac:dyDescent="0.2">
      <c r="C2018"/>
    </row>
    <row r="2019" spans="3:3" x14ac:dyDescent="0.2">
      <c r="C2019"/>
    </row>
    <row r="2020" spans="3:3" x14ac:dyDescent="0.2">
      <c r="C2020"/>
    </row>
    <row r="2021" spans="3:3" x14ac:dyDescent="0.2">
      <c r="C2021"/>
    </row>
    <row r="2022" spans="3:3" x14ac:dyDescent="0.2">
      <c r="C2022"/>
    </row>
    <row r="2023" spans="3:3" x14ac:dyDescent="0.2">
      <c r="C2023"/>
    </row>
    <row r="2024" spans="3:3" x14ac:dyDescent="0.2">
      <c r="C2024"/>
    </row>
    <row r="2025" spans="3:3" x14ac:dyDescent="0.2">
      <c r="C2025"/>
    </row>
    <row r="2026" spans="3:3" x14ac:dyDescent="0.2">
      <c r="C2026"/>
    </row>
    <row r="2027" spans="3:3" x14ac:dyDescent="0.2">
      <c r="C2027"/>
    </row>
    <row r="2028" spans="3:3" x14ac:dyDescent="0.2">
      <c r="C2028"/>
    </row>
    <row r="2029" spans="3:3" x14ac:dyDescent="0.2">
      <c r="C2029"/>
    </row>
    <row r="2030" spans="3:3" x14ac:dyDescent="0.2">
      <c r="C2030"/>
    </row>
    <row r="2031" spans="3:3" x14ac:dyDescent="0.2">
      <c r="C2031"/>
    </row>
    <row r="2032" spans="3:3" x14ac:dyDescent="0.2">
      <c r="C2032"/>
    </row>
    <row r="2033" spans="3:3" x14ac:dyDescent="0.2">
      <c r="C2033"/>
    </row>
    <row r="2034" spans="3:3" x14ac:dyDescent="0.2">
      <c r="C2034"/>
    </row>
    <row r="2035" spans="3:3" x14ac:dyDescent="0.2">
      <c r="C2035"/>
    </row>
    <row r="2036" spans="3:3" x14ac:dyDescent="0.2">
      <c r="C2036"/>
    </row>
    <row r="2037" spans="3:3" x14ac:dyDescent="0.2">
      <c r="C2037"/>
    </row>
    <row r="2038" spans="3:3" x14ac:dyDescent="0.2">
      <c r="C2038"/>
    </row>
    <row r="2039" spans="3:3" x14ac:dyDescent="0.2">
      <c r="C2039"/>
    </row>
    <row r="2040" spans="3:3" x14ac:dyDescent="0.2">
      <c r="C2040"/>
    </row>
    <row r="2041" spans="3:3" x14ac:dyDescent="0.2">
      <c r="C2041"/>
    </row>
    <row r="2042" spans="3:3" x14ac:dyDescent="0.2">
      <c r="C2042"/>
    </row>
    <row r="2043" spans="3:3" x14ac:dyDescent="0.2">
      <c r="C2043"/>
    </row>
    <row r="2044" spans="3:3" x14ac:dyDescent="0.2">
      <c r="C2044"/>
    </row>
    <row r="2045" spans="3:3" x14ac:dyDescent="0.2">
      <c r="C2045"/>
    </row>
    <row r="2046" spans="3:3" x14ac:dyDescent="0.2">
      <c r="C2046"/>
    </row>
    <row r="2047" spans="3:3" x14ac:dyDescent="0.2">
      <c r="C2047"/>
    </row>
    <row r="2048" spans="3:3" x14ac:dyDescent="0.2">
      <c r="C2048"/>
    </row>
    <row r="2049" spans="3:3" x14ac:dyDescent="0.2">
      <c r="C2049"/>
    </row>
    <row r="2050" spans="3:3" x14ac:dyDescent="0.2">
      <c r="C2050"/>
    </row>
    <row r="2051" spans="3:3" x14ac:dyDescent="0.2">
      <c r="C2051"/>
    </row>
    <row r="2052" spans="3:3" x14ac:dyDescent="0.2">
      <c r="C2052"/>
    </row>
    <row r="2053" spans="3:3" x14ac:dyDescent="0.2">
      <c r="C2053"/>
    </row>
    <row r="2054" spans="3:3" x14ac:dyDescent="0.2">
      <c r="C2054"/>
    </row>
    <row r="2055" spans="3:3" x14ac:dyDescent="0.2">
      <c r="C2055"/>
    </row>
    <row r="2056" spans="3:3" x14ac:dyDescent="0.2">
      <c r="C2056"/>
    </row>
    <row r="2057" spans="3:3" x14ac:dyDescent="0.2">
      <c r="C2057"/>
    </row>
    <row r="2058" spans="3:3" x14ac:dyDescent="0.2">
      <c r="C2058"/>
    </row>
    <row r="2059" spans="3:3" x14ac:dyDescent="0.2">
      <c r="C2059"/>
    </row>
    <row r="2060" spans="3:3" x14ac:dyDescent="0.2">
      <c r="C2060"/>
    </row>
    <row r="2061" spans="3:3" x14ac:dyDescent="0.2">
      <c r="C2061"/>
    </row>
    <row r="2062" spans="3:3" x14ac:dyDescent="0.2">
      <c r="C2062"/>
    </row>
    <row r="2063" spans="3:3" x14ac:dyDescent="0.2">
      <c r="C2063"/>
    </row>
    <row r="2064" spans="3:3" x14ac:dyDescent="0.2">
      <c r="C2064"/>
    </row>
    <row r="2065" spans="3:3" x14ac:dyDescent="0.2">
      <c r="C2065"/>
    </row>
    <row r="2066" spans="3:3" x14ac:dyDescent="0.2">
      <c r="C2066"/>
    </row>
    <row r="2067" spans="3:3" x14ac:dyDescent="0.2">
      <c r="C2067"/>
    </row>
    <row r="2068" spans="3:3" x14ac:dyDescent="0.2">
      <c r="C2068"/>
    </row>
    <row r="2069" spans="3:3" x14ac:dyDescent="0.2">
      <c r="C2069"/>
    </row>
    <row r="2070" spans="3:3" x14ac:dyDescent="0.2">
      <c r="C2070"/>
    </row>
    <row r="2071" spans="3:3" x14ac:dyDescent="0.2">
      <c r="C2071"/>
    </row>
    <row r="2072" spans="3:3" x14ac:dyDescent="0.2">
      <c r="C2072"/>
    </row>
    <row r="2073" spans="3:3" x14ac:dyDescent="0.2">
      <c r="C2073"/>
    </row>
    <row r="2074" spans="3:3" x14ac:dyDescent="0.2">
      <c r="C2074"/>
    </row>
    <row r="2075" spans="3:3" x14ac:dyDescent="0.2">
      <c r="C2075"/>
    </row>
    <row r="2076" spans="3:3" x14ac:dyDescent="0.2">
      <c r="C2076"/>
    </row>
    <row r="2077" spans="3:3" x14ac:dyDescent="0.2">
      <c r="C2077"/>
    </row>
    <row r="2078" spans="3:3" x14ac:dyDescent="0.2">
      <c r="C2078"/>
    </row>
    <row r="2079" spans="3:3" x14ac:dyDescent="0.2">
      <c r="C2079"/>
    </row>
    <row r="2080" spans="3:3" x14ac:dyDescent="0.2">
      <c r="C2080"/>
    </row>
    <row r="2081" spans="3:3" x14ac:dyDescent="0.2">
      <c r="C2081"/>
    </row>
    <row r="2082" spans="3:3" x14ac:dyDescent="0.2">
      <c r="C2082"/>
    </row>
    <row r="2083" spans="3:3" x14ac:dyDescent="0.2">
      <c r="C2083"/>
    </row>
    <row r="2084" spans="3:3" x14ac:dyDescent="0.2">
      <c r="C2084"/>
    </row>
    <row r="2085" spans="3:3" x14ac:dyDescent="0.2">
      <c r="C2085"/>
    </row>
    <row r="2086" spans="3:3" x14ac:dyDescent="0.2">
      <c r="C2086"/>
    </row>
    <row r="2087" spans="3:3" x14ac:dyDescent="0.2">
      <c r="C2087"/>
    </row>
    <row r="2088" spans="3:3" x14ac:dyDescent="0.2">
      <c r="C2088"/>
    </row>
    <row r="2089" spans="3:3" x14ac:dyDescent="0.2">
      <c r="C2089"/>
    </row>
    <row r="2090" spans="3:3" x14ac:dyDescent="0.2">
      <c r="C2090"/>
    </row>
    <row r="2091" spans="3:3" x14ac:dyDescent="0.2">
      <c r="C2091"/>
    </row>
    <row r="2092" spans="3:3" x14ac:dyDescent="0.2">
      <c r="C2092"/>
    </row>
    <row r="2093" spans="3:3" x14ac:dyDescent="0.2">
      <c r="C2093"/>
    </row>
    <row r="2094" spans="3:3" x14ac:dyDescent="0.2">
      <c r="C2094"/>
    </row>
    <row r="2095" spans="3:3" x14ac:dyDescent="0.2">
      <c r="C2095"/>
    </row>
    <row r="2096" spans="3:3" x14ac:dyDescent="0.2">
      <c r="C2096"/>
    </row>
    <row r="2097" spans="3:3" x14ac:dyDescent="0.2">
      <c r="C2097"/>
    </row>
    <row r="2098" spans="3:3" x14ac:dyDescent="0.2">
      <c r="C2098"/>
    </row>
    <row r="2099" spans="3:3" x14ac:dyDescent="0.2">
      <c r="C2099"/>
    </row>
    <row r="2100" spans="3:3" x14ac:dyDescent="0.2">
      <c r="C2100"/>
    </row>
    <row r="2101" spans="3:3" x14ac:dyDescent="0.2">
      <c r="C2101"/>
    </row>
    <row r="2102" spans="3:3" x14ac:dyDescent="0.2">
      <c r="C2102"/>
    </row>
    <row r="2103" spans="3:3" x14ac:dyDescent="0.2">
      <c r="C2103"/>
    </row>
    <row r="2104" spans="3:3" x14ac:dyDescent="0.2">
      <c r="C2104"/>
    </row>
    <row r="2105" spans="3:3" x14ac:dyDescent="0.2">
      <c r="C2105"/>
    </row>
    <row r="2106" spans="3:3" x14ac:dyDescent="0.2">
      <c r="C2106"/>
    </row>
    <row r="2107" spans="3:3" x14ac:dyDescent="0.2">
      <c r="C2107"/>
    </row>
    <row r="2108" spans="3:3" x14ac:dyDescent="0.2">
      <c r="C2108"/>
    </row>
    <row r="2109" spans="3:3" x14ac:dyDescent="0.2">
      <c r="C2109"/>
    </row>
    <row r="2110" spans="3:3" x14ac:dyDescent="0.2">
      <c r="C2110"/>
    </row>
    <row r="2111" spans="3:3" x14ac:dyDescent="0.2">
      <c r="C2111"/>
    </row>
    <row r="2112" spans="3:3" x14ac:dyDescent="0.2">
      <c r="C2112"/>
    </row>
    <row r="2113" spans="3:3" x14ac:dyDescent="0.2">
      <c r="C2113"/>
    </row>
    <row r="2114" spans="3:3" x14ac:dyDescent="0.2">
      <c r="C2114"/>
    </row>
    <row r="2115" spans="3:3" x14ac:dyDescent="0.2">
      <c r="C2115"/>
    </row>
    <row r="2116" spans="3:3" x14ac:dyDescent="0.2">
      <c r="C2116"/>
    </row>
    <row r="2117" spans="3:3" x14ac:dyDescent="0.2">
      <c r="C2117"/>
    </row>
    <row r="2118" spans="3:3" x14ac:dyDescent="0.2">
      <c r="C2118"/>
    </row>
    <row r="2119" spans="3:3" x14ac:dyDescent="0.2">
      <c r="C2119"/>
    </row>
    <row r="2120" spans="3:3" x14ac:dyDescent="0.2">
      <c r="C2120"/>
    </row>
    <row r="2121" spans="3:3" x14ac:dyDescent="0.2">
      <c r="C2121"/>
    </row>
    <row r="2122" spans="3:3" x14ac:dyDescent="0.2">
      <c r="C2122"/>
    </row>
    <row r="2123" spans="3:3" x14ac:dyDescent="0.2">
      <c r="C2123"/>
    </row>
    <row r="2124" spans="3:3" x14ac:dyDescent="0.2">
      <c r="C2124"/>
    </row>
    <row r="2125" spans="3:3" x14ac:dyDescent="0.2">
      <c r="C2125"/>
    </row>
    <row r="2126" spans="3:3" x14ac:dyDescent="0.2">
      <c r="C2126"/>
    </row>
    <row r="2127" spans="3:3" x14ac:dyDescent="0.2">
      <c r="C2127"/>
    </row>
    <row r="2128" spans="3:3" x14ac:dyDescent="0.2">
      <c r="C2128"/>
    </row>
    <row r="2129" spans="3:3" x14ac:dyDescent="0.2">
      <c r="C2129"/>
    </row>
    <row r="2130" spans="3:3" x14ac:dyDescent="0.2">
      <c r="C2130"/>
    </row>
    <row r="2131" spans="3:3" x14ac:dyDescent="0.2">
      <c r="C2131"/>
    </row>
    <row r="2132" spans="3:3" x14ac:dyDescent="0.2">
      <c r="C2132"/>
    </row>
    <row r="2133" spans="3:3" x14ac:dyDescent="0.2">
      <c r="C2133"/>
    </row>
    <row r="2134" spans="3:3" x14ac:dyDescent="0.2">
      <c r="C2134"/>
    </row>
    <row r="2135" spans="3:3" x14ac:dyDescent="0.2">
      <c r="C2135"/>
    </row>
    <row r="2136" spans="3:3" x14ac:dyDescent="0.2">
      <c r="C2136"/>
    </row>
    <row r="2137" spans="3:3" x14ac:dyDescent="0.2">
      <c r="C2137"/>
    </row>
    <row r="2138" spans="3:3" x14ac:dyDescent="0.2">
      <c r="C2138"/>
    </row>
    <row r="2139" spans="3:3" x14ac:dyDescent="0.2">
      <c r="C2139"/>
    </row>
    <row r="2140" spans="3:3" x14ac:dyDescent="0.2">
      <c r="C2140"/>
    </row>
    <row r="2141" spans="3:3" x14ac:dyDescent="0.2">
      <c r="C2141"/>
    </row>
    <row r="2142" spans="3:3" x14ac:dyDescent="0.2">
      <c r="C2142"/>
    </row>
    <row r="2143" spans="3:3" x14ac:dyDescent="0.2">
      <c r="C2143"/>
    </row>
    <row r="2144" spans="3:3" x14ac:dyDescent="0.2">
      <c r="C2144"/>
    </row>
    <row r="2145" spans="3:3" x14ac:dyDescent="0.2">
      <c r="C2145"/>
    </row>
    <row r="2146" spans="3:3" x14ac:dyDescent="0.2">
      <c r="C2146"/>
    </row>
    <row r="2147" spans="3:3" x14ac:dyDescent="0.2">
      <c r="C2147"/>
    </row>
    <row r="2148" spans="3:3" x14ac:dyDescent="0.2">
      <c r="C2148"/>
    </row>
    <row r="2149" spans="3:3" x14ac:dyDescent="0.2">
      <c r="C2149"/>
    </row>
    <row r="2150" spans="3:3" x14ac:dyDescent="0.2">
      <c r="C2150"/>
    </row>
    <row r="2151" spans="3:3" x14ac:dyDescent="0.2">
      <c r="C2151"/>
    </row>
    <row r="2152" spans="3:3" x14ac:dyDescent="0.2">
      <c r="C2152"/>
    </row>
    <row r="2153" spans="3:3" x14ac:dyDescent="0.2">
      <c r="C2153"/>
    </row>
    <row r="2154" spans="3:3" x14ac:dyDescent="0.2">
      <c r="C2154"/>
    </row>
    <row r="2155" spans="3:3" x14ac:dyDescent="0.2">
      <c r="C2155"/>
    </row>
    <row r="2156" spans="3:3" x14ac:dyDescent="0.2">
      <c r="C2156"/>
    </row>
    <row r="2157" spans="3:3" x14ac:dyDescent="0.2">
      <c r="C2157"/>
    </row>
    <row r="2158" spans="3:3" x14ac:dyDescent="0.2">
      <c r="C2158"/>
    </row>
    <row r="2159" spans="3:3" x14ac:dyDescent="0.2">
      <c r="C2159"/>
    </row>
    <row r="2160" spans="3:3" x14ac:dyDescent="0.2">
      <c r="C2160"/>
    </row>
    <row r="2161" spans="3:3" x14ac:dyDescent="0.2">
      <c r="C2161"/>
    </row>
    <row r="2162" spans="3:3" x14ac:dyDescent="0.2">
      <c r="C2162"/>
    </row>
    <row r="2163" spans="3:3" x14ac:dyDescent="0.2">
      <c r="C2163"/>
    </row>
    <row r="2164" spans="3:3" x14ac:dyDescent="0.2">
      <c r="C2164"/>
    </row>
    <row r="2165" spans="3:3" x14ac:dyDescent="0.2">
      <c r="C2165"/>
    </row>
    <row r="2166" spans="3:3" x14ac:dyDescent="0.2">
      <c r="C2166"/>
    </row>
    <row r="2167" spans="3:3" x14ac:dyDescent="0.2">
      <c r="C2167"/>
    </row>
    <row r="2168" spans="3:3" x14ac:dyDescent="0.2">
      <c r="C2168"/>
    </row>
    <row r="2169" spans="3:3" x14ac:dyDescent="0.2">
      <c r="C2169"/>
    </row>
    <row r="2170" spans="3:3" x14ac:dyDescent="0.2">
      <c r="C2170"/>
    </row>
    <row r="2171" spans="3:3" x14ac:dyDescent="0.2">
      <c r="C2171"/>
    </row>
    <row r="2172" spans="3:3" x14ac:dyDescent="0.2">
      <c r="C2172"/>
    </row>
    <row r="2173" spans="3:3" x14ac:dyDescent="0.2">
      <c r="C2173"/>
    </row>
    <row r="2174" spans="3:3" x14ac:dyDescent="0.2">
      <c r="C2174"/>
    </row>
    <row r="2175" spans="3:3" x14ac:dyDescent="0.2">
      <c r="C2175"/>
    </row>
    <row r="2176" spans="3:3" x14ac:dyDescent="0.2">
      <c r="C2176"/>
    </row>
    <row r="2177" spans="3:3" x14ac:dyDescent="0.2">
      <c r="C2177"/>
    </row>
    <row r="2178" spans="3:3" x14ac:dyDescent="0.2">
      <c r="C2178"/>
    </row>
    <row r="2179" spans="3:3" x14ac:dyDescent="0.2">
      <c r="C2179"/>
    </row>
    <row r="2180" spans="3:3" x14ac:dyDescent="0.2">
      <c r="C2180"/>
    </row>
    <row r="2181" spans="3:3" x14ac:dyDescent="0.2">
      <c r="C2181"/>
    </row>
    <row r="2182" spans="3:3" x14ac:dyDescent="0.2">
      <c r="C2182"/>
    </row>
    <row r="2183" spans="3:3" x14ac:dyDescent="0.2">
      <c r="C2183"/>
    </row>
    <row r="2184" spans="3:3" x14ac:dyDescent="0.2">
      <c r="C2184"/>
    </row>
    <row r="2185" spans="3:3" x14ac:dyDescent="0.2">
      <c r="C2185"/>
    </row>
    <row r="2186" spans="3:3" x14ac:dyDescent="0.2">
      <c r="C2186"/>
    </row>
    <row r="2187" spans="3:3" x14ac:dyDescent="0.2">
      <c r="C2187"/>
    </row>
    <row r="2188" spans="3:3" x14ac:dyDescent="0.2">
      <c r="C2188"/>
    </row>
    <row r="2189" spans="3:3" x14ac:dyDescent="0.2">
      <c r="C2189"/>
    </row>
    <row r="2190" spans="3:3" x14ac:dyDescent="0.2">
      <c r="C2190"/>
    </row>
    <row r="2191" spans="3:3" x14ac:dyDescent="0.2">
      <c r="C2191"/>
    </row>
    <row r="2192" spans="3:3" x14ac:dyDescent="0.2">
      <c r="C2192"/>
    </row>
    <row r="2193" spans="3:3" x14ac:dyDescent="0.2">
      <c r="C2193"/>
    </row>
    <row r="2194" spans="3:3" x14ac:dyDescent="0.2">
      <c r="C2194"/>
    </row>
    <row r="2195" spans="3:3" x14ac:dyDescent="0.2">
      <c r="C2195"/>
    </row>
    <row r="2196" spans="3:3" x14ac:dyDescent="0.2">
      <c r="C2196"/>
    </row>
    <row r="2197" spans="3:3" x14ac:dyDescent="0.2">
      <c r="C2197"/>
    </row>
    <row r="2198" spans="3:3" x14ac:dyDescent="0.2">
      <c r="C2198"/>
    </row>
    <row r="2199" spans="3:3" x14ac:dyDescent="0.2">
      <c r="C2199"/>
    </row>
    <row r="2200" spans="3:3" x14ac:dyDescent="0.2">
      <c r="C2200"/>
    </row>
    <row r="2201" spans="3:3" x14ac:dyDescent="0.2">
      <c r="C2201"/>
    </row>
    <row r="2202" spans="3:3" x14ac:dyDescent="0.2">
      <c r="C2202"/>
    </row>
    <row r="2203" spans="3:3" x14ac:dyDescent="0.2">
      <c r="C2203"/>
    </row>
    <row r="2204" spans="3:3" x14ac:dyDescent="0.2">
      <c r="C2204"/>
    </row>
    <row r="2205" spans="3:3" x14ac:dyDescent="0.2">
      <c r="C2205"/>
    </row>
    <row r="2206" spans="3:3" x14ac:dyDescent="0.2">
      <c r="C2206"/>
    </row>
    <row r="2207" spans="3:3" x14ac:dyDescent="0.2">
      <c r="C2207"/>
    </row>
    <row r="2208" spans="3:3" x14ac:dyDescent="0.2">
      <c r="C2208"/>
    </row>
    <row r="2209" spans="3:3" x14ac:dyDescent="0.2">
      <c r="C2209"/>
    </row>
    <row r="2210" spans="3:3" x14ac:dyDescent="0.2">
      <c r="C2210"/>
    </row>
    <row r="2211" spans="3:3" x14ac:dyDescent="0.2">
      <c r="C2211"/>
    </row>
    <row r="2212" spans="3:3" x14ac:dyDescent="0.2">
      <c r="C2212"/>
    </row>
    <row r="2213" spans="3:3" x14ac:dyDescent="0.2">
      <c r="C2213"/>
    </row>
    <row r="2214" spans="3:3" x14ac:dyDescent="0.2">
      <c r="C2214"/>
    </row>
    <row r="2215" spans="3:3" x14ac:dyDescent="0.2">
      <c r="C2215"/>
    </row>
    <row r="2216" spans="3:3" x14ac:dyDescent="0.2">
      <c r="C2216"/>
    </row>
    <row r="2217" spans="3:3" x14ac:dyDescent="0.2">
      <c r="C2217"/>
    </row>
    <row r="2218" spans="3:3" x14ac:dyDescent="0.2">
      <c r="C2218"/>
    </row>
    <row r="2219" spans="3:3" x14ac:dyDescent="0.2">
      <c r="C2219"/>
    </row>
    <row r="2220" spans="3:3" x14ac:dyDescent="0.2">
      <c r="C2220"/>
    </row>
    <row r="2221" spans="3:3" x14ac:dyDescent="0.2">
      <c r="C2221"/>
    </row>
    <row r="2222" spans="3:3" x14ac:dyDescent="0.2">
      <c r="C2222"/>
    </row>
    <row r="2223" spans="3:3" x14ac:dyDescent="0.2">
      <c r="C2223"/>
    </row>
    <row r="2224" spans="3:3" x14ac:dyDescent="0.2">
      <c r="C2224"/>
    </row>
    <row r="2225" spans="3:3" x14ac:dyDescent="0.2">
      <c r="C2225"/>
    </row>
    <row r="2226" spans="3:3" x14ac:dyDescent="0.2">
      <c r="C2226"/>
    </row>
    <row r="2227" spans="3:3" x14ac:dyDescent="0.2">
      <c r="C2227"/>
    </row>
    <row r="2228" spans="3:3" x14ac:dyDescent="0.2">
      <c r="C2228"/>
    </row>
    <row r="2229" spans="3:3" x14ac:dyDescent="0.2">
      <c r="C2229"/>
    </row>
    <row r="2230" spans="3:3" x14ac:dyDescent="0.2">
      <c r="C2230"/>
    </row>
    <row r="2231" spans="3:3" x14ac:dyDescent="0.2">
      <c r="C2231"/>
    </row>
    <row r="2232" spans="3:3" x14ac:dyDescent="0.2">
      <c r="C2232"/>
    </row>
    <row r="2233" spans="3:3" x14ac:dyDescent="0.2">
      <c r="C2233"/>
    </row>
    <row r="2234" spans="3:3" x14ac:dyDescent="0.2">
      <c r="C2234"/>
    </row>
    <row r="2235" spans="3:3" x14ac:dyDescent="0.2">
      <c r="C2235"/>
    </row>
    <row r="2236" spans="3:3" x14ac:dyDescent="0.2">
      <c r="C2236"/>
    </row>
    <row r="2237" spans="3:3" x14ac:dyDescent="0.2">
      <c r="C2237"/>
    </row>
    <row r="2238" spans="3:3" x14ac:dyDescent="0.2">
      <c r="C2238"/>
    </row>
    <row r="2239" spans="3:3" x14ac:dyDescent="0.2">
      <c r="C2239"/>
    </row>
    <row r="2240" spans="3:3" x14ac:dyDescent="0.2">
      <c r="C2240"/>
    </row>
    <row r="2241" spans="3:3" x14ac:dyDescent="0.2">
      <c r="C2241"/>
    </row>
    <row r="2242" spans="3:3" x14ac:dyDescent="0.2">
      <c r="C2242"/>
    </row>
    <row r="2243" spans="3:3" x14ac:dyDescent="0.2">
      <c r="C2243"/>
    </row>
    <row r="2244" spans="3:3" x14ac:dyDescent="0.2">
      <c r="C2244"/>
    </row>
    <row r="2245" spans="3:3" x14ac:dyDescent="0.2">
      <c r="C2245"/>
    </row>
    <row r="2246" spans="3:3" x14ac:dyDescent="0.2">
      <c r="C2246"/>
    </row>
    <row r="2247" spans="3:3" x14ac:dyDescent="0.2">
      <c r="C2247"/>
    </row>
    <row r="2248" spans="3:3" x14ac:dyDescent="0.2">
      <c r="C2248"/>
    </row>
    <row r="2249" spans="3:3" x14ac:dyDescent="0.2">
      <c r="C2249"/>
    </row>
    <row r="2250" spans="3:3" x14ac:dyDescent="0.2">
      <c r="C2250"/>
    </row>
    <row r="2251" spans="3:3" x14ac:dyDescent="0.2">
      <c r="C2251"/>
    </row>
    <row r="2252" spans="3:3" x14ac:dyDescent="0.2">
      <c r="C2252"/>
    </row>
    <row r="2253" spans="3:3" x14ac:dyDescent="0.2">
      <c r="C2253"/>
    </row>
    <row r="2254" spans="3:3" x14ac:dyDescent="0.2">
      <c r="C2254"/>
    </row>
    <row r="2255" spans="3:3" x14ac:dyDescent="0.2">
      <c r="C2255"/>
    </row>
    <row r="2256" spans="3:3" x14ac:dyDescent="0.2">
      <c r="C2256"/>
    </row>
    <row r="2257" spans="3:3" x14ac:dyDescent="0.2">
      <c r="C2257"/>
    </row>
    <row r="2258" spans="3:3" x14ac:dyDescent="0.2">
      <c r="C2258"/>
    </row>
    <row r="2259" spans="3:3" x14ac:dyDescent="0.2">
      <c r="C2259"/>
    </row>
    <row r="2260" spans="3:3" x14ac:dyDescent="0.2">
      <c r="C2260"/>
    </row>
    <row r="2261" spans="3:3" x14ac:dyDescent="0.2">
      <c r="C2261"/>
    </row>
    <row r="2262" spans="3:3" x14ac:dyDescent="0.2">
      <c r="C2262"/>
    </row>
    <row r="2263" spans="3:3" x14ac:dyDescent="0.2">
      <c r="C2263"/>
    </row>
    <row r="2264" spans="3:3" x14ac:dyDescent="0.2">
      <c r="C2264"/>
    </row>
    <row r="2265" spans="3:3" x14ac:dyDescent="0.2">
      <c r="C2265"/>
    </row>
    <row r="2266" spans="3:3" x14ac:dyDescent="0.2">
      <c r="C2266"/>
    </row>
    <row r="2267" spans="3:3" x14ac:dyDescent="0.2">
      <c r="C2267"/>
    </row>
    <row r="2268" spans="3:3" x14ac:dyDescent="0.2">
      <c r="C2268"/>
    </row>
    <row r="2269" spans="3:3" x14ac:dyDescent="0.2">
      <c r="C2269"/>
    </row>
    <row r="2270" spans="3:3" x14ac:dyDescent="0.2">
      <c r="C2270"/>
    </row>
    <row r="2271" spans="3:3" x14ac:dyDescent="0.2">
      <c r="C2271"/>
    </row>
    <row r="2272" spans="3:3" x14ac:dyDescent="0.2">
      <c r="C2272"/>
    </row>
    <row r="2273" spans="3:3" x14ac:dyDescent="0.2">
      <c r="C2273"/>
    </row>
    <row r="2274" spans="3:3" x14ac:dyDescent="0.2">
      <c r="C2274"/>
    </row>
    <row r="2275" spans="3:3" x14ac:dyDescent="0.2">
      <c r="C2275"/>
    </row>
    <row r="2276" spans="3:3" x14ac:dyDescent="0.2">
      <c r="C2276"/>
    </row>
    <row r="2277" spans="3:3" x14ac:dyDescent="0.2">
      <c r="C2277"/>
    </row>
    <row r="2278" spans="3:3" x14ac:dyDescent="0.2">
      <c r="C2278"/>
    </row>
    <row r="2279" spans="3:3" x14ac:dyDescent="0.2">
      <c r="C2279"/>
    </row>
    <row r="2280" spans="3:3" x14ac:dyDescent="0.2">
      <c r="C2280"/>
    </row>
    <row r="2281" spans="3:3" x14ac:dyDescent="0.2">
      <c r="C2281"/>
    </row>
    <row r="2282" spans="3:3" x14ac:dyDescent="0.2">
      <c r="C2282"/>
    </row>
    <row r="2283" spans="3:3" x14ac:dyDescent="0.2">
      <c r="C2283"/>
    </row>
    <row r="2284" spans="3:3" x14ac:dyDescent="0.2">
      <c r="C2284"/>
    </row>
    <row r="2285" spans="3:3" x14ac:dyDescent="0.2">
      <c r="C2285"/>
    </row>
    <row r="2286" spans="3:3" x14ac:dyDescent="0.2">
      <c r="C2286"/>
    </row>
    <row r="2287" spans="3:3" x14ac:dyDescent="0.2">
      <c r="C2287"/>
    </row>
    <row r="2288" spans="3:3" x14ac:dyDescent="0.2">
      <c r="C2288"/>
    </row>
    <row r="2289" spans="3:3" x14ac:dyDescent="0.2">
      <c r="C2289"/>
    </row>
    <row r="2290" spans="3:3" x14ac:dyDescent="0.2">
      <c r="C2290"/>
    </row>
    <row r="2291" spans="3:3" x14ac:dyDescent="0.2">
      <c r="C2291"/>
    </row>
    <row r="2292" spans="3:3" x14ac:dyDescent="0.2">
      <c r="C2292"/>
    </row>
    <row r="2293" spans="3:3" x14ac:dyDescent="0.2">
      <c r="C2293"/>
    </row>
    <row r="2294" spans="3:3" x14ac:dyDescent="0.2">
      <c r="C2294"/>
    </row>
    <row r="2295" spans="3:3" x14ac:dyDescent="0.2">
      <c r="C2295"/>
    </row>
    <row r="2296" spans="3:3" x14ac:dyDescent="0.2">
      <c r="C2296"/>
    </row>
    <row r="2297" spans="3:3" x14ac:dyDescent="0.2">
      <c r="C2297"/>
    </row>
    <row r="2298" spans="3:3" x14ac:dyDescent="0.2">
      <c r="C2298"/>
    </row>
    <row r="2299" spans="3:3" x14ac:dyDescent="0.2">
      <c r="C2299"/>
    </row>
    <row r="2300" spans="3:3" x14ac:dyDescent="0.2">
      <c r="C2300"/>
    </row>
    <row r="2301" spans="3:3" x14ac:dyDescent="0.2">
      <c r="C2301"/>
    </row>
    <row r="2302" spans="3:3" x14ac:dyDescent="0.2">
      <c r="C2302"/>
    </row>
    <row r="2303" spans="3:3" x14ac:dyDescent="0.2">
      <c r="C2303"/>
    </row>
    <row r="2304" spans="3:3" x14ac:dyDescent="0.2">
      <c r="C2304"/>
    </row>
    <row r="2305" spans="3:3" x14ac:dyDescent="0.2">
      <c r="C2305"/>
    </row>
    <row r="2306" spans="3:3" x14ac:dyDescent="0.2">
      <c r="C2306"/>
    </row>
    <row r="2307" spans="3:3" x14ac:dyDescent="0.2">
      <c r="C2307"/>
    </row>
    <row r="2308" spans="3:3" x14ac:dyDescent="0.2">
      <c r="C2308"/>
    </row>
    <row r="2309" spans="3:3" x14ac:dyDescent="0.2">
      <c r="C2309"/>
    </row>
    <row r="2310" spans="3:3" x14ac:dyDescent="0.2">
      <c r="C2310"/>
    </row>
    <row r="2311" spans="3:3" x14ac:dyDescent="0.2">
      <c r="C2311"/>
    </row>
    <row r="2312" spans="3:3" x14ac:dyDescent="0.2">
      <c r="C2312"/>
    </row>
    <row r="2313" spans="3:3" x14ac:dyDescent="0.2">
      <c r="C2313"/>
    </row>
    <row r="2314" spans="3:3" x14ac:dyDescent="0.2">
      <c r="C2314"/>
    </row>
    <row r="2315" spans="3:3" x14ac:dyDescent="0.2">
      <c r="C2315"/>
    </row>
    <row r="2316" spans="3:3" x14ac:dyDescent="0.2">
      <c r="C2316"/>
    </row>
    <row r="2317" spans="3:3" x14ac:dyDescent="0.2">
      <c r="C2317"/>
    </row>
    <row r="2318" spans="3:3" x14ac:dyDescent="0.2">
      <c r="C2318"/>
    </row>
    <row r="2319" spans="3:3" x14ac:dyDescent="0.2">
      <c r="C2319"/>
    </row>
    <row r="2320" spans="3:3" x14ac:dyDescent="0.2">
      <c r="C2320"/>
    </row>
    <row r="2321" spans="3:3" x14ac:dyDescent="0.2">
      <c r="C2321"/>
    </row>
    <row r="2322" spans="3:3" x14ac:dyDescent="0.2">
      <c r="C2322"/>
    </row>
    <row r="2323" spans="3:3" x14ac:dyDescent="0.2">
      <c r="C2323"/>
    </row>
    <row r="2324" spans="3:3" x14ac:dyDescent="0.2">
      <c r="C2324"/>
    </row>
    <row r="2325" spans="3:3" x14ac:dyDescent="0.2">
      <c r="C2325"/>
    </row>
    <row r="2326" spans="3:3" x14ac:dyDescent="0.2">
      <c r="C2326"/>
    </row>
    <row r="2327" spans="3:3" x14ac:dyDescent="0.2">
      <c r="C2327"/>
    </row>
    <row r="2328" spans="3:3" x14ac:dyDescent="0.2">
      <c r="C2328"/>
    </row>
    <row r="2329" spans="3:3" x14ac:dyDescent="0.2">
      <c r="C2329"/>
    </row>
    <row r="2330" spans="3:3" x14ac:dyDescent="0.2">
      <c r="C2330"/>
    </row>
    <row r="2331" spans="3:3" x14ac:dyDescent="0.2">
      <c r="C2331"/>
    </row>
    <row r="2332" spans="3:3" x14ac:dyDescent="0.2">
      <c r="C2332"/>
    </row>
    <row r="2333" spans="3:3" x14ac:dyDescent="0.2">
      <c r="C2333"/>
    </row>
    <row r="2334" spans="3:3" x14ac:dyDescent="0.2">
      <c r="C2334"/>
    </row>
    <row r="2335" spans="3:3" x14ac:dyDescent="0.2">
      <c r="C2335"/>
    </row>
    <row r="2336" spans="3:3" x14ac:dyDescent="0.2">
      <c r="C2336"/>
    </row>
    <row r="2337" spans="3:3" x14ac:dyDescent="0.2">
      <c r="C2337"/>
    </row>
    <row r="2338" spans="3:3" x14ac:dyDescent="0.2">
      <c r="C2338"/>
    </row>
    <row r="2339" spans="3:3" x14ac:dyDescent="0.2">
      <c r="C2339"/>
    </row>
    <row r="2340" spans="3:3" x14ac:dyDescent="0.2">
      <c r="C2340"/>
    </row>
    <row r="2341" spans="3:3" x14ac:dyDescent="0.2">
      <c r="C2341"/>
    </row>
    <row r="2342" spans="3:3" x14ac:dyDescent="0.2">
      <c r="C2342"/>
    </row>
    <row r="2343" spans="3:3" x14ac:dyDescent="0.2">
      <c r="C2343"/>
    </row>
    <row r="2344" spans="3:3" x14ac:dyDescent="0.2">
      <c r="C2344"/>
    </row>
    <row r="2345" spans="3:3" x14ac:dyDescent="0.2">
      <c r="C2345"/>
    </row>
    <row r="2346" spans="3:3" x14ac:dyDescent="0.2">
      <c r="C2346"/>
    </row>
    <row r="2347" spans="3:3" x14ac:dyDescent="0.2">
      <c r="C2347"/>
    </row>
    <row r="2348" spans="3:3" x14ac:dyDescent="0.2">
      <c r="C2348"/>
    </row>
    <row r="2349" spans="3:3" x14ac:dyDescent="0.2">
      <c r="C2349"/>
    </row>
    <row r="2350" spans="3:3" x14ac:dyDescent="0.2">
      <c r="C2350"/>
    </row>
    <row r="2351" spans="3:3" x14ac:dyDescent="0.2">
      <c r="C2351"/>
    </row>
    <row r="2352" spans="3:3" x14ac:dyDescent="0.2">
      <c r="C2352"/>
    </row>
    <row r="2353" spans="3:3" x14ac:dyDescent="0.2">
      <c r="C2353"/>
    </row>
    <row r="2354" spans="3:3" x14ac:dyDescent="0.2">
      <c r="C2354"/>
    </row>
    <row r="2355" spans="3:3" x14ac:dyDescent="0.2">
      <c r="C2355"/>
    </row>
    <row r="2356" spans="3:3" x14ac:dyDescent="0.2">
      <c r="C2356"/>
    </row>
    <row r="2357" spans="3:3" x14ac:dyDescent="0.2">
      <c r="C2357"/>
    </row>
    <row r="2358" spans="3:3" x14ac:dyDescent="0.2">
      <c r="C2358"/>
    </row>
    <row r="2359" spans="3:3" x14ac:dyDescent="0.2">
      <c r="C2359"/>
    </row>
    <row r="2360" spans="3:3" x14ac:dyDescent="0.2">
      <c r="C2360"/>
    </row>
    <row r="2361" spans="3:3" x14ac:dyDescent="0.2">
      <c r="C2361"/>
    </row>
    <row r="2362" spans="3:3" x14ac:dyDescent="0.2">
      <c r="C2362"/>
    </row>
    <row r="2363" spans="3:3" x14ac:dyDescent="0.2">
      <c r="C2363"/>
    </row>
    <row r="2364" spans="3:3" x14ac:dyDescent="0.2">
      <c r="C2364"/>
    </row>
    <row r="2365" spans="3:3" x14ac:dyDescent="0.2">
      <c r="C2365"/>
    </row>
    <row r="2366" spans="3:3" x14ac:dyDescent="0.2">
      <c r="C2366"/>
    </row>
    <row r="2367" spans="3:3" x14ac:dyDescent="0.2">
      <c r="C2367"/>
    </row>
    <row r="2368" spans="3:3" x14ac:dyDescent="0.2">
      <c r="C2368"/>
    </row>
    <row r="2369" spans="3:3" x14ac:dyDescent="0.2">
      <c r="C2369"/>
    </row>
    <row r="2370" spans="3:3" x14ac:dyDescent="0.2">
      <c r="C2370"/>
    </row>
    <row r="2371" spans="3:3" x14ac:dyDescent="0.2">
      <c r="C2371"/>
    </row>
    <row r="2372" spans="3:3" x14ac:dyDescent="0.2">
      <c r="C2372"/>
    </row>
    <row r="2373" spans="3:3" x14ac:dyDescent="0.2">
      <c r="C2373"/>
    </row>
    <row r="2374" spans="3:3" x14ac:dyDescent="0.2">
      <c r="C2374"/>
    </row>
    <row r="2375" spans="3:3" x14ac:dyDescent="0.2">
      <c r="C2375"/>
    </row>
    <row r="2376" spans="3:3" x14ac:dyDescent="0.2">
      <c r="C2376"/>
    </row>
    <row r="2377" spans="3:3" x14ac:dyDescent="0.2">
      <c r="C2377"/>
    </row>
    <row r="2378" spans="3:3" x14ac:dyDescent="0.2">
      <c r="C2378"/>
    </row>
    <row r="2379" spans="3:3" x14ac:dyDescent="0.2">
      <c r="C2379"/>
    </row>
    <row r="2380" spans="3:3" x14ac:dyDescent="0.2">
      <c r="C2380"/>
    </row>
    <row r="2381" spans="3:3" x14ac:dyDescent="0.2">
      <c r="C2381"/>
    </row>
    <row r="2382" spans="3:3" x14ac:dyDescent="0.2">
      <c r="C2382"/>
    </row>
    <row r="2383" spans="3:3" x14ac:dyDescent="0.2">
      <c r="C2383"/>
    </row>
    <row r="2384" spans="3:3" x14ac:dyDescent="0.2">
      <c r="C2384"/>
    </row>
    <row r="2385" spans="3:3" x14ac:dyDescent="0.2">
      <c r="C2385"/>
    </row>
    <row r="2386" spans="3:3" x14ac:dyDescent="0.2">
      <c r="C2386"/>
    </row>
    <row r="2387" spans="3:3" x14ac:dyDescent="0.2">
      <c r="C2387"/>
    </row>
    <row r="2388" spans="3:3" x14ac:dyDescent="0.2">
      <c r="C2388"/>
    </row>
    <row r="2389" spans="3:3" x14ac:dyDescent="0.2">
      <c r="C2389"/>
    </row>
    <row r="2390" spans="3:3" x14ac:dyDescent="0.2">
      <c r="C2390"/>
    </row>
    <row r="2391" spans="3:3" x14ac:dyDescent="0.2">
      <c r="C2391"/>
    </row>
    <row r="2392" spans="3:3" x14ac:dyDescent="0.2">
      <c r="C2392"/>
    </row>
    <row r="2393" spans="3:3" x14ac:dyDescent="0.2">
      <c r="C2393"/>
    </row>
    <row r="2394" spans="3:3" x14ac:dyDescent="0.2">
      <c r="C2394"/>
    </row>
    <row r="2395" spans="3:3" x14ac:dyDescent="0.2">
      <c r="C2395"/>
    </row>
    <row r="2396" spans="3:3" x14ac:dyDescent="0.2">
      <c r="C2396"/>
    </row>
    <row r="2397" spans="3:3" x14ac:dyDescent="0.2">
      <c r="C2397"/>
    </row>
    <row r="2398" spans="3:3" x14ac:dyDescent="0.2">
      <c r="C2398"/>
    </row>
    <row r="2399" spans="3:3" x14ac:dyDescent="0.2">
      <c r="C2399"/>
    </row>
    <row r="2400" spans="3:3" x14ac:dyDescent="0.2">
      <c r="C2400"/>
    </row>
    <row r="2401" spans="3:3" x14ac:dyDescent="0.2">
      <c r="C2401"/>
    </row>
    <row r="2402" spans="3:3" x14ac:dyDescent="0.2">
      <c r="C2402"/>
    </row>
    <row r="2403" spans="3:3" x14ac:dyDescent="0.2">
      <c r="C2403"/>
    </row>
    <row r="2404" spans="3:3" x14ac:dyDescent="0.2">
      <c r="C2404"/>
    </row>
    <row r="2405" spans="3:3" x14ac:dyDescent="0.2">
      <c r="C2405"/>
    </row>
    <row r="2406" spans="3:3" x14ac:dyDescent="0.2">
      <c r="C2406"/>
    </row>
    <row r="2407" spans="3:3" x14ac:dyDescent="0.2">
      <c r="C2407"/>
    </row>
    <row r="2408" spans="3:3" x14ac:dyDescent="0.2">
      <c r="C2408"/>
    </row>
    <row r="2409" spans="3:3" x14ac:dyDescent="0.2">
      <c r="C2409"/>
    </row>
    <row r="2410" spans="3:3" x14ac:dyDescent="0.2">
      <c r="C2410"/>
    </row>
    <row r="2411" spans="3:3" x14ac:dyDescent="0.2">
      <c r="C2411"/>
    </row>
    <row r="2412" spans="3:3" x14ac:dyDescent="0.2">
      <c r="C2412"/>
    </row>
    <row r="2413" spans="3:3" x14ac:dyDescent="0.2">
      <c r="C2413"/>
    </row>
    <row r="2414" spans="3:3" x14ac:dyDescent="0.2">
      <c r="C2414"/>
    </row>
    <row r="2415" spans="3:3" x14ac:dyDescent="0.2">
      <c r="C2415"/>
    </row>
    <row r="2416" spans="3:3" x14ac:dyDescent="0.2">
      <c r="C2416"/>
    </row>
    <row r="2417" spans="3:3" x14ac:dyDescent="0.2">
      <c r="C2417"/>
    </row>
    <row r="2418" spans="3:3" x14ac:dyDescent="0.2">
      <c r="C2418"/>
    </row>
    <row r="2419" spans="3:3" x14ac:dyDescent="0.2">
      <c r="C2419"/>
    </row>
    <row r="2420" spans="3:3" x14ac:dyDescent="0.2">
      <c r="C2420"/>
    </row>
    <row r="2421" spans="3:3" x14ac:dyDescent="0.2">
      <c r="C2421"/>
    </row>
    <row r="2422" spans="3:3" x14ac:dyDescent="0.2">
      <c r="C2422"/>
    </row>
    <row r="2423" spans="3:3" x14ac:dyDescent="0.2">
      <c r="C2423"/>
    </row>
    <row r="2424" spans="3:3" x14ac:dyDescent="0.2">
      <c r="C2424"/>
    </row>
    <row r="2425" spans="3:3" x14ac:dyDescent="0.2">
      <c r="C2425"/>
    </row>
    <row r="2426" spans="3:3" x14ac:dyDescent="0.2">
      <c r="C2426"/>
    </row>
    <row r="2427" spans="3:3" x14ac:dyDescent="0.2">
      <c r="C2427"/>
    </row>
    <row r="2428" spans="3:3" x14ac:dyDescent="0.2">
      <c r="C2428"/>
    </row>
    <row r="2429" spans="3:3" x14ac:dyDescent="0.2">
      <c r="C2429"/>
    </row>
    <row r="2430" spans="3:3" x14ac:dyDescent="0.2">
      <c r="C2430"/>
    </row>
    <row r="2431" spans="3:3" x14ac:dyDescent="0.2">
      <c r="C2431"/>
    </row>
    <row r="2432" spans="3:3" x14ac:dyDescent="0.2">
      <c r="C2432"/>
    </row>
    <row r="2433" spans="3:3" x14ac:dyDescent="0.2">
      <c r="C2433"/>
    </row>
    <row r="2434" spans="3:3" x14ac:dyDescent="0.2">
      <c r="C2434"/>
    </row>
    <row r="2435" spans="3:3" x14ac:dyDescent="0.2">
      <c r="C2435"/>
    </row>
    <row r="2436" spans="3:3" x14ac:dyDescent="0.2">
      <c r="C2436"/>
    </row>
    <row r="2437" spans="3:3" x14ac:dyDescent="0.2">
      <c r="C2437"/>
    </row>
    <row r="2438" spans="3:3" x14ac:dyDescent="0.2">
      <c r="C2438"/>
    </row>
    <row r="2439" spans="3:3" x14ac:dyDescent="0.2">
      <c r="C2439"/>
    </row>
    <row r="2440" spans="3:3" x14ac:dyDescent="0.2">
      <c r="C2440"/>
    </row>
    <row r="2441" spans="3:3" x14ac:dyDescent="0.2">
      <c r="C2441"/>
    </row>
    <row r="2442" spans="3:3" x14ac:dyDescent="0.2">
      <c r="C2442"/>
    </row>
    <row r="2443" spans="3:3" x14ac:dyDescent="0.2">
      <c r="C2443"/>
    </row>
    <row r="2444" spans="3:3" x14ac:dyDescent="0.2">
      <c r="C2444"/>
    </row>
    <row r="2445" spans="3:3" x14ac:dyDescent="0.2">
      <c r="C2445"/>
    </row>
    <row r="2446" spans="3:3" x14ac:dyDescent="0.2">
      <c r="C2446"/>
    </row>
    <row r="2447" spans="3:3" x14ac:dyDescent="0.2">
      <c r="C2447"/>
    </row>
    <row r="2448" spans="3:3" x14ac:dyDescent="0.2">
      <c r="C2448"/>
    </row>
    <row r="2449" spans="3:3" x14ac:dyDescent="0.2">
      <c r="C2449"/>
    </row>
    <row r="2450" spans="3:3" x14ac:dyDescent="0.2">
      <c r="C2450"/>
    </row>
    <row r="2451" spans="3:3" x14ac:dyDescent="0.2">
      <c r="C2451"/>
    </row>
    <row r="2452" spans="3:3" x14ac:dyDescent="0.2">
      <c r="C2452"/>
    </row>
    <row r="2453" spans="3:3" x14ac:dyDescent="0.2">
      <c r="C2453"/>
    </row>
    <row r="2454" spans="3:3" x14ac:dyDescent="0.2">
      <c r="C2454"/>
    </row>
    <row r="2455" spans="3:3" x14ac:dyDescent="0.2">
      <c r="C2455"/>
    </row>
    <row r="2456" spans="3:3" x14ac:dyDescent="0.2">
      <c r="C2456"/>
    </row>
    <row r="2457" spans="3:3" x14ac:dyDescent="0.2">
      <c r="C2457"/>
    </row>
    <row r="2458" spans="3:3" x14ac:dyDescent="0.2">
      <c r="C2458"/>
    </row>
    <row r="2459" spans="3:3" x14ac:dyDescent="0.2">
      <c r="C2459"/>
    </row>
    <row r="2460" spans="3:3" x14ac:dyDescent="0.2">
      <c r="C2460"/>
    </row>
    <row r="2461" spans="3:3" x14ac:dyDescent="0.2">
      <c r="C2461"/>
    </row>
    <row r="2462" spans="3:3" x14ac:dyDescent="0.2">
      <c r="C2462"/>
    </row>
    <row r="2463" spans="3:3" x14ac:dyDescent="0.2">
      <c r="C2463"/>
    </row>
    <row r="2464" spans="3:3" x14ac:dyDescent="0.2">
      <c r="C2464"/>
    </row>
    <row r="2465" spans="3:3" x14ac:dyDescent="0.2">
      <c r="C2465"/>
    </row>
    <row r="2466" spans="3:3" x14ac:dyDescent="0.2">
      <c r="C2466"/>
    </row>
    <row r="2467" spans="3:3" x14ac:dyDescent="0.2">
      <c r="C2467"/>
    </row>
    <row r="2468" spans="3:3" x14ac:dyDescent="0.2">
      <c r="C2468"/>
    </row>
    <row r="2469" spans="3:3" x14ac:dyDescent="0.2">
      <c r="C2469"/>
    </row>
    <row r="2470" spans="3:3" x14ac:dyDescent="0.2">
      <c r="C2470"/>
    </row>
    <row r="2471" spans="3:3" x14ac:dyDescent="0.2">
      <c r="C2471"/>
    </row>
    <row r="2472" spans="3:3" x14ac:dyDescent="0.2">
      <c r="C2472"/>
    </row>
    <row r="2473" spans="3:3" x14ac:dyDescent="0.2">
      <c r="C2473"/>
    </row>
    <row r="2474" spans="3:3" x14ac:dyDescent="0.2">
      <c r="C2474"/>
    </row>
    <row r="2475" spans="3:3" x14ac:dyDescent="0.2">
      <c r="C2475"/>
    </row>
    <row r="2476" spans="3:3" x14ac:dyDescent="0.2">
      <c r="C2476"/>
    </row>
    <row r="2477" spans="3:3" x14ac:dyDescent="0.2">
      <c r="C2477"/>
    </row>
    <row r="2478" spans="3:3" x14ac:dyDescent="0.2">
      <c r="C2478"/>
    </row>
    <row r="2479" spans="3:3" x14ac:dyDescent="0.2">
      <c r="C2479"/>
    </row>
    <row r="2480" spans="3:3" x14ac:dyDescent="0.2">
      <c r="C2480"/>
    </row>
    <row r="2481" spans="3:3" x14ac:dyDescent="0.2">
      <c r="C2481"/>
    </row>
    <row r="2482" spans="3:3" x14ac:dyDescent="0.2">
      <c r="C2482"/>
    </row>
    <row r="2483" spans="3:3" x14ac:dyDescent="0.2">
      <c r="C2483"/>
    </row>
    <row r="2484" spans="3:3" x14ac:dyDescent="0.2">
      <c r="C2484"/>
    </row>
    <row r="2485" spans="3:3" x14ac:dyDescent="0.2">
      <c r="C2485"/>
    </row>
    <row r="2486" spans="3:3" x14ac:dyDescent="0.2">
      <c r="C2486"/>
    </row>
    <row r="2487" spans="3:3" x14ac:dyDescent="0.2">
      <c r="C2487"/>
    </row>
    <row r="2488" spans="3:3" x14ac:dyDescent="0.2">
      <c r="C2488"/>
    </row>
    <row r="2489" spans="3:3" x14ac:dyDescent="0.2">
      <c r="C2489"/>
    </row>
    <row r="2490" spans="3:3" x14ac:dyDescent="0.2">
      <c r="C2490"/>
    </row>
    <row r="2491" spans="3:3" x14ac:dyDescent="0.2">
      <c r="C2491"/>
    </row>
    <row r="2492" spans="3:3" x14ac:dyDescent="0.2">
      <c r="C2492"/>
    </row>
    <row r="2493" spans="3:3" x14ac:dyDescent="0.2">
      <c r="C2493"/>
    </row>
    <row r="2494" spans="3:3" x14ac:dyDescent="0.2">
      <c r="C2494"/>
    </row>
    <row r="2495" spans="3:3" x14ac:dyDescent="0.2">
      <c r="C2495"/>
    </row>
    <row r="2496" spans="3:3" x14ac:dyDescent="0.2">
      <c r="C2496"/>
    </row>
    <row r="2497" spans="3:3" x14ac:dyDescent="0.2">
      <c r="C2497"/>
    </row>
    <row r="2498" spans="3:3" x14ac:dyDescent="0.2">
      <c r="C2498"/>
    </row>
    <row r="2499" spans="3:3" x14ac:dyDescent="0.2">
      <c r="C2499"/>
    </row>
    <row r="2500" spans="3:3" x14ac:dyDescent="0.2">
      <c r="C2500"/>
    </row>
    <row r="2501" spans="3:3" x14ac:dyDescent="0.2">
      <c r="C2501"/>
    </row>
    <row r="2502" spans="3:3" x14ac:dyDescent="0.2">
      <c r="C2502"/>
    </row>
    <row r="2503" spans="3:3" x14ac:dyDescent="0.2">
      <c r="C2503"/>
    </row>
    <row r="2504" spans="3:3" x14ac:dyDescent="0.2">
      <c r="C2504"/>
    </row>
    <row r="2505" spans="3:3" x14ac:dyDescent="0.2">
      <c r="C2505"/>
    </row>
    <row r="2506" spans="3:3" x14ac:dyDescent="0.2">
      <c r="C2506"/>
    </row>
    <row r="2507" spans="3:3" x14ac:dyDescent="0.2">
      <c r="C2507"/>
    </row>
    <row r="2508" spans="3:3" x14ac:dyDescent="0.2">
      <c r="C2508"/>
    </row>
    <row r="2509" spans="3:3" x14ac:dyDescent="0.2">
      <c r="C2509"/>
    </row>
    <row r="2510" spans="3:3" x14ac:dyDescent="0.2">
      <c r="C2510"/>
    </row>
    <row r="2511" spans="3:3" x14ac:dyDescent="0.2">
      <c r="C2511"/>
    </row>
    <row r="2512" spans="3:3" x14ac:dyDescent="0.2">
      <c r="C2512"/>
    </row>
    <row r="2513" spans="3:3" x14ac:dyDescent="0.2">
      <c r="C2513"/>
    </row>
    <row r="2514" spans="3:3" x14ac:dyDescent="0.2">
      <c r="C2514"/>
    </row>
    <row r="2515" spans="3:3" x14ac:dyDescent="0.2">
      <c r="C2515"/>
    </row>
    <row r="2516" spans="3:3" x14ac:dyDescent="0.2">
      <c r="C2516"/>
    </row>
    <row r="2517" spans="3:3" x14ac:dyDescent="0.2">
      <c r="C2517"/>
    </row>
    <row r="2518" spans="3:3" x14ac:dyDescent="0.2">
      <c r="C2518"/>
    </row>
    <row r="2519" spans="3:3" x14ac:dyDescent="0.2">
      <c r="C2519"/>
    </row>
    <row r="2520" spans="3:3" x14ac:dyDescent="0.2">
      <c r="C2520"/>
    </row>
    <row r="2521" spans="3:3" x14ac:dyDescent="0.2">
      <c r="C2521"/>
    </row>
    <row r="2522" spans="3:3" x14ac:dyDescent="0.2">
      <c r="C2522"/>
    </row>
    <row r="2523" spans="3:3" x14ac:dyDescent="0.2">
      <c r="C2523"/>
    </row>
    <row r="2524" spans="3:3" x14ac:dyDescent="0.2">
      <c r="C2524"/>
    </row>
    <row r="2525" spans="3:3" x14ac:dyDescent="0.2">
      <c r="C2525"/>
    </row>
    <row r="2526" spans="3:3" x14ac:dyDescent="0.2">
      <c r="C2526"/>
    </row>
    <row r="2527" spans="3:3" x14ac:dyDescent="0.2">
      <c r="C2527"/>
    </row>
    <row r="2528" spans="3:3" x14ac:dyDescent="0.2">
      <c r="C2528"/>
    </row>
    <row r="2529" spans="3:3" x14ac:dyDescent="0.2">
      <c r="C2529"/>
    </row>
    <row r="2530" spans="3:3" x14ac:dyDescent="0.2">
      <c r="C2530"/>
    </row>
    <row r="2531" spans="3:3" x14ac:dyDescent="0.2">
      <c r="C2531"/>
    </row>
    <row r="2532" spans="3:3" x14ac:dyDescent="0.2">
      <c r="C2532"/>
    </row>
    <row r="2533" spans="3:3" x14ac:dyDescent="0.2">
      <c r="C2533"/>
    </row>
    <row r="2534" spans="3:3" x14ac:dyDescent="0.2">
      <c r="C2534"/>
    </row>
    <row r="2535" spans="3:3" x14ac:dyDescent="0.2">
      <c r="C2535"/>
    </row>
    <row r="2536" spans="3:3" x14ac:dyDescent="0.2">
      <c r="C2536"/>
    </row>
    <row r="2537" spans="3:3" x14ac:dyDescent="0.2">
      <c r="C2537"/>
    </row>
    <row r="2538" spans="3:3" x14ac:dyDescent="0.2">
      <c r="C2538"/>
    </row>
    <row r="2539" spans="3:3" x14ac:dyDescent="0.2">
      <c r="C2539"/>
    </row>
    <row r="2540" spans="3:3" x14ac:dyDescent="0.2">
      <c r="C2540"/>
    </row>
    <row r="2541" spans="3:3" x14ac:dyDescent="0.2">
      <c r="C2541"/>
    </row>
    <row r="2542" spans="3:3" x14ac:dyDescent="0.2">
      <c r="C2542"/>
    </row>
    <row r="2543" spans="3:3" x14ac:dyDescent="0.2">
      <c r="C2543"/>
    </row>
    <row r="2544" spans="3:3" x14ac:dyDescent="0.2">
      <c r="C2544"/>
    </row>
    <row r="2545" spans="3:3" x14ac:dyDescent="0.2">
      <c r="C2545"/>
    </row>
    <row r="2546" spans="3:3" x14ac:dyDescent="0.2">
      <c r="C2546"/>
    </row>
    <row r="2547" spans="3:3" x14ac:dyDescent="0.2">
      <c r="C2547"/>
    </row>
    <row r="2548" spans="3:3" x14ac:dyDescent="0.2">
      <c r="C2548"/>
    </row>
    <row r="2549" spans="3:3" x14ac:dyDescent="0.2">
      <c r="C2549"/>
    </row>
    <row r="2550" spans="3:3" x14ac:dyDescent="0.2">
      <c r="C2550"/>
    </row>
    <row r="2551" spans="3:3" x14ac:dyDescent="0.2">
      <c r="C2551"/>
    </row>
    <row r="2552" spans="3:3" x14ac:dyDescent="0.2">
      <c r="C2552"/>
    </row>
    <row r="2553" spans="3:3" x14ac:dyDescent="0.2">
      <c r="C2553"/>
    </row>
    <row r="2554" spans="3:3" x14ac:dyDescent="0.2">
      <c r="C2554"/>
    </row>
    <row r="2555" spans="3:3" x14ac:dyDescent="0.2">
      <c r="C2555"/>
    </row>
    <row r="2556" spans="3:3" x14ac:dyDescent="0.2">
      <c r="C2556"/>
    </row>
    <row r="2557" spans="3:3" x14ac:dyDescent="0.2">
      <c r="C2557"/>
    </row>
    <row r="2558" spans="3:3" x14ac:dyDescent="0.2">
      <c r="C2558"/>
    </row>
    <row r="2559" spans="3:3" x14ac:dyDescent="0.2">
      <c r="C2559"/>
    </row>
    <row r="2560" spans="3:3" x14ac:dyDescent="0.2">
      <c r="C2560"/>
    </row>
    <row r="2561" spans="3:3" x14ac:dyDescent="0.2">
      <c r="C2561"/>
    </row>
    <row r="2562" spans="3:3" x14ac:dyDescent="0.2">
      <c r="C2562"/>
    </row>
    <row r="2563" spans="3:3" x14ac:dyDescent="0.2">
      <c r="C2563"/>
    </row>
    <row r="2564" spans="3:3" x14ac:dyDescent="0.2">
      <c r="C2564"/>
    </row>
    <row r="2565" spans="3:3" x14ac:dyDescent="0.2">
      <c r="C2565"/>
    </row>
    <row r="2566" spans="3:3" x14ac:dyDescent="0.2">
      <c r="C2566"/>
    </row>
    <row r="2567" spans="3:3" x14ac:dyDescent="0.2">
      <c r="C2567"/>
    </row>
    <row r="2568" spans="3:3" x14ac:dyDescent="0.2">
      <c r="C2568"/>
    </row>
    <row r="2569" spans="3:3" x14ac:dyDescent="0.2">
      <c r="C2569"/>
    </row>
    <row r="2570" spans="3:3" x14ac:dyDescent="0.2">
      <c r="C2570"/>
    </row>
    <row r="2571" spans="3:3" x14ac:dyDescent="0.2">
      <c r="C2571"/>
    </row>
    <row r="2572" spans="3:3" x14ac:dyDescent="0.2">
      <c r="C2572"/>
    </row>
    <row r="2573" spans="3:3" x14ac:dyDescent="0.2">
      <c r="C2573"/>
    </row>
    <row r="2574" spans="3:3" x14ac:dyDescent="0.2">
      <c r="C2574"/>
    </row>
    <row r="2575" spans="3:3" x14ac:dyDescent="0.2">
      <c r="C2575"/>
    </row>
    <row r="2576" spans="3:3" x14ac:dyDescent="0.2">
      <c r="C2576"/>
    </row>
    <row r="2577" spans="3:3" x14ac:dyDescent="0.2">
      <c r="C2577"/>
    </row>
    <row r="2578" spans="3:3" x14ac:dyDescent="0.2">
      <c r="C2578"/>
    </row>
    <row r="2579" spans="3:3" x14ac:dyDescent="0.2">
      <c r="C2579"/>
    </row>
    <row r="2580" spans="3:3" x14ac:dyDescent="0.2">
      <c r="C2580"/>
    </row>
    <row r="2581" spans="3:3" x14ac:dyDescent="0.2">
      <c r="C2581"/>
    </row>
    <row r="2582" spans="3:3" x14ac:dyDescent="0.2">
      <c r="C2582"/>
    </row>
    <row r="2583" spans="3:3" x14ac:dyDescent="0.2">
      <c r="C2583"/>
    </row>
    <row r="2584" spans="3:3" x14ac:dyDescent="0.2">
      <c r="C2584"/>
    </row>
    <row r="2585" spans="3:3" x14ac:dyDescent="0.2">
      <c r="C2585"/>
    </row>
    <row r="2586" spans="3:3" x14ac:dyDescent="0.2">
      <c r="C2586"/>
    </row>
    <row r="2587" spans="3:3" x14ac:dyDescent="0.2">
      <c r="C2587"/>
    </row>
    <row r="2588" spans="3:3" x14ac:dyDescent="0.2">
      <c r="C2588"/>
    </row>
    <row r="2589" spans="3:3" x14ac:dyDescent="0.2">
      <c r="C2589"/>
    </row>
    <row r="2590" spans="3:3" x14ac:dyDescent="0.2">
      <c r="C2590"/>
    </row>
    <row r="2591" spans="3:3" x14ac:dyDescent="0.2">
      <c r="C2591"/>
    </row>
    <row r="2592" spans="3:3" x14ac:dyDescent="0.2">
      <c r="C2592"/>
    </row>
    <row r="2593" spans="3:3" x14ac:dyDescent="0.2">
      <c r="C2593"/>
    </row>
    <row r="2594" spans="3:3" x14ac:dyDescent="0.2">
      <c r="C2594"/>
    </row>
    <row r="2595" spans="3:3" x14ac:dyDescent="0.2">
      <c r="C2595"/>
    </row>
    <row r="2596" spans="3:3" x14ac:dyDescent="0.2">
      <c r="C2596"/>
    </row>
    <row r="2597" spans="3:3" x14ac:dyDescent="0.2">
      <c r="C2597"/>
    </row>
    <row r="2598" spans="3:3" x14ac:dyDescent="0.2">
      <c r="C2598"/>
    </row>
    <row r="2599" spans="3:3" x14ac:dyDescent="0.2">
      <c r="C2599"/>
    </row>
    <row r="2600" spans="3:3" x14ac:dyDescent="0.2">
      <c r="C2600"/>
    </row>
    <row r="2601" spans="3:3" x14ac:dyDescent="0.2">
      <c r="C2601"/>
    </row>
    <row r="2602" spans="3:3" x14ac:dyDescent="0.2">
      <c r="C2602"/>
    </row>
    <row r="2603" spans="3:3" x14ac:dyDescent="0.2">
      <c r="C2603"/>
    </row>
    <row r="2604" spans="3:3" x14ac:dyDescent="0.2">
      <c r="C2604"/>
    </row>
    <row r="2605" spans="3:3" x14ac:dyDescent="0.2">
      <c r="C2605"/>
    </row>
    <row r="2606" spans="3:3" x14ac:dyDescent="0.2">
      <c r="C2606"/>
    </row>
    <row r="2607" spans="3:3" x14ac:dyDescent="0.2">
      <c r="C2607"/>
    </row>
    <row r="2608" spans="3:3" x14ac:dyDescent="0.2">
      <c r="C2608"/>
    </row>
    <row r="2609" spans="3:3" x14ac:dyDescent="0.2">
      <c r="C2609"/>
    </row>
    <row r="2610" spans="3:3" x14ac:dyDescent="0.2">
      <c r="C2610"/>
    </row>
    <row r="2611" spans="3:3" x14ac:dyDescent="0.2">
      <c r="C2611"/>
    </row>
    <row r="2612" spans="3:3" x14ac:dyDescent="0.2">
      <c r="C2612"/>
    </row>
    <row r="2613" spans="3:3" x14ac:dyDescent="0.2">
      <c r="C2613"/>
    </row>
    <row r="2614" spans="3:3" x14ac:dyDescent="0.2">
      <c r="C2614"/>
    </row>
    <row r="2615" spans="3:3" x14ac:dyDescent="0.2">
      <c r="C2615"/>
    </row>
    <row r="2616" spans="3:3" x14ac:dyDescent="0.2">
      <c r="C2616"/>
    </row>
    <row r="2617" spans="3:3" x14ac:dyDescent="0.2">
      <c r="C2617"/>
    </row>
    <row r="2618" spans="3:3" x14ac:dyDescent="0.2">
      <c r="C2618"/>
    </row>
    <row r="2619" spans="3:3" x14ac:dyDescent="0.2">
      <c r="C2619"/>
    </row>
    <row r="2620" spans="3:3" x14ac:dyDescent="0.2">
      <c r="C2620"/>
    </row>
    <row r="2621" spans="3:3" x14ac:dyDescent="0.2">
      <c r="C2621"/>
    </row>
    <row r="2622" spans="3:3" x14ac:dyDescent="0.2">
      <c r="C2622"/>
    </row>
    <row r="2623" spans="3:3" x14ac:dyDescent="0.2">
      <c r="C2623"/>
    </row>
    <row r="2624" spans="3:3" x14ac:dyDescent="0.2">
      <c r="C2624"/>
    </row>
    <row r="2625" spans="3:3" x14ac:dyDescent="0.2">
      <c r="C2625"/>
    </row>
    <row r="2626" spans="3:3" x14ac:dyDescent="0.2">
      <c r="C2626"/>
    </row>
    <row r="2627" spans="3:3" x14ac:dyDescent="0.2">
      <c r="C2627"/>
    </row>
    <row r="2628" spans="3:3" x14ac:dyDescent="0.2">
      <c r="C2628"/>
    </row>
    <row r="2629" spans="3:3" x14ac:dyDescent="0.2">
      <c r="C2629"/>
    </row>
    <row r="2630" spans="3:3" x14ac:dyDescent="0.2">
      <c r="C2630"/>
    </row>
    <row r="2631" spans="3:3" x14ac:dyDescent="0.2">
      <c r="C2631"/>
    </row>
    <row r="2632" spans="3:3" x14ac:dyDescent="0.2">
      <c r="C2632"/>
    </row>
    <row r="2633" spans="3:3" x14ac:dyDescent="0.2">
      <c r="C2633"/>
    </row>
    <row r="2634" spans="3:3" x14ac:dyDescent="0.2">
      <c r="C2634"/>
    </row>
    <row r="2635" spans="3:3" x14ac:dyDescent="0.2">
      <c r="C2635"/>
    </row>
    <row r="2636" spans="3:3" x14ac:dyDescent="0.2">
      <c r="C2636"/>
    </row>
    <row r="2637" spans="3:3" x14ac:dyDescent="0.2">
      <c r="C2637"/>
    </row>
    <row r="2638" spans="3:3" x14ac:dyDescent="0.2">
      <c r="C2638"/>
    </row>
    <row r="2639" spans="3:3" x14ac:dyDescent="0.2">
      <c r="C2639"/>
    </row>
    <row r="2640" spans="3:3" x14ac:dyDescent="0.2">
      <c r="C2640"/>
    </row>
    <row r="2641" spans="3:3" x14ac:dyDescent="0.2">
      <c r="C2641"/>
    </row>
    <row r="2642" spans="3:3" x14ac:dyDescent="0.2">
      <c r="C2642"/>
    </row>
    <row r="2643" spans="3:3" x14ac:dyDescent="0.2">
      <c r="C2643"/>
    </row>
    <row r="2644" spans="3:3" x14ac:dyDescent="0.2">
      <c r="C2644"/>
    </row>
    <row r="2645" spans="3:3" x14ac:dyDescent="0.2">
      <c r="C2645"/>
    </row>
    <row r="2646" spans="3:3" x14ac:dyDescent="0.2">
      <c r="C2646"/>
    </row>
    <row r="2647" spans="3:3" x14ac:dyDescent="0.2">
      <c r="C2647"/>
    </row>
    <row r="2648" spans="3:3" x14ac:dyDescent="0.2">
      <c r="C2648"/>
    </row>
    <row r="2649" spans="3:3" x14ac:dyDescent="0.2">
      <c r="C2649"/>
    </row>
    <row r="2650" spans="3:3" x14ac:dyDescent="0.2">
      <c r="C2650"/>
    </row>
    <row r="2651" spans="3:3" x14ac:dyDescent="0.2">
      <c r="C2651"/>
    </row>
    <row r="2652" spans="3:3" x14ac:dyDescent="0.2">
      <c r="C2652"/>
    </row>
    <row r="2653" spans="3:3" x14ac:dyDescent="0.2">
      <c r="C2653"/>
    </row>
    <row r="2654" spans="3:3" x14ac:dyDescent="0.2">
      <c r="C2654"/>
    </row>
    <row r="2655" spans="3:3" x14ac:dyDescent="0.2">
      <c r="C2655"/>
    </row>
    <row r="2656" spans="3:3" x14ac:dyDescent="0.2">
      <c r="C2656"/>
    </row>
    <row r="2657" spans="3:3" x14ac:dyDescent="0.2">
      <c r="C2657"/>
    </row>
    <row r="2658" spans="3:3" x14ac:dyDescent="0.2">
      <c r="C2658"/>
    </row>
    <row r="2659" spans="3:3" x14ac:dyDescent="0.2">
      <c r="C2659"/>
    </row>
    <row r="2660" spans="3:3" x14ac:dyDescent="0.2">
      <c r="C2660"/>
    </row>
    <row r="2661" spans="3:3" x14ac:dyDescent="0.2">
      <c r="C2661"/>
    </row>
    <row r="2662" spans="3:3" x14ac:dyDescent="0.2">
      <c r="C2662"/>
    </row>
    <row r="2663" spans="3:3" x14ac:dyDescent="0.2">
      <c r="C2663"/>
    </row>
    <row r="2664" spans="3:3" x14ac:dyDescent="0.2">
      <c r="C2664"/>
    </row>
    <row r="2665" spans="3:3" x14ac:dyDescent="0.2">
      <c r="C2665"/>
    </row>
    <row r="2666" spans="3:3" x14ac:dyDescent="0.2">
      <c r="C2666"/>
    </row>
    <row r="2667" spans="3:3" x14ac:dyDescent="0.2">
      <c r="C2667"/>
    </row>
    <row r="2668" spans="3:3" x14ac:dyDescent="0.2">
      <c r="C2668"/>
    </row>
    <row r="2669" spans="3:3" x14ac:dyDescent="0.2">
      <c r="C2669"/>
    </row>
    <row r="2670" spans="3:3" x14ac:dyDescent="0.2">
      <c r="C2670"/>
    </row>
    <row r="2671" spans="3:3" x14ac:dyDescent="0.2">
      <c r="C2671"/>
    </row>
    <row r="2672" spans="3:3" x14ac:dyDescent="0.2">
      <c r="C2672"/>
    </row>
    <row r="2673" spans="3:3" x14ac:dyDescent="0.2">
      <c r="C2673"/>
    </row>
    <row r="2674" spans="3:3" x14ac:dyDescent="0.2">
      <c r="C2674"/>
    </row>
    <row r="2675" spans="3:3" x14ac:dyDescent="0.2">
      <c r="C2675"/>
    </row>
    <row r="2676" spans="3:3" x14ac:dyDescent="0.2">
      <c r="C2676"/>
    </row>
    <row r="2677" spans="3:3" x14ac:dyDescent="0.2">
      <c r="C2677"/>
    </row>
    <row r="2678" spans="3:3" x14ac:dyDescent="0.2">
      <c r="C2678"/>
    </row>
    <row r="2679" spans="3:3" x14ac:dyDescent="0.2">
      <c r="C2679"/>
    </row>
    <row r="2680" spans="3:3" x14ac:dyDescent="0.2">
      <c r="C2680"/>
    </row>
    <row r="2681" spans="3:3" x14ac:dyDescent="0.2">
      <c r="C2681"/>
    </row>
    <row r="2682" spans="3:3" x14ac:dyDescent="0.2">
      <c r="C2682"/>
    </row>
    <row r="2683" spans="3:3" x14ac:dyDescent="0.2">
      <c r="C2683"/>
    </row>
    <row r="2684" spans="3:3" x14ac:dyDescent="0.2">
      <c r="C2684"/>
    </row>
    <row r="2685" spans="3:3" x14ac:dyDescent="0.2">
      <c r="C2685"/>
    </row>
    <row r="2686" spans="3:3" x14ac:dyDescent="0.2">
      <c r="C2686"/>
    </row>
    <row r="2687" spans="3:3" x14ac:dyDescent="0.2">
      <c r="C2687"/>
    </row>
    <row r="2688" spans="3:3" x14ac:dyDescent="0.2">
      <c r="C2688"/>
    </row>
    <row r="2689" spans="3:3" x14ac:dyDescent="0.2">
      <c r="C2689"/>
    </row>
    <row r="2690" spans="3:3" x14ac:dyDescent="0.2">
      <c r="C2690"/>
    </row>
    <row r="2691" spans="3:3" x14ac:dyDescent="0.2">
      <c r="C2691"/>
    </row>
    <row r="2692" spans="3:3" x14ac:dyDescent="0.2">
      <c r="C2692"/>
    </row>
    <row r="2693" spans="3:3" x14ac:dyDescent="0.2">
      <c r="C2693"/>
    </row>
    <row r="2694" spans="3:3" x14ac:dyDescent="0.2">
      <c r="C2694"/>
    </row>
    <row r="2695" spans="3:3" x14ac:dyDescent="0.2">
      <c r="C2695"/>
    </row>
    <row r="2696" spans="3:3" x14ac:dyDescent="0.2">
      <c r="C2696"/>
    </row>
    <row r="2697" spans="3:3" x14ac:dyDescent="0.2">
      <c r="C2697"/>
    </row>
    <row r="2698" spans="3:3" x14ac:dyDescent="0.2">
      <c r="C2698"/>
    </row>
    <row r="2699" spans="3:3" x14ac:dyDescent="0.2">
      <c r="C2699"/>
    </row>
    <row r="2700" spans="3:3" x14ac:dyDescent="0.2">
      <c r="C2700"/>
    </row>
    <row r="2701" spans="3:3" x14ac:dyDescent="0.2">
      <c r="C2701"/>
    </row>
    <row r="2702" spans="3:3" x14ac:dyDescent="0.2">
      <c r="C2702"/>
    </row>
    <row r="2703" spans="3:3" x14ac:dyDescent="0.2">
      <c r="C2703"/>
    </row>
    <row r="2704" spans="3:3" x14ac:dyDescent="0.2">
      <c r="C2704"/>
    </row>
    <row r="2705" spans="3:3" x14ac:dyDescent="0.2">
      <c r="C2705"/>
    </row>
    <row r="2706" spans="3:3" x14ac:dyDescent="0.2">
      <c r="C2706"/>
    </row>
    <row r="2707" spans="3:3" x14ac:dyDescent="0.2">
      <c r="C2707"/>
    </row>
    <row r="2708" spans="3:3" x14ac:dyDescent="0.2">
      <c r="C2708"/>
    </row>
    <row r="2709" spans="3:3" x14ac:dyDescent="0.2">
      <c r="C2709"/>
    </row>
    <row r="2710" spans="3:3" x14ac:dyDescent="0.2">
      <c r="C2710"/>
    </row>
    <row r="2711" spans="3:3" x14ac:dyDescent="0.2">
      <c r="C2711"/>
    </row>
    <row r="2712" spans="3:3" x14ac:dyDescent="0.2">
      <c r="C2712"/>
    </row>
    <row r="2713" spans="3:3" x14ac:dyDescent="0.2">
      <c r="C2713"/>
    </row>
    <row r="2714" spans="3:3" x14ac:dyDescent="0.2">
      <c r="C2714"/>
    </row>
    <row r="2715" spans="3:3" x14ac:dyDescent="0.2">
      <c r="C2715"/>
    </row>
    <row r="2716" spans="3:3" x14ac:dyDescent="0.2">
      <c r="C2716"/>
    </row>
    <row r="2717" spans="3:3" x14ac:dyDescent="0.2">
      <c r="C2717"/>
    </row>
    <row r="2718" spans="3:3" x14ac:dyDescent="0.2">
      <c r="C2718"/>
    </row>
    <row r="2719" spans="3:3" x14ac:dyDescent="0.2">
      <c r="C2719"/>
    </row>
    <row r="2720" spans="3:3" x14ac:dyDescent="0.2">
      <c r="C2720"/>
    </row>
    <row r="2721" spans="3:3" x14ac:dyDescent="0.2">
      <c r="C2721"/>
    </row>
    <row r="2722" spans="3:3" x14ac:dyDescent="0.2">
      <c r="C2722"/>
    </row>
    <row r="2723" spans="3:3" x14ac:dyDescent="0.2">
      <c r="C2723"/>
    </row>
    <row r="2724" spans="3:3" x14ac:dyDescent="0.2">
      <c r="C2724"/>
    </row>
    <row r="2725" spans="3:3" x14ac:dyDescent="0.2">
      <c r="C2725"/>
    </row>
    <row r="2726" spans="3:3" x14ac:dyDescent="0.2">
      <c r="C2726"/>
    </row>
    <row r="2727" spans="3:3" x14ac:dyDescent="0.2">
      <c r="C2727"/>
    </row>
    <row r="2728" spans="3:3" x14ac:dyDescent="0.2">
      <c r="C2728"/>
    </row>
    <row r="2729" spans="3:3" x14ac:dyDescent="0.2">
      <c r="C2729"/>
    </row>
    <row r="2730" spans="3:3" x14ac:dyDescent="0.2">
      <c r="C2730"/>
    </row>
    <row r="2731" spans="3:3" x14ac:dyDescent="0.2">
      <c r="C2731"/>
    </row>
    <row r="2732" spans="3:3" x14ac:dyDescent="0.2">
      <c r="C2732"/>
    </row>
    <row r="2733" spans="3:3" x14ac:dyDescent="0.2">
      <c r="C2733"/>
    </row>
    <row r="2734" spans="3:3" x14ac:dyDescent="0.2">
      <c r="C2734"/>
    </row>
    <row r="2735" spans="3:3" x14ac:dyDescent="0.2">
      <c r="C2735"/>
    </row>
    <row r="2736" spans="3:3" x14ac:dyDescent="0.2">
      <c r="C2736"/>
    </row>
    <row r="2737" spans="3:3" x14ac:dyDescent="0.2">
      <c r="C2737"/>
    </row>
    <row r="2738" spans="3:3" x14ac:dyDescent="0.2">
      <c r="C2738"/>
    </row>
    <row r="2739" spans="3:3" x14ac:dyDescent="0.2">
      <c r="C2739"/>
    </row>
    <row r="2740" spans="3:3" x14ac:dyDescent="0.2">
      <c r="C2740"/>
    </row>
    <row r="2741" spans="3:3" x14ac:dyDescent="0.2">
      <c r="C2741"/>
    </row>
    <row r="2742" spans="3:3" x14ac:dyDescent="0.2">
      <c r="C2742"/>
    </row>
    <row r="2743" spans="3:3" x14ac:dyDescent="0.2">
      <c r="C2743"/>
    </row>
    <row r="2744" spans="3:3" x14ac:dyDescent="0.2">
      <c r="C2744"/>
    </row>
    <row r="2745" spans="3:3" x14ac:dyDescent="0.2">
      <c r="C2745"/>
    </row>
    <row r="2746" spans="3:3" x14ac:dyDescent="0.2">
      <c r="C2746"/>
    </row>
    <row r="2747" spans="3:3" x14ac:dyDescent="0.2">
      <c r="C2747"/>
    </row>
    <row r="2748" spans="3:3" x14ac:dyDescent="0.2">
      <c r="C2748"/>
    </row>
    <row r="2749" spans="3:3" x14ac:dyDescent="0.2">
      <c r="C2749"/>
    </row>
    <row r="2750" spans="3:3" x14ac:dyDescent="0.2">
      <c r="C2750"/>
    </row>
    <row r="2751" spans="3:3" x14ac:dyDescent="0.2">
      <c r="C2751"/>
    </row>
    <row r="2752" spans="3:3" x14ac:dyDescent="0.2">
      <c r="C2752"/>
    </row>
    <row r="2753" spans="3:3" x14ac:dyDescent="0.2">
      <c r="C2753"/>
    </row>
    <row r="2754" spans="3:3" x14ac:dyDescent="0.2">
      <c r="C2754"/>
    </row>
    <row r="2755" spans="3:3" x14ac:dyDescent="0.2">
      <c r="C2755"/>
    </row>
    <row r="2756" spans="3:3" x14ac:dyDescent="0.2">
      <c r="C2756"/>
    </row>
    <row r="2757" spans="3:3" x14ac:dyDescent="0.2">
      <c r="C2757"/>
    </row>
    <row r="2758" spans="3:3" x14ac:dyDescent="0.2">
      <c r="C2758"/>
    </row>
    <row r="2759" spans="3:3" x14ac:dyDescent="0.2">
      <c r="C2759"/>
    </row>
    <row r="2760" spans="3:3" x14ac:dyDescent="0.2">
      <c r="C2760"/>
    </row>
    <row r="2761" spans="3:3" x14ac:dyDescent="0.2">
      <c r="C2761"/>
    </row>
    <row r="2762" spans="3:3" x14ac:dyDescent="0.2">
      <c r="C2762"/>
    </row>
    <row r="2763" spans="3:3" x14ac:dyDescent="0.2">
      <c r="C2763"/>
    </row>
    <row r="2764" spans="3:3" x14ac:dyDescent="0.2">
      <c r="C2764"/>
    </row>
    <row r="2765" spans="3:3" x14ac:dyDescent="0.2">
      <c r="C2765"/>
    </row>
    <row r="2766" spans="3:3" x14ac:dyDescent="0.2">
      <c r="C2766"/>
    </row>
    <row r="2767" spans="3:3" x14ac:dyDescent="0.2">
      <c r="C2767"/>
    </row>
    <row r="2768" spans="3:3" x14ac:dyDescent="0.2">
      <c r="C2768"/>
    </row>
    <row r="2769" spans="3:3" x14ac:dyDescent="0.2">
      <c r="C2769"/>
    </row>
    <row r="2770" spans="3:3" x14ac:dyDescent="0.2">
      <c r="C2770"/>
    </row>
    <row r="2771" spans="3:3" x14ac:dyDescent="0.2">
      <c r="C2771"/>
    </row>
    <row r="2772" spans="3:3" x14ac:dyDescent="0.2">
      <c r="C2772"/>
    </row>
    <row r="2773" spans="3:3" x14ac:dyDescent="0.2">
      <c r="C2773"/>
    </row>
    <row r="2774" spans="3:3" x14ac:dyDescent="0.2">
      <c r="C2774"/>
    </row>
    <row r="2775" spans="3:3" x14ac:dyDescent="0.2">
      <c r="C2775"/>
    </row>
    <row r="2776" spans="3:3" x14ac:dyDescent="0.2">
      <c r="C2776"/>
    </row>
    <row r="2777" spans="3:3" x14ac:dyDescent="0.2">
      <c r="C2777"/>
    </row>
    <row r="2778" spans="3:3" x14ac:dyDescent="0.2">
      <c r="C2778"/>
    </row>
    <row r="2779" spans="3:3" x14ac:dyDescent="0.2">
      <c r="C2779"/>
    </row>
    <row r="2780" spans="3:3" x14ac:dyDescent="0.2">
      <c r="C2780"/>
    </row>
    <row r="2781" spans="3:3" x14ac:dyDescent="0.2">
      <c r="C2781"/>
    </row>
    <row r="2782" spans="3:3" x14ac:dyDescent="0.2">
      <c r="C2782"/>
    </row>
    <row r="2783" spans="3:3" x14ac:dyDescent="0.2">
      <c r="C2783"/>
    </row>
    <row r="2784" spans="3:3" x14ac:dyDescent="0.2">
      <c r="C2784"/>
    </row>
    <row r="2785" spans="3:3" x14ac:dyDescent="0.2">
      <c r="C2785"/>
    </row>
    <row r="2786" spans="3:3" x14ac:dyDescent="0.2">
      <c r="C2786"/>
    </row>
    <row r="2787" spans="3:3" x14ac:dyDescent="0.2">
      <c r="C2787"/>
    </row>
    <row r="2788" spans="3:3" x14ac:dyDescent="0.2">
      <c r="C2788"/>
    </row>
    <row r="2789" spans="3:3" x14ac:dyDescent="0.2">
      <c r="C2789"/>
    </row>
    <row r="2790" spans="3:3" x14ac:dyDescent="0.2">
      <c r="C2790"/>
    </row>
    <row r="2791" spans="3:3" x14ac:dyDescent="0.2">
      <c r="C2791"/>
    </row>
    <row r="2792" spans="3:3" x14ac:dyDescent="0.2">
      <c r="C2792"/>
    </row>
    <row r="2793" spans="3:3" x14ac:dyDescent="0.2">
      <c r="C2793"/>
    </row>
    <row r="2794" spans="3:3" x14ac:dyDescent="0.2">
      <c r="C2794"/>
    </row>
    <row r="2795" spans="3:3" x14ac:dyDescent="0.2">
      <c r="C2795"/>
    </row>
    <row r="2796" spans="3:3" x14ac:dyDescent="0.2">
      <c r="C2796"/>
    </row>
    <row r="2797" spans="3:3" x14ac:dyDescent="0.2">
      <c r="C2797"/>
    </row>
    <row r="2798" spans="3:3" x14ac:dyDescent="0.2">
      <c r="C2798"/>
    </row>
    <row r="2799" spans="3:3" x14ac:dyDescent="0.2">
      <c r="C2799"/>
    </row>
    <row r="2800" spans="3:3" x14ac:dyDescent="0.2">
      <c r="C2800"/>
    </row>
    <row r="2801" spans="3:3" x14ac:dyDescent="0.2">
      <c r="C2801"/>
    </row>
    <row r="2802" spans="3:3" x14ac:dyDescent="0.2">
      <c r="C2802"/>
    </row>
    <row r="2803" spans="3:3" x14ac:dyDescent="0.2">
      <c r="C2803"/>
    </row>
    <row r="2804" spans="3:3" x14ac:dyDescent="0.2">
      <c r="C2804"/>
    </row>
    <row r="2805" spans="3:3" x14ac:dyDescent="0.2">
      <c r="C2805"/>
    </row>
    <row r="2806" spans="3:3" x14ac:dyDescent="0.2">
      <c r="C2806"/>
    </row>
    <row r="2807" spans="3:3" x14ac:dyDescent="0.2">
      <c r="C2807"/>
    </row>
    <row r="2808" spans="3:3" x14ac:dyDescent="0.2">
      <c r="C2808"/>
    </row>
    <row r="2809" spans="3:3" x14ac:dyDescent="0.2">
      <c r="C2809"/>
    </row>
    <row r="2810" spans="3:3" x14ac:dyDescent="0.2">
      <c r="C2810"/>
    </row>
    <row r="2811" spans="3:3" x14ac:dyDescent="0.2">
      <c r="C2811"/>
    </row>
    <row r="2812" spans="3:3" x14ac:dyDescent="0.2">
      <c r="C2812"/>
    </row>
    <row r="2813" spans="3:3" x14ac:dyDescent="0.2">
      <c r="C2813"/>
    </row>
    <row r="2814" spans="3:3" x14ac:dyDescent="0.2">
      <c r="C2814"/>
    </row>
    <row r="2815" spans="3:3" x14ac:dyDescent="0.2">
      <c r="C2815"/>
    </row>
    <row r="2816" spans="3:3" x14ac:dyDescent="0.2">
      <c r="C2816"/>
    </row>
    <row r="2817" spans="3:3" x14ac:dyDescent="0.2">
      <c r="C2817"/>
    </row>
    <row r="2818" spans="3:3" x14ac:dyDescent="0.2">
      <c r="C2818"/>
    </row>
    <row r="2819" spans="3:3" x14ac:dyDescent="0.2">
      <c r="C2819"/>
    </row>
    <row r="2820" spans="3:3" x14ac:dyDescent="0.2">
      <c r="C2820"/>
    </row>
    <row r="2821" spans="3:3" x14ac:dyDescent="0.2">
      <c r="C2821"/>
    </row>
    <row r="2822" spans="3:3" x14ac:dyDescent="0.2">
      <c r="C2822"/>
    </row>
    <row r="2823" spans="3:3" x14ac:dyDescent="0.2">
      <c r="C2823"/>
    </row>
    <row r="2824" spans="3:3" x14ac:dyDescent="0.2">
      <c r="C2824"/>
    </row>
    <row r="2825" spans="3:3" x14ac:dyDescent="0.2">
      <c r="C2825"/>
    </row>
    <row r="2826" spans="3:3" x14ac:dyDescent="0.2">
      <c r="C2826"/>
    </row>
    <row r="2827" spans="3:3" x14ac:dyDescent="0.2">
      <c r="C2827"/>
    </row>
    <row r="2828" spans="3:3" x14ac:dyDescent="0.2">
      <c r="C2828"/>
    </row>
    <row r="2829" spans="3:3" x14ac:dyDescent="0.2">
      <c r="C2829"/>
    </row>
    <row r="2830" spans="3:3" x14ac:dyDescent="0.2">
      <c r="C2830"/>
    </row>
    <row r="2831" spans="3:3" x14ac:dyDescent="0.2">
      <c r="C2831"/>
    </row>
    <row r="2832" spans="3:3" x14ac:dyDescent="0.2">
      <c r="C2832"/>
    </row>
    <row r="2833" spans="3:3" x14ac:dyDescent="0.2">
      <c r="C2833"/>
    </row>
    <row r="2834" spans="3:3" x14ac:dyDescent="0.2">
      <c r="C2834"/>
    </row>
    <row r="2835" spans="3:3" x14ac:dyDescent="0.2">
      <c r="C2835"/>
    </row>
    <row r="2836" spans="3:3" x14ac:dyDescent="0.2">
      <c r="C2836"/>
    </row>
    <row r="2837" spans="3:3" x14ac:dyDescent="0.2">
      <c r="C2837"/>
    </row>
    <row r="2838" spans="3:3" x14ac:dyDescent="0.2">
      <c r="C2838"/>
    </row>
    <row r="2839" spans="3:3" x14ac:dyDescent="0.2">
      <c r="C2839"/>
    </row>
    <row r="2840" spans="3:3" x14ac:dyDescent="0.2">
      <c r="C2840"/>
    </row>
    <row r="2841" spans="3:3" x14ac:dyDescent="0.2">
      <c r="C2841"/>
    </row>
    <row r="2842" spans="3:3" x14ac:dyDescent="0.2">
      <c r="C2842"/>
    </row>
    <row r="2843" spans="3:3" x14ac:dyDescent="0.2">
      <c r="C2843"/>
    </row>
    <row r="2844" spans="3:3" x14ac:dyDescent="0.2">
      <c r="C2844"/>
    </row>
    <row r="2845" spans="3:3" x14ac:dyDescent="0.2">
      <c r="C2845"/>
    </row>
    <row r="2846" spans="3:3" x14ac:dyDescent="0.2">
      <c r="C2846"/>
    </row>
    <row r="2847" spans="3:3" x14ac:dyDescent="0.2">
      <c r="C2847"/>
    </row>
    <row r="2848" spans="3:3" x14ac:dyDescent="0.2">
      <c r="C2848"/>
    </row>
    <row r="2849" spans="3:3" x14ac:dyDescent="0.2">
      <c r="C2849"/>
    </row>
    <row r="2850" spans="3:3" x14ac:dyDescent="0.2">
      <c r="C2850"/>
    </row>
    <row r="2851" spans="3:3" x14ac:dyDescent="0.2">
      <c r="C2851"/>
    </row>
    <row r="2852" spans="3:3" x14ac:dyDescent="0.2">
      <c r="C2852"/>
    </row>
    <row r="2853" spans="3:3" x14ac:dyDescent="0.2">
      <c r="C2853"/>
    </row>
    <row r="2854" spans="3:3" x14ac:dyDescent="0.2">
      <c r="C2854"/>
    </row>
    <row r="2855" spans="3:3" x14ac:dyDescent="0.2">
      <c r="C2855"/>
    </row>
    <row r="2856" spans="3:3" x14ac:dyDescent="0.2">
      <c r="C2856"/>
    </row>
    <row r="2857" spans="3:3" x14ac:dyDescent="0.2">
      <c r="C2857"/>
    </row>
    <row r="2858" spans="3:3" x14ac:dyDescent="0.2">
      <c r="C2858"/>
    </row>
    <row r="2859" spans="3:3" x14ac:dyDescent="0.2">
      <c r="C2859"/>
    </row>
    <row r="2860" spans="3:3" x14ac:dyDescent="0.2">
      <c r="C2860"/>
    </row>
    <row r="2861" spans="3:3" x14ac:dyDescent="0.2">
      <c r="C2861"/>
    </row>
    <row r="2862" spans="3:3" x14ac:dyDescent="0.2">
      <c r="C2862"/>
    </row>
    <row r="2863" spans="3:3" x14ac:dyDescent="0.2">
      <c r="C2863"/>
    </row>
    <row r="2864" spans="3:3" x14ac:dyDescent="0.2">
      <c r="C2864"/>
    </row>
    <row r="2865" spans="3:3" x14ac:dyDescent="0.2">
      <c r="C2865"/>
    </row>
    <row r="2866" spans="3:3" x14ac:dyDescent="0.2">
      <c r="C2866"/>
    </row>
    <row r="2867" spans="3:3" x14ac:dyDescent="0.2">
      <c r="C2867"/>
    </row>
    <row r="2868" spans="3:3" x14ac:dyDescent="0.2">
      <c r="C2868"/>
    </row>
    <row r="2869" spans="3:3" x14ac:dyDescent="0.2">
      <c r="C2869"/>
    </row>
    <row r="2870" spans="3:3" x14ac:dyDescent="0.2">
      <c r="C2870"/>
    </row>
    <row r="2871" spans="3:3" x14ac:dyDescent="0.2">
      <c r="C2871"/>
    </row>
    <row r="2872" spans="3:3" x14ac:dyDescent="0.2">
      <c r="C2872"/>
    </row>
    <row r="2873" spans="3:3" x14ac:dyDescent="0.2">
      <c r="C2873"/>
    </row>
    <row r="2874" spans="3:3" x14ac:dyDescent="0.2">
      <c r="C2874"/>
    </row>
    <row r="2875" spans="3:3" x14ac:dyDescent="0.2">
      <c r="C2875"/>
    </row>
    <row r="2876" spans="3:3" x14ac:dyDescent="0.2">
      <c r="C2876"/>
    </row>
    <row r="2877" spans="3:3" x14ac:dyDescent="0.2">
      <c r="C2877"/>
    </row>
    <row r="2878" spans="3:3" x14ac:dyDescent="0.2">
      <c r="C2878"/>
    </row>
    <row r="2879" spans="3:3" x14ac:dyDescent="0.2">
      <c r="C2879"/>
    </row>
    <row r="2880" spans="3:3" x14ac:dyDescent="0.2">
      <c r="C2880"/>
    </row>
    <row r="2881" spans="3:3" x14ac:dyDescent="0.2">
      <c r="C2881"/>
    </row>
    <row r="2882" spans="3:3" x14ac:dyDescent="0.2">
      <c r="C2882"/>
    </row>
    <row r="2883" spans="3:3" x14ac:dyDescent="0.2">
      <c r="C2883"/>
    </row>
    <row r="2884" spans="3:3" x14ac:dyDescent="0.2">
      <c r="C2884"/>
    </row>
    <row r="2885" spans="3:3" x14ac:dyDescent="0.2">
      <c r="C2885"/>
    </row>
    <row r="2886" spans="3:3" x14ac:dyDescent="0.2">
      <c r="C2886"/>
    </row>
    <row r="2887" spans="3:3" x14ac:dyDescent="0.2">
      <c r="C2887"/>
    </row>
    <row r="2888" spans="3:3" x14ac:dyDescent="0.2">
      <c r="C2888"/>
    </row>
    <row r="2889" spans="3:3" x14ac:dyDescent="0.2">
      <c r="C2889"/>
    </row>
    <row r="2890" spans="3:3" x14ac:dyDescent="0.2">
      <c r="C2890"/>
    </row>
    <row r="2891" spans="3:3" x14ac:dyDescent="0.2">
      <c r="C2891"/>
    </row>
    <row r="2892" spans="3:3" x14ac:dyDescent="0.2">
      <c r="C2892"/>
    </row>
    <row r="2893" spans="3:3" x14ac:dyDescent="0.2">
      <c r="C2893"/>
    </row>
    <row r="2894" spans="3:3" x14ac:dyDescent="0.2">
      <c r="C2894"/>
    </row>
    <row r="2895" spans="3:3" x14ac:dyDescent="0.2">
      <c r="C2895"/>
    </row>
    <row r="2896" spans="3:3" x14ac:dyDescent="0.2">
      <c r="C2896"/>
    </row>
    <row r="2897" spans="3:3" x14ac:dyDescent="0.2">
      <c r="C2897"/>
    </row>
    <row r="2898" spans="3:3" x14ac:dyDescent="0.2">
      <c r="C2898"/>
    </row>
    <row r="2899" spans="3:3" x14ac:dyDescent="0.2">
      <c r="C2899"/>
    </row>
    <row r="2900" spans="3:3" x14ac:dyDescent="0.2">
      <c r="C2900"/>
    </row>
    <row r="2901" spans="3:3" x14ac:dyDescent="0.2">
      <c r="C2901"/>
    </row>
    <row r="2902" spans="3:3" x14ac:dyDescent="0.2">
      <c r="C2902"/>
    </row>
    <row r="2903" spans="3:3" x14ac:dyDescent="0.2">
      <c r="C2903"/>
    </row>
    <row r="2904" spans="3:3" x14ac:dyDescent="0.2">
      <c r="C2904"/>
    </row>
    <row r="2905" spans="3:3" x14ac:dyDescent="0.2">
      <c r="C2905"/>
    </row>
    <row r="2906" spans="3:3" x14ac:dyDescent="0.2">
      <c r="C2906"/>
    </row>
    <row r="2907" spans="3:3" x14ac:dyDescent="0.2">
      <c r="C2907"/>
    </row>
    <row r="2908" spans="3:3" x14ac:dyDescent="0.2">
      <c r="C2908"/>
    </row>
    <row r="2909" spans="3:3" x14ac:dyDescent="0.2">
      <c r="C2909"/>
    </row>
    <row r="2910" spans="3:3" x14ac:dyDescent="0.2">
      <c r="C2910"/>
    </row>
    <row r="2911" spans="3:3" x14ac:dyDescent="0.2">
      <c r="C2911"/>
    </row>
    <row r="2912" spans="3:3" x14ac:dyDescent="0.2">
      <c r="C2912"/>
    </row>
    <row r="2913" spans="3:3" x14ac:dyDescent="0.2">
      <c r="C2913"/>
    </row>
    <row r="2914" spans="3:3" x14ac:dyDescent="0.2">
      <c r="C2914"/>
    </row>
    <row r="2915" spans="3:3" x14ac:dyDescent="0.2">
      <c r="C2915"/>
    </row>
    <row r="2916" spans="3:3" x14ac:dyDescent="0.2">
      <c r="C2916"/>
    </row>
    <row r="2917" spans="3:3" x14ac:dyDescent="0.2">
      <c r="C2917"/>
    </row>
    <row r="2918" spans="3:3" x14ac:dyDescent="0.2">
      <c r="C2918"/>
    </row>
    <row r="2919" spans="3:3" x14ac:dyDescent="0.2">
      <c r="C2919"/>
    </row>
    <row r="2920" spans="3:3" x14ac:dyDescent="0.2">
      <c r="C2920"/>
    </row>
    <row r="2921" spans="3:3" x14ac:dyDescent="0.2">
      <c r="C2921"/>
    </row>
    <row r="2922" spans="3:3" x14ac:dyDescent="0.2">
      <c r="C2922"/>
    </row>
    <row r="2923" spans="3:3" x14ac:dyDescent="0.2">
      <c r="C2923"/>
    </row>
    <row r="2924" spans="3:3" x14ac:dyDescent="0.2">
      <c r="C2924"/>
    </row>
    <row r="2925" spans="3:3" x14ac:dyDescent="0.2">
      <c r="C2925"/>
    </row>
    <row r="2926" spans="3:3" x14ac:dyDescent="0.2">
      <c r="C2926"/>
    </row>
    <row r="2927" spans="3:3" x14ac:dyDescent="0.2">
      <c r="C2927"/>
    </row>
    <row r="2928" spans="3:3" x14ac:dyDescent="0.2">
      <c r="C2928"/>
    </row>
    <row r="2929" spans="3:3" x14ac:dyDescent="0.2">
      <c r="C2929"/>
    </row>
    <row r="2930" spans="3:3" x14ac:dyDescent="0.2">
      <c r="C2930"/>
    </row>
    <row r="2931" spans="3:3" x14ac:dyDescent="0.2">
      <c r="C2931"/>
    </row>
    <row r="2932" spans="3:3" x14ac:dyDescent="0.2">
      <c r="C2932"/>
    </row>
    <row r="2933" spans="3:3" x14ac:dyDescent="0.2">
      <c r="C2933"/>
    </row>
    <row r="2934" spans="3:3" x14ac:dyDescent="0.2">
      <c r="C2934"/>
    </row>
    <row r="2935" spans="3:3" x14ac:dyDescent="0.2">
      <c r="C2935"/>
    </row>
    <row r="2936" spans="3:3" x14ac:dyDescent="0.2">
      <c r="C2936"/>
    </row>
    <row r="2937" spans="3:3" x14ac:dyDescent="0.2">
      <c r="C2937"/>
    </row>
    <row r="2938" spans="3:3" x14ac:dyDescent="0.2">
      <c r="C2938"/>
    </row>
    <row r="2939" spans="3:3" x14ac:dyDescent="0.2">
      <c r="C2939"/>
    </row>
    <row r="2940" spans="3:3" x14ac:dyDescent="0.2">
      <c r="C2940"/>
    </row>
    <row r="2941" spans="3:3" x14ac:dyDescent="0.2">
      <c r="C2941"/>
    </row>
    <row r="2942" spans="3:3" x14ac:dyDescent="0.2">
      <c r="C2942"/>
    </row>
    <row r="2943" spans="3:3" x14ac:dyDescent="0.2">
      <c r="C2943"/>
    </row>
    <row r="2944" spans="3:3" x14ac:dyDescent="0.2">
      <c r="C2944"/>
    </row>
    <row r="2945" spans="3:3" x14ac:dyDescent="0.2">
      <c r="C2945"/>
    </row>
    <row r="2946" spans="3:3" x14ac:dyDescent="0.2">
      <c r="C2946"/>
    </row>
    <row r="2947" spans="3:3" x14ac:dyDescent="0.2">
      <c r="C2947"/>
    </row>
    <row r="2948" spans="3:3" x14ac:dyDescent="0.2">
      <c r="C2948"/>
    </row>
    <row r="2949" spans="3:3" x14ac:dyDescent="0.2">
      <c r="C2949"/>
    </row>
    <row r="2950" spans="3:3" x14ac:dyDescent="0.2">
      <c r="C2950"/>
    </row>
    <row r="2951" spans="3:3" x14ac:dyDescent="0.2">
      <c r="C2951"/>
    </row>
    <row r="2952" spans="3:3" x14ac:dyDescent="0.2">
      <c r="C2952"/>
    </row>
    <row r="2953" spans="3:3" x14ac:dyDescent="0.2">
      <c r="C2953"/>
    </row>
    <row r="2954" spans="3:3" x14ac:dyDescent="0.2">
      <c r="C2954"/>
    </row>
    <row r="2955" spans="3:3" x14ac:dyDescent="0.2">
      <c r="C2955"/>
    </row>
    <row r="2956" spans="3:3" x14ac:dyDescent="0.2">
      <c r="C2956"/>
    </row>
    <row r="2957" spans="3:3" x14ac:dyDescent="0.2">
      <c r="C2957"/>
    </row>
    <row r="2958" spans="3:3" x14ac:dyDescent="0.2">
      <c r="C2958"/>
    </row>
    <row r="2959" spans="3:3" x14ac:dyDescent="0.2">
      <c r="C2959"/>
    </row>
    <row r="2960" spans="3:3" x14ac:dyDescent="0.2">
      <c r="C2960"/>
    </row>
    <row r="2961" spans="3:3" x14ac:dyDescent="0.2">
      <c r="C2961"/>
    </row>
    <row r="2962" spans="3:3" x14ac:dyDescent="0.2">
      <c r="C2962"/>
    </row>
    <row r="2963" spans="3:3" x14ac:dyDescent="0.2">
      <c r="C2963"/>
    </row>
    <row r="2964" spans="3:3" x14ac:dyDescent="0.2">
      <c r="C2964"/>
    </row>
    <row r="2965" spans="3:3" x14ac:dyDescent="0.2">
      <c r="C2965"/>
    </row>
    <row r="2966" spans="3:3" x14ac:dyDescent="0.2">
      <c r="C2966"/>
    </row>
    <row r="2967" spans="3:3" x14ac:dyDescent="0.2">
      <c r="C2967"/>
    </row>
    <row r="2968" spans="3:3" x14ac:dyDescent="0.2">
      <c r="C2968"/>
    </row>
    <row r="2969" spans="3:3" x14ac:dyDescent="0.2">
      <c r="C2969"/>
    </row>
    <row r="2970" spans="3:3" x14ac:dyDescent="0.2">
      <c r="C2970"/>
    </row>
    <row r="2971" spans="3:3" x14ac:dyDescent="0.2">
      <c r="C2971"/>
    </row>
    <row r="2972" spans="3:3" x14ac:dyDescent="0.2">
      <c r="C2972"/>
    </row>
    <row r="2973" spans="3:3" x14ac:dyDescent="0.2">
      <c r="C2973"/>
    </row>
    <row r="2974" spans="3:3" x14ac:dyDescent="0.2">
      <c r="C2974"/>
    </row>
    <row r="2975" spans="3:3" x14ac:dyDescent="0.2">
      <c r="C2975"/>
    </row>
    <row r="2976" spans="3:3" x14ac:dyDescent="0.2">
      <c r="C2976"/>
    </row>
    <row r="2977" spans="3:3" x14ac:dyDescent="0.2">
      <c r="C2977"/>
    </row>
    <row r="2978" spans="3:3" x14ac:dyDescent="0.2">
      <c r="C2978"/>
    </row>
    <row r="2979" spans="3:3" x14ac:dyDescent="0.2">
      <c r="C2979"/>
    </row>
    <row r="2980" spans="3:3" x14ac:dyDescent="0.2">
      <c r="C2980"/>
    </row>
    <row r="2981" spans="3:3" x14ac:dyDescent="0.2">
      <c r="C2981"/>
    </row>
    <row r="2982" spans="3:3" x14ac:dyDescent="0.2">
      <c r="C2982"/>
    </row>
    <row r="2983" spans="3:3" x14ac:dyDescent="0.2">
      <c r="C2983"/>
    </row>
    <row r="2984" spans="3:3" x14ac:dyDescent="0.2">
      <c r="C2984"/>
    </row>
    <row r="2985" spans="3:3" x14ac:dyDescent="0.2">
      <c r="C2985"/>
    </row>
    <row r="2986" spans="3:3" x14ac:dyDescent="0.2">
      <c r="C2986"/>
    </row>
    <row r="2987" spans="3:3" x14ac:dyDescent="0.2">
      <c r="C2987"/>
    </row>
    <row r="2988" spans="3:3" x14ac:dyDescent="0.2">
      <c r="C2988"/>
    </row>
    <row r="2989" spans="3:3" x14ac:dyDescent="0.2">
      <c r="C2989"/>
    </row>
    <row r="2990" spans="3:3" x14ac:dyDescent="0.2">
      <c r="C2990"/>
    </row>
    <row r="2991" spans="3:3" x14ac:dyDescent="0.2">
      <c r="C2991"/>
    </row>
    <row r="2992" spans="3:3" x14ac:dyDescent="0.2">
      <c r="C2992"/>
    </row>
    <row r="2993" spans="3:3" x14ac:dyDescent="0.2">
      <c r="C2993"/>
    </row>
    <row r="2994" spans="3:3" x14ac:dyDescent="0.2">
      <c r="C2994"/>
    </row>
    <row r="2995" spans="3:3" x14ac:dyDescent="0.2">
      <c r="C2995"/>
    </row>
    <row r="2996" spans="3:3" x14ac:dyDescent="0.2">
      <c r="C2996"/>
    </row>
    <row r="2997" spans="3:3" x14ac:dyDescent="0.2">
      <c r="C2997"/>
    </row>
    <row r="2998" spans="3:3" x14ac:dyDescent="0.2">
      <c r="C2998"/>
    </row>
    <row r="2999" spans="3:3" x14ac:dyDescent="0.2">
      <c r="C2999"/>
    </row>
    <row r="3000" spans="3:3" x14ac:dyDescent="0.2">
      <c r="C3000"/>
    </row>
    <row r="3001" spans="3:3" x14ac:dyDescent="0.2">
      <c r="C3001"/>
    </row>
    <row r="3002" spans="3:3" x14ac:dyDescent="0.2">
      <c r="C3002"/>
    </row>
    <row r="3003" spans="3:3" x14ac:dyDescent="0.2">
      <c r="C3003"/>
    </row>
    <row r="3004" spans="3:3" x14ac:dyDescent="0.2">
      <c r="C3004"/>
    </row>
    <row r="3005" spans="3:3" x14ac:dyDescent="0.2">
      <c r="C3005"/>
    </row>
    <row r="3006" spans="3:3" x14ac:dyDescent="0.2">
      <c r="C3006"/>
    </row>
    <row r="3007" spans="3:3" x14ac:dyDescent="0.2">
      <c r="C3007"/>
    </row>
    <row r="3008" spans="3:3" x14ac:dyDescent="0.2">
      <c r="C3008"/>
    </row>
    <row r="3009" spans="3:3" x14ac:dyDescent="0.2">
      <c r="C3009"/>
    </row>
    <row r="3010" spans="3:3" x14ac:dyDescent="0.2">
      <c r="C3010"/>
    </row>
    <row r="3011" spans="3:3" x14ac:dyDescent="0.2">
      <c r="C3011"/>
    </row>
    <row r="3012" spans="3:3" x14ac:dyDescent="0.2">
      <c r="C3012"/>
    </row>
    <row r="3013" spans="3:3" x14ac:dyDescent="0.2">
      <c r="C3013"/>
    </row>
    <row r="3014" spans="3:3" x14ac:dyDescent="0.2">
      <c r="C3014"/>
    </row>
    <row r="3015" spans="3:3" x14ac:dyDescent="0.2">
      <c r="C3015"/>
    </row>
    <row r="3016" spans="3:3" x14ac:dyDescent="0.2">
      <c r="C3016"/>
    </row>
    <row r="3017" spans="3:3" x14ac:dyDescent="0.2">
      <c r="C3017"/>
    </row>
    <row r="3018" spans="3:3" x14ac:dyDescent="0.2">
      <c r="C3018"/>
    </row>
    <row r="3019" spans="3:3" x14ac:dyDescent="0.2">
      <c r="C3019"/>
    </row>
    <row r="3020" spans="3:3" x14ac:dyDescent="0.2">
      <c r="C3020"/>
    </row>
    <row r="3021" spans="3:3" x14ac:dyDescent="0.2">
      <c r="C3021"/>
    </row>
    <row r="3022" spans="3:3" x14ac:dyDescent="0.2">
      <c r="C3022"/>
    </row>
    <row r="3023" spans="3:3" x14ac:dyDescent="0.2">
      <c r="C3023"/>
    </row>
    <row r="3024" spans="3:3" x14ac:dyDescent="0.2">
      <c r="C3024"/>
    </row>
    <row r="3025" spans="3:3" x14ac:dyDescent="0.2">
      <c r="C3025"/>
    </row>
    <row r="3026" spans="3:3" x14ac:dyDescent="0.2">
      <c r="C3026"/>
    </row>
    <row r="3027" spans="3:3" x14ac:dyDescent="0.2">
      <c r="C3027"/>
    </row>
    <row r="3028" spans="3:3" x14ac:dyDescent="0.2">
      <c r="C3028"/>
    </row>
    <row r="3029" spans="3:3" x14ac:dyDescent="0.2">
      <c r="C3029"/>
    </row>
    <row r="3030" spans="3:3" x14ac:dyDescent="0.2">
      <c r="C3030"/>
    </row>
    <row r="3031" spans="3:3" x14ac:dyDescent="0.2">
      <c r="C3031"/>
    </row>
    <row r="3032" spans="3:3" x14ac:dyDescent="0.2">
      <c r="C3032"/>
    </row>
    <row r="3033" spans="3:3" x14ac:dyDescent="0.2">
      <c r="C3033"/>
    </row>
    <row r="3034" spans="3:3" x14ac:dyDescent="0.2">
      <c r="C3034"/>
    </row>
    <row r="3035" spans="3:3" x14ac:dyDescent="0.2">
      <c r="C3035"/>
    </row>
    <row r="3036" spans="3:3" x14ac:dyDescent="0.2">
      <c r="C3036"/>
    </row>
    <row r="3037" spans="3:3" x14ac:dyDescent="0.2">
      <c r="C3037"/>
    </row>
    <row r="3038" spans="3:3" x14ac:dyDescent="0.2">
      <c r="C3038"/>
    </row>
    <row r="3039" spans="3:3" x14ac:dyDescent="0.2">
      <c r="C3039"/>
    </row>
    <row r="3040" spans="3:3" x14ac:dyDescent="0.2">
      <c r="C3040"/>
    </row>
    <row r="3041" spans="3:3" x14ac:dyDescent="0.2">
      <c r="C3041"/>
    </row>
    <row r="3042" spans="3:3" x14ac:dyDescent="0.2">
      <c r="C3042"/>
    </row>
    <row r="3043" spans="3:3" x14ac:dyDescent="0.2">
      <c r="C3043"/>
    </row>
    <row r="3044" spans="3:3" x14ac:dyDescent="0.2">
      <c r="C3044"/>
    </row>
    <row r="3045" spans="3:3" x14ac:dyDescent="0.2">
      <c r="C3045"/>
    </row>
    <row r="3046" spans="3:3" x14ac:dyDescent="0.2">
      <c r="C3046"/>
    </row>
    <row r="3047" spans="3:3" x14ac:dyDescent="0.2">
      <c r="C3047"/>
    </row>
    <row r="3048" spans="3:3" x14ac:dyDescent="0.2">
      <c r="C3048"/>
    </row>
    <row r="3049" spans="3:3" x14ac:dyDescent="0.2">
      <c r="C3049"/>
    </row>
    <row r="3050" spans="3:3" x14ac:dyDescent="0.2">
      <c r="C3050"/>
    </row>
    <row r="3051" spans="3:3" x14ac:dyDescent="0.2">
      <c r="C3051"/>
    </row>
    <row r="3052" spans="3:3" x14ac:dyDescent="0.2">
      <c r="C3052"/>
    </row>
    <row r="3053" spans="3:3" x14ac:dyDescent="0.2">
      <c r="C3053"/>
    </row>
    <row r="3054" spans="3:3" x14ac:dyDescent="0.2">
      <c r="C3054"/>
    </row>
    <row r="3055" spans="3:3" x14ac:dyDescent="0.2">
      <c r="C3055"/>
    </row>
    <row r="3056" spans="3:3" x14ac:dyDescent="0.2">
      <c r="C3056"/>
    </row>
    <row r="3057" spans="3:3" x14ac:dyDescent="0.2">
      <c r="C3057"/>
    </row>
    <row r="3058" spans="3:3" x14ac:dyDescent="0.2">
      <c r="C3058"/>
    </row>
    <row r="3059" spans="3:3" x14ac:dyDescent="0.2">
      <c r="C3059"/>
    </row>
    <row r="3060" spans="3:3" x14ac:dyDescent="0.2">
      <c r="C3060"/>
    </row>
    <row r="3061" spans="3:3" x14ac:dyDescent="0.2">
      <c r="C3061"/>
    </row>
    <row r="3062" spans="3:3" x14ac:dyDescent="0.2">
      <c r="C3062"/>
    </row>
    <row r="3063" spans="3:3" x14ac:dyDescent="0.2">
      <c r="C3063"/>
    </row>
    <row r="3064" spans="3:3" x14ac:dyDescent="0.2">
      <c r="C3064"/>
    </row>
    <row r="3065" spans="3:3" x14ac:dyDescent="0.2">
      <c r="C3065"/>
    </row>
    <row r="3066" spans="3:3" x14ac:dyDescent="0.2">
      <c r="C3066"/>
    </row>
    <row r="3067" spans="3:3" x14ac:dyDescent="0.2">
      <c r="C3067"/>
    </row>
    <row r="3068" spans="3:3" x14ac:dyDescent="0.2">
      <c r="C3068"/>
    </row>
    <row r="3069" spans="3:3" x14ac:dyDescent="0.2">
      <c r="C3069"/>
    </row>
    <row r="3070" spans="3:3" x14ac:dyDescent="0.2">
      <c r="C3070"/>
    </row>
    <row r="3071" spans="3:3" x14ac:dyDescent="0.2">
      <c r="C3071"/>
    </row>
    <row r="3072" spans="3:3" x14ac:dyDescent="0.2">
      <c r="C3072"/>
    </row>
    <row r="3073" spans="3:3" x14ac:dyDescent="0.2">
      <c r="C3073"/>
    </row>
    <row r="3074" spans="3:3" x14ac:dyDescent="0.2">
      <c r="C3074"/>
    </row>
    <row r="3075" spans="3:3" x14ac:dyDescent="0.2">
      <c r="C3075"/>
    </row>
    <row r="3076" spans="3:3" x14ac:dyDescent="0.2">
      <c r="C3076"/>
    </row>
    <row r="3077" spans="3:3" x14ac:dyDescent="0.2">
      <c r="C3077"/>
    </row>
    <row r="3078" spans="3:3" x14ac:dyDescent="0.2">
      <c r="C3078"/>
    </row>
    <row r="3079" spans="3:3" x14ac:dyDescent="0.2">
      <c r="C3079"/>
    </row>
    <row r="3080" spans="3:3" x14ac:dyDescent="0.2">
      <c r="C3080"/>
    </row>
    <row r="3081" spans="3:3" x14ac:dyDescent="0.2">
      <c r="C3081"/>
    </row>
    <row r="3082" spans="3:3" x14ac:dyDescent="0.2">
      <c r="C3082"/>
    </row>
    <row r="3083" spans="3:3" x14ac:dyDescent="0.2">
      <c r="C3083"/>
    </row>
    <row r="3084" spans="3:3" x14ac:dyDescent="0.2">
      <c r="C3084"/>
    </row>
    <row r="3085" spans="3:3" x14ac:dyDescent="0.2">
      <c r="C3085"/>
    </row>
    <row r="3086" spans="3:3" x14ac:dyDescent="0.2">
      <c r="C3086"/>
    </row>
    <row r="3087" spans="3:3" x14ac:dyDescent="0.2">
      <c r="C3087"/>
    </row>
    <row r="3088" spans="3:3" x14ac:dyDescent="0.2">
      <c r="C3088"/>
    </row>
    <row r="3089" spans="3:3" x14ac:dyDescent="0.2">
      <c r="C3089"/>
    </row>
    <row r="3090" spans="3:3" x14ac:dyDescent="0.2">
      <c r="C3090"/>
    </row>
    <row r="3091" spans="3:3" x14ac:dyDescent="0.2">
      <c r="C3091"/>
    </row>
    <row r="3092" spans="3:3" x14ac:dyDescent="0.2">
      <c r="C3092"/>
    </row>
    <row r="3093" spans="3:3" x14ac:dyDescent="0.2">
      <c r="C3093"/>
    </row>
    <row r="3094" spans="3:3" x14ac:dyDescent="0.2">
      <c r="C3094"/>
    </row>
    <row r="3095" spans="3:3" x14ac:dyDescent="0.2">
      <c r="C3095"/>
    </row>
    <row r="3096" spans="3:3" x14ac:dyDescent="0.2">
      <c r="C3096"/>
    </row>
    <row r="3097" spans="3:3" x14ac:dyDescent="0.2">
      <c r="C3097"/>
    </row>
    <row r="3098" spans="3:3" x14ac:dyDescent="0.2">
      <c r="C3098"/>
    </row>
    <row r="3099" spans="3:3" x14ac:dyDescent="0.2">
      <c r="C3099"/>
    </row>
    <row r="3100" spans="3:3" x14ac:dyDescent="0.2">
      <c r="C3100"/>
    </row>
    <row r="3101" spans="3:3" x14ac:dyDescent="0.2">
      <c r="C3101"/>
    </row>
    <row r="3102" spans="3:3" x14ac:dyDescent="0.2">
      <c r="C3102"/>
    </row>
    <row r="3103" spans="3:3" x14ac:dyDescent="0.2">
      <c r="C3103"/>
    </row>
    <row r="3104" spans="3:3" x14ac:dyDescent="0.2">
      <c r="C3104"/>
    </row>
    <row r="3105" spans="3:3" x14ac:dyDescent="0.2">
      <c r="C3105"/>
    </row>
    <row r="3106" spans="3:3" x14ac:dyDescent="0.2">
      <c r="C3106"/>
    </row>
    <row r="3107" spans="3:3" x14ac:dyDescent="0.2">
      <c r="C3107"/>
    </row>
    <row r="3108" spans="3:3" x14ac:dyDescent="0.2">
      <c r="C3108"/>
    </row>
    <row r="3109" spans="3:3" x14ac:dyDescent="0.2">
      <c r="C3109"/>
    </row>
    <row r="3110" spans="3:3" x14ac:dyDescent="0.2">
      <c r="C3110"/>
    </row>
    <row r="3111" spans="3:3" x14ac:dyDescent="0.2">
      <c r="C3111"/>
    </row>
    <row r="3112" spans="3:3" x14ac:dyDescent="0.2">
      <c r="C3112"/>
    </row>
    <row r="3113" spans="3:3" x14ac:dyDescent="0.2">
      <c r="C3113"/>
    </row>
    <row r="3114" spans="3:3" x14ac:dyDescent="0.2">
      <c r="C3114"/>
    </row>
    <row r="3115" spans="3:3" x14ac:dyDescent="0.2">
      <c r="C3115"/>
    </row>
    <row r="3116" spans="3:3" x14ac:dyDescent="0.2">
      <c r="C3116"/>
    </row>
    <row r="3117" spans="3:3" x14ac:dyDescent="0.2">
      <c r="C3117"/>
    </row>
    <row r="3118" spans="3:3" x14ac:dyDescent="0.2">
      <c r="C3118"/>
    </row>
    <row r="3119" spans="3:3" x14ac:dyDescent="0.2">
      <c r="C3119"/>
    </row>
    <row r="3120" spans="3:3" x14ac:dyDescent="0.2">
      <c r="C3120"/>
    </row>
    <row r="3121" spans="3:3" x14ac:dyDescent="0.2">
      <c r="C3121"/>
    </row>
    <row r="3122" spans="3:3" x14ac:dyDescent="0.2">
      <c r="C3122"/>
    </row>
    <row r="3123" spans="3:3" x14ac:dyDescent="0.2">
      <c r="C3123"/>
    </row>
    <row r="3124" spans="3:3" x14ac:dyDescent="0.2">
      <c r="C3124"/>
    </row>
    <row r="3125" spans="3:3" x14ac:dyDescent="0.2">
      <c r="C3125"/>
    </row>
    <row r="3126" spans="3:3" x14ac:dyDescent="0.2">
      <c r="C3126"/>
    </row>
    <row r="3127" spans="3:3" x14ac:dyDescent="0.2">
      <c r="C3127"/>
    </row>
    <row r="3128" spans="3:3" x14ac:dyDescent="0.2">
      <c r="C3128"/>
    </row>
    <row r="3129" spans="3:3" x14ac:dyDescent="0.2">
      <c r="C3129"/>
    </row>
    <row r="3130" spans="3:3" x14ac:dyDescent="0.2">
      <c r="C3130"/>
    </row>
    <row r="3131" spans="3:3" x14ac:dyDescent="0.2">
      <c r="C3131"/>
    </row>
    <row r="3132" spans="3:3" x14ac:dyDescent="0.2">
      <c r="C3132"/>
    </row>
    <row r="3133" spans="3:3" x14ac:dyDescent="0.2">
      <c r="C3133"/>
    </row>
    <row r="3134" spans="3:3" x14ac:dyDescent="0.2">
      <c r="C3134"/>
    </row>
    <row r="3135" spans="3:3" x14ac:dyDescent="0.2">
      <c r="C3135"/>
    </row>
    <row r="3136" spans="3:3" x14ac:dyDescent="0.2">
      <c r="C3136"/>
    </row>
    <row r="3137" spans="3:3" x14ac:dyDescent="0.2">
      <c r="C3137"/>
    </row>
    <row r="3138" spans="3:3" x14ac:dyDescent="0.2">
      <c r="C3138"/>
    </row>
    <row r="3139" spans="3:3" x14ac:dyDescent="0.2">
      <c r="C3139"/>
    </row>
    <row r="3140" spans="3:3" x14ac:dyDescent="0.2">
      <c r="C3140"/>
    </row>
    <row r="3141" spans="3:3" x14ac:dyDescent="0.2">
      <c r="C3141"/>
    </row>
    <row r="3142" spans="3:3" x14ac:dyDescent="0.2">
      <c r="C3142"/>
    </row>
    <row r="3143" spans="3:3" x14ac:dyDescent="0.2">
      <c r="C3143"/>
    </row>
    <row r="3144" spans="3:3" x14ac:dyDescent="0.2">
      <c r="C3144"/>
    </row>
    <row r="3145" spans="3:3" x14ac:dyDescent="0.2">
      <c r="C3145"/>
    </row>
    <row r="3146" spans="3:3" x14ac:dyDescent="0.2">
      <c r="C3146"/>
    </row>
    <row r="3147" spans="3:3" x14ac:dyDescent="0.2">
      <c r="C3147"/>
    </row>
    <row r="3148" spans="3:3" x14ac:dyDescent="0.2">
      <c r="C3148"/>
    </row>
    <row r="3149" spans="3:3" x14ac:dyDescent="0.2">
      <c r="C3149"/>
    </row>
    <row r="3150" spans="3:3" x14ac:dyDescent="0.2">
      <c r="C3150"/>
    </row>
    <row r="3151" spans="3:3" x14ac:dyDescent="0.2">
      <c r="C3151"/>
    </row>
    <row r="3152" spans="3:3" x14ac:dyDescent="0.2">
      <c r="C3152"/>
    </row>
    <row r="3153" spans="3:3" x14ac:dyDescent="0.2">
      <c r="C3153"/>
    </row>
    <row r="3154" spans="3:3" x14ac:dyDescent="0.2">
      <c r="C3154"/>
    </row>
    <row r="3155" spans="3:3" x14ac:dyDescent="0.2">
      <c r="C3155"/>
    </row>
    <row r="3156" spans="3:3" x14ac:dyDescent="0.2">
      <c r="C3156"/>
    </row>
    <row r="3157" spans="3:3" x14ac:dyDescent="0.2">
      <c r="C3157"/>
    </row>
    <row r="3158" spans="3:3" x14ac:dyDescent="0.2">
      <c r="C3158"/>
    </row>
    <row r="3159" spans="3:3" x14ac:dyDescent="0.2">
      <c r="C3159"/>
    </row>
    <row r="3160" spans="3:3" x14ac:dyDescent="0.2">
      <c r="C3160"/>
    </row>
    <row r="3161" spans="3:3" x14ac:dyDescent="0.2">
      <c r="C3161"/>
    </row>
    <row r="3162" spans="3:3" x14ac:dyDescent="0.2">
      <c r="C3162"/>
    </row>
    <row r="3163" spans="3:3" x14ac:dyDescent="0.2">
      <c r="C3163"/>
    </row>
    <row r="3164" spans="3:3" x14ac:dyDescent="0.2">
      <c r="C3164"/>
    </row>
    <row r="3165" spans="3:3" x14ac:dyDescent="0.2">
      <c r="C3165"/>
    </row>
    <row r="3166" spans="3:3" x14ac:dyDescent="0.2">
      <c r="C3166"/>
    </row>
    <row r="3167" spans="3:3" x14ac:dyDescent="0.2">
      <c r="C3167"/>
    </row>
    <row r="3168" spans="3:3" x14ac:dyDescent="0.2">
      <c r="C3168"/>
    </row>
    <row r="3169" spans="3:3" x14ac:dyDescent="0.2">
      <c r="C3169"/>
    </row>
    <row r="3170" spans="3:3" x14ac:dyDescent="0.2">
      <c r="C3170"/>
    </row>
    <row r="3171" spans="3:3" x14ac:dyDescent="0.2">
      <c r="C3171"/>
    </row>
    <row r="3172" spans="3:3" x14ac:dyDescent="0.2">
      <c r="C3172"/>
    </row>
    <row r="3173" spans="3:3" x14ac:dyDescent="0.2">
      <c r="C3173"/>
    </row>
    <row r="3174" spans="3:3" x14ac:dyDescent="0.2">
      <c r="C3174"/>
    </row>
    <row r="3175" spans="3:3" x14ac:dyDescent="0.2">
      <c r="C3175"/>
    </row>
    <row r="3176" spans="3:3" x14ac:dyDescent="0.2">
      <c r="C3176"/>
    </row>
    <row r="3177" spans="3:3" x14ac:dyDescent="0.2">
      <c r="C3177"/>
    </row>
    <row r="3178" spans="3:3" x14ac:dyDescent="0.2">
      <c r="C3178"/>
    </row>
    <row r="3179" spans="3:3" x14ac:dyDescent="0.2">
      <c r="C3179"/>
    </row>
    <row r="3180" spans="3:3" x14ac:dyDescent="0.2">
      <c r="C3180"/>
    </row>
    <row r="3181" spans="3:3" x14ac:dyDescent="0.2">
      <c r="C3181"/>
    </row>
    <row r="3182" spans="3:3" x14ac:dyDescent="0.2">
      <c r="C3182"/>
    </row>
    <row r="3183" spans="3:3" x14ac:dyDescent="0.2">
      <c r="C3183"/>
    </row>
    <row r="3184" spans="3:3" x14ac:dyDescent="0.2">
      <c r="C3184"/>
    </row>
    <row r="3185" spans="3:3" x14ac:dyDescent="0.2">
      <c r="C3185"/>
    </row>
    <row r="3186" spans="3:3" x14ac:dyDescent="0.2">
      <c r="C3186"/>
    </row>
    <row r="3187" spans="3:3" x14ac:dyDescent="0.2">
      <c r="C3187"/>
    </row>
    <row r="3188" spans="3:3" x14ac:dyDescent="0.2">
      <c r="C3188"/>
    </row>
    <row r="3189" spans="3:3" x14ac:dyDescent="0.2">
      <c r="C3189"/>
    </row>
    <row r="3190" spans="3:3" x14ac:dyDescent="0.2">
      <c r="C3190"/>
    </row>
    <row r="3191" spans="3:3" x14ac:dyDescent="0.2">
      <c r="C3191"/>
    </row>
    <row r="3192" spans="3:3" x14ac:dyDescent="0.2">
      <c r="C3192"/>
    </row>
    <row r="3193" spans="3:3" x14ac:dyDescent="0.2">
      <c r="C3193"/>
    </row>
    <row r="3194" spans="3:3" x14ac:dyDescent="0.2">
      <c r="C3194"/>
    </row>
    <row r="3195" spans="3:3" x14ac:dyDescent="0.2">
      <c r="C3195"/>
    </row>
    <row r="3196" spans="3:3" x14ac:dyDescent="0.2">
      <c r="C3196"/>
    </row>
    <row r="3197" spans="3:3" x14ac:dyDescent="0.2">
      <c r="C3197"/>
    </row>
    <row r="3198" spans="3:3" x14ac:dyDescent="0.2">
      <c r="C3198"/>
    </row>
    <row r="3199" spans="3:3" x14ac:dyDescent="0.2">
      <c r="C3199"/>
    </row>
    <row r="3200" spans="3:3" x14ac:dyDescent="0.2">
      <c r="C3200"/>
    </row>
    <row r="3201" spans="3:3" x14ac:dyDescent="0.2">
      <c r="C3201"/>
    </row>
    <row r="3202" spans="3:3" x14ac:dyDescent="0.2">
      <c r="C3202"/>
    </row>
    <row r="3203" spans="3:3" x14ac:dyDescent="0.2">
      <c r="C3203"/>
    </row>
    <row r="3204" spans="3:3" x14ac:dyDescent="0.2">
      <c r="C3204"/>
    </row>
    <row r="3205" spans="3:3" x14ac:dyDescent="0.2">
      <c r="C3205"/>
    </row>
    <row r="3206" spans="3:3" x14ac:dyDescent="0.2">
      <c r="C3206"/>
    </row>
    <row r="3207" spans="3:3" x14ac:dyDescent="0.2">
      <c r="C3207"/>
    </row>
    <row r="3208" spans="3:3" x14ac:dyDescent="0.2">
      <c r="C3208"/>
    </row>
    <row r="3209" spans="3:3" x14ac:dyDescent="0.2">
      <c r="C3209"/>
    </row>
    <row r="3210" spans="3:3" x14ac:dyDescent="0.2">
      <c r="C3210"/>
    </row>
    <row r="3211" spans="3:3" x14ac:dyDescent="0.2">
      <c r="C3211"/>
    </row>
    <row r="3212" spans="3:3" x14ac:dyDescent="0.2">
      <c r="C3212"/>
    </row>
    <row r="3213" spans="3:3" x14ac:dyDescent="0.2">
      <c r="C3213"/>
    </row>
    <row r="3214" spans="3:3" x14ac:dyDescent="0.2">
      <c r="C3214"/>
    </row>
    <row r="3215" spans="3:3" x14ac:dyDescent="0.2">
      <c r="C3215"/>
    </row>
    <row r="3216" spans="3:3" x14ac:dyDescent="0.2">
      <c r="C3216"/>
    </row>
    <row r="3217" spans="3:3" x14ac:dyDescent="0.2">
      <c r="C3217"/>
    </row>
    <row r="3218" spans="3:3" x14ac:dyDescent="0.2">
      <c r="C3218"/>
    </row>
    <row r="3219" spans="3:3" x14ac:dyDescent="0.2">
      <c r="C3219"/>
    </row>
    <row r="3220" spans="3:3" x14ac:dyDescent="0.2">
      <c r="C3220"/>
    </row>
    <row r="3221" spans="3:3" x14ac:dyDescent="0.2">
      <c r="C3221"/>
    </row>
    <row r="3222" spans="3:3" x14ac:dyDescent="0.2">
      <c r="C3222"/>
    </row>
    <row r="3223" spans="3:3" x14ac:dyDescent="0.2">
      <c r="C3223"/>
    </row>
    <row r="3224" spans="3:3" x14ac:dyDescent="0.2">
      <c r="C3224"/>
    </row>
    <row r="3225" spans="3:3" x14ac:dyDescent="0.2">
      <c r="C3225"/>
    </row>
    <row r="3226" spans="3:3" x14ac:dyDescent="0.2">
      <c r="C3226"/>
    </row>
    <row r="3227" spans="3:3" x14ac:dyDescent="0.2">
      <c r="C3227"/>
    </row>
    <row r="3228" spans="3:3" x14ac:dyDescent="0.2">
      <c r="C3228"/>
    </row>
    <row r="3229" spans="3:3" x14ac:dyDescent="0.2">
      <c r="C3229"/>
    </row>
    <row r="3230" spans="3:3" x14ac:dyDescent="0.2">
      <c r="C3230"/>
    </row>
    <row r="3231" spans="3:3" x14ac:dyDescent="0.2">
      <c r="C3231"/>
    </row>
    <row r="3232" spans="3:3" x14ac:dyDescent="0.2">
      <c r="C3232"/>
    </row>
    <row r="3233" spans="3:3" x14ac:dyDescent="0.2">
      <c r="C3233"/>
    </row>
    <row r="3234" spans="3:3" x14ac:dyDescent="0.2">
      <c r="C3234"/>
    </row>
    <row r="3235" spans="3:3" x14ac:dyDescent="0.2">
      <c r="C3235"/>
    </row>
    <row r="3236" spans="3:3" x14ac:dyDescent="0.2">
      <c r="C3236"/>
    </row>
    <row r="3237" spans="3:3" x14ac:dyDescent="0.2">
      <c r="C3237"/>
    </row>
    <row r="3238" spans="3:3" x14ac:dyDescent="0.2">
      <c r="C3238"/>
    </row>
    <row r="3239" spans="3:3" x14ac:dyDescent="0.2">
      <c r="C3239"/>
    </row>
    <row r="3240" spans="3:3" x14ac:dyDescent="0.2">
      <c r="C3240"/>
    </row>
    <row r="3241" spans="3:3" x14ac:dyDescent="0.2">
      <c r="C3241"/>
    </row>
    <row r="3242" spans="3:3" x14ac:dyDescent="0.2">
      <c r="C3242"/>
    </row>
    <row r="3243" spans="3:3" x14ac:dyDescent="0.2">
      <c r="C3243"/>
    </row>
    <row r="3244" spans="3:3" x14ac:dyDescent="0.2">
      <c r="C3244"/>
    </row>
    <row r="3245" spans="3:3" x14ac:dyDescent="0.2">
      <c r="C3245"/>
    </row>
    <row r="3246" spans="3:3" x14ac:dyDescent="0.2">
      <c r="C3246"/>
    </row>
    <row r="3247" spans="3:3" x14ac:dyDescent="0.2">
      <c r="C3247"/>
    </row>
    <row r="3248" spans="3:3" x14ac:dyDescent="0.2">
      <c r="C3248"/>
    </row>
    <row r="3249" spans="3:3" x14ac:dyDescent="0.2">
      <c r="C3249"/>
    </row>
    <row r="3250" spans="3:3" x14ac:dyDescent="0.2">
      <c r="C3250"/>
    </row>
    <row r="3251" spans="3:3" x14ac:dyDescent="0.2">
      <c r="C3251"/>
    </row>
    <row r="3252" spans="3:3" x14ac:dyDescent="0.2">
      <c r="C3252"/>
    </row>
    <row r="3253" spans="3:3" x14ac:dyDescent="0.2">
      <c r="C3253"/>
    </row>
    <row r="3254" spans="3:3" x14ac:dyDescent="0.2">
      <c r="C3254"/>
    </row>
    <row r="3255" spans="3:3" x14ac:dyDescent="0.2">
      <c r="C3255"/>
    </row>
    <row r="3256" spans="3:3" x14ac:dyDescent="0.2">
      <c r="C3256"/>
    </row>
    <row r="3257" spans="3:3" x14ac:dyDescent="0.2">
      <c r="C3257"/>
    </row>
    <row r="3258" spans="3:3" x14ac:dyDescent="0.2">
      <c r="C3258"/>
    </row>
    <row r="3259" spans="3:3" x14ac:dyDescent="0.2">
      <c r="C3259"/>
    </row>
    <row r="3260" spans="3:3" x14ac:dyDescent="0.2">
      <c r="C3260"/>
    </row>
    <row r="3261" spans="3:3" x14ac:dyDescent="0.2">
      <c r="C3261"/>
    </row>
    <row r="3262" spans="3:3" x14ac:dyDescent="0.2">
      <c r="C3262"/>
    </row>
    <row r="3263" spans="3:3" x14ac:dyDescent="0.2">
      <c r="C3263"/>
    </row>
    <row r="3264" spans="3:3" x14ac:dyDescent="0.2">
      <c r="C3264"/>
    </row>
    <row r="3265" spans="3:3" x14ac:dyDescent="0.2">
      <c r="C3265"/>
    </row>
    <row r="3266" spans="3:3" x14ac:dyDescent="0.2">
      <c r="C3266"/>
    </row>
    <row r="3267" spans="3:3" x14ac:dyDescent="0.2">
      <c r="C3267"/>
    </row>
    <row r="3268" spans="3:3" x14ac:dyDescent="0.2">
      <c r="C3268"/>
    </row>
    <row r="3269" spans="3:3" x14ac:dyDescent="0.2">
      <c r="C3269"/>
    </row>
    <row r="3270" spans="3:3" x14ac:dyDescent="0.2">
      <c r="C3270"/>
    </row>
    <row r="3271" spans="3:3" x14ac:dyDescent="0.2">
      <c r="C3271"/>
    </row>
    <row r="3272" spans="3:3" x14ac:dyDescent="0.2">
      <c r="C3272"/>
    </row>
    <row r="3273" spans="3:3" x14ac:dyDescent="0.2">
      <c r="C3273"/>
    </row>
    <row r="3274" spans="3:3" x14ac:dyDescent="0.2">
      <c r="C3274"/>
    </row>
    <row r="3275" spans="3:3" x14ac:dyDescent="0.2">
      <c r="C3275"/>
    </row>
    <row r="3276" spans="3:3" x14ac:dyDescent="0.2">
      <c r="C3276"/>
    </row>
    <row r="3277" spans="3:3" x14ac:dyDescent="0.2">
      <c r="C3277"/>
    </row>
    <row r="3278" spans="3:3" x14ac:dyDescent="0.2">
      <c r="C3278"/>
    </row>
    <row r="3279" spans="3:3" x14ac:dyDescent="0.2">
      <c r="C3279"/>
    </row>
    <row r="3280" spans="3:3" x14ac:dyDescent="0.2">
      <c r="C3280"/>
    </row>
    <row r="3281" spans="3:3" x14ac:dyDescent="0.2">
      <c r="C3281"/>
    </row>
    <row r="3282" spans="3:3" x14ac:dyDescent="0.2">
      <c r="C3282"/>
    </row>
    <row r="3283" spans="3:3" x14ac:dyDescent="0.2">
      <c r="C3283"/>
    </row>
    <row r="3284" spans="3:3" x14ac:dyDescent="0.2">
      <c r="C3284"/>
    </row>
    <row r="3285" spans="3:3" x14ac:dyDescent="0.2">
      <c r="C3285"/>
    </row>
    <row r="3286" spans="3:3" x14ac:dyDescent="0.2">
      <c r="C3286"/>
    </row>
    <row r="3287" spans="3:3" x14ac:dyDescent="0.2">
      <c r="C3287"/>
    </row>
    <row r="3288" spans="3:3" x14ac:dyDescent="0.2">
      <c r="C3288"/>
    </row>
    <row r="3289" spans="3:3" x14ac:dyDescent="0.2">
      <c r="C3289"/>
    </row>
    <row r="3290" spans="3:3" x14ac:dyDescent="0.2">
      <c r="C3290"/>
    </row>
    <row r="3291" spans="3:3" x14ac:dyDescent="0.2">
      <c r="C3291"/>
    </row>
    <row r="3292" spans="3:3" x14ac:dyDescent="0.2">
      <c r="C3292"/>
    </row>
    <row r="3293" spans="3:3" x14ac:dyDescent="0.2">
      <c r="C3293"/>
    </row>
    <row r="3294" spans="3:3" x14ac:dyDescent="0.2">
      <c r="C3294"/>
    </row>
    <row r="3295" spans="3:3" x14ac:dyDescent="0.2">
      <c r="C3295"/>
    </row>
    <row r="3296" spans="3:3" x14ac:dyDescent="0.2">
      <c r="C3296"/>
    </row>
    <row r="3297" spans="3:3" x14ac:dyDescent="0.2">
      <c r="C3297"/>
    </row>
    <row r="3298" spans="3:3" x14ac:dyDescent="0.2">
      <c r="C3298"/>
    </row>
    <row r="3299" spans="3:3" x14ac:dyDescent="0.2">
      <c r="C3299"/>
    </row>
    <row r="3300" spans="3:3" x14ac:dyDescent="0.2">
      <c r="C3300"/>
    </row>
    <row r="3301" spans="3:3" x14ac:dyDescent="0.2">
      <c r="C3301"/>
    </row>
    <row r="3302" spans="3:3" x14ac:dyDescent="0.2">
      <c r="C3302"/>
    </row>
    <row r="3303" spans="3:3" x14ac:dyDescent="0.2">
      <c r="C3303"/>
    </row>
    <row r="3304" spans="3:3" x14ac:dyDescent="0.2">
      <c r="C3304"/>
    </row>
    <row r="3305" spans="3:3" x14ac:dyDescent="0.2">
      <c r="C3305"/>
    </row>
    <row r="3306" spans="3:3" x14ac:dyDescent="0.2">
      <c r="C3306"/>
    </row>
    <row r="3307" spans="3:3" x14ac:dyDescent="0.2">
      <c r="C3307"/>
    </row>
    <row r="3308" spans="3:3" x14ac:dyDescent="0.2">
      <c r="C3308"/>
    </row>
    <row r="3309" spans="3:3" x14ac:dyDescent="0.2">
      <c r="C3309"/>
    </row>
    <row r="3310" spans="3:3" x14ac:dyDescent="0.2">
      <c r="C3310"/>
    </row>
    <row r="3311" spans="3:3" x14ac:dyDescent="0.2">
      <c r="C3311"/>
    </row>
    <row r="3312" spans="3:3" x14ac:dyDescent="0.2">
      <c r="C3312"/>
    </row>
    <row r="3313" spans="3:3" x14ac:dyDescent="0.2">
      <c r="C3313"/>
    </row>
    <row r="3314" spans="3:3" x14ac:dyDescent="0.2">
      <c r="C3314"/>
    </row>
    <row r="3315" spans="3:3" x14ac:dyDescent="0.2">
      <c r="C3315"/>
    </row>
    <row r="3316" spans="3:3" x14ac:dyDescent="0.2">
      <c r="C3316"/>
    </row>
    <row r="3317" spans="3:3" x14ac:dyDescent="0.2">
      <c r="C3317"/>
    </row>
    <row r="3318" spans="3:3" x14ac:dyDescent="0.2">
      <c r="C3318"/>
    </row>
    <row r="3319" spans="3:3" x14ac:dyDescent="0.2">
      <c r="C3319"/>
    </row>
    <row r="3320" spans="3:3" x14ac:dyDescent="0.2">
      <c r="C3320"/>
    </row>
    <row r="3321" spans="3:3" x14ac:dyDescent="0.2">
      <c r="C3321"/>
    </row>
    <row r="3322" spans="3:3" x14ac:dyDescent="0.2">
      <c r="C3322"/>
    </row>
    <row r="3323" spans="3:3" x14ac:dyDescent="0.2">
      <c r="C3323"/>
    </row>
    <row r="3324" spans="3:3" x14ac:dyDescent="0.2">
      <c r="C3324"/>
    </row>
    <row r="3325" spans="3:3" x14ac:dyDescent="0.2">
      <c r="C3325"/>
    </row>
    <row r="3326" spans="3:3" x14ac:dyDescent="0.2">
      <c r="C3326"/>
    </row>
    <row r="3327" spans="3:3" x14ac:dyDescent="0.2">
      <c r="C3327"/>
    </row>
    <row r="3328" spans="3:3" x14ac:dyDescent="0.2">
      <c r="C3328"/>
    </row>
    <row r="3329" spans="3:3" x14ac:dyDescent="0.2">
      <c r="C3329"/>
    </row>
    <row r="3330" spans="3:3" x14ac:dyDescent="0.2">
      <c r="C3330"/>
    </row>
    <row r="3331" spans="3:3" x14ac:dyDescent="0.2">
      <c r="C3331"/>
    </row>
    <row r="3332" spans="3:3" x14ac:dyDescent="0.2">
      <c r="C3332"/>
    </row>
    <row r="3333" spans="3:3" x14ac:dyDescent="0.2">
      <c r="C3333"/>
    </row>
    <row r="3334" spans="3:3" x14ac:dyDescent="0.2">
      <c r="C3334"/>
    </row>
    <row r="3335" spans="3:3" x14ac:dyDescent="0.2">
      <c r="C3335"/>
    </row>
    <row r="3336" spans="3:3" x14ac:dyDescent="0.2">
      <c r="C3336"/>
    </row>
    <row r="3337" spans="3:3" x14ac:dyDescent="0.2">
      <c r="C3337"/>
    </row>
    <row r="3338" spans="3:3" x14ac:dyDescent="0.2">
      <c r="C3338"/>
    </row>
    <row r="3339" spans="3:3" x14ac:dyDescent="0.2">
      <c r="C3339"/>
    </row>
    <row r="3340" spans="3:3" x14ac:dyDescent="0.2">
      <c r="C3340"/>
    </row>
    <row r="3341" spans="3:3" x14ac:dyDescent="0.2">
      <c r="C3341"/>
    </row>
    <row r="3342" spans="3:3" x14ac:dyDescent="0.2">
      <c r="C3342"/>
    </row>
    <row r="3343" spans="3:3" x14ac:dyDescent="0.2">
      <c r="C3343"/>
    </row>
    <row r="3344" spans="3:3" x14ac:dyDescent="0.2">
      <c r="C3344"/>
    </row>
    <row r="3345" spans="3:3" x14ac:dyDescent="0.2">
      <c r="C3345"/>
    </row>
    <row r="3346" spans="3:3" x14ac:dyDescent="0.2">
      <c r="C3346"/>
    </row>
    <row r="3347" spans="3:3" x14ac:dyDescent="0.2">
      <c r="C3347"/>
    </row>
    <row r="3348" spans="3:3" x14ac:dyDescent="0.2">
      <c r="C3348"/>
    </row>
    <row r="3349" spans="3:3" x14ac:dyDescent="0.2">
      <c r="C3349"/>
    </row>
    <row r="3350" spans="3:3" x14ac:dyDescent="0.2">
      <c r="C3350"/>
    </row>
    <row r="3351" spans="3:3" x14ac:dyDescent="0.2">
      <c r="C3351"/>
    </row>
    <row r="3352" spans="3:3" x14ac:dyDescent="0.2">
      <c r="C3352"/>
    </row>
    <row r="3353" spans="3:3" x14ac:dyDescent="0.2">
      <c r="C3353"/>
    </row>
    <row r="3354" spans="3:3" x14ac:dyDescent="0.2">
      <c r="C3354"/>
    </row>
    <row r="3355" spans="3:3" x14ac:dyDescent="0.2">
      <c r="C3355"/>
    </row>
    <row r="3356" spans="3:3" x14ac:dyDescent="0.2">
      <c r="C3356"/>
    </row>
    <row r="3357" spans="3:3" x14ac:dyDescent="0.2">
      <c r="C3357"/>
    </row>
    <row r="3358" spans="3:3" x14ac:dyDescent="0.2">
      <c r="C3358"/>
    </row>
    <row r="3359" spans="3:3" x14ac:dyDescent="0.2">
      <c r="C3359"/>
    </row>
    <row r="3360" spans="3:3" x14ac:dyDescent="0.2">
      <c r="C3360"/>
    </row>
    <row r="3361" spans="3:3" x14ac:dyDescent="0.2">
      <c r="C3361"/>
    </row>
    <row r="3362" spans="3:3" x14ac:dyDescent="0.2">
      <c r="C3362"/>
    </row>
    <row r="3363" spans="3:3" x14ac:dyDescent="0.2">
      <c r="C3363"/>
    </row>
    <row r="3364" spans="3:3" x14ac:dyDescent="0.2">
      <c r="C3364"/>
    </row>
    <row r="3365" spans="3:3" x14ac:dyDescent="0.2">
      <c r="C3365"/>
    </row>
    <row r="3366" spans="3:3" x14ac:dyDescent="0.2">
      <c r="C3366"/>
    </row>
    <row r="3367" spans="3:3" x14ac:dyDescent="0.2">
      <c r="C3367"/>
    </row>
    <row r="3368" spans="3:3" x14ac:dyDescent="0.2">
      <c r="C3368"/>
    </row>
    <row r="3369" spans="3:3" x14ac:dyDescent="0.2">
      <c r="C3369"/>
    </row>
    <row r="3370" spans="3:3" x14ac:dyDescent="0.2">
      <c r="C3370"/>
    </row>
    <row r="3371" spans="3:3" x14ac:dyDescent="0.2">
      <c r="C3371"/>
    </row>
    <row r="3372" spans="3:3" x14ac:dyDescent="0.2">
      <c r="C3372"/>
    </row>
    <row r="3373" spans="3:3" x14ac:dyDescent="0.2">
      <c r="C3373"/>
    </row>
    <row r="3374" spans="3:3" x14ac:dyDescent="0.2">
      <c r="C3374"/>
    </row>
    <row r="3375" spans="3:3" x14ac:dyDescent="0.2">
      <c r="C3375"/>
    </row>
    <row r="3376" spans="3:3" x14ac:dyDescent="0.2">
      <c r="C3376"/>
    </row>
    <row r="3377" spans="3:3" x14ac:dyDescent="0.2">
      <c r="C3377"/>
    </row>
    <row r="3378" spans="3:3" x14ac:dyDescent="0.2">
      <c r="C3378"/>
    </row>
    <row r="3379" spans="3:3" x14ac:dyDescent="0.2">
      <c r="C3379"/>
    </row>
    <row r="3380" spans="3:3" x14ac:dyDescent="0.2">
      <c r="C3380"/>
    </row>
    <row r="3381" spans="3:3" x14ac:dyDescent="0.2">
      <c r="C3381"/>
    </row>
    <row r="3382" spans="3:3" x14ac:dyDescent="0.2">
      <c r="C3382"/>
    </row>
    <row r="3383" spans="3:3" x14ac:dyDescent="0.2">
      <c r="C3383"/>
    </row>
    <row r="3384" spans="3:3" x14ac:dyDescent="0.2">
      <c r="C3384"/>
    </row>
    <row r="3385" spans="3:3" x14ac:dyDescent="0.2">
      <c r="C3385"/>
    </row>
    <row r="3386" spans="3:3" x14ac:dyDescent="0.2">
      <c r="C3386"/>
    </row>
    <row r="3387" spans="3:3" x14ac:dyDescent="0.2">
      <c r="C3387"/>
    </row>
    <row r="3388" spans="3:3" x14ac:dyDescent="0.2">
      <c r="C3388"/>
    </row>
    <row r="3389" spans="3:3" x14ac:dyDescent="0.2">
      <c r="C3389"/>
    </row>
    <row r="3390" spans="3:3" x14ac:dyDescent="0.2">
      <c r="C3390"/>
    </row>
    <row r="3391" spans="3:3" x14ac:dyDescent="0.2">
      <c r="C3391"/>
    </row>
    <row r="3392" spans="3:3" x14ac:dyDescent="0.2">
      <c r="C3392"/>
    </row>
    <row r="3393" spans="3:3" x14ac:dyDescent="0.2">
      <c r="C3393"/>
    </row>
    <row r="3394" spans="3:3" x14ac:dyDescent="0.2">
      <c r="C3394"/>
    </row>
    <row r="3395" spans="3:3" x14ac:dyDescent="0.2">
      <c r="C3395"/>
    </row>
    <row r="3396" spans="3:3" x14ac:dyDescent="0.2">
      <c r="C3396"/>
    </row>
    <row r="3397" spans="3:3" x14ac:dyDescent="0.2">
      <c r="C3397"/>
    </row>
    <row r="3398" spans="3:3" x14ac:dyDescent="0.2">
      <c r="C3398"/>
    </row>
    <row r="3399" spans="3:3" x14ac:dyDescent="0.2">
      <c r="C3399"/>
    </row>
    <row r="3400" spans="3:3" x14ac:dyDescent="0.2">
      <c r="C3400"/>
    </row>
    <row r="3401" spans="3:3" x14ac:dyDescent="0.2">
      <c r="C3401"/>
    </row>
    <row r="3402" spans="3:3" x14ac:dyDescent="0.2">
      <c r="C3402"/>
    </row>
    <row r="3403" spans="3:3" x14ac:dyDescent="0.2">
      <c r="C3403"/>
    </row>
    <row r="3404" spans="3:3" x14ac:dyDescent="0.2">
      <c r="C3404"/>
    </row>
    <row r="3405" spans="3:3" x14ac:dyDescent="0.2">
      <c r="C3405"/>
    </row>
    <row r="3406" spans="3:3" x14ac:dyDescent="0.2">
      <c r="C3406"/>
    </row>
    <row r="3407" spans="3:3" x14ac:dyDescent="0.2">
      <c r="C3407"/>
    </row>
    <row r="3408" spans="3:3" x14ac:dyDescent="0.2">
      <c r="C3408"/>
    </row>
    <row r="3409" spans="3:3" x14ac:dyDescent="0.2">
      <c r="C3409"/>
    </row>
    <row r="3410" spans="3:3" x14ac:dyDescent="0.2">
      <c r="C3410"/>
    </row>
    <row r="3411" spans="3:3" x14ac:dyDescent="0.2">
      <c r="C3411"/>
    </row>
    <row r="3412" spans="3:3" x14ac:dyDescent="0.2">
      <c r="C3412"/>
    </row>
    <row r="3413" spans="3:3" x14ac:dyDescent="0.2">
      <c r="C3413"/>
    </row>
    <row r="3414" spans="3:3" x14ac:dyDescent="0.2">
      <c r="C3414"/>
    </row>
    <row r="3415" spans="3:3" x14ac:dyDescent="0.2">
      <c r="C3415"/>
    </row>
    <row r="3416" spans="3:3" x14ac:dyDescent="0.2">
      <c r="C3416"/>
    </row>
    <row r="3417" spans="3:3" x14ac:dyDescent="0.2">
      <c r="C3417"/>
    </row>
    <row r="3418" spans="3:3" x14ac:dyDescent="0.2">
      <c r="C3418"/>
    </row>
    <row r="3419" spans="3:3" x14ac:dyDescent="0.2">
      <c r="C3419"/>
    </row>
    <row r="3420" spans="3:3" x14ac:dyDescent="0.2">
      <c r="C3420"/>
    </row>
    <row r="3421" spans="3:3" x14ac:dyDescent="0.2">
      <c r="C3421"/>
    </row>
    <row r="3422" spans="3:3" x14ac:dyDescent="0.2">
      <c r="C3422"/>
    </row>
    <row r="3423" spans="3:3" x14ac:dyDescent="0.2">
      <c r="C3423"/>
    </row>
    <row r="3424" spans="3:3" x14ac:dyDescent="0.2">
      <c r="C3424"/>
    </row>
    <row r="3425" spans="3:3" x14ac:dyDescent="0.2">
      <c r="C3425"/>
    </row>
    <row r="3426" spans="3:3" x14ac:dyDescent="0.2">
      <c r="C3426"/>
    </row>
    <row r="3427" spans="3:3" x14ac:dyDescent="0.2">
      <c r="C3427"/>
    </row>
    <row r="3428" spans="3:3" x14ac:dyDescent="0.2">
      <c r="C3428"/>
    </row>
    <row r="3429" spans="3:3" x14ac:dyDescent="0.2">
      <c r="C3429"/>
    </row>
    <row r="3430" spans="3:3" x14ac:dyDescent="0.2">
      <c r="C3430"/>
    </row>
    <row r="3431" spans="3:3" x14ac:dyDescent="0.2">
      <c r="C3431"/>
    </row>
    <row r="3432" spans="3:3" x14ac:dyDescent="0.2">
      <c r="C3432"/>
    </row>
    <row r="3433" spans="3:3" x14ac:dyDescent="0.2">
      <c r="C3433"/>
    </row>
    <row r="3434" spans="3:3" x14ac:dyDescent="0.2">
      <c r="C3434"/>
    </row>
    <row r="3435" spans="3:3" x14ac:dyDescent="0.2">
      <c r="C3435"/>
    </row>
    <row r="3436" spans="3:3" x14ac:dyDescent="0.2">
      <c r="C3436"/>
    </row>
    <row r="3437" spans="3:3" x14ac:dyDescent="0.2">
      <c r="C3437"/>
    </row>
    <row r="3438" spans="3:3" x14ac:dyDescent="0.2">
      <c r="C3438"/>
    </row>
    <row r="3439" spans="3:3" x14ac:dyDescent="0.2">
      <c r="C3439"/>
    </row>
    <row r="3440" spans="3:3" x14ac:dyDescent="0.2">
      <c r="C3440"/>
    </row>
    <row r="3441" spans="3:3" x14ac:dyDescent="0.2">
      <c r="C3441"/>
    </row>
    <row r="3442" spans="3:3" x14ac:dyDescent="0.2">
      <c r="C3442"/>
    </row>
    <row r="3443" spans="3:3" x14ac:dyDescent="0.2">
      <c r="C3443"/>
    </row>
    <row r="3444" spans="3:3" x14ac:dyDescent="0.2">
      <c r="C3444"/>
    </row>
    <row r="3445" spans="3:3" x14ac:dyDescent="0.2">
      <c r="C3445"/>
    </row>
    <row r="3446" spans="3:3" x14ac:dyDescent="0.2">
      <c r="C3446"/>
    </row>
    <row r="3447" spans="3:3" x14ac:dyDescent="0.2">
      <c r="C3447"/>
    </row>
    <row r="3448" spans="3:3" x14ac:dyDescent="0.2">
      <c r="C3448"/>
    </row>
    <row r="3449" spans="3:3" x14ac:dyDescent="0.2">
      <c r="C3449"/>
    </row>
    <row r="3450" spans="3:3" x14ac:dyDescent="0.2">
      <c r="C3450"/>
    </row>
    <row r="3451" spans="3:3" x14ac:dyDescent="0.2">
      <c r="C3451"/>
    </row>
    <row r="3452" spans="3:3" x14ac:dyDescent="0.2">
      <c r="C3452"/>
    </row>
    <row r="3453" spans="3:3" x14ac:dyDescent="0.2">
      <c r="C3453"/>
    </row>
    <row r="3454" spans="3:3" x14ac:dyDescent="0.2">
      <c r="C3454"/>
    </row>
    <row r="3455" spans="3:3" x14ac:dyDescent="0.2">
      <c r="C3455"/>
    </row>
    <row r="3456" spans="3:3" x14ac:dyDescent="0.2">
      <c r="C3456"/>
    </row>
    <row r="3457" spans="3:3" x14ac:dyDescent="0.2">
      <c r="C3457"/>
    </row>
    <row r="3458" spans="3:3" x14ac:dyDescent="0.2">
      <c r="C3458"/>
    </row>
    <row r="3459" spans="3:3" x14ac:dyDescent="0.2">
      <c r="C3459"/>
    </row>
    <row r="3460" spans="3:3" x14ac:dyDescent="0.2">
      <c r="C3460"/>
    </row>
    <row r="3461" spans="3:3" x14ac:dyDescent="0.2">
      <c r="C3461"/>
    </row>
    <row r="3462" spans="3:3" x14ac:dyDescent="0.2">
      <c r="C3462"/>
    </row>
    <row r="3463" spans="3:3" x14ac:dyDescent="0.2">
      <c r="C3463"/>
    </row>
    <row r="3464" spans="3:3" x14ac:dyDescent="0.2">
      <c r="C3464"/>
    </row>
    <row r="3465" spans="3:3" x14ac:dyDescent="0.2">
      <c r="C3465"/>
    </row>
    <row r="3466" spans="3:3" x14ac:dyDescent="0.2">
      <c r="C3466"/>
    </row>
    <row r="3467" spans="3:3" x14ac:dyDescent="0.2">
      <c r="C3467"/>
    </row>
    <row r="3468" spans="3:3" x14ac:dyDescent="0.2">
      <c r="C3468"/>
    </row>
    <row r="3469" spans="3:3" x14ac:dyDescent="0.2">
      <c r="C3469"/>
    </row>
    <row r="3470" spans="3:3" x14ac:dyDescent="0.2">
      <c r="C3470"/>
    </row>
    <row r="3471" spans="3:3" x14ac:dyDescent="0.2">
      <c r="C3471"/>
    </row>
    <row r="3472" spans="3:3" x14ac:dyDescent="0.2">
      <c r="C3472"/>
    </row>
    <row r="3473" spans="3:3" x14ac:dyDescent="0.2">
      <c r="C3473"/>
    </row>
    <row r="3474" spans="3:3" x14ac:dyDescent="0.2">
      <c r="C3474"/>
    </row>
    <row r="3475" spans="3:3" x14ac:dyDescent="0.2">
      <c r="C3475"/>
    </row>
    <row r="3476" spans="3:3" x14ac:dyDescent="0.2">
      <c r="C3476"/>
    </row>
    <row r="3477" spans="3:3" x14ac:dyDescent="0.2">
      <c r="C3477"/>
    </row>
    <row r="3478" spans="3:3" x14ac:dyDescent="0.2">
      <c r="C3478"/>
    </row>
    <row r="3479" spans="3:3" x14ac:dyDescent="0.2">
      <c r="C3479"/>
    </row>
    <row r="3480" spans="3:3" x14ac:dyDescent="0.2">
      <c r="C3480"/>
    </row>
    <row r="3481" spans="3:3" x14ac:dyDescent="0.2">
      <c r="C3481"/>
    </row>
    <row r="3482" spans="3:3" x14ac:dyDescent="0.2">
      <c r="C3482"/>
    </row>
    <row r="3483" spans="3:3" x14ac:dyDescent="0.2">
      <c r="C3483"/>
    </row>
    <row r="3484" spans="3:3" x14ac:dyDescent="0.2">
      <c r="C3484"/>
    </row>
    <row r="3485" spans="3:3" x14ac:dyDescent="0.2">
      <c r="C3485"/>
    </row>
    <row r="3486" spans="3:3" x14ac:dyDescent="0.2">
      <c r="C3486"/>
    </row>
    <row r="3487" spans="3:3" x14ac:dyDescent="0.2">
      <c r="C3487"/>
    </row>
    <row r="3488" spans="3:3" x14ac:dyDescent="0.2">
      <c r="C3488"/>
    </row>
    <row r="3489" spans="3:3" x14ac:dyDescent="0.2">
      <c r="C3489"/>
    </row>
    <row r="3490" spans="3:3" x14ac:dyDescent="0.2">
      <c r="C3490"/>
    </row>
    <row r="3491" spans="3:3" x14ac:dyDescent="0.2">
      <c r="C3491"/>
    </row>
    <row r="3492" spans="3:3" x14ac:dyDescent="0.2">
      <c r="C3492"/>
    </row>
    <row r="3493" spans="3:3" x14ac:dyDescent="0.2">
      <c r="C3493"/>
    </row>
    <row r="3494" spans="3:3" x14ac:dyDescent="0.2">
      <c r="C3494"/>
    </row>
    <row r="3495" spans="3:3" x14ac:dyDescent="0.2">
      <c r="C3495"/>
    </row>
    <row r="3496" spans="3:3" x14ac:dyDescent="0.2">
      <c r="C3496"/>
    </row>
    <row r="3497" spans="3:3" x14ac:dyDescent="0.2">
      <c r="C3497"/>
    </row>
    <row r="3498" spans="3:3" x14ac:dyDescent="0.2">
      <c r="C3498"/>
    </row>
    <row r="3499" spans="3:3" x14ac:dyDescent="0.2">
      <c r="C3499"/>
    </row>
    <row r="3500" spans="3:3" x14ac:dyDescent="0.2">
      <c r="C3500"/>
    </row>
    <row r="3501" spans="3:3" x14ac:dyDescent="0.2">
      <c r="C3501"/>
    </row>
    <row r="3502" spans="3:3" x14ac:dyDescent="0.2">
      <c r="C3502"/>
    </row>
    <row r="3503" spans="3:3" x14ac:dyDescent="0.2">
      <c r="C3503"/>
    </row>
    <row r="3504" spans="3:3" x14ac:dyDescent="0.2">
      <c r="C3504"/>
    </row>
    <row r="3505" spans="3:3" x14ac:dyDescent="0.2">
      <c r="C3505"/>
    </row>
    <row r="3506" spans="3:3" x14ac:dyDescent="0.2">
      <c r="C3506"/>
    </row>
    <row r="3507" spans="3:3" x14ac:dyDescent="0.2">
      <c r="C3507"/>
    </row>
    <row r="3508" spans="3:3" x14ac:dyDescent="0.2">
      <c r="C3508"/>
    </row>
    <row r="3509" spans="3:3" x14ac:dyDescent="0.2">
      <c r="C3509"/>
    </row>
    <row r="3510" spans="3:3" x14ac:dyDescent="0.2">
      <c r="C3510"/>
    </row>
    <row r="3511" spans="3:3" x14ac:dyDescent="0.2">
      <c r="C3511"/>
    </row>
    <row r="3512" spans="3:3" x14ac:dyDescent="0.2">
      <c r="C3512"/>
    </row>
    <row r="3513" spans="3:3" x14ac:dyDescent="0.2">
      <c r="C3513"/>
    </row>
    <row r="3514" spans="3:3" x14ac:dyDescent="0.2">
      <c r="C3514"/>
    </row>
    <row r="3515" spans="3:3" x14ac:dyDescent="0.2">
      <c r="C3515"/>
    </row>
    <row r="3516" spans="3:3" x14ac:dyDescent="0.2">
      <c r="C3516"/>
    </row>
    <row r="3517" spans="3:3" x14ac:dyDescent="0.2">
      <c r="C3517"/>
    </row>
    <row r="3518" spans="3:3" x14ac:dyDescent="0.2">
      <c r="C3518"/>
    </row>
    <row r="3519" spans="3:3" x14ac:dyDescent="0.2">
      <c r="C3519"/>
    </row>
    <row r="3520" spans="3:3" x14ac:dyDescent="0.2">
      <c r="C3520"/>
    </row>
    <row r="3521" spans="3:3" x14ac:dyDescent="0.2">
      <c r="C3521"/>
    </row>
    <row r="3522" spans="3:3" x14ac:dyDescent="0.2">
      <c r="C3522"/>
    </row>
    <row r="3523" spans="3:3" x14ac:dyDescent="0.2">
      <c r="C3523"/>
    </row>
    <row r="3524" spans="3:3" x14ac:dyDescent="0.2">
      <c r="C3524"/>
    </row>
    <row r="3525" spans="3:3" x14ac:dyDescent="0.2">
      <c r="C3525"/>
    </row>
    <row r="3526" spans="3:3" x14ac:dyDescent="0.2">
      <c r="C3526"/>
    </row>
    <row r="3527" spans="3:3" x14ac:dyDescent="0.2">
      <c r="C3527"/>
    </row>
    <row r="3528" spans="3:3" x14ac:dyDescent="0.2">
      <c r="C3528"/>
    </row>
    <row r="3529" spans="3:3" x14ac:dyDescent="0.2">
      <c r="C3529"/>
    </row>
    <row r="3530" spans="3:3" x14ac:dyDescent="0.2">
      <c r="C3530"/>
    </row>
    <row r="3531" spans="3:3" x14ac:dyDescent="0.2">
      <c r="C3531"/>
    </row>
    <row r="3532" spans="3:3" x14ac:dyDescent="0.2">
      <c r="C3532"/>
    </row>
    <row r="3533" spans="3:3" x14ac:dyDescent="0.2">
      <c r="C3533"/>
    </row>
    <row r="3534" spans="3:3" x14ac:dyDescent="0.2">
      <c r="C3534"/>
    </row>
    <row r="3535" spans="3:3" x14ac:dyDescent="0.2">
      <c r="C3535"/>
    </row>
    <row r="3536" spans="3:3" x14ac:dyDescent="0.2">
      <c r="C3536"/>
    </row>
    <row r="3537" spans="3:3" x14ac:dyDescent="0.2">
      <c r="C3537"/>
    </row>
    <row r="3538" spans="3:3" x14ac:dyDescent="0.2">
      <c r="C3538"/>
    </row>
    <row r="3539" spans="3:3" x14ac:dyDescent="0.2">
      <c r="C3539"/>
    </row>
    <row r="3540" spans="3:3" x14ac:dyDescent="0.2">
      <c r="C3540"/>
    </row>
    <row r="3541" spans="3:3" x14ac:dyDescent="0.2">
      <c r="C3541"/>
    </row>
    <row r="3542" spans="3:3" x14ac:dyDescent="0.2">
      <c r="C3542"/>
    </row>
    <row r="3543" spans="3:3" x14ac:dyDescent="0.2">
      <c r="C3543"/>
    </row>
    <row r="3544" spans="3:3" x14ac:dyDescent="0.2">
      <c r="C3544"/>
    </row>
    <row r="3545" spans="3:3" x14ac:dyDescent="0.2">
      <c r="C3545"/>
    </row>
    <row r="3546" spans="3:3" x14ac:dyDescent="0.2">
      <c r="C3546"/>
    </row>
    <row r="3547" spans="3:3" x14ac:dyDescent="0.2">
      <c r="C3547"/>
    </row>
    <row r="3548" spans="3:3" x14ac:dyDescent="0.2">
      <c r="C3548"/>
    </row>
    <row r="3549" spans="3:3" x14ac:dyDescent="0.2">
      <c r="C3549"/>
    </row>
    <row r="3550" spans="3:3" x14ac:dyDescent="0.2">
      <c r="C3550"/>
    </row>
    <row r="3551" spans="3:3" x14ac:dyDescent="0.2">
      <c r="C3551"/>
    </row>
    <row r="3552" spans="3:3" x14ac:dyDescent="0.2">
      <c r="C3552"/>
    </row>
    <row r="3553" spans="3:3" x14ac:dyDescent="0.2">
      <c r="C3553"/>
    </row>
    <row r="3554" spans="3:3" x14ac:dyDescent="0.2">
      <c r="C3554"/>
    </row>
    <row r="3555" spans="3:3" x14ac:dyDescent="0.2">
      <c r="C3555"/>
    </row>
    <row r="3556" spans="3:3" x14ac:dyDescent="0.2">
      <c r="C3556"/>
    </row>
    <row r="3557" spans="3:3" x14ac:dyDescent="0.2">
      <c r="C3557"/>
    </row>
    <row r="3558" spans="3:3" x14ac:dyDescent="0.2">
      <c r="C3558"/>
    </row>
    <row r="3559" spans="3:3" x14ac:dyDescent="0.2">
      <c r="C3559"/>
    </row>
    <row r="3560" spans="3:3" x14ac:dyDescent="0.2">
      <c r="C3560"/>
    </row>
    <row r="3561" spans="3:3" x14ac:dyDescent="0.2">
      <c r="C3561"/>
    </row>
    <row r="3562" spans="3:3" x14ac:dyDescent="0.2">
      <c r="C3562"/>
    </row>
    <row r="3563" spans="3:3" x14ac:dyDescent="0.2">
      <c r="C3563"/>
    </row>
    <row r="3564" spans="3:3" x14ac:dyDescent="0.2">
      <c r="C3564"/>
    </row>
    <row r="3565" spans="3:3" x14ac:dyDescent="0.2">
      <c r="C3565"/>
    </row>
    <row r="3566" spans="3:3" x14ac:dyDescent="0.2">
      <c r="C3566"/>
    </row>
    <row r="3567" spans="3:3" x14ac:dyDescent="0.2">
      <c r="C3567"/>
    </row>
    <row r="3568" spans="3:3" x14ac:dyDescent="0.2">
      <c r="C3568"/>
    </row>
    <row r="3569" spans="3:3" x14ac:dyDescent="0.2">
      <c r="C3569"/>
    </row>
    <row r="3570" spans="3:3" x14ac:dyDescent="0.2">
      <c r="C3570"/>
    </row>
    <row r="3571" spans="3:3" x14ac:dyDescent="0.2">
      <c r="C3571"/>
    </row>
    <row r="3572" spans="3:3" x14ac:dyDescent="0.2">
      <c r="C3572"/>
    </row>
    <row r="3573" spans="3:3" x14ac:dyDescent="0.2">
      <c r="C3573"/>
    </row>
    <row r="3574" spans="3:3" x14ac:dyDescent="0.2">
      <c r="C3574"/>
    </row>
    <row r="3575" spans="3:3" x14ac:dyDescent="0.2">
      <c r="C3575"/>
    </row>
    <row r="3576" spans="3:3" x14ac:dyDescent="0.2">
      <c r="C3576"/>
    </row>
    <row r="3577" spans="3:3" x14ac:dyDescent="0.2">
      <c r="C3577"/>
    </row>
    <row r="3578" spans="3:3" x14ac:dyDescent="0.2">
      <c r="C3578"/>
    </row>
    <row r="3579" spans="3:3" x14ac:dyDescent="0.2">
      <c r="C3579"/>
    </row>
    <row r="3580" spans="3:3" x14ac:dyDescent="0.2">
      <c r="C3580"/>
    </row>
    <row r="3581" spans="3:3" x14ac:dyDescent="0.2">
      <c r="C3581"/>
    </row>
    <row r="3582" spans="3:3" x14ac:dyDescent="0.2">
      <c r="C3582"/>
    </row>
    <row r="3583" spans="3:3" x14ac:dyDescent="0.2">
      <c r="C3583"/>
    </row>
    <row r="3584" spans="3:3" x14ac:dyDescent="0.2">
      <c r="C3584"/>
    </row>
    <row r="3585" spans="3:3" x14ac:dyDescent="0.2">
      <c r="C3585"/>
    </row>
    <row r="3586" spans="3:3" x14ac:dyDescent="0.2">
      <c r="C3586"/>
    </row>
    <row r="3587" spans="3:3" x14ac:dyDescent="0.2">
      <c r="C3587"/>
    </row>
    <row r="3588" spans="3:3" x14ac:dyDescent="0.2">
      <c r="C3588"/>
    </row>
    <row r="3589" spans="3:3" x14ac:dyDescent="0.2">
      <c r="C3589"/>
    </row>
    <row r="3590" spans="3:3" x14ac:dyDescent="0.2">
      <c r="C3590"/>
    </row>
    <row r="3591" spans="3:3" x14ac:dyDescent="0.2">
      <c r="C3591"/>
    </row>
    <row r="3592" spans="3:3" x14ac:dyDescent="0.2">
      <c r="C3592"/>
    </row>
    <row r="3593" spans="3:3" x14ac:dyDescent="0.2">
      <c r="C3593"/>
    </row>
    <row r="3594" spans="3:3" x14ac:dyDescent="0.2">
      <c r="C3594"/>
    </row>
    <row r="3595" spans="3:3" x14ac:dyDescent="0.2">
      <c r="C3595"/>
    </row>
    <row r="3596" spans="3:3" x14ac:dyDescent="0.2">
      <c r="C3596"/>
    </row>
    <row r="3597" spans="3:3" x14ac:dyDescent="0.2">
      <c r="C3597"/>
    </row>
    <row r="3598" spans="3:3" x14ac:dyDescent="0.2">
      <c r="C3598"/>
    </row>
    <row r="3599" spans="3:3" x14ac:dyDescent="0.2">
      <c r="C3599"/>
    </row>
    <row r="3600" spans="3:3" x14ac:dyDescent="0.2">
      <c r="C3600"/>
    </row>
    <row r="3601" spans="3:3" x14ac:dyDescent="0.2">
      <c r="C3601"/>
    </row>
    <row r="3602" spans="3:3" x14ac:dyDescent="0.2">
      <c r="C3602"/>
    </row>
    <row r="3603" spans="3:3" x14ac:dyDescent="0.2">
      <c r="C3603"/>
    </row>
    <row r="3604" spans="3:3" x14ac:dyDescent="0.2">
      <c r="C3604"/>
    </row>
    <row r="3605" spans="3:3" x14ac:dyDescent="0.2">
      <c r="C3605"/>
    </row>
    <row r="3606" spans="3:3" x14ac:dyDescent="0.2">
      <c r="C3606"/>
    </row>
    <row r="3607" spans="3:3" x14ac:dyDescent="0.2">
      <c r="C3607"/>
    </row>
    <row r="3608" spans="3:3" x14ac:dyDescent="0.2">
      <c r="C3608"/>
    </row>
    <row r="3609" spans="3:3" x14ac:dyDescent="0.2">
      <c r="C3609"/>
    </row>
    <row r="3610" spans="3:3" x14ac:dyDescent="0.2">
      <c r="C3610"/>
    </row>
    <row r="3611" spans="3:3" x14ac:dyDescent="0.2">
      <c r="C3611"/>
    </row>
    <row r="3612" spans="3:3" x14ac:dyDescent="0.2">
      <c r="C3612"/>
    </row>
    <row r="3613" spans="3:3" x14ac:dyDescent="0.2">
      <c r="C3613"/>
    </row>
    <row r="3614" spans="3:3" x14ac:dyDescent="0.2">
      <c r="C3614"/>
    </row>
    <row r="3615" spans="3:3" x14ac:dyDescent="0.2">
      <c r="C3615"/>
    </row>
    <row r="3616" spans="3:3" x14ac:dyDescent="0.2">
      <c r="C3616"/>
    </row>
    <row r="3617" spans="3:3" x14ac:dyDescent="0.2">
      <c r="C3617"/>
    </row>
    <row r="3618" spans="3:3" x14ac:dyDescent="0.2">
      <c r="C3618"/>
    </row>
    <row r="3619" spans="3:3" x14ac:dyDescent="0.2">
      <c r="C3619"/>
    </row>
    <row r="3620" spans="3:3" x14ac:dyDescent="0.2">
      <c r="C3620"/>
    </row>
    <row r="3621" spans="3:3" x14ac:dyDescent="0.2">
      <c r="C3621"/>
    </row>
    <row r="3622" spans="3:3" x14ac:dyDescent="0.2">
      <c r="C3622"/>
    </row>
    <row r="3623" spans="3:3" x14ac:dyDescent="0.2">
      <c r="C3623"/>
    </row>
    <row r="3624" spans="3:3" x14ac:dyDescent="0.2">
      <c r="C3624"/>
    </row>
    <row r="3625" spans="3:3" x14ac:dyDescent="0.2">
      <c r="C3625"/>
    </row>
    <row r="3626" spans="3:3" x14ac:dyDescent="0.2">
      <c r="C3626"/>
    </row>
    <row r="3627" spans="3:3" x14ac:dyDescent="0.2">
      <c r="C3627"/>
    </row>
    <row r="3628" spans="3:3" x14ac:dyDescent="0.2">
      <c r="C3628"/>
    </row>
    <row r="3629" spans="3:3" x14ac:dyDescent="0.2">
      <c r="C3629"/>
    </row>
    <row r="3630" spans="3:3" x14ac:dyDescent="0.2">
      <c r="C3630"/>
    </row>
    <row r="3631" spans="3:3" x14ac:dyDescent="0.2">
      <c r="C3631"/>
    </row>
    <row r="3632" spans="3:3" x14ac:dyDescent="0.2">
      <c r="C3632"/>
    </row>
    <row r="3633" spans="3:3" x14ac:dyDescent="0.2">
      <c r="C3633"/>
    </row>
    <row r="3634" spans="3:3" x14ac:dyDescent="0.2">
      <c r="C3634"/>
    </row>
    <row r="3635" spans="3:3" x14ac:dyDescent="0.2">
      <c r="C3635"/>
    </row>
    <row r="3636" spans="3:3" x14ac:dyDescent="0.2">
      <c r="C3636"/>
    </row>
    <row r="3637" spans="3:3" x14ac:dyDescent="0.2">
      <c r="C3637"/>
    </row>
    <row r="3638" spans="3:3" x14ac:dyDescent="0.2">
      <c r="C3638"/>
    </row>
    <row r="3639" spans="3:3" x14ac:dyDescent="0.2">
      <c r="C3639"/>
    </row>
    <row r="3640" spans="3:3" x14ac:dyDescent="0.2">
      <c r="C3640"/>
    </row>
    <row r="3641" spans="3:3" x14ac:dyDescent="0.2">
      <c r="C3641"/>
    </row>
    <row r="3642" spans="3:3" x14ac:dyDescent="0.2">
      <c r="C3642"/>
    </row>
    <row r="3643" spans="3:3" x14ac:dyDescent="0.2">
      <c r="C3643"/>
    </row>
    <row r="3644" spans="3:3" x14ac:dyDescent="0.2">
      <c r="C3644"/>
    </row>
    <row r="3645" spans="3:3" x14ac:dyDescent="0.2">
      <c r="C3645"/>
    </row>
    <row r="3646" spans="3:3" x14ac:dyDescent="0.2">
      <c r="C3646"/>
    </row>
    <row r="3647" spans="3:3" x14ac:dyDescent="0.2">
      <c r="C3647"/>
    </row>
    <row r="3648" spans="3:3" x14ac:dyDescent="0.2">
      <c r="C3648"/>
    </row>
    <row r="3649" spans="3:3" x14ac:dyDescent="0.2">
      <c r="C3649"/>
    </row>
    <row r="3650" spans="3:3" x14ac:dyDescent="0.2">
      <c r="C3650"/>
    </row>
    <row r="3651" spans="3:3" x14ac:dyDescent="0.2">
      <c r="C3651"/>
    </row>
    <row r="3652" spans="3:3" x14ac:dyDescent="0.2">
      <c r="C3652"/>
    </row>
    <row r="3653" spans="3:3" x14ac:dyDescent="0.2">
      <c r="C3653"/>
    </row>
    <row r="3654" spans="3:3" x14ac:dyDescent="0.2">
      <c r="C3654"/>
    </row>
    <row r="3655" spans="3:3" x14ac:dyDescent="0.2">
      <c r="C3655"/>
    </row>
    <row r="3656" spans="3:3" x14ac:dyDescent="0.2">
      <c r="C3656"/>
    </row>
    <row r="3657" spans="3:3" x14ac:dyDescent="0.2">
      <c r="C3657"/>
    </row>
    <row r="3658" spans="3:3" x14ac:dyDescent="0.2">
      <c r="C3658"/>
    </row>
    <row r="3659" spans="3:3" x14ac:dyDescent="0.2">
      <c r="C3659"/>
    </row>
    <row r="3660" spans="3:3" x14ac:dyDescent="0.2">
      <c r="C3660"/>
    </row>
    <row r="3661" spans="3:3" x14ac:dyDescent="0.2">
      <c r="C3661"/>
    </row>
    <row r="3662" spans="3:3" x14ac:dyDescent="0.2">
      <c r="C3662"/>
    </row>
    <row r="3663" spans="3:3" x14ac:dyDescent="0.2">
      <c r="C3663"/>
    </row>
    <row r="3664" spans="3:3" x14ac:dyDescent="0.2">
      <c r="C3664"/>
    </row>
    <row r="3665" spans="3:3" x14ac:dyDescent="0.2">
      <c r="C3665"/>
    </row>
    <row r="3666" spans="3:3" x14ac:dyDescent="0.2">
      <c r="C3666"/>
    </row>
    <row r="3667" spans="3:3" x14ac:dyDescent="0.2">
      <c r="C3667"/>
    </row>
    <row r="3668" spans="3:3" x14ac:dyDescent="0.2">
      <c r="C3668"/>
    </row>
    <row r="3669" spans="3:3" x14ac:dyDescent="0.2">
      <c r="C3669"/>
    </row>
    <row r="3670" spans="3:3" x14ac:dyDescent="0.2">
      <c r="C3670"/>
    </row>
    <row r="3671" spans="3:3" x14ac:dyDescent="0.2">
      <c r="C3671"/>
    </row>
    <row r="3672" spans="3:3" x14ac:dyDescent="0.2">
      <c r="C3672"/>
    </row>
    <row r="3673" spans="3:3" x14ac:dyDescent="0.2">
      <c r="C3673"/>
    </row>
    <row r="3674" spans="3:3" x14ac:dyDescent="0.2">
      <c r="C3674"/>
    </row>
    <row r="3675" spans="3:3" x14ac:dyDescent="0.2">
      <c r="C3675"/>
    </row>
    <row r="3676" spans="3:3" x14ac:dyDescent="0.2">
      <c r="C3676"/>
    </row>
    <row r="3677" spans="3:3" x14ac:dyDescent="0.2">
      <c r="C3677"/>
    </row>
    <row r="3678" spans="3:3" x14ac:dyDescent="0.2">
      <c r="C3678"/>
    </row>
    <row r="3679" spans="3:3" x14ac:dyDescent="0.2">
      <c r="C3679"/>
    </row>
    <row r="3680" spans="3:3" x14ac:dyDescent="0.2">
      <c r="C3680"/>
    </row>
    <row r="3681" spans="3:3" x14ac:dyDescent="0.2">
      <c r="C3681"/>
    </row>
    <row r="3682" spans="3:3" x14ac:dyDescent="0.2">
      <c r="C3682"/>
    </row>
    <row r="3683" spans="3:3" x14ac:dyDescent="0.2">
      <c r="C3683"/>
    </row>
    <row r="3684" spans="3:3" x14ac:dyDescent="0.2">
      <c r="C3684"/>
    </row>
    <row r="3685" spans="3:3" x14ac:dyDescent="0.2">
      <c r="C3685"/>
    </row>
    <row r="3686" spans="3:3" x14ac:dyDescent="0.2">
      <c r="C3686"/>
    </row>
    <row r="3687" spans="3:3" x14ac:dyDescent="0.2">
      <c r="C3687"/>
    </row>
    <row r="3688" spans="3:3" x14ac:dyDescent="0.2">
      <c r="C3688"/>
    </row>
    <row r="3689" spans="3:3" x14ac:dyDescent="0.2">
      <c r="C3689"/>
    </row>
    <row r="3690" spans="3:3" x14ac:dyDescent="0.2">
      <c r="C3690"/>
    </row>
    <row r="3691" spans="3:3" x14ac:dyDescent="0.2">
      <c r="C3691"/>
    </row>
    <row r="3692" spans="3:3" x14ac:dyDescent="0.2">
      <c r="C3692"/>
    </row>
    <row r="3693" spans="3:3" x14ac:dyDescent="0.2">
      <c r="C3693"/>
    </row>
    <row r="3694" spans="3:3" x14ac:dyDescent="0.2">
      <c r="C3694"/>
    </row>
    <row r="3695" spans="3:3" x14ac:dyDescent="0.2">
      <c r="C3695"/>
    </row>
    <row r="3696" spans="3:3" x14ac:dyDescent="0.2">
      <c r="C3696"/>
    </row>
    <row r="3697" spans="3:3" x14ac:dyDescent="0.2">
      <c r="C3697"/>
    </row>
    <row r="3698" spans="3:3" x14ac:dyDescent="0.2">
      <c r="C3698"/>
    </row>
    <row r="3699" spans="3:3" x14ac:dyDescent="0.2">
      <c r="C3699"/>
    </row>
    <row r="3700" spans="3:3" x14ac:dyDescent="0.2">
      <c r="C3700"/>
    </row>
    <row r="3701" spans="3:3" x14ac:dyDescent="0.2">
      <c r="C3701"/>
    </row>
    <row r="3702" spans="3:3" x14ac:dyDescent="0.2">
      <c r="C3702"/>
    </row>
    <row r="3703" spans="3:3" x14ac:dyDescent="0.2">
      <c r="C3703"/>
    </row>
    <row r="3704" spans="3:3" x14ac:dyDescent="0.2">
      <c r="C3704"/>
    </row>
    <row r="3705" spans="3:3" x14ac:dyDescent="0.2">
      <c r="C3705"/>
    </row>
    <row r="3706" spans="3:3" x14ac:dyDescent="0.2">
      <c r="C3706"/>
    </row>
    <row r="3707" spans="3:3" x14ac:dyDescent="0.2">
      <c r="C3707"/>
    </row>
    <row r="3708" spans="3:3" x14ac:dyDescent="0.2">
      <c r="C3708"/>
    </row>
    <row r="3709" spans="3:3" x14ac:dyDescent="0.2">
      <c r="C3709"/>
    </row>
    <row r="3710" spans="3:3" x14ac:dyDescent="0.2">
      <c r="C3710"/>
    </row>
    <row r="3711" spans="3:3" x14ac:dyDescent="0.2">
      <c r="C3711"/>
    </row>
    <row r="3712" spans="3:3" x14ac:dyDescent="0.2">
      <c r="C3712"/>
    </row>
    <row r="3713" spans="3:3" x14ac:dyDescent="0.2">
      <c r="C3713"/>
    </row>
    <row r="3714" spans="3:3" x14ac:dyDescent="0.2">
      <c r="C3714"/>
    </row>
    <row r="3715" spans="3:3" x14ac:dyDescent="0.2">
      <c r="C3715"/>
    </row>
    <row r="3716" spans="3:3" x14ac:dyDescent="0.2">
      <c r="C3716"/>
    </row>
    <row r="3717" spans="3:3" x14ac:dyDescent="0.2">
      <c r="C3717"/>
    </row>
    <row r="3718" spans="3:3" x14ac:dyDescent="0.2">
      <c r="C3718"/>
    </row>
    <row r="3719" spans="3:3" x14ac:dyDescent="0.2">
      <c r="C3719"/>
    </row>
    <row r="3720" spans="3:3" x14ac:dyDescent="0.2">
      <c r="C3720"/>
    </row>
    <row r="3721" spans="3:3" x14ac:dyDescent="0.2">
      <c r="C3721"/>
    </row>
    <row r="3722" spans="3:3" x14ac:dyDescent="0.2">
      <c r="C3722"/>
    </row>
    <row r="3723" spans="3:3" x14ac:dyDescent="0.2">
      <c r="C3723"/>
    </row>
    <row r="3724" spans="3:3" x14ac:dyDescent="0.2">
      <c r="C3724"/>
    </row>
    <row r="3725" spans="3:3" x14ac:dyDescent="0.2">
      <c r="C3725"/>
    </row>
    <row r="3726" spans="3:3" x14ac:dyDescent="0.2">
      <c r="C3726"/>
    </row>
    <row r="3727" spans="3:3" x14ac:dyDescent="0.2">
      <c r="C3727"/>
    </row>
    <row r="3728" spans="3:3" x14ac:dyDescent="0.2">
      <c r="C3728"/>
    </row>
    <row r="3729" spans="3:3" x14ac:dyDescent="0.2">
      <c r="C3729"/>
    </row>
    <row r="3730" spans="3:3" x14ac:dyDescent="0.2">
      <c r="C3730"/>
    </row>
    <row r="3731" spans="3:3" x14ac:dyDescent="0.2">
      <c r="C3731"/>
    </row>
    <row r="3732" spans="3:3" x14ac:dyDescent="0.2">
      <c r="C3732"/>
    </row>
    <row r="3733" spans="3:3" x14ac:dyDescent="0.2">
      <c r="C3733"/>
    </row>
    <row r="3734" spans="3:3" x14ac:dyDescent="0.2">
      <c r="C3734"/>
    </row>
    <row r="3735" spans="3:3" x14ac:dyDescent="0.2">
      <c r="C3735"/>
    </row>
    <row r="3736" spans="3:3" x14ac:dyDescent="0.2">
      <c r="C3736"/>
    </row>
    <row r="3737" spans="3:3" x14ac:dyDescent="0.2">
      <c r="C3737"/>
    </row>
    <row r="3738" spans="3:3" x14ac:dyDescent="0.2">
      <c r="C3738"/>
    </row>
    <row r="3739" spans="3:3" x14ac:dyDescent="0.2">
      <c r="C3739"/>
    </row>
    <row r="3740" spans="3:3" x14ac:dyDescent="0.2">
      <c r="C3740"/>
    </row>
    <row r="3741" spans="3:3" x14ac:dyDescent="0.2">
      <c r="C3741"/>
    </row>
    <row r="3742" spans="3:3" x14ac:dyDescent="0.2">
      <c r="C3742"/>
    </row>
    <row r="3743" spans="3:3" x14ac:dyDescent="0.2">
      <c r="C3743"/>
    </row>
    <row r="3744" spans="3:3" x14ac:dyDescent="0.2">
      <c r="C3744"/>
    </row>
    <row r="3745" spans="3:3" x14ac:dyDescent="0.2">
      <c r="C3745"/>
    </row>
    <row r="3746" spans="3:3" x14ac:dyDescent="0.2">
      <c r="C3746"/>
    </row>
    <row r="3747" spans="3:3" x14ac:dyDescent="0.2">
      <c r="C3747"/>
    </row>
    <row r="3748" spans="3:3" x14ac:dyDescent="0.2">
      <c r="C3748"/>
    </row>
    <row r="3749" spans="3:3" x14ac:dyDescent="0.2">
      <c r="C3749"/>
    </row>
    <row r="3750" spans="3:3" x14ac:dyDescent="0.2">
      <c r="C3750"/>
    </row>
    <row r="3751" spans="3:3" x14ac:dyDescent="0.2">
      <c r="C3751"/>
    </row>
    <row r="3752" spans="3:3" x14ac:dyDescent="0.2">
      <c r="C3752"/>
    </row>
    <row r="3753" spans="3:3" x14ac:dyDescent="0.2">
      <c r="C3753"/>
    </row>
    <row r="3754" spans="3:3" x14ac:dyDescent="0.2">
      <c r="C3754"/>
    </row>
    <row r="3755" spans="3:3" x14ac:dyDescent="0.2">
      <c r="C3755"/>
    </row>
    <row r="3756" spans="3:3" x14ac:dyDescent="0.2">
      <c r="C3756"/>
    </row>
    <row r="3757" spans="3:3" x14ac:dyDescent="0.2">
      <c r="C3757"/>
    </row>
    <row r="3758" spans="3:3" x14ac:dyDescent="0.2">
      <c r="C3758"/>
    </row>
    <row r="3759" spans="3:3" x14ac:dyDescent="0.2">
      <c r="C3759"/>
    </row>
    <row r="3760" spans="3:3" x14ac:dyDescent="0.2">
      <c r="C3760"/>
    </row>
    <row r="3761" spans="3:3" x14ac:dyDescent="0.2">
      <c r="C3761"/>
    </row>
    <row r="3762" spans="3:3" x14ac:dyDescent="0.2">
      <c r="C3762"/>
    </row>
    <row r="3763" spans="3:3" x14ac:dyDescent="0.2">
      <c r="C3763"/>
    </row>
    <row r="3764" spans="3:3" x14ac:dyDescent="0.2">
      <c r="C3764"/>
    </row>
    <row r="3765" spans="3:3" x14ac:dyDescent="0.2">
      <c r="C3765"/>
    </row>
    <row r="3766" spans="3:3" x14ac:dyDescent="0.2">
      <c r="C3766"/>
    </row>
    <row r="3767" spans="3:3" x14ac:dyDescent="0.2">
      <c r="C3767"/>
    </row>
    <row r="3768" spans="3:3" x14ac:dyDescent="0.2">
      <c r="C3768"/>
    </row>
    <row r="3769" spans="3:3" x14ac:dyDescent="0.2">
      <c r="C3769"/>
    </row>
    <row r="3770" spans="3:3" x14ac:dyDescent="0.2">
      <c r="C3770"/>
    </row>
    <row r="3771" spans="3:3" x14ac:dyDescent="0.2">
      <c r="C3771"/>
    </row>
    <row r="3772" spans="3:3" x14ac:dyDescent="0.2">
      <c r="C3772"/>
    </row>
    <row r="3773" spans="3:3" x14ac:dyDescent="0.2">
      <c r="C3773"/>
    </row>
    <row r="3774" spans="3:3" x14ac:dyDescent="0.2">
      <c r="C3774"/>
    </row>
    <row r="3775" spans="3:3" x14ac:dyDescent="0.2">
      <c r="C3775"/>
    </row>
    <row r="3776" spans="3:3" x14ac:dyDescent="0.2">
      <c r="C3776"/>
    </row>
    <row r="3777" spans="3:3" x14ac:dyDescent="0.2">
      <c r="C3777"/>
    </row>
    <row r="3778" spans="3:3" x14ac:dyDescent="0.2">
      <c r="C3778"/>
    </row>
    <row r="3779" spans="3:3" x14ac:dyDescent="0.2">
      <c r="C3779"/>
    </row>
    <row r="3780" spans="3:3" x14ac:dyDescent="0.2">
      <c r="C3780"/>
    </row>
    <row r="3781" spans="3:3" x14ac:dyDescent="0.2">
      <c r="C3781"/>
    </row>
    <row r="3782" spans="3:3" x14ac:dyDescent="0.2">
      <c r="C3782"/>
    </row>
    <row r="3783" spans="3:3" x14ac:dyDescent="0.2">
      <c r="C3783"/>
    </row>
    <row r="3784" spans="3:3" x14ac:dyDescent="0.2">
      <c r="C3784"/>
    </row>
    <row r="3785" spans="3:3" x14ac:dyDescent="0.2">
      <c r="C3785"/>
    </row>
    <row r="3786" spans="3:3" x14ac:dyDescent="0.2">
      <c r="C3786"/>
    </row>
    <row r="3787" spans="3:3" x14ac:dyDescent="0.2">
      <c r="C3787"/>
    </row>
    <row r="3788" spans="3:3" x14ac:dyDescent="0.2">
      <c r="C3788"/>
    </row>
    <row r="3789" spans="3:3" x14ac:dyDescent="0.2">
      <c r="C3789"/>
    </row>
    <row r="3790" spans="3:3" x14ac:dyDescent="0.2">
      <c r="C3790"/>
    </row>
    <row r="3791" spans="3:3" x14ac:dyDescent="0.2">
      <c r="C3791"/>
    </row>
    <row r="3792" spans="3:3" x14ac:dyDescent="0.2">
      <c r="C3792"/>
    </row>
    <row r="3793" spans="3:3" x14ac:dyDescent="0.2">
      <c r="C3793"/>
    </row>
    <row r="3794" spans="3:3" x14ac:dyDescent="0.2">
      <c r="C3794"/>
    </row>
    <row r="3795" spans="3:3" x14ac:dyDescent="0.2">
      <c r="C3795"/>
    </row>
    <row r="3796" spans="3:3" x14ac:dyDescent="0.2">
      <c r="C3796"/>
    </row>
    <row r="3797" spans="3:3" x14ac:dyDescent="0.2">
      <c r="C3797"/>
    </row>
    <row r="3798" spans="3:3" x14ac:dyDescent="0.2">
      <c r="C3798"/>
    </row>
    <row r="3799" spans="3:3" x14ac:dyDescent="0.2">
      <c r="C3799"/>
    </row>
    <row r="3800" spans="3:3" x14ac:dyDescent="0.2">
      <c r="C3800"/>
    </row>
    <row r="3801" spans="3:3" x14ac:dyDescent="0.2">
      <c r="C3801"/>
    </row>
    <row r="3802" spans="3:3" x14ac:dyDescent="0.2">
      <c r="C3802"/>
    </row>
    <row r="3803" spans="3:3" x14ac:dyDescent="0.2">
      <c r="C3803"/>
    </row>
    <row r="3804" spans="3:3" x14ac:dyDescent="0.2">
      <c r="C3804"/>
    </row>
    <row r="3805" spans="3:3" x14ac:dyDescent="0.2">
      <c r="C3805"/>
    </row>
    <row r="3806" spans="3:3" x14ac:dyDescent="0.2">
      <c r="C3806"/>
    </row>
    <row r="3807" spans="3:3" x14ac:dyDescent="0.2">
      <c r="C3807"/>
    </row>
    <row r="3808" spans="3:3" x14ac:dyDescent="0.2">
      <c r="C3808"/>
    </row>
    <row r="3809" spans="3:3" x14ac:dyDescent="0.2">
      <c r="C3809"/>
    </row>
    <row r="3810" spans="3:3" x14ac:dyDescent="0.2">
      <c r="C3810"/>
    </row>
    <row r="3811" spans="3:3" x14ac:dyDescent="0.2">
      <c r="C3811"/>
    </row>
    <row r="3812" spans="3:3" x14ac:dyDescent="0.2">
      <c r="C3812"/>
    </row>
    <row r="3813" spans="3:3" x14ac:dyDescent="0.2">
      <c r="C3813"/>
    </row>
    <row r="3814" spans="3:3" x14ac:dyDescent="0.2">
      <c r="C3814"/>
    </row>
    <row r="3815" spans="3:3" x14ac:dyDescent="0.2">
      <c r="C3815"/>
    </row>
    <row r="3816" spans="3:3" x14ac:dyDescent="0.2">
      <c r="C3816"/>
    </row>
    <row r="3817" spans="3:3" x14ac:dyDescent="0.2">
      <c r="C3817"/>
    </row>
    <row r="3818" spans="3:3" x14ac:dyDescent="0.2">
      <c r="C3818"/>
    </row>
    <row r="3819" spans="3:3" x14ac:dyDescent="0.2">
      <c r="C3819"/>
    </row>
    <row r="3820" spans="3:3" x14ac:dyDescent="0.2">
      <c r="C3820"/>
    </row>
    <row r="3821" spans="3:3" x14ac:dyDescent="0.2">
      <c r="C3821"/>
    </row>
    <row r="3822" spans="3:3" x14ac:dyDescent="0.2">
      <c r="C3822"/>
    </row>
    <row r="3823" spans="3:3" x14ac:dyDescent="0.2">
      <c r="C3823"/>
    </row>
    <row r="3824" spans="3:3" x14ac:dyDescent="0.2">
      <c r="C3824"/>
    </row>
    <row r="3825" spans="3:3" x14ac:dyDescent="0.2">
      <c r="C3825"/>
    </row>
    <row r="3826" spans="3:3" x14ac:dyDescent="0.2">
      <c r="C3826"/>
    </row>
    <row r="3827" spans="3:3" x14ac:dyDescent="0.2">
      <c r="C3827"/>
    </row>
    <row r="3828" spans="3:3" x14ac:dyDescent="0.2">
      <c r="C3828"/>
    </row>
    <row r="3829" spans="3:3" x14ac:dyDescent="0.2">
      <c r="C3829"/>
    </row>
    <row r="3830" spans="3:3" x14ac:dyDescent="0.2">
      <c r="C3830"/>
    </row>
    <row r="3831" spans="3:3" x14ac:dyDescent="0.2">
      <c r="C3831"/>
    </row>
    <row r="3832" spans="3:3" x14ac:dyDescent="0.2">
      <c r="C3832"/>
    </row>
    <row r="3833" spans="3:3" x14ac:dyDescent="0.2">
      <c r="C3833"/>
    </row>
    <row r="3834" spans="3:3" x14ac:dyDescent="0.2">
      <c r="C3834"/>
    </row>
    <row r="3835" spans="3:3" x14ac:dyDescent="0.2">
      <c r="C3835"/>
    </row>
    <row r="3836" spans="3:3" x14ac:dyDescent="0.2">
      <c r="C3836"/>
    </row>
    <row r="3837" spans="3:3" x14ac:dyDescent="0.2">
      <c r="C3837"/>
    </row>
    <row r="3838" spans="3:3" x14ac:dyDescent="0.2">
      <c r="C3838"/>
    </row>
    <row r="3839" spans="3:3" x14ac:dyDescent="0.2">
      <c r="C3839"/>
    </row>
    <row r="3840" spans="3:3" x14ac:dyDescent="0.2">
      <c r="C3840"/>
    </row>
    <row r="3841" spans="3:3" x14ac:dyDescent="0.2">
      <c r="C3841"/>
    </row>
    <row r="3842" spans="3:3" x14ac:dyDescent="0.2">
      <c r="C3842"/>
    </row>
    <row r="3843" spans="3:3" x14ac:dyDescent="0.2">
      <c r="C3843"/>
    </row>
    <row r="3844" spans="3:3" x14ac:dyDescent="0.2">
      <c r="C3844"/>
    </row>
    <row r="3845" spans="3:3" x14ac:dyDescent="0.2">
      <c r="C3845"/>
    </row>
    <row r="3846" spans="3:3" x14ac:dyDescent="0.2">
      <c r="C3846"/>
    </row>
    <row r="3847" spans="3:3" x14ac:dyDescent="0.2">
      <c r="C3847"/>
    </row>
    <row r="3848" spans="3:3" x14ac:dyDescent="0.2">
      <c r="C3848"/>
    </row>
    <row r="3849" spans="3:3" x14ac:dyDescent="0.2">
      <c r="C3849"/>
    </row>
    <row r="3850" spans="3:3" x14ac:dyDescent="0.2">
      <c r="C3850"/>
    </row>
    <row r="3851" spans="3:3" x14ac:dyDescent="0.2">
      <c r="C3851"/>
    </row>
    <row r="3852" spans="3:3" x14ac:dyDescent="0.2">
      <c r="C3852"/>
    </row>
    <row r="3853" spans="3:3" x14ac:dyDescent="0.2">
      <c r="C3853"/>
    </row>
    <row r="3854" spans="3:3" x14ac:dyDescent="0.2">
      <c r="C3854"/>
    </row>
    <row r="3855" spans="3:3" x14ac:dyDescent="0.2">
      <c r="C3855"/>
    </row>
    <row r="3856" spans="3:3" x14ac:dyDescent="0.2">
      <c r="C3856"/>
    </row>
    <row r="3857" spans="3:3" x14ac:dyDescent="0.2">
      <c r="C3857"/>
    </row>
    <row r="3858" spans="3:3" x14ac:dyDescent="0.2">
      <c r="C3858"/>
    </row>
    <row r="3859" spans="3:3" x14ac:dyDescent="0.2">
      <c r="C3859"/>
    </row>
    <row r="3860" spans="3:3" x14ac:dyDescent="0.2">
      <c r="C3860"/>
    </row>
    <row r="3861" spans="3:3" x14ac:dyDescent="0.2">
      <c r="C3861"/>
    </row>
    <row r="3862" spans="3:3" x14ac:dyDescent="0.2">
      <c r="C3862"/>
    </row>
    <row r="3863" spans="3:3" x14ac:dyDescent="0.2">
      <c r="C3863"/>
    </row>
    <row r="3864" spans="3:3" x14ac:dyDescent="0.2">
      <c r="C3864"/>
    </row>
    <row r="3865" spans="3:3" x14ac:dyDescent="0.2">
      <c r="C3865"/>
    </row>
    <row r="3866" spans="3:3" x14ac:dyDescent="0.2">
      <c r="C3866"/>
    </row>
    <row r="3867" spans="3:3" x14ac:dyDescent="0.2">
      <c r="C3867"/>
    </row>
    <row r="3868" spans="3:3" x14ac:dyDescent="0.2">
      <c r="C3868"/>
    </row>
    <row r="3869" spans="3:3" x14ac:dyDescent="0.2">
      <c r="C3869"/>
    </row>
    <row r="3870" spans="3:3" x14ac:dyDescent="0.2">
      <c r="C3870"/>
    </row>
    <row r="3871" spans="3:3" x14ac:dyDescent="0.2">
      <c r="C3871"/>
    </row>
    <row r="3872" spans="3:3" x14ac:dyDescent="0.2">
      <c r="C3872"/>
    </row>
    <row r="3873" spans="3:3" x14ac:dyDescent="0.2">
      <c r="C3873"/>
    </row>
    <row r="3874" spans="3:3" x14ac:dyDescent="0.2">
      <c r="C3874"/>
    </row>
    <row r="3875" spans="3:3" x14ac:dyDescent="0.2">
      <c r="C3875"/>
    </row>
    <row r="3876" spans="3:3" x14ac:dyDescent="0.2">
      <c r="C3876"/>
    </row>
    <row r="3877" spans="3:3" x14ac:dyDescent="0.2">
      <c r="C3877"/>
    </row>
    <row r="3878" spans="3:3" x14ac:dyDescent="0.2">
      <c r="C3878"/>
    </row>
    <row r="3879" spans="3:3" x14ac:dyDescent="0.2">
      <c r="C3879"/>
    </row>
    <row r="3880" spans="3:3" x14ac:dyDescent="0.2">
      <c r="C3880"/>
    </row>
    <row r="3881" spans="3:3" x14ac:dyDescent="0.2">
      <c r="C3881"/>
    </row>
    <row r="3882" spans="3:3" x14ac:dyDescent="0.2">
      <c r="C3882"/>
    </row>
    <row r="3883" spans="3:3" x14ac:dyDescent="0.2">
      <c r="C3883"/>
    </row>
    <row r="3884" spans="3:3" x14ac:dyDescent="0.2">
      <c r="C3884"/>
    </row>
    <row r="3885" spans="3:3" x14ac:dyDescent="0.2">
      <c r="C3885"/>
    </row>
    <row r="3886" spans="3:3" x14ac:dyDescent="0.2">
      <c r="C3886"/>
    </row>
    <row r="3887" spans="3:3" x14ac:dyDescent="0.2">
      <c r="C3887"/>
    </row>
    <row r="3888" spans="3:3" x14ac:dyDescent="0.2">
      <c r="C3888"/>
    </row>
    <row r="3889" spans="3:3" x14ac:dyDescent="0.2">
      <c r="C3889"/>
    </row>
    <row r="3890" spans="3:3" x14ac:dyDescent="0.2">
      <c r="C3890"/>
    </row>
    <row r="3891" spans="3:3" x14ac:dyDescent="0.2">
      <c r="C3891"/>
    </row>
    <row r="3892" spans="3:3" x14ac:dyDescent="0.2">
      <c r="C3892"/>
    </row>
    <row r="3893" spans="3:3" x14ac:dyDescent="0.2">
      <c r="C3893"/>
    </row>
    <row r="3894" spans="3:3" x14ac:dyDescent="0.2">
      <c r="C3894"/>
    </row>
    <row r="3895" spans="3:3" x14ac:dyDescent="0.2">
      <c r="C3895"/>
    </row>
    <row r="3896" spans="3:3" x14ac:dyDescent="0.2">
      <c r="C3896"/>
    </row>
    <row r="3897" spans="3:3" x14ac:dyDescent="0.2">
      <c r="C3897"/>
    </row>
    <row r="3898" spans="3:3" x14ac:dyDescent="0.2">
      <c r="C3898"/>
    </row>
    <row r="3899" spans="3:3" x14ac:dyDescent="0.2">
      <c r="C3899"/>
    </row>
    <row r="3900" spans="3:3" x14ac:dyDescent="0.2">
      <c r="C3900"/>
    </row>
    <row r="3901" spans="3:3" x14ac:dyDescent="0.2">
      <c r="C3901"/>
    </row>
    <row r="3902" spans="3:3" x14ac:dyDescent="0.2">
      <c r="C3902"/>
    </row>
    <row r="3903" spans="3:3" x14ac:dyDescent="0.2">
      <c r="C3903"/>
    </row>
    <row r="3904" spans="3:3" x14ac:dyDescent="0.2">
      <c r="C3904"/>
    </row>
    <row r="3905" spans="3:3" x14ac:dyDescent="0.2">
      <c r="C3905"/>
    </row>
    <row r="3906" spans="3:3" x14ac:dyDescent="0.2">
      <c r="C3906"/>
    </row>
    <row r="3907" spans="3:3" x14ac:dyDescent="0.2">
      <c r="C3907"/>
    </row>
    <row r="3908" spans="3:3" x14ac:dyDescent="0.2">
      <c r="C3908"/>
    </row>
    <row r="3909" spans="3:3" x14ac:dyDescent="0.2">
      <c r="C3909"/>
    </row>
    <row r="3910" spans="3:3" x14ac:dyDescent="0.2">
      <c r="C3910"/>
    </row>
    <row r="3911" spans="3:3" x14ac:dyDescent="0.2">
      <c r="C3911"/>
    </row>
    <row r="3912" spans="3:3" x14ac:dyDescent="0.2">
      <c r="C3912"/>
    </row>
    <row r="3913" spans="3:3" x14ac:dyDescent="0.2">
      <c r="C3913"/>
    </row>
    <row r="3914" spans="3:3" x14ac:dyDescent="0.2">
      <c r="C3914"/>
    </row>
    <row r="3915" spans="3:3" x14ac:dyDescent="0.2">
      <c r="C3915"/>
    </row>
    <row r="3916" spans="3:3" x14ac:dyDescent="0.2">
      <c r="C3916"/>
    </row>
    <row r="3917" spans="3:3" x14ac:dyDescent="0.2">
      <c r="C3917"/>
    </row>
    <row r="3918" spans="3:3" x14ac:dyDescent="0.2">
      <c r="C3918"/>
    </row>
    <row r="3919" spans="3:3" x14ac:dyDescent="0.2">
      <c r="C3919"/>
    </row>
    <row r="3920" spans="3:3" x14ac:dyDescent="0.2">
      <c r="C3920"/>
    </row>
    <row r="3921" spans="3:3" x14ac:dyDescent="0.2">
      <c r="C3921"/>
    </row>
    <row r="3922" spans="3:3" x14ac:dyDescent="0.2">
      <c r="C3922"/>
    </row>
    <row r="3923" spans="3:3" x14ac:dyDescent="0.2">
      <c r="C3923"/>
    </row>
    <row r="3924" spans="3:3" x14ac:dyDescent="0.2">
      <c r="C3924"/>
    </row>
    <row r="3925" spans="3:3" x14ac:dyDescent="0.2">
      <c r="C3925"/>
    </row>
    <row r="3926" spans="3:3" x14ac:dyDescent="0.2">
      <c r="C3926"/>
    </row>
    <row r="3927" spans="3:3" x14ac:dyDescent="0.2">
      <c r="C3927"/>
    </row>
    <row r="3928" spans="3:3" x14ac:dyDescent="0.2">
      <c r="C3928"/>
    </row>
    <row r="3929" spans="3:3" x14ac:dyDescent="0.2">
      <c r="C3929"/>
    </row>
    <row r="3930" spans="3:3" x14ac:dyDescent="0.2">
      <c r="C3930"/>
    </row>
    <row r="3931" spans="3:3" x14ac:dyDescent="0.2">
      <c r="C3931"/>
    </row>
    <row r="3932" spans="3:3" x14ac:dyDescent="0.2">
      <c r="C3932"/>
    </row>
    <row r="3933" spans="3:3" x14ac:dyDescent="0.2">
      <c r="C3933"/>
    </row>
    <row r="3934" spans="3:3" x14ac:dyDescent="0.2">
      <c r="C3934"/>
    </row>
    <row r="3935" spans="3:3" x14ac:dyDescent="0.2">
      <c r="C3935"/>
    </row>
    <row r="3936" spans="3:3" x14ac:dyDescent="0.2">
      <c r="C3936"/>
    </row>
    <row r="3937" spans="3:3" x14ac:dyDescent="0.2">
      <c r="C3937"/>
    </row>
    <row r="3938" spans="3:3" x14ac:dyDescent="0.2">
      <c r="C3938"/>
    </row>
    <row r="3939" spans="3:3" x14ac:dyDescent="0.2">
      <c r="C3939"/>
    </row>
    <row r="3940" spans="3:3" x14ac:dyDescent="0.2">
      <c r="C3940"/>
    </row>
    <row r="3941" spans="3:3" x14ac:dyDescent="0.2">
      <c r="C3941"/>
    </row>
    <row r="3942" spans="3:3" x14ac:dyDescent="0.2">
      <c r="C3942"/>
    </row>
    <row r="3943" spans="3:3" x14ac:dyDescent="0.2">
      <c r="C3943"/>
    </row>
    <row r="3944" spans="3:3" x14ac:dyDescent="0.2">
      <c r="C3944"/>
    </row>
    <row r="3945" spans="3:3" x14ac:dyDescent="0.2">
      <c r="C3945"/>
    </row>
    <row r="3946" spans="3:3" x14ac:dyDescent="0.2">
      <c r="C3946"/>
    </row>
    <row r="3947" spans="3:3" x14ac:dyDescent="0.2">
      <c r="C3947"/>
    </row>
    <row r="3948" spans="3:3" x14ac:dyDescent="0.2">
      <c r="C3948"/>
    </row>
    <row r="3949" spans="3:3" x14ac:dyDescent="0.2">
      <c r="C3949"/>
    </row>
    <row r="3950" spans="3:3" x14ac:dyDescent="0.2">
      <c r="C3950"/>
    </row>
    <row r="3951" spans="3:3" x14ac:dyDescent="0.2">
      <c r="C3951"/>
    </row>
    <row r="3952" spans="3:3" x14ac:dyDescent="0.2">
      <c r="C3952"/>
    </row>
    <row r="3953" spans="3:3" x14ac:dyDescent="0.2">
      <c r="C3953"/>
    </row>
    <row r="3954" spans="3:3" x14ac:dyDescent="0.2">
      <c r="C3954"/>
    </row>
    <row r="3955" spans="3:3" x14ac:dyDescent="0.2">
      <c r="C3955"/>
    </row>
    <row r="3956" spans="3:3" x14ac:dyDescent="0.2">
      <c r="C3956"/>
    </row>
    <row r="3957" spans="3:3" x14ac:dyDescent="0.2">
      <c r="C3957"/>
    </row>
    <row r="3958" spans="3:3" x14ac:dyDescent="0.2">
      <c r="C3958"/>
    </row>
    <row r="3959" spans="3:3" x14ac:dyDescent="0.2">
      <c r="C3959"/>
    </row>
    <row r="3960" spans="3:3" x14ac:dyDescent="0.2">
      <c r="C3960"/>
    </row>
    <row r="3961" spans="3:3" x14ac:dyDescent="0.2">
      <c r="C3961"/>
    </row>
    <row r="3962" spans="3:3" x14ac:dyDescent="0.2">
      <c r="C3962"/>
    </row>
    <row r="3963" spans="3:3" x14ac:dyDescent="0.2">
      <c r="C3963"/>
    </row>
    <row r="3964" spans="3:3" x14ac:dyDescent="0.2">
      <c r="C3964"/>
    </row>
    <row r="3965" spans="3:3" x14ac:dyDescent="0.2">
      <c r="C3965"/>
    </row>
    <row r="3966" spans="3:3" x14ac:dyDescent="0.2">
      <c r="C3966"/>
    </row>
    <row r="3967" spans="3:3" x14ac:dyDescent="0.2">
      <c r="C3967"/>
    </row>
    <row r="3968" spans="3:3" x14ac:dyDescent="0.2">
      <c r="C3968"/>
    </row>
    <row r="3969" spans="3:3" x14ac:dyDescent="0.2">
      <c r="C3969"/>
    </row>
    <row r="3970" spans="3:3" x14ac:dyDescent="0.2">
      <c r="C3970"/>
    </row>
    <row r="3971" spans="3:3" x14ac:dyDescent="0.2">
      <c r="C3971"/>
    </row>
    <row r="3972" spans="3:3" x14ac:dyDescent="0.2">
      <c r="C3972"/>
    </row>
    <row r="3973" spans="3:3" x14ac:dyDescent="0.2">
      <c r="C3973"/>
    </row>
    <row r="3974" spans="3:3" x14ac:dyDescent="0.2">
      <c r="C3974"/>
    </row>
    <row r="3975" spans="3:3" x14ac:dyDescent="0.2">
      <c r="C3975"/>
    </row>
    <row r="3976" spans="3:3" x14ac:dyDescent="0.2">
      <c r="C3976"/>
    </row>
    <row r="3977" spans="3:3" x14ac:dyDescent="0.2">
      <c r="C3977"/>
    </row>
    <row r="3978" spans="3:3" x14ac:dyDescent="0.2">
      <c r="C3978"/>
    </row>
    <row r="3979" spans="3:3" x14ac:dyDescent="0.2">
      <c r="C3979"/>
    </row>
    <row r="3980" spans="3:3" x14ac:dyDescent="0.2">
      <c r="C3980"/>
    </row>
    <row r="3981" spans="3:3" x14ac:dyDescent="0.2">
      <c r="C3981"/>
    </row>
    <row r="3982" spans="3:3" x14ac:dyDescent="0.2">
      <c r="C3982"/>
    </row>
    <row r="3983" spans="3:3" x14ac:dyDescent="0.2">
      <c r="C3983"/>
    </row>
    <row r="3984" spans="3:3" x14ac:dyDescent="0.2">
      <c r="C3984"/>
    </row>
    <row r="3985" spans="3:3" x14ac:dyDescent="0.2">
      <c r="C3985"/>
    </row>
    <row r="3986" spans="3:3" x14ac:dyDescent="0.2">
      <c r="C3986"/>
    </row>
    <row r="3987" spans="3:3" x14ac:dyDescent="0.2">
      <c r="C3987"/>
    </row>
    <row r="3988" spans="3:3" x14ac:dyDescent="0.2">
      <c r="C3988"/>
    </row>
    <row r="3989" spans="3:3" x14ac:dyDescent="0.2">
      <c r="C3989"/>
    </row>
    <row r="3990" spans="3:3" x14ac:dyDescent="0.2">
      <c r="C3990"/>
    </row>
    <row r="3991" spans="3:3" x14ac:dyDescent="0.2">
      <c r="C3991"/>
    </row>
    <row r="3992" spans="3:3" x14ac:dyDescent="0.2">
      <c r="C3992"/>
    </row>
    <row r="3993" spans="3:3" x14ac:dyDescent="0.2">
      <c r="C3993"/>
    </row>
    <row r="3994" spans="3:3" x14ac:dyDescent="0.2">
      <c r="C3994"/>
    </row>
    <row r="3995" spans="3:3" x14ac:dyDescent="0.2">
      <c r="C3995"/>
    </row>
    <row r="3996" spans="3:3" x14ac:dyDescent="0.2">
      <c r="C3996"/>
    </row>
    <row r="3997" spans="3:3" x14ac:dyDescent="0.2">
      <c r="C3997"/>
    </row>
    <row r="3998" spans="3:3" x14ac:dyDescent="0.2">
      <c r="C3998"/>
    </row>
    <row r="3999" spans="3:3" x14ac:dyDescent="0.2">
      <c r="C3999"/>
    </row>
    <row r="4000" spans="3:3" x14ac:dyDescent="0.2">
      <c r="C4000"/>
    </row>
    <row r="4001" spans="3:3" x14ac:dyDescent="0.2">
      <c r="C4001"/>
    </row>
    <row r="4002" spans="3:3" x14ac:dyDescent="0.2">
      <c r="C4002"/>
    </row>
    <row r="4003" spans="3:3" x14ac:dyDescent="0.2">
      <c r="C4003"/>
    </row>
    <row r="4004" spans="3:3" x14ac:dyDescent="0.2">
      <c r="C4004"/>
    </row>
    <row r="4005" spans="3:3" x14ac:dyDescent="0.2">
      <c r="C4005"/>
    </row>
    <row r="4006" spans="3:3" x14ac:dyDescent="0.2">
      <c r="C4006"/>
    </row>
    <row r="4007" spans="3:3" x14ac:dyDescent="0.2">
      <c r="C4007"/>
    </row>
    <row r="4008" spans="3:3" x14ac:dyDescent="0.2">
      <c r="C4008"/>
    </row>
    <row r="4009" spans="3:3" x14ac:dyDescent="0.2">
      <c r="C4009"/>
    </row>
    <row r="4010" spans="3:3" x14ac:dyDescent="0.2">
      <c r="C4010"/>
    </row>
    <row r="4011" spans="3:3" x14ac:dyDescent="0.2">
      <c r="C4011"/>
    </row>
    <row r="4012" spans="3:3" x14ac:dyDescent="0.2">
      <c r="C4012"/>
    </row>
    <row r="4013" spans="3:3" x14ac:dyDescent="0.2">
      <c r="C4013"/>
    </row>
    <row r="4014" spans="3:3" x14ac:dyDescent="0.2">
      <c r="C4014"/>
    </row>
    <row r="4015" spans="3:3" x14ac:dyDescent="0.2">
      <c r="C4015"/>
    </row>
    <row r="4016" spans="3:3" x14ac:dyDescent="0.2">
      <c r="C4016"/>
    </row>
    <row r="4017" spans="3:3" x14ac:dyDescent="0.2">
      <c r="C4017"/>
    </row>
    <row r="4018" spans="3:3" x14ac:dyDescent="0.2">
      <c r="C4018"/>
    </row>
    <row r="4019" spans="3:3" x14ac:dyDescent="0.2">
      <c r="C4019"/>
    </row>
    <row r="4020" spans="3:3" x14ac:dyDescent="0.2">
      <c r="C4020"/>
    </row>
    <row r="4021" spans="3:3" x14ac:dyDescent="0.2">
      <c r="C4021"/>
    </row>
    <row r="4022" spans="3:3" x14ac:dyDescent="0.2">
      <c r="C4022"/>
    </row>
    <row r="4023" spans="3:3" x14ac:dyDescent="0.2">
      <c r="C4023"/>
    </row>
    <row r="4024" spans="3:3" x14ac:dyDescent="0.2">
      <c r="C4024"/>
    </row>
    <row r="4025" spans="3:3" x14ac:dyDescent="0.2">
      <c r="C4025"/>
    </row>
    <row r="4026" spans="3:3" x14ac:dyDescent="0.2">
      <c r="C4026"/>
    </row>
    <row r="4027" spans="3:3" x14ac:dyDescent="0.2">
      <c r="C4027"/>
    </row>
    <row r="4028" spans="3:3" x14ac:dyDescent="0.2">
      <c r="C4028"/>
    </row>
    <row r="4029" spans="3:3" x14ac:dyDescent="0.2">
      <c r="C4029"/>
    </row>
    <row r="4030" spans="3:3" x14ac:dyDescent="0.2">
      <c r="C4030"/>
    </row>
    <row r="4031" spans="3:3" x14ac:dyDescent="0.2">
      <c r="C4031"/>
    </row>
    <row r="4032" spans="3:3" x14ac:dyDescent="0.2">
      <c r="C4032"/>
    </row>
    <row r="4033" spans="3:3" x14ac:dyDescent="0.2">
      <c r="C4033"/>
    </row>
    <row r="4034" spans="3:3" x14ac:dyDescent="0.2">
      <c r="C4034"/>
    </row>
    <row r="4035" spans="3:3" x14ac:dyDescent="0.2">
      <c r="C4035"/>
    </row>
    <row r="4036" spans="3:3" x14ac:dyDescent="0.2">
      <c r="C4036"/>
    </row>
    <row r="4037" spans="3:3" x14ac:dyDescent="0.2">
      <c r="C4037"/>
    </row>
    <row r="4038" spans="3:3" x14ac:dyDescent="0.2">
      <c r="C4038"/>
    </row>
    <row r="4039" spans="3:3" x14ac:dyDescent="0.2">
      <c r="C4039"/>
    </row>
    <row r="4040" spans="3:3" x14ac:dyDescent="0.2">
      <c r="C4040"/>
    </row>
    <row r="4041" spans="3:3" x14ac:dyDescent="0.2">
      <c r="C4041"/>
    </row>
    <row r="4042" spans="3:3" x14ac:dyDescent="0.2">
      <c r="C4042"/>
    </row>
    <row r="4043" spans="3:3" x14ac:dyDescent="0.2">
      <c r="C4043"/>
    </row>
    <row r="4044" spans="3:3" x14ac:dyDescent="0.2">
      <c r="C4044"/>
    </row>
    <row r="4045" spans="3:3" x14ac:dyDescent="0.2">
      <c r="C4045"/>
    </row>
    <row r="4046" spans="3:3" x14ac:dyDescent="0.2">
      <c r="C4046"/>
    </row>
    <row r="4047" spans="3:3" x14ac:dyDescent="0.2">
      <c r="C4047"/>
    </row>
    <row r="4048" spans="3:3" x14ac:dyDescent="0.2">
      <c r="C4048"/>
    </row>
    <row r="4049" spans="3:3" x14ac:dyDescent="0.2">
      <c r="C4049"/>
    </row>
    <row r="4050" spans="3:3" x14ac:dyDescent="0.2">
      <c r="C4050"/>
    </row>
    <row r="4051" spans="3:3" x14ac:dyDescent="0.2">
      <c r="C4051"/>
    </row>
    <row r="4052" spans="3:3" x14ac:dyDescent="0.2">
      <c r="C4052"/>
    </row>
    <row r="4053" spans="3:3" x14ac:dyDescent="0.2">
      <c r="C4053"/>
    </row>
    <row r="4054" spans="3:3" x14ac:dyDescent="0.2">
      <c r="C4054"/>
    </row>
    <row r="4055" spans="3:3" x14ac:dyDescent="0.2">
      <c r="C4055"/>
    </row>
    <row r="4056" spans="3:3" x14ac:dyDescent="0.2">
      <c r="C4056"/>
    </row>
    <row r="4057" spans="3:3" x14ac:dyDescent="0.2">
      <c r="C4057"/>
    </row>
    <row r="4058" spans="3:3" x14ac:dyDescent="0.2">
      <c r="C4058"/>
    </row>
    <row r="4059" spans="3:3" x14ac:dyDescent="0.2">
      <c r="C4059"/>
    </row>
    <row r="4060" spans="3:3" x14ac:dyDescent="0.2">
      <c r="C4060"/>
    </row>
    <row r="4061" spans="3:3" x14ac:dyDescent="0.2">
      <c r="C4061"/>
    </row>
    <row r="4062" spans="3:3" x14ac:dyDescent="0.2">
      <c r="C4062"/>
    </row>
    <row r="4063" spans="3:3" x14ac:dyDescent="0.2">
      <c r="C4063"/>
    </row>
    <row r="4064" spans="3:3" x14ac:dyDescent="0.2">
      <c r="C4064"/>
    </row>
    <row r="4065" spans="3:3" x14ac:dyDescent="0.2">
      <c r="C4065"/>
    </row>
    <row r="4066" spans="3:3" x14ac:dyDescent="0.2">
      <c r="C4066"/>
    </row>
    <row r="4067" spans="3:3" x14ac:dyDescent="0.2">
      <c r="C4067"/>
    </row>
    <row r="4068" spans="3:3" x14ac:dyDescent="0.2">
      <c r="C4068"/>
    </row>
    <row r="4069" spans="3:3" x14ac:dyDescent="0.2">
      <c r="C4069"/>
    </row>
    <row r="4070" spans="3:3" x14ac:dyDescent="0.2">
      <c r="C4070"/>
    </row>
    <row r="4071" spans="3:3" x14ac:dyDescent="0.2">
      <c r="C4071"/>
    </row>
    <row r="4072" spans="3:3" x14ac:dyDescent="0.2">
      <c r="C4072"/>
    </row>
    <row r="4073" spans="3:3" x14ac:dyDescent="0.2">
      <c r="C4073"/>
    </row>
    <row r="4074" spans="3:3" x14ac:dyDescent="0.2">
      <c r="C4074"/>
    </row>
    <row r="4075" spans="3:3" x14ac:dyDescent="0.2">
      <c r="C4075"/>
    </row>
    <row r="4076" spans="3:3" x14ac:dyDescent="0.2">
      <c r="C4076"/>
    </row>
    <row r="4077" spans="3:3" x14ac:dyDescent="0.2">
      <c r="C4077"/>
    </row>
    <row r="4078" spans="3:3" x14ac:dyDescent="0.2">
      <c r="C4078"/>
    </row>
    <row r="4079" spans="3:3" x14ac:dyDescent="0.2">
      <c r="C4079"/>
    </row>
    <row r="4080" spans="3:3" x14ac:dyDescent="0.2">
      <c r="C4080"/>
    </row>
    <row r="4081" spans="3:3" x14ac:dyDescent="0.2">
      <c r="C4081"/>
    </row>
    <row r="4082" spans="3:3" x14ac:dyDescent="0.2">
      <c r="C4082"/>
    </row>
    <row r="4083" spans="3:3" x14ac:dyDescent="0.2">
      <c r="C4083"/>
    </row>
    <row r="4084" spans="3:3" x14ac:dyDescent="0.2">
      <c r="C4084"/>
    </row>
    <row r="4085" spans="3:3" x14ac:dyDescent="0.2">
      <c r="C4085"/>
    </row>
    <row r="4086" spans="3:3" x14ac:dyDescent="0.2">
      <c r="C4086"/>
    </row>
    <row r="4087" spans="3:3" x14ac:dyDescent="0.2">
      <c r="C4087"/>
    </row>
    <row r="4088" spans="3:3" x14ac:dyDescent="0.2">
      <c r="C4088"/>
    </row>
    <row r="4089" spans="3:3" x14ac:dyDescent="0.2">
      <c r="C4089"/>
    </row>
    <row r="4090" spans="3:3" x14ac:dyDescent="0.2">
      <c r="C4090"/>
    </row>
    <row r="4091" spans="3:3" x14ac:dyDescent="0.2">
      <c r="C4091"/>
    </row>
    <row r="4092" spans="3:3" x14ac:dyDescent="0.2">
      <c r="C4092"/>
    </row>
    <row r="4093" spans="3:3" x14ac:dyDescent="0.2">
      <c r="C4093"/>
    </row>
    <row r="4094" spans="3:3" x14ac:dyDescent="0.2">
      <c r="C4094"/>
    </row>
    <row r="4095" spans="3:3" x14ac:dyDescent="0.2">
      <c r="C4095"/>
    </row>
    <row r="4096" spans="3:3" x14ac:dyDescent="0.2">
      <c r="C4096"/>
    </row>
    <row r="4097" spans="3:3" x14ac:dyDescent="0.2">
      <c r="C4097"/>
    </row>
    <row r="4098" spans="3:3" x14ac:dyDescent="0.2">
      <c r="C4098"/>
    </row>
    <row r="4099" spans="3:3" x14ac:dyDescent="0.2">
      <c r="C4099"/>
    </row>
    <row r="4100" spans="3:3" x14ac:dyDescent="0.2">
      <c r="C4100"/>
    </row>
    <row r="4101" spans="3:3" x14ac:dyDescent="0.2">
      <c r="C4101"/>
    </row>
    <row r="4102" spans="3:3" x14ac:dyDescent="0.2">
      <c r="C4102"/>
    </row>
    <row r="4103" spans="3:3" x14ac:dyDescent="0.2">
      <c r="C4103"/>
    </row>
    <row r="4104" spans="3:3" x14ac:dyDescent="0.2">
      <c r="C4104"/>
    </row>
    <row r="4105" spans="3:3" x14ac:dyDescent="0.2">
      <c r="C4105"/>
    </row>
    <row r="4106" spans="3:3" x14ac:dyDescent="0.2">
      <c r="C4106"/>
    </row>
    <row r="4107" spans="3:3" x14ac:dyDescent="0.2">
      <c r="C4107"/>
    </row>
    <row r="4108" spans="3:3" x14ac:dyDescent="0.2">
      <c r="C4108"/>
    </row>
    <row r="4109" spans="3:3" x14ac:dyDescent="0.2">
      <c r="C4109"/>
    </row>
    <row r="4110" spans="3:3" x14ac:dyDescent="0.2">
      <c r="C4110"/>
    </row>
    <row r="4111" spans="3:3" x14ac:dyDescent="0.2">
      <c r="C4111"/>
    </row>
    <row r="4112" spans="3:3" x14ac:dyDescent="0.2">
      <c r="C4112"/>
    </row>
    <row r="4113" spans="3:3" x14ac:dyDescent="0.2">
      <c r="C4113"/>
    </row>
    <row r="4114" spans="3:3" x14ac:dyDescent="0.2">
      <c r="C4114"/>
    </row>
    <row r="4115" spans="3:3" x14ac:dyDescent="0.2">
      <c r="C4115"/>
    </row>
    <row r="4116" spans="3:3" x14ac:dyDescent="0.2">
      <c r="C4116"/>
    </row>
    <row r="4117" spans="3:3" x14ac:dyDescent="0.2">
      <c r="C4117"/>
    </row>
    <row r="4118" spans="3:3" x14ac:dyDescent="0.2">
      <c r="C4118"/>
    </row>
    <row r="4119" spans="3:3" x14ac:dyDescent="0.2">
      <c r="C4119"/>
    </row>
    <row r="4120" spans="3:3" x14ac:dyDescent="0.2">
      <c r="C4120"/>
    </row>
    <row r="4121" spans="3:3" x14ac:dyDescent="0.2">
      <c r="C4121"/>
    </row>
    <row r="4122" spans="3:3" x14ac:dyDescent="0.2">
      <c r="C4122"/>
    </row>
    <row r="4123" spans="3:3" x14ac:dyDescent="0.2">
      <c r="C4123"/>
    </row>
    <row r="4124" spans="3:3" x14ac:dyDescent="0.2">
      <c r="C4124"/>
    </row>
    <row r="4125" spans="3:3" x14ac:dyDescent="0.2">
      <c r="C4125"/>
    </row>
    <row r="4126" spans="3:3" x14ac:dyDescent="0.2">
      <c r="C4126"/>
    </row>
    <row r="4127" spans="3:3" x14ac:dyDescent="0.2">
      <c r="C4127"/>
    </row>
    <row r="4128" spans="3:3" x14ac:dyDescent="0.2">
      <c r="C4128"/>
    </row>
    <row r="4129" spans="3:3" x14ac:dyDescent="0.2">
      <c r="C4129"/>
    </row>
    <row r="4130" spans="3:3" x14ac:dyDescent="0.2">
      <c r="C4130"/>
    </row>
    <row r="4131" spans="3:3" x14ac:dyDescent="0.2">
      <c r="C4131"/>
    </row>
    <row r="4132" spans="3:3" x14ac:dyDescent="0.2">
      <c r="C4132"/>
    </row>
    <row r="4133" spans="3:3" x14ac:dyDescent="0.2">
      <c r="C4133"/>
    </row>
    <row r="4134" spans="3:3" x14ac:dyDescent="0.2">
      <c r="C4134"/>
    </row>
    <row r="4135" spans="3:3" x14ac:dyDescent="0.2">
      <c r="C4135"/>
    </row>
    <row r="4136" spans="3:3" x14ac:dyDescent="0.2">
      <c r="C4136"/>
    </row>
    <row r="4137" spans="3:3" x14ac:dyDescent="0.2">
      <c r="C4137"/>
    </row>
    <row r="4138" spans="3:3" x14ac:dyDescent="0.2">
      <c r="C4138"/>
    </row>
    <row r="4139" spans="3:3" x14ac:dyDescent="0.2">
      <c r="C4139"/>
    </row>
    <row r="4140" spans="3:3" x14ac:dyDescent="0.2">
      <c r="C4140"/>
    </row>
    <row r="4141" spans="3:3" x14ac:dyDescent="0.2">
      <c r="C4141"/>
    </row>
    <row r="4142" spans="3:3" x14ac:dyDescent="0.2">
      <c r="C4142"/>
    </row>
    <row r="4143" spans="3:3" x14ac:dyDescent="0.2">
      <c r="C4143"/>
    </row>
    <row r="4144" spans="3:3" x14ac:dyDescent="0.2">
      <c r="C4144"/>
    </row>
    <row r="4145" spans="3:3" x14ac:dyDescent="0.2">
      <c r="C4145"/>
    </row>
    <row r="4146" spans="3:3" x14ac:dyDescent="0.2">
      <c r="C4146"/>
    </row>
    <row r="4147" spans="3:3" x14ac:dyDescent="0.2">
      <c r="C4147"/>
    </row>
    <row r="4148" spans="3:3" x14ac:dyDescent="0.2">
      <c r="C4148"/>
    </row>
    <row r="4149" spans="3:3" x14ac:dyDescent="0.2">
      <c r="C4149"/>
    </row>
    <row r="4150" spans="3:3" x14ac:dyDescent="0.2">
      <c r="C4150"/>
    </row>
    <row r="4151" spans="3:3" x14ac:dyDescent="0.2">
      <c r="C4151"/>
    </row>
    <row r="4152" spans="3:3" x14ac:dyDescent="0.2">
      <c r="C4152"/>
    </row>
    <row r="4153" spans="3:3" x14ac:dyDescent="0.2">
      <c r="C4153"/>
    </row>
    <row r="4154" spans="3:3" x14ac:dyDescent="0.2">
      <c r="C4154"/>
    </row>
    <row r="4155" spans="3:3" x14ac:dyDescent="0.2">
      <c r="C4155"/>
    </row>
    <row r="4156" spans="3:3" x14ac:dyDescent="0.2">
      <c r="C4156"/>
    </row>
    <row r="4157" spans="3:3" x14ac:dyDescent="0.2">
      <c r="C4157"/>
    </row>
    <row r="4158" spans="3:3" x14ac:dyDescent="0.2">
      <c r="C4158"/>
    </row>
    <row r="4159" spans="3:3" x14ac:dyDescent="0.2">
      <c r="C4159"/>
    </row>
    <row r="4160" spans="3:3" x14ac:dyDescent="0.2">
      <c r="C4160"/>
    </row>
    <row r="4161" spans="3:3" x14ac:dyDescent="0.2">
      <c r="C4161"/>
    </row>
    <row r="4162" spans="3:3" x14ac:dyDescent="0.2">
      <c r="C4162"/>
    </row>
    <row r="4163" spans="3:3" x14ac:dyDescent="0.2">
      <c r="C4163"/>
    </row>
    <row r="4164" spans="3:3" x14ac:dyDescent="0.2">
      <c r="C4164"/>
    </row>
    <row r="4165" spans="3:3" x14ac:dyDescent="0.2">
      <c r="C4165"/>
    </row>
    <row r="4166" spans="3:3" x14ac:dyDescent="0.2">
      <c r="C4166"/>
    </row>
    <row r="4167" spans="3:3" x14ac:dyDescent="0.2">
      <c r="C4167"/>
    </row>
    <row r="4168" spans="3:3" x14ac:dyDescent="0.2">
      <c r="C4168"/>
    </row>
    <row r="4169" spans="3:3" x14ac:dyDescent="0.2">
      <c r="C4169"/>
    </row>
    <row r="4170" spans="3:3" x14ac:dyDescent="0.2">
      <c r="C4170"/>
    </row>
    <row r="4171" spans="3:3" x14ac:dyDescent="0.2">
      <c r="C4171"/>
    </row>
    <row r="4172" spans="3:3" x14ac:dyDescent="0.2">
      <c r="C4172"/>
    </row>
    <row r="4173" spans="3:3" x14ac:dyDescent="0.2">
      <c r="C4173"/>
    </row>
    <row r="4174" spans="3:3" x14ac:dyDescent="0.2">
      <c r="C4174"/>
    </row>
    <row r="4175" spans="3:3" x14ac:dyDescent="0.2">
      <c r="C4175"/>
    </row>
    <row r="4176" spans="3:3" x14ac:dyDescent="0.2">
      <c r="C4176"/>
    </row>
    <row r="4177" spans="3:3" x14ac:dyDescent="0.2">
      <c r="C4177"/>
    </row>
    <row r="4178" spans="3:3" x14ac:dyDescent="0.2">
      <c r="C4178"/>
    </row>
    <row r="4179" spans="3:3" x14ac:dyDescent="0.2">
      <c r="C4179"/>
    </row>
    <row r="4180" spans="3:3" x14ac:dyDescent="0.2">
      <c r="C4180"/>
    </row>
    <row r="4181" spans="3:3" x14ac:dyDescent="0.2">
      <c r="C4181"/>
    </row>
    <row r="4182" spans="3:3" x14ac:dyDescent="0.2">
      <c r="C4182"/>
    </row>
    <row r="4183" spans="3:3" x14ac:dyDescent="0.2">
      <c r="C4183"/>
    </row>
    <row r="4184" spans="3:3" x14ac:dyDescent="0.2">
      <c r="C4184"/>
    </row>
    <row r="4185" spans="3:3" x14ac:dyDescent="0.2">
      <c r="C4185"/>
    </row>
    <row r="4186" spans="3:3" x14ac:dyDescent="0.2">
      <c r="C4186"/>
    </row>
    <row r="4187" spans="3:3" x14ac:dyDescent="0.2">
      <c r="C4187"/>
    </row>
    <row r="4188" spans="3:3" x14ac:dyDescent="0.2">
      <c r="C4188"/>
    </row>
    <row r="4189" spans="3:3" x14ac:dyDescent="0.2">
      <c r="C4189"/>
    </row>
    <row r="4190" spans="3:3" x14ac:dyDescent="0.2">
      <c r="C4190"/>
    </row>
    <row r="4191" spans="3:3" x14ac:dyDescent="0.2">
      <c r="C4191"/>
    </row>
    <row r="4192" spans="3:3" x14ac:dyDescent="0.2">
      <c r="C4192"/>
    </row>
    <row r="4193" spans="3:3" x14ac:dyDescent="0.2">
      <c r="C4193"/>
    </row>
    <row r="4194" spans="3:3" x14ac:dyDescent="0.2">
      <c r="C4194"/>
    </row>
    <row r="4195" spans="3:3" x14ac:dyDescent="0.2">
      <c r="C4195"/>
    </row>
    <row r="4196" spans="3:3" x14ac:dyDescent="0.2">
      <c r="C4196"/>
    </row>
    <row r="4197" spans="3:3" x14ac:dyDescent="0.2">
      <c r="C4197"/>
    </row>
    <row r="4198" spans="3:3" x14ac:dyDescent="0.2">
      <c r="C4198"/>
    </row>
    <row r="4199" spans="3:3" x14ac:dyDescent="0.2">
      <c r="C4199"/>
    </row>
    <row r="4200" spans="3:3" x14ac:dyDescent="0.2">
      <c r="C4200"/>
    </row>
    <row r="4201" spans="3:3" x14ac:dyDescent="0.2">
      <c r="C4201"/>
    </row>
    <row r="4202" spans="3:3" x14ac:dyDescent="0.2">
      <c r="C4202"/>
    </row>
    <row r="4203" spans="3:3" x14ac:dyDescent="0.2">
      <c r="C4203"/>
    </row>
    <row r="4204" spans="3:3" x14ac:dyDescent="0.2">
      <c r="C4204"/>
    </row>
    <row r="4205" spans="3:3" x14ac:dyDescent="0.2">
      <c r="C4205"/>
    </row>
    <row r="4206" spans="3:3" x14ac:dyDescent="0.2">
      <c r="C4206"/>
    </row>
    <row r="4207" spans="3:3" x14ac:dyDescent="0.2">
      <c r="C4207"/>
    </row>
    <row r="4208" spans="3:3" x14ac:dyDescent="0.2">
      <c r="C4208"/>
    </row>
    <row r="4209" spans="3:3" x14ac:dyDescent="0.2">
      <c r="C4209"/>
    </row>
    <row r="4210" spans="3:3" x14ac:dyDescent="0.2">
      <c r="C4210"/>
    </row>
    <row r="4211" spans="3:3" x14ac:dyDescent="0.2">
      <c r="C4211"/>
    </row>
    <row r="4212" spans="3:3" x14ac:dyDescent="0.2">
      <c r="C4212"/>
    </row>
    <row r="4213" spans="3:3" x14ac:dyDescent="0.2">
      <c r="C4213"/>
    </row>
    <row r="4214" spans="3:3" x14ac:dyDescent="0.2">
      <c r="C4214"/>
    </row>
    <row r="4215" spans="3:3" x14ac:dyDescent="0.2">
      <c r="C4215"/>
    </row>
    <row r="4216" spans="3:3" x14ac:dyDescent="0.2">
      <c r="C4216"/>
    </row>
    <row r="4217" spans="3:3" x14ac:dyDescent="0.2">
      <c r="C4217"/>
    </row>
    <row r="4218" spans="3:3" x14ac:dyDescent="0.2">
      <c r="C4218"/>
    </row>
    <row r="4219" spans="3:3" x14ac:dyDescent="0.2">
      <c r="C4219"/>
    </row>
    <row r="4220" spans="3:3" x14ac:dyDescent="0.2">
      <c r="C4220"/>
    </row>
    <row r="4221" spans="3:3" x14ac:dyDescent="0.2">
      <c r="C4221"/>
    </row>
    <row r="4222" spans="3:3" x14ac:dyDescent="0.2">
      <c r="C4222"/>
    </row>
    <row r="4223" spans="3:3" x14ac:dyDescent="0.2">
      <c r="C4223"/>
    </row>
    <row r="4224" spans="3:3" x14ac:dyDescent="0.2">
      <c r="C4224"/>
    </row>
    <row r="4225" spans="3:3" x14ac:dyDescent="0.2">
      <c r="C4225"/>
    </row>
    <row r="4226" spans="3:3" x14ac:dyDescent="0.2">
      <c r="C4226"/>
    </row>
    <row r="4227" spans="3:3" x14ac:dyDescent="0.2">
      <c r="C4227"/>
    </row>
    <row r="4228" spans="3:3" x14ac:dyDescent="0.2">
      <c r="C4228"/>
    </row>
    <row r="4229" spans="3:3" x14ac:dyDescent="0.2">
      <c r="C4229"/>
    </row>
    <row r="4230" spans="3:3" x14ac:dyDescent="0.2">
      <c r="C4230"/>
    </row>
    <row r="4231" spans="3:3" x14ac:dyDescent="0.2">
      <c r="C4231"/>
    </row>
    <row r="4232" spans="3:3" x14ac:dyDescent="0.2">
      <c r="C4232"/>
    </row>
    <row r="4233" spans="3:3" x14ac:dyDescent="0.2">
      <c r="C4233"/>
    </row>
    <row r="4234" spans="3:3" x14ac:dyDescent="0.2">
      <c r="C4234"/>
    </row>
    <row r="4235" spans="3:3" x14ac:dyDescent="0.2">
      <c r="C4235"/>
    </row>
    <row r="4236" spans="3:3" x14ac:dyDescent="0.2">
      <c r="C4236"/>
    </row>
    <row r="4237" spans="3:3" x14ac:dyDescent="0.2">
      <c r="C4237"/>
    </row>
    <row r="4238" spans="3:3" x14ac:dyDescent="0.2">
      <c r="C4238"/>
    </row>
    <row r="4239" spans="3:3" x14ac:dyDescent="0.2">
      <c r="C4239"/>
    </row>
    <row r="4240" spans="3:3" x14ac:dyDescent="0.2">
      <c r="C4240"/>
    </row>
    <row r="4241" spans="3:3" x14ac:dyDescent="0.2">
      <c r="C4241"/>
    </row>
    <row r="4242" spans="3:3" x14ac:dyDescent="0.2">
      <c r="C4242"/>
    </row>
    <row r="4243" spans="3:3" x14ac:dyDescent="0.2">
      <c r="C4243"/>
    </row>
    <row r="4244" spans="3:3" x14ac:dyDescent="0.2">
      <c r="C4244"/>
    </row>
    <row r="4245" spans="3:3" x14ac:dyDescent="0.2">
      <c r="C4245"/>
    </row>
    <row r="4246" spans="3:3" x14ac:dyDescent="0.2">
      <c r="C4246"/>
    </row>
    <row r="4247" spans="3:3" x14ac:dyDescent="0.2">
      <c r="C4247"/>
    </row>
    <row r="4248" spans="3:3" x14ac:dyDescent="0.2">
      <c r="C4248"/>
    </row>
    <row r="4249" spans="3:3" x14ac:dyDescent="0.2">
      <c r="C4249"/>
    </row>
    <row r="4250" spans="3:3" x14ac:dyDescent="0.2">
      <c r="C4250"/>
    </row>
    <row r="4251" spans="3:3" x14ac:dyDescent="0.2">
      <c r="C4251"/>
    </row>
    <row r="4252" spans="3:3" x14ac:dyDescent="0.2">
      <c r="C4252"/>
    </row>
    <row r="4253" spans="3:3" x14ac:dyDescent="0.2">
      <c r="C4253"/>
    </row>
    <row r="4254" spans="3:3" x14ac:dyDescent="0.2">
      <c r="C4254"/>
    </row>
    <row r="4255" spans="3:3" x14ac:dyDescent="0.2">
      <c r="C4255"/>
    </row>
    <row r="4256" spans="3:3" x14ac:dyDescent="0.2">
      <c r="C4256"/>
    </row>
    <row r="4257" spans="3:3" x14ac:dyDescent="0.2">
      <c r="C4257"/>
    </row>
    <row r="4258" spans="3:3" x14ac:dyDescent="0.2">
      <c r="C4258"/>
    </row>
    <row r="4259" spans="3:3" x14ac:dyDescent="0.2">
      <c r="C4259"/>
    </row>
    <row r="4260" spans="3:3" x14ac:dyDescent="0.2">
      <c r="C4260"/>
    </row>
    <row r="4261" spans="3:3" x14ac:dyDescent="0.2">
      <c r="C4261"/>
    </row>
    <row r="4262" spans="3:3" x14ac:dyDescent="0.2">
      <c r="C4262"/>
    </row>
    <row r="4263" spans="3:3" x14ac:dyDescent="0.2">
      <c r="C4263"/>
    </row>
    <row r="4264" spans="3:3" x14ac:dyDescent="0.2">
      <c r="C4264"/>
    </row>
    <row r="4265" spans="3:3" x14ac:dyDescent="0.2">
      <c r="C4265"/>
    </row>
    <row r="4266" spans="3:3" x14ac:dyDescent="0.2">
      <c r="C4266"/>
    </row>
    <row r="4267" spans="3:3" x14ac:dyDescent="0.2">
      <c r="C4267"/>
    </row>
    <row r="4268" spans="3:3" x14ac:dyDescent="0.2">
      <c r="C4268"/>
    </row>
    <row r="4269" spans="3:3" x14ac:dyDescent="0.2">
      <c r="C4269"/>
    </row>
    <row r="4270" spans="3:3" x14ac:dyDescent="0.2">
      <c r="C4270"/>
    </row>
    <row r="4271" spans="3:3" x14ac:dyDescent="0.2">
      <c r="C4271"/>
    </row>
    <row r="4272" spans="3:3" x14ac:dyDescent="0.2">
      <c r="C4272"/>
    </row>
    <row r="4273" spans="3:3" x14ac:dyDescent="0.2">
      <c r="C4273"/>
    </row>
    <row r="4274" spans="3:3" x14ac:dyDescent="0.2">
      <c r="C4274"/>
    </row>
    <row r="4275" spans="3:3" x14ac:dyDescent="0.2">
      <c r="C4275"/>
    </row>
    <row r="4276" spans="3:3" x14ac:dyDescent="0.2">
      <c r="C4276"/>
    </row>
    <row r="4277" spans="3:3" x14ac:dyDescent="0.2">
      <c r="C4277"/>
    </row>
    <row r="4278" spans="3:3" x14ac:dyDescent="0.2">
      <c r="C4278"/>
    </row>
    <row r="4279" spans="3:3" x14ac:dyDescent="0.2">
      <c r="C4279"/>
    </row>
    <row r="4280" spans="3:3" x14ac:dyDescent="0.2">
      <c r="C4280"/>
    </row>
    <row r="4281" spans="3:3" x14ac:dyDescent="0.2">
      <c r="C4281"/>
    </row>
    <row r="4282" spans="3:3" x14ac:dyDescent="0.2">
      <c r="C4282"/>
    </row>
    <row r="4283" spans="3:3" x14ac:dyDescent="0.2">
      <c r="C4283"/>
    </row>
    <row r="4284" spans="3:3" x14ac:dyDescent="0.2">
      <c r="C4284"/>
    </row>
    <row r="4285" spans="3:3" x14ac:dyDescent="0.2">
      <c r="C4285"/>
    </row>
    <row r="4286" spans="3:3" x14ac:dyDescent="0.2">
      <c r="C4286"/>
    </row>
    <row r="4287" spans="3:3" x14ac:dyDescent="0.2">
      <c r="C4287"/>
    </row>
    <row r="4288" spans="3:3" x14ac:dyDescent="0.2">
      <c r="C4288"/>
    </row>
    <row r="4289" spans="3:3" x14ac:dyDescent="0.2">
      <c r="C4289"/>
    </row>
    <row r="4290" spans="3:3" x14ac:dyDescent="0.2">
      <c r="C4290"/>
    </row>
    <row r="4291" spans="3:3" x14ac:dyDescent="0.2">
      <c r="C4291"/>
    </row>
    <row r="4292" spans="3:3" x14ac:dyDescent="0.2">
      <c r="C4292"/>
    </row>
    <row r="4293" spans="3:3" x14ac:dyDescent="0.2">
      <c r="C4293"/>
    </row>
    <row r="4294" spans="3:3" x14ac:dyDescent="0.2">
      <c r="C4294"/>
    </row>
    <row r="4295" spans="3:3" x14ac:dyDescent="0.2">
      <c r="C4295"/>
    </row>
    <row r="4296" spans="3:3" x14ac:dyDescent="0.2">
      <c r="C4296"/>
    </row>
    <row r="4297" spans="3:3" x14ac:dyDescent="0.2">
      <c r="C4297"/>
    </row>
    <row r="4298" spans="3:3" x14ac:dyDescent="0.2">
      <c r="C4298"/>
    </row>
    <row r="4299" spans="3:3" x14ac:dyDescent="0.2">
      <c r="C4299"/>
    </row>
    <row r="4300" spans="3:3" x14ac:dyDescent="0.2">
      <c r="C4300"/>
    </row>
    <row r="4301" spans="3:3" x14ac:dyDescent="0.2">
      <c r="C4301"/>
    </row>
    <row r="4302" spans="3:3" x14ac:dyDescent="0.2">
      <c r="C4302"/>
    </row>
    <row r="4303" spans="3:3" x14ac:dyDescent="0.2">
      <c r="C4303"/>
    </row>
    <row r="4304" spans="3:3" x14ac:dyDescent="0.2">
      <c r="C4304"/>
    </row>
    <row r="4305" spans="3:3" x14ac:dyDescent="0.2">
      <c r="C4305"/>
    </row>
    <row r="4306" spans="3:3" x14ac:dyDescent="0.2">
      <c r="C4306"/>
    </row>
    <row r="4307" spans="3:3" x14ac:dyDescent="0.2">
      <c r="C4307"/>
    </row>
    <row r="4308" spans="3:3" x14ac:dyDescent="0.2">
      <c r="C4308"/>
    </row>
    <row r="4309" spans="3:3" x14ac:dyDescent="0.2">
      <c r="C4309"/>
    </row>
    <row r="4310" spans="3:3" x14ac:dyDescent="0.2">
      <c r="C4310"/>
    </row>
    <row r="4311" spans="3:3" x14ac:dyDescent="0.2">
      <c r="C4311"/>
    </row>
    <row r="4312" spans="3:3" x14ac:dyDescent="0.2">
      <c r="C4312"/>
    </row>
    <row r="4313" spans="3:3" x14ac:dyDescent="0.2">
      <c r="C4313"/>
    </row>
    <row r="4314" spans="3:3" x14ac:dyDescent="0.2">
      <c r="C4314"/>
    </row>
    <row r="4315" spans="3:3" x14ac:dyDescent="0.2">
      <c r="C4315"/>
    </row>
    <row r="4316" spans="3:3" x14ac:dyDescent="0.2">
      <c r="C4316"/>
    </row>
    <row r="4317" spans="3:3" x14ac:dyDescent="0.2">
      <c r="C4317"/>
    </row>
    <row r="4318" spans="3:3" x14ac:dyDescent="0.2">
      <c r="C4318"/>
    </row>
    <row r="4319" spans="3:3" x14ac:dyDescent="0.2">
      <c r="C4319"/>
    </row>
    <row r="4320" spans="3:3" x14ac:dyDescent="0.2">
      <c r="C4320"/>
    </row>
    <row r="4321" spans="3:3" x14ac:dyDescent="0.2">
      <c r="C4321"/>
    </row>
    <row r="4322" spans="3:3" x14ac:dyDescent="0.2">
      <c r="C4322"/>
    </row>
    <row r="4323" spans="3:3" x14ac:dyDescent="0.2">
      <c r="C4323"/>
    </row>
    <row r="4324" spans="3:3" x14ac:dyDescent="0.2">
      <c r="C4324"/>
    </row>
    <row r="4325" spans="3:3" x14ac:dyDescent="0.2">
      <c r="C4325"/>
    </row>
    <row r="4326" spans="3:3" x14ac:dyDescent="0.2">
      <c r="C4326"/>
    </row>
    <row r="4327" spans="3:3" x14ac:dyDescent="0.2">
      <c r="C4327"/>
    </row>
    <row r="4328" spans="3:3" x14ac:dyDescent="0.2">
      <c r="C4328"/>
    </row>
    <row r="4329" spans="3:3" x14ac:dyDescent="0.2">
      <c r="C4329"/>
    </row>
    <row r="4330" spans="3:3" x14ac:dyDescent="0.2">
      <c r="C4330"/>
    </row>
    <row r="4331" spans="3:3" x14ac:dyDescent="0.2">
      <c r="C4331"/>
    </row>
    <row r="4332" spans="3:3" x14ac:dyDescent="0.2">
      <c r="C4332"/>
    </row>
    <row r="4333" spans="3:3" x14ac:dyDescent="0.2">
      <c r="C4333"/>
    </row>
    <row r="4334" spans="3:3" x14ac:dyDescent="0.2">
      <c r="C4334"/>
    </row>
    <row r="4335" spans="3:3" x14ac:dyDescent="0.2">
      <c r="C4335"/>
    </row>
    <row r="4336" spans="3:3" x14ac:dyDescent="0.2">
      <c r="C4336"/>
    </row>
    <row r="4337" spans="3:3" x14ac:dyDescent="0.2">
      <c r="C4337"/>
    </row>
    <row r="4338" spans="3:3" x14ac:dyDescent="0.2">
      <c r="C4338"/>
    </row>
    <row r="4339" spans="3:3" x14ac:dyDescent="0.2">
      <c r="C4339"/>
    </row>
    <row r="4340" spans="3:3" x14ac:dyDescent="0.2">
      <c r="C4340"/>
    </row>
    <row r="4341" spans="3:3" x14ac:dyDescent="0.2">
      <c r="C4341"/>
    </row>
    <row r="4342" spans="3:3" x14ac:dyDescent="0.2">
      <c r="C4342"/>
    </row>
    <row r="4343" spans="3:3" x14ac:dyDescent="0.2">
      <c r="C4343"/>
    </row>
    <row r="4344" spans="3:3" x14ac:dyDescent="0.2">
      <c r="C4344"/>
    </row>
    <row r="4345" spans="3:3" x14ac:dyDescent="0.2">
      <c r="C4345"/>
    </row>
    <row r="4346" spans="3:3" x14ac:dyDescent="0.2">
      <c r="C4346"/>
    </row>
    <row r="4347" spans="3:3" x14ac:dyDescent="0.2">
      <c r="C4347"/>
    </row>
    <row r="4348" spans="3:3" x14ac:dyDescent="0.2">
      <c r="C4348"/>
    </row>
    <row r="4349" spans="3:3" x14ac:dyDescent="0.2">
      <c r="C4349"/>
    </row>
    <row r="4350" spans="3:3" x14ac:dyDescent="0.2">
      <c r="C4350"/>
    </row>
    <row r="4351" spans="3:3" x14ac:dyDescent="0.2">
      <c r="C4351"/>
    </row>
    <row r="4352" spans="3:3" x14ac:dyDescent="0.2">
      <c r="C4352"/>
    </row>
    <row r="4353" spans="3:3" x14ac:dyDescent="0.2">
      <c r="C4353"/>
    </row>
    <row r="4354" spans="3:3" x14ac:dyDescent="0.2">
      <c r="C4354"/>
    </row>
    <row r="4355" spans="3:3" x14ac:dyDescent="0.2">
      <c r="C4355"/>
    </row>
    <row r="4356" spans="3:3" x14ac:dyDescent="0.2">
      <c r="C4356"/>
    </row>
    <row r="4357" spans="3:3" x14ac:dyDescent="0.2">
      <c r="C4357"/>
    </row>
    <row r="4358" spans="3:3" x14ac:dyDescent="0.2">
      <c r="C4358"/>
    </row>
    <row r="4359" spans="3:3" x14ac:dyDescent="0.2">
      <c r="C4359"/>
    </row>
    <row r="4360" spans="3:3" x14ac:dyDescent="0.2">
      <c r="C4360"/>
    </row>
    <row r="4361" spans="3:3" x14ac:dyDescent="0.2">
      <c r="C4361"/>
    </row>
    <row r="4362" spans="3:3" x14ac:dyDescent="0.2">
      <c r="C4362"/>
    </row>
    <row r="4363" spans="3:3" x14ac:dyDescent="0.2">
      <c r="C4363"/>
    </row>
    <row r="4364" spans="3:3" x14ac:dyDescent="0.2">
      <c r="C4364"/>
    </row>
    <row r="4365" spans="3:3" x14ac:dyDescent="0.2">
      <c r="C4365"/>
    </row>
    <row r="4366" spans="3:3" x14ac:dyDescent="0.2">
      <c r="C4366"/>
    </row>
    <row r="4367" spans="3:3" x14ac:dyDescent="0.2">
      <c r="C4367"/>
    </row>
    <row r="4368" spans="3:3" x14ac:dyDescent="0.2">
      <c r="C4368"/>
    </row>
    <row r="4369" spans="3:3" x14ac:dyDescent="0.2">
      <c r="C4369"/>
    </row>
    <row r="4370" spans="3:3" x14ac:dyDescent="0.2">
      <c r="C4370"/>
    </row>
    <row r="4371" spans="3:3" x14ac:dyDescent="0.2">
      <c r="C4371"/>
    </row>
    <row r="4372" spans="3:3" x14ac:dyDescent="0.2">
      <c r="C4372"/>
    </row>
    <row r="4373" spans="3:3" x14ac:dyDescent="0.2">
      <c r="C4373"/>
    </row>
    <row r="4374" spans="3:3" x14ac:dyDescent="0.2">
      <c r="C4374"/>
    </row>
    <row r="4375" spans="3:3" x14ac:dyDescent="0.2">
      <c r="C4375"/>
    </row>
    <row r="4376" spans="3:3" x14ac:dyDescent="0.2">
      <c r="C4376"/>
    </row>
    <row r="4377" spans="3:3" x14ac:dyDescent="0.2">
      <c r="C4377"/>
    </row>
    <row r="4378" spans="3:3" x14ac:dyDescent="0.2">
      <c r="C4378"/>
    </row>
    <row r="4379" spans="3:3" x14ac:dyDescent="0.2">
      <c r="C4379"/>
    </row>
    <row r="4380" spans="3:3" x14ac:dyDescent="0.2">
      <c r="C4380"/>
    </row>
    <row r="4381" spans="3:3" x14ac:dyDescent="0.2">
      <c r="C4381"/>
    </row>
    <row r="4382" spans="3:3" x14ac:dyDescent="0.2">
      <c r="C4382"/>
    </row>
    <row r="4383" spans="3:3" x14ac:dyDescent="0.2">
      <c r="C4383"/>
    </row>
    <row r="4384" spans="3:3" x14ac:dyDescent="0.2">
      <c r="C4384"/>
    </row>
    <row r="4385" spans="3:3" x14ac:dyDescent="0.2">
      <c r="C4385"/>
    </row>
    <row r="4386" spans="3:3" x14ac:dyDescent="0.2">
      <c r="C4386"/>
    </row>
    <row r="4387" spans="3:3" x14ac:dyDescent="0.2">
      <c r="C4387"/>
    </row>
    <row r="4388" spans="3:3" x14ac:dyDescent="0.2">
      <c r="C4388"/>
    </row>
    <row r="4389" spans="3:3" x14ac:dyDescent="0.2">
      <c r="C4389"/>
    </row>
    <row r="4390" spans="3:3" x14ac:dyDescent="0.2">
      <c r="C4390"/>
    </row>
    <row r="4391" spans="3:3" x14ac:dyDescent="0.2">
      <c r="C4391"/>
    </row>
    <row r="4392" spans="3:3" x14ac:dyDescent="0.2">
      <c r="C4392"/>
    </row>
    <row r="4393" spans="3:3" x14ac:dyDescent="0.2">
      <c r="C4393"/>
    </row>
    <row r="4394" spans="3:3" x14ac:dyDescent="0.2">
      <c r="C4394"/>
    </row>
    <row r="4395" spans="3:3" x14ac:dyDescent="0.2">
      <c r="C4395"/>
    </row>
    <row r="4396" spans="3:3" x14ac:dyDescent="0.2">
      <c r="C4396"/>
    </row>
    <row r="4397" spans="3:3" x14ac:dyDescent="0.2">
      <c r="C4397"/>
    </row>
    <row r="4398" spans="3:3" x14ac:dyDescent="0.2">
      <c r="C4398"/>
    </row>
    <row r="4399" spans="3:3" x14ac:dyDescent="0.2">
      <c r="C4399"/>
    </row>
    <row r="4400" spans="3:3" x14ac:dyDescent="0.2">
      <c r="C4400"/>
    </row>
    <row r="4401" spans="3:3" x14ac:dyDescent="0.2">
      <c r="C4401"/>
    </row>
    <row r="4402" spans="3:3" x14ac:dyDescent="0.2">
      <c r="C4402"/>
    </row>
    <row r="4403" spans="3:3" x14ac:dyDescent="0.2">
      <c r="C4403"/>
    </row>
    <row r="4404" spans="3:3" x14ac:dyDescent="0.2">
      <c r="C4404"/>
    </row>
    <row r="4405" spans="3:3" x14ac:dyDescent="0.2">
      <c r="C4405"/>
    </row>
    <row r="4406" spans="3:3" x14ac:dyDescent="0.2">
      <c r="C4406"/>
    </row>
    <row r="4407" spans="3:3" x14ac:dyDescent="0.2">
      <c r="C4407"/>
    </row>
    <row r="4408" spans="3:3" x14ac:dyDescent="0.2">
      <c r="C4408"/>
    </row>
    <row r="4409" spans="3:3" x14ac:dyDescent="0.2">
      <c r="C4409"/>
    </row>
    <row r="4410" spans="3:3" x14ac:dyDescent="0.2">
      <c r="C4410"/>
    </row>
    <row r="4411" spans="3:3" x14ac:dyDescent="0.2">
      <c r="C4411"/>
    </row>
    <row r="4412" spans="3:3" x14ac:dyDescent="0.2">
      <c r="C4412"/>
    </row>
    <row r="4413" spans="3:3" x14ac:dyDescent="0.2">
      <c r="C4413"/>
    </row>
    <row r="4414" spans="3:3" x14ac:dyDescent="0.2">
      <c r="C4414"/>
    </row>
    <row r="4415" spans="3:3" x14ac:dyDescent="0.2">
      <c r="C4415"/>
    </row>
    <row r="4416" spans="3:3" x14ac:dyDescent="0.2">
      <c r="C4416"/>
    </row>
    <row r="4417" spans="3:3" x14ac:dyDescent="0.2">
      <c r="C4417"/>
    </row>
    <row r="4418" spans="3:3" x14ac:dyDescent="0.2">
      <c r="C4418"/>
    </row>
    <row r="4419" spans="3:3" x14ac:dyDescent="0.2">
      <c r="C4419"/>
    </row>
    <row r="4420" spans="3:3" x14ac:dyDescent="0.2">
      <c r="C4420"/>
    </row>
    <row r="4421" spans="3:3" x14ac:dyDescent="0.2">
      <c r="C4421"/>
    </row>
    <row r="4422" spans="3:3" x14ac:dyDescent="0.2">
      <c r="C4422"/>
    </row>
    <row r="4423" spans="3:3" x14ac:dyDescent="0.2">
      <c r="C4423"/>
    </row>
    <row r="4424" spans="3:3" x14ac:dyDescent="0.2">
      <c r="C4424"/>
    </row>
    <row r="4425" spans="3:3" x14ac:dyDescent="0.2">
      <c r="C4425"/>
    </row>
    <row r="4426" spans="3:3" x14ac:dyDescent="0.2">
      <c r="C4426"/>
    </row>
    <row r="4427" spans="3:3" x14ac:dyDescent="0.2">
      <c r="C4427"/>
    </row>
    <row r="4428" spans="3:3" x14ac:dyDescent="0.2">
      <c r="C4428"/>
    </row>
    <row r="4429" spans="3:3" x14ac:dyDescent="0.2">
      <c r="C4429"/>
    </row>
    <row r="4430" spans="3:3" x14ac:dyDescent="0.2">
      <c r="C4430"/>
    </row>
    <row r="4431" spans="3:3" x14ac:dyDescent="0.2">
      <c r="C4431"/>
    </row>
    <row r="4432" spans="3:3" x14ac:dyDescent="0.2">
      <c r="C4432"/>
    </row>
    <row r="4433" spans="3:3" x14ac:dyDescent="0.2">
      <c r="C4433"/>
    </row>
    <row r="4434" spans="3:3" x14ac:dyDescent="0.2">
      <c r="C4434"/>
    </row>
    <row r="4435" spans="3:3" x14ac:dyDescent="0.2">
      <c r="C4435"/>
    </row>
    <row r="4436" spans="3:3" x14ac:dyDescent="0.2">
      <c r="C4436"/>
    </row>
    <row r="4437" spans="3:3" x14ac:dyDescent="0.2">
      <c r="C4437"/>
    </row>
    <row r="4438" spans="3:3" x14ac:dyDescent="0.2">
      <c r="C4438"/>
    </row>
    <row r="4439" spans="3:3" x14ac:dyDescent="0.2">
      <c r="C4439"/>
    </row>
    <row r="4440" spans="3:3" x14ac:dyDescent="0.2">
      <c r="C4440"/>
    </row>
    <row r="4441" spans="3:3" x14ac:dyDescent="0.2">
      <c r="C4441"/>
    </row>
    <row r="4442" spans="3:3" x14ac:dyDescent="0.2">
      <c r="C4442"/>
    </row>
    <row r="4443" spans="3:3" x14ac:dyDescent="0.2">
      <c r="C4443"/>
    </row>
    <row r="4444" spans="3:3" x14ac:dyDescent="0.2">
      <c r="C4444"/>
    </row>
    <row r="4445" spans="3:3" x14ac:dyDescent="0.2">
      <c r="C4445"/>
    </row>
    <row r="4446" spans="3:3" x14ac:dyDescent="0.2">
      <c r="C4446"/>
    </row>
    <row r="4447" spans="3:3" x14ac:dyDescent="0.2">
      <c r="C4447"/>
    </row>
    <row r="4448" spans="3:3" x14ac:dyDescent="0.2">
      <c r="C4448"/>
    </row>
    <row r="4449" spans="3:3" x14ac:dyDescent="0.2">
      <c r="C4449"/>
    </row>
    <row r="4450" spans="3:3" x14ac:dyDescent="0.2">
      <c r="C4450"/>
    </row>
    <row r="4451" spans="3:3" x14ac:dyDescent="0.2">
      <c r="C4451"/>
    </row>
    <row r="4452" spans="3:3" x14ac:dyDescent="0.2">
      <c r="C4452"/>
    </row>
    <row r="4453" spans="3:3" x14ac:dyDescent="0.2">
      <c r="C4453"/>
    </row>
    <row r="4454" spans="3:3" x14ac:dyDescent="0.2">
      <c r="C4454"/>
    </row>
    <row r="4455" spans="3:3" x14ac:dyDescent="0.2">
      <c r="C4455"/>
    </row>
    <row r="4456" spans="3:3" x14ac:dyDescent="0.2">
      <c r="C4456"/>
    </row>
    <row r="4457" spans="3:3" x14ac:dyDescent="0.2">
      <c r="C4457"/>
    </row>
    <row r="4458" spans="3:3" x14ac:dyDescent="0.2">
      <c r="C4458"/>
    </row>
    <row r="4459" spans="3:3" x14ac:dyDescent="0.2">
      <c r="C4459"/>
    </row>
    <row r="4460" spans="3:3" x14ac:dyDescent="0.2">
      <c r="C4460"/>
    </row>
    <row r="4461" spans="3:3" x14ac:dyDescent="0.2">
      <c r="C4461"/>
    </row>
    <row r="4462" spans="3:3" x14ac:dyDescent="0.2">
      <c r="C4462"/>
    </row>
    <row r="4463" spans="3:3" x14ac:dyDescent="0.2">
      <c r="C4463"/>
    </row>
    <row r="4464" spans="3:3" x14ac:dyDescent="0.2">
      <c r="C4464"/>
    </row>
    <row r="4465" spans="3:3" x14ac:dyDescent="0.2">
      <c r="C4465"/>
    </row>
    <row r="4466" spans="3:3" x14ac:dyDescent="0.2">
      <c r="C4466"/>
    </row>
    <row r="4467" spans="3:3" x14ac:dyDescent="0.2">
      <c r="C4467"/>
    </row>
    <row r="4468" spans="3:3" x14ac:dyDescent="0.2">
      <c r="C4468"/>
    </row>
    <row r="4469" spans="3:3" x14ac:dyDescent="0.2">
      <c r="C4469"/>
    </row>
    <row r="4470" spans="3:3" x14ac:dyDescent="0.2">
      <c r="C4470"/>
    </row>
    <row r="4471" spans="3:3" x14ac:dyDescent="0.2">
      <c r="C4471"/>
    </row>
    <row r="4472" spans="3:3" x14ac:dyDescent="0.2">
      <c r="C4472"/>
    </row>
    <row r="4473" spans="3:3" x14ac:dyDescent="0.2">
      <c r="C4473"/>
    </row>
    <row r="4474" spans="3:3" x14ac:dyDescent="0.2">
      <c r="C4474"/>
    </row>
    <row r="4475" spans="3:3" x14ac:dyDescent="0.2">
      <c r="C4475"/>
    </row>
    <row r="4476" spans="3:3" x14ac:dyDescent="0.2">
      <c r="C4476"/>
    </row>
    <row r="4477" spans="3:3" x14ac:dyDescent="0.2">
      <c r="C4477"/>
    </row>
    <row r="4478" spans="3:3" x14ac:dyDescent="0.2">
      <c r="C4478"/>
    </row>
    <row r="4479" spans="3:3" x14ac:dyDescent="0.2">
      <c r="C4479"/>
    </row>
    <row r="4480" spans="3:3" x14ac:dyDescent="0.2">
      <c r="C4480"/>
    </row>
    <row r="4481" spans="3:3" x14ac:dyDescent="0.2">
      <c r="C4481"/>
    </row>
    <row r="4482" spans="3:3" x14ac:dyDescent="0.2">
      <c r="C4482"/>
    </row>
    <row r="4483" spans="3:3" x14ac:dyDescent="0.2">
      <c r="C4483"/>
    </row>
    <row r="4484" spans="3:3" x14ac:dyDescent="0.2">
      <c r="C4484"/>
    </row>
    <row r="4485" spans="3:3" x14ac:dyDescent="0.2">
      <c r="C4485"/>
    </row>
    <row r="4486" spans="3:3" x14ac:dyDescent="0.2">
      <c r="C4486"/>
    </row>
    <row r="4487" spans="3:3" x14ac:dyDescent="0.2">
      <c r="C4487"/>
    </row>
    <row r="4488" spans="3:3" x14ac:dyDescent="0.2">
      <c r="C4488"/>
    </row>
    <row r="4489" spans="3:3" x14ac:dyDescent="0.2">
      <c r="C4489"/>
    </row>
    <row r="4490" spans="3:3" x14ac:dyDescent="0.2">
      <c r="C4490"/>
    </row>
    <row r="4491" spans="3:3" x14ac:dyDescent="0.2">
      <c r="C4491"/>
    </row>
    <row r="4492" spans="3:3" x14ac:dyDescent="0.2">
      <c r="C4492"/>
    </row>
    <row r="4493" spans="3:3" x14ac:dyDescent="0.2">
      <c r="C4493"/>
    </row>
    <row r="4494" spans="3:3" x14ac:dyDescent="0.2">
      <c r="C4494"/>
    </row>
    <row r="4495" spans="3:3" x14ac:dyDescent="0.2">
      <c r="C4495"/>
    </row>
    <row r="4496" spans="3:3" x14ac:dyDescent="0.2">
      <c r="C4496"/>
    </row>
    <row r="4497" spans="3:3" x14ac:dyDescent="0.2">
      <c r="C4497"/>
    </row>
    <row r="4498" spans="3:3" x14ac:dyDescent="0.2">
      <c r="C4498"/>
    </row>
    <row r="4499" spans="3:3" x14ac:dyDescent="0.2">
      <c r="C4499"/>
    </row>
    <row r="4500" spans="3:3" x14ac:dyDescent="0.2">
      <c r="C4500"/>
    </row>
    <row r="4501" spans="3:3" x14ac:dyDescent="0.2">
      <c r="C4501"/>
    </row>
    <row r="4502" spans="3:3" x14ac:dyDescent="0.2">
      <c r="C4502"/>
    </row>
    <row r="4503" spans="3:3" x14ac:dyDescent="0.2">
      <c r="C4503"/>
    </row>
    <row r="4504" spans="3:3" x14ac:dyDescent="0.2">
      <c r="C4504"/>
    </row>
    <row r="4505" spans="3:3" x14ac:dyDescent="0.2">
      <c r="C4505"/>
    </row>
    <row r="4506" spans="3:3" x14ac:dyDescent="0.2">
      <c r="C4506"/>
    </row>
    <row r="4507" spans="3:3" x14ac:dyDescent="0.2">
      <c r="C4507"/>
    </row>
    <row r="4508" spans="3:3" x14ac:dyDescent="0.2">
      <c r="C4508"/>
    </row>
    <row r="4509" spans="3:3" x14ac:dyDescent="0.2">
      <c r="C4509"/>
    </row>
    <row r="4510" spans="3:3" x14ac:dyDescent="0.2">
      <c r="C4510"/>
    </row>
    <row r="4511" spans="3:3" x14ac:dyDescent="0.2">
      <c r="C4511"/>
    </row>
    <row r="4512" spans="3:3" x14ac:dyDescent="0.2">
      <c r="C4512"/>
    </row>
    <row r="4513" spans="3:3" x14ac:dyDescent="0.2">
      <c r="C4513"/>
    </row>
    <row r="4514" spans="3:3" x14ac:dyDescent="0.2">
      <c r="C4514"/>
    </row>
    <row r="4515" spans="3:3" x14ac:dyDescent="0.2">
      <c r="C4515"/>
    </row>
    <row r="4516" spans="3:3" x14ac:dyDescent="0.2">
      <c r="C4516"/>
    </row>
    <row r="4517" spans="3:3" x14ac:dyDescent="0.2">
      <c r="C4517"/>
    </row>
    <row r="4518" spans="3:3" x14ac:dyDescent="0.2">
      <c r="C4518"/>
    </row>
    <row r="4519" spans="3:3" x14ac:dyDescent="0.2">
      <c r="C4519"/>
    </row>
    <row r="4520" spans="3:3" x14ac:dyDescent="0.2">
      <c r="C4520"/>
    </row>
    <row r="4521" spans="3:3" x14ac:dyDescent="0.2">
      <c r="C4521"/>
    </row>
    <row r="4522" spans="3:3" x14ac:dyDescent="0.2">
      <c r="C4522"/>
    </row>
    <row r="4523" spans="3:3" x14ac:dyDescent="0.2">
      <c r="C4523"/>
    </row>
    <row r="4524" spans="3:3" x14ac:dyDescent="0.2">
      <c r="C4524"/>
    </row>
    <row r="4525" spans="3:3" x14ac:dyDescent="0.2">
      <c r="C4525"/>
    </row>
    <row r="4526" spans="3:3" x14ac:dyDescent="0.2">
      <c r="C4526"/>
    </row>
    <row r="4527" spans="3:3" x14ac:dyDescent="0.2">
      <c r="C4527"/>
    </row>
    <row r="4528" spans="3:3" x14ac:dyDescent="0.2">
      <c r="C4528"/>
    </row>
    <row r="4529" spans="3:3" x14ac:dyDescent="0.2">
      <c r="C4529"/>
    </row>
    <row r="4530" spans="3:3" x14ac:dyDescent="0.2">
      <c r="C4530"/>
    </row>
    <row r="4531" spans="3:3" x14ac:dyDescent="0.2">
      <c r="C4531"/>
    </row>
    <row r="4532" spans="3:3" x14ac:dyDescent="0.2">
      <c r="C4532"/>
    </row>
    <row r="4533" spans="3:3" x14ac:dyDescent="0.2">
      <c r="C4533"/>
    </row>
    <row r="4534" spans="3:3" x14ac:dyDescent="0.2">
      <c r="C4534"/>
    </row>
    <row r="4535" spans="3:3" x14ac:dyDescent="0.2">
      <c r="C4535"/>
    </row>
    <row r="4536" spans="3:3" x14ac:dyDescent="0.2">
      <c r="C4536"/>
    </row>
    <row r="4537" spans="3:3" x14ac:dyDescent="0.2">
      <c r="C4537"/>
    </row>
    <row r="4538" spans="3:3" x14ac:dyDescent="0.2">
      <c r="C4538"/>
    </row>
    <row r="4539" spans="3:3" x14ac:dyDescent="0.2">
      <c r="C4539"/>
    </row>
    <row r="4540" spans="3:3" x14ac:dyDescent="0.2">
      <c r="C4540"/>
    </row>
    <row r="4541" spans="3:3" x14ac:dyDescent="0.2">
      <c r="C4541"/>
    </row>
    <row r="4542" spans="3:3" x14ac:dyDescent="0.2">
      <c r="C4542"/>
    </row>
    <row r="4543" spans="3:3" x14ac:dyDescent="0.2">
      <c r="C4543"/>
    </row>
    <row r="4544" spans="3:3" x14ac:dyDescent="0.2">
      <c r="C4544"/>
    </row>
    <row r="4545" spans="3:3" x14ac:dyDescent="0.2">
      <c r="C4545"/>
    </row>
    <row r="4546" spans="3:3" x14ac:dyDescent="0.2">
      <c r="C4546"/>
    </row>
    <row r="4547" spans="3:3" x14ac:dyDescent="0.2">
      <c r="C4547"/>
    </row>
    <row r="4548" spans="3:3" x14ac:dyDescent="0.2">
      <c r="C4548"/>
    </row>
    <row r="4549" spans="3:3" x14ac:dyDescent="0.2">
      <c r="C4549"/>
    </row>
    <row r="4550" spans="3:3" x14ac:dyDescent="0.2">
      <c r="C4550"/>
    </row>
    <row r="4551" spans="3:3" x14ac:dyDescent="0.2">
      <c r="C4551"/>
    </row>
    <row r="4552" spans="3:3" x14ac:dyDescent="0.2">
      <c r="C4552"/>
    </row>
    <row r="4553" spans="3:3" x14ac:dyDescent="0.2">
      <c r="C4553"/>
    </row>
    <row r="4554" spans="3:3" x14ac:dyDescent="0.2">
      <c r="C4554"/>
    </row>
    <row r="4555" spans="3:3" x14ac:dyDescent="0.2">
      <c r="C4555"/>
    </row>
    <row r="4556" spans="3:3" x14ac:dyDescent="0.2">
      <c r="C4556"/>
    </row>
    <row r="4557" spans="3:3" x14ac:dyDescent="0.2">
      <c r="C4557"/>
    </row>
    <row r="4558" spans="3:3" x14ac:dyDescent="0.2">
      <c r="C4558"/>
    </row>
    <row r="4559" spans="3:3" x14ac:dyDescent="0.2">
      <c r="C4559"/>
    </row>
    <row r="4560" spans="3:3" x14ac:dyDescent="0.2">
      <c r="C4560"/>
    </row>
    <row r="4561" spans="3:3" x14ac:dyDescent="0.2">
      <c r="C4561"/>
    </row>
    <row r="4562" spans="3:3" x14ac:dyDescent="0.2">
      <c r="C4562"/>
    </row>
    <row r="4563" spans="3:3" x14ac:dyDescent="0.2">
      <c r="C4563"/>
    </row>
    <row r="4564" spans="3:3" x14ac:dyDescent="0.2">
      <c r="C4564"/>
    </row>
    <row r="4565" spans="3:3" x14ac:dyDescent="0.2">
      <c r="C4565"/>
    </row>
    <row r="4566" spans="3:3" x14ac:dyDescent="0.2">
      <c r="C4566"/>
    </row>
    <row r="4567" spans="3:3" x14ac:dyDescent="0.2">
      <c r="C4567"/>
    </row>
    <row r="4568" spans="3:3" x14ac:dyDescent="0.2">
      <c r="C4568"/>
    </row>
    <row r="4569" spans="3:3" x14ac:dyDescent="0.2">
      <c r="C4569"/>
    </row>
    <row r="4570" spans="3:3" x14ac:dyDescent="0.2">
      <c r="C4570"/>
    </row>
    <row r="4571" spans="3:3" x14ac:dyDescent="0.2">
      <c r="C4571"/>
    </row>
    <row r="4572" spans="3:3" x14ac:dyDescent="0.2">
      <c r="C4572"/>
    </row>
    <row r="4573" spans="3:3" x14ac:dyDescent="0.2">
      <c r="C4573"/>
    </row>
    <row r="4574" spans="3:3" x14ac:dyDescent="0.2">
      <c r="C4574"/>
    </row>
    <row r="4575" spans="3:3" x14ac:dyDescent="0.2">
      <c r="C4575"/>
    </row>
    <row r="4576" spans="3:3" x14ac:dyDescent="0.2">
      <c r="C4576"/>
    </row>
    <row r="4577" spans="3:3" x14ac:dyDescent="0.2">
      <c r="C4577"/>
    </row>
    <row r="4578" spans="3:3" x14ac:dyDescent="0.2">
      <c r="C4578"/>
    </row>
    <row r="4579" spans="3:3" x14ac:dyDescent="0.2">
      <c r="C4579"/>
    </row>
    <row r="4580" spans="3:3" x14ac:dyDescent="0.2">
      <c r="C4580"/>
    </row>
    <row r="4581" spans="3:3" x14ac:dyDescent="0.2">
      <c r="C4581"/>
    </row>
    <row r="4582" spans="3:3" x14ac:dyDescent="0.2">
      <c r="C4582"/>
    </row>
    <row r="4583" spans="3:3" x14ac:dyDescent="0.2">
      <c r="C4583"/>
    </row>
    <row r="4584" spans="3:3" x14ac:dyDescent="0.2">
      <c r="C4584"/>
    </row>
    <row r="4585" spans="3:3" x14ac:dyDescent="0.2">
      <c r="C4585"/>
    </row>
    <row r="4586" spans="3:3" x14ac:dyDescent="0.2">
      <c r="C4586"/>
    </row>
    <row r="4587" spans="3:3" x14ac:dyDescent="0.2">
      <c r="C4587"/>
    </row>
    <row r="4588" spans="3:3" x14ac:dyDescent="0.2">
      <c r="C4588"/>
    </row>
    <row r="4589" spans="3:3" x14ac:dyDescent="0.2">
      <c r="C4589"/>
    </row>
    <row r="4590" spans="3:3" x14ac:dyDescent="0.2">
      <c r="C4590"/>
    </row>
    <row r="4591" spans="3:3" x14ac:dyDescent="0.2">
      <c r="C4591"/>
    </row>
    <row r="4592" spans="3:3" x14ac:dyDescent="0.2">
      <c r="C4592"/>
    </row>
    <row r="4593" spans="3:3" x14ac:dyDescent="0.2">
      <c r="C4593"/>
    </row>
    <row r="4594" spans="3:3" x14ac:dyDescent="0.2">
      <c r="C4594"/>
    </row>
    <row r="4595" spans="3:3" x14ac:dyDescent="0.2">
      <c r="C4595"/>
    </row>
    <row r="4596" spans="3:3" x14ac:dyDescent="0.2">
      <c r="C4596"/>
    </row>
    <row r="4597" spans="3:3" x14ac:dyDescent="0.2">
      <c r="C4597"/>
    </row>
    <row r="4598" spans="3:3" x14ac:dyDescent="0.2">
      <c r="C4598"/>
    </row>
    <row r="4599" spans="3:3" x14ac:dyDescent="0.2">
      <c r="C4599"/>
    </row>
    <row r="4600" spans="3:3" x14ac:dyDescent="0.2">
      <c r="C4600"/>
    </row>
    <row r="4601" spans="3:3" x14ac:dyDescent="0.2">
      <c r="C4601"/>
    </row>
    <row r="4602" spans="3:3" x14ac:dyDescent="0.2">
      <c r="C4602"/>
    </row>
    <row r="4603" spans="3:3" x14ac:dyDescent="0.2">
      <c r="C4603"/>
    </row>
    <row r="4604" spans="3:3" x14ac:dyDescent="0.2">
      <c r="C4604"/>
    </row>
    <row r="4605" spans="3:3" x14ac:dyDescent="0.2">
      <c r="C4605"/>
    </row>
    <row r="4606" spans="3:3" x14ac:dyDescent="0.2">
      <c r="C4606"/>
    </row>
    <row r="4607" spans="3:3" x14ac:dyDescent="0.2">
      <c r="C4607"/>
    </row>
    <row r="4608" spans="3:3" x14ac:dyDescent="0.2">
      <c r="C4608"/>
    </row>
    <row r="4609" spans="3:3" x14ac:dyDescent="0.2">
      <c r="C4609"/>
    </row>
    <row r="4610" spans="3:3" x14ac:dyDescent="0.2">
      <c r="C4610"/>
    </row>
    <row r="4611" spans="3:3" x14ac:dyDescent="0.2">
      <c r="C4611"/>
    </row>
    <row r="4612" spans="3:3" x14ac:dyDescent="0.2">
      <c r="C4612"/>
    </row>
    <row r="4613" spans="3:3" x14ac:dyDescent="0.2">
      <c r="C4613"/>
    </row>
    <row r="4614" spans="3:3" x14ac:dyDescent="0.2">
      <c r="C4614"/>
    </row>
    <row r="4615" spans="3:3" x14ac:dyDescent="0.2">
      <c r="C4615"/>
    </row>
    <row r="4616" spans="3:3" x14ac:dyDescent="0.2">
      <c r="C4616"/>
    </row>
    <row r="4617" spans="3:3" x14ac:dyDescent="0.2">
      <c r="C4617"/>
    </row>
    <row r="4618" spans="3:3" x14ac:dyDescent="0.2">
      <c r="C4618"/>
    </row>
    <row r="4619" spans="3:3" x14ac:dyDescent="0.2">
      <c r="C4619"/>
    </row>
    <row r="4620" spans="3:3" x14ac:dyDescent="0.2">
      <c r="C4620"/>
    </row>
    <row r="4621" spans="3:3" x14ac:dyDescent="0.2">
      <c r="C4621"/>
    </row>
    <row r="4622" spans="3:3" x14ac:dyDescent="0.2">
      <c r="C4622"/>
    </row>
    <row r="4623" spans="3:3" x14ac:dyDescent="0.2">
      <c r="C4623"/>
    </row>
    <row r="4624" spans="3:3" x14ac:dyDescent="0.2">
      <c r="C4624"/>
    </row>
    <row r="4625" spans="3:3" x14ac:dyDescent="0.2">
      <c r="C4625"/>
    </row>
    <row r="4626" spans="3:3" x14ac:dyDescent="0.2">
      <c r="C4626"/>
    </row>
    <row r="4627" spans="3:3" x14ac:dyDescent="0.2">
      <c r="C4627"/>
    </row>
    <row r="4628" spans="3:3" x14ac:dyDescent="0.2">
      <c r="C4628"/>
    </row>
    <row r="4629" spans="3:3" x14ac:dyDescent="0.2">
      <c r="C4629"/>
    </row>
    <row r="4630" spans="3:3" x14ac:dyDescent="0.2">
      <c r="C4630"/>
    </row>
    <row r="4631" spans="3:3" x14ac:dyDescent="0.2">
      <c r="C4631"/>
    </row>
    <row r="4632" spans="3:3" x14ac:dyDescent="0.2">
      <c r="C4632"/>
    </row>
    <row r="4633" spans="3:3" x14ac:dyDescent="0.2">
      <c r="C4633"/>
    </row>
    <row r="4634" spans="3:3" x14ac:dyDescent="0.2">
      <c r="C4634"/>
    </row>
    <row r="4635" spans="3:3" x14ac:dyDescent="0.2">
      <c r="C4635"/>
    </row>
    <row r="4636" spans="3:3" x14ac:dyDescent="0.2">
      <c r="C4636"/>
    </row>
    <row r="4637" spans="3:3" x14ac:dyDescent="0.2">
      <c r="C4637"/>
    </row>
    <row r="4638" spans="3:3" x14ac:dyDescent="0.2">
      <c r="C4638"/>
    </row>
    <row r="4639" spans="3:3" x14ac:dyDescent="0.2">
      <c r="C4639"/>
    </row>
    <row r="4640" spans="3:3" x14ac:dyDescent="0.2">
      <c r="C4640"/>
    </row>
    <row r="4641" spans="3:3" x14ac:dyDescent="0.2">
      <c r="C4641"/>
    </row>
    <row r="4642" spans="3:3" x14ac:dyDescent="0.2">
      <c r="C4642"/>
    </row>
    <row r="4643" spans="3:3" x14ac:dyDescent="0.2">
      <c r="C4643"/>
    </row>
    <row r="4644" spans="3:3" x14ac:dyDescent="0.2">
      <c r="C4644"/>
    </row>
    <row r="4645" spans="3:3" x14ac:dyDescent="0.2">
      <c r="C4645"/>
    </row>
    <row r="4646" spans="3:3" x14ac:dyDescent="0.2">
      <c r="C4646"/>
    </row>
    <row r="4647" spans="3:3" x14ac:dyDescent="0.2">
      <c r="C4647"/>
    </row>
    <row r="4648" spans="3:3" x14ac:dyDescent="0.2">
      <c r="C4648"/>
    </row>
    <row r="4649" spans="3:3" x14ac:dyDescent="0.2">
      <c r="C4649"/>
    </row>
    <row r="4650" spans="3:3" x14ac:dyDescent="0.2">
      <c r="C4650"/>
    </row>
    <row r="4651" spans="3:3" x14ac:dyDescent="0.2">
      <c r="C4651"/>
    </row>
    <row r="4652" spans="3:3" x14ac:dyDescent="0.2">
      <c r="C4652"/>
    </row>
    <row r="4653" spans="3:3" x14ac:dyDescent="0.2">
      <c r="C4653"/>
    </row>
    <row r="4654" spans="3:3" x14ac:dyDescent="0.2">
      <c r="C4654"/>
    </row>
    <row r="4655" spans="3:3" x14ac:dyDescent="0.2">
      <c r="C4655"/>
    </row>
    <row r="4656" spans="3:3" x14ac:dyDescent="0.2">
      <c r="C4656"/>
    </row>
    <row r="4657" spans="3:3" x14ac:dyDescent="0.2">
      <c r="C4657"/>
    </row>
    <row r="4658" spans="3:3" x14ac:dyDescent="0.2">
      <c r="C4658"/>
    </row>
    <row r="4659" spans="3:3" x14ac:dyDescent="0.2">
      <c r="C4659"/>
    </row>
    <row r="4660" spans="3:3" x14ac:dyDescent="0.2">
      <c r="C4660"/>
    </row>
    <row r="4661" spans="3:3" x14ac:dyDescent="0.2">
      <c r="C4661"/>
    </row>
    <row r="4662" spans="3:3" x14ac:dyDescent="0.2">
      <c r="C4662"/>
    </row>
    <row r="4663" spans="3:3" x14ac:dyDescent="0.2">
      <c r="C4663"/>
    </row>
    <row r="4664" spans="3:3" x14ac:dyDescent="0.2">
      <c r="C4664"/>
    </row>
    <row r="4665" spans="3:3" x14ac:dyDescent="0.2">
      <c r="C4665"/>
    </row>
    <row r="4666" spans="3:3" x14ac:dyDescent="0.2">
      <c r="C4666"/>
    </row>
    <row r="4667" spans="3:3" x14ac:dyDescent="0.2">
      <c r="C4667"/>
    </row>
    <row r="4668" spans="3:3" x14ac:dyDescent="0.2">
      <c r="C4668"/>
    </row>
    <row r="4669" spans="3:3" x14ac:dyDescent="0.2">
      <c r="C4669"/>
    </row>
    <row r="4670" spans="3:3" x14ac:dyDescent="0.2">
      <c r="C4670"/>
    </row>
    <row r="4671" spans="3:3" x14ac:dyDescent="0.2">
      <c r="C4671"/>
    </row>
    <row r="4672" spans="3:3" x14ac:dyDescent="0.2">
      <c r="C4672"/>
    </row>
    <row r="4673" spans="3:3" x14ac:dyDescent="0.2">
      <c r="C4673"/>
    </row>
    <row r="4674" spans="3:3" x14ac:dyDescent="0.2">
      <c r="C4674"/>
    </row>
    <row r="4675" spans="3:3" x14ac:dyDescent="0.2">
      <c r="C4675"/>
    </row>
    <row r="4676" spans="3:3" x14ac:dyDescent="0.2">
      <c r="C4676"/>
    </row>
    <row r="4677" spans="3:3" x14ac:dyDescent="0.2">
      <c r="C4677"/>
    </row>
    <row r="4678" spans="3:3" x14ac:dyDescent="0.2">
      <c r="C4678"/>
    </row>
    <row r="4679" spans="3:3" x14ac:dyDescent="0.2">
      <c r="C4679"/>
    </row>
    <row r="4680" spans="3:3" x14ac:dyDescent="0.2">
      <c r="C4680"/>
    </row>
    <row r="4681" spans="3:3" x14ac:dyDescent="0.2">
      <c r="C4681"/>
    </row>
    <row r="4682" spans="3:3" x14ac:dyDescent="0.2">
      <c r="C4682"/>
    </row>
    <row r="4683" spans="3:3" x14ac:dyDescent="0.2">
      <c r="C4683"/>
    </row>
    <row r="4684" spans="3:3" x14ac:dyDescent="0.2">
      <c r="C4684"/>
    </row>
    <row r="4685" spans="3:3" x14ac:dyDescent="0.2">
      <c r="C4685"/>
    </row>
    <row r="4686" spans="3:3" x14ac:dyDescent="0.2">
      <c r="C4686"/>
    </row>
    <row r="4687" spans="3:3" x14ac:dyDescent="0.2">
      <c r="C4687"/>
    </row>
    <row r="4688" spans="3:3" x14ac:dyDescent="0.2">
      <c r="C4688"/>
    </row>
    <row r="4689" spans="3:3" x14ac:dyDescent="0.2">
      <c r="C4689"/>
    </row>
    <row r="4690" spans="3:3" x14ac:dyDescent="0.2">
      <c r="C4690"/>
    </row>
    <row r="4691" spans="3:3" x14ac:dyDescent="0.2">
      <c r="C4691"/>
    </row>
    <row r="4692" spans="3:3" x14ac:dyDescent="0.2">
      <c r="C4692"/>
    </row>
    <row r="4693" spans="3:3" x14ac:dyDescent="0.2">
      <c r="C4693"/>
    </row>
    <row r="4694" spans="3:3" x14ac:dyDescent="0.2">
      <c r="C4694"/>
    </row>
    <row r="4695" spans="3:3" x14ac:dyDescent="0.2">
      <c r="C4695"/>
    </row>
    <row r="4696" spans="3:3" x14ac:dyDescent="0.2">
      <c r="C4696"/>
    </row>
    <row r="4697" spans="3:3" x14ac:dyDescent="0.2">
      <c r="C4697"/>
    </row>
    <row r="4698" spans="3:3" x14ac:dyDescent="0.2">
      <c r="C4698"/>
    </row>
    <row r="4699" spans="3:3" x14ac:dyDescent="0.2">
      <c r="C4699"/>
    </row>
    <row r="4700" spans="3:3" x14ac:dyDescent="0.2">
      <c r="C4700"/>
    </row>
    <row r="4701" spans="3:3" x14ac:dyDescent="0.2">
      <c r="C4701"/>
    </row>
    <row r="4702" spans="3:3" x14ac:dyDescent="0.2">
      <c r="C4702"/>
    </row>
    <row r="4703" spans="3:3" x14ac:dyDescent="0.2">
      <c r="C4703"/>
    </row>
    <row r="4704" spans="3:3" x14ac:dyDescent="0.2">
      <c r="C4704"/>
    </row>
    <row r="4705" spans="3:3" x14ac:dyDescent="0.2">
      <c r="C4705"/>
    </row>
    <row r="4706" spans="3:3" x14ac:dyDescent="0.2">
      <c r="C4706"/>
    </row>
    <row r="4707" spans="3:3" x14ac:dyDescent="0.2">
      <c r="C4707"/>
    </row>
    <row r="4708" spans="3:3" x14ac:dyDescent="0.2">
      <c r="C4708"/>
    </row>
    <row r="4709" spans="3:3" x14ac:dyDescent="0.2">
      <c r="C4709"/>
    </row>
    <row r="4710" spans="3:3" x14ac:dyDescent="0.2">
      <c r="C4710"/>
    </row>
    <row r="4711" spans="3:3" x14ac:dyDescent="0.2">
      <c r="C4711"/>
    </row>
    <row r="4712" spans="3:3" x14ac:dyDescent="0.2">
      <c r="C4712"/>
    </row>
    <row r="4713" spans="3:3" x14ac:dyDescent="0.2">
      <c r="C4713"/>
    </row>
    <row r="4714" spans="3:3" x14ac:dyDescent="0.2">
      <c r="C4714"/>
    </row>
    <row r="4715" spans="3:3" x14ac:dyDescent="0.2">
      <c r="C4715"/>
    </row>
    <row r="4716" spans="3:3" x14ac:dyDescent="0.2">
      <c r="C4716"/>
    </row>
    <row r="4717" spans="3:3" x14ac:dyDescent="0.2">
      <c r="C4717"/>
    </row>
    <row r="4718" spans="3:3" x14ac:dyDescent="0.2">
      <c r="C4718"/>
    </row>
    <row r="4719" spans="3:3" x14ac:dyDescent="0.2">
      <c r="C4719"/>
    </row>
    <row r="4720" spans="3:3" x14ac:dyDescent="0.2">
      <c r="C4720"/>
    </row>
    <row r="4721" spans="3:3" x14ac:dyDescent="0.2">
      <c r="C4721"/>
    </row>
    <row r="4722" spans="3:3" x14ac:dyDescent="0.2">
      <c r="C4722"/>
    </row>
    <row r="4723" spans="3:3" x14ac:dyDescent="0.2">
      <c r="C4723"/>
    </row>
    <row r="4724" spans="3:3" x14ac:dyDescent="0.2">
      <c r="C4724"/>
    </row>
    <row r="4725" spans="3:3" x14ac:dyDescent="0.2">
      <c r="C4725"/>
    </row>
    <row r="4726" spans="3:3" x14ac:dyDescent="0.2">
      <c r="C4726"/>
    </row>
    <row r="4727" spans="3:3" x14ac:dyDescent="0.2">
      <c r="C4727"/>
    </row>
    <row r="4728" spans="3:3" x14ac:dyDescent="0.2">
      <c r="C4728"/>
    </row>
    <row r="4729" spans="3:3" x14ac:dyDescent="0.2">
      <c r="C4729"/>
    </row>
    <row r="4730" spans="3:3" x14ac:dyDescent="0.2">
      <c r="C4730"/>
    </row>
    <row r="4731" spans="3:3" x14ac:dyDescent="0.2">
      <c r="C4731"/>
    </row>
    <row r="4732" spans="3:3" x14ac:dyDescent="0.2">
      <c r="C4732"/>
    </row>
    <row r="4733" spans="3:3" x14ac:dyDescent="0.2">
      <c r="C4733"/>
    </row>
    <row r="4734" spans="3:3" x14ac:dyDescent="0.2">
      <c r="C4734"/>
    </row>
    <row r="4735" spans="3:3" x14ac:dyDescent="0.2">
      <c r="C4735"/>
    </row>
    <row r="4736" spans="3:3" x14ac:dyDescent="0.2">
      <c r="C4736"/>
    </row>
    <row r="4737" spans="3:3" x14ac:dyDescent="0.2">
      <c r="C4737"/>
    </row>
    <row r="4738" spans="3:3" x14ac:dyDescent="0.2">
      <c r="C4738"/>
    </row>
    <row r="4739" spans="3:3" x14ac:dyDescent="0.2">
      <c r="C4739"/>
    </row>
    <row r="4740" spans="3:3" x14ac:dyDescent="0.2">
      <c r="C4740"/>
    </row>
    <row r="4741" spans="3:3" x14ac:dyDescent="0.2">
      <c r="C4741"/>
    </row>
    <row r="4742" spans="3:3" x14ac:dyDescent="0.2">
      <c r="C4742"/>
    </row>
    <row r="4743" spans="3:3" x14ac:dyDescent="0.2">
      <c r="C4743"/>
    </row>
    <row r="4744" spans="3:3" x14ac:dyDescent="0.2">
      <c r="C4744"/>
    </row>
    <row r="4745" spans="3:3" x14ac:dyDescent="0.2">
      <c r="C4745"/>
    </row>
    <row r="4746" spans="3:3" x14ac:dyDescent="0.2">
      <c r="C4746"/>
    </row>
    <row r="4747" spans="3:3" x14ac:dyDescent="0.2">
      <c r="C4747"/>
    </row>
    <row r="4748" spans="3:3" x14ac:dyDescent="0.2">
      <c r="C4748"/>
    </row>
    <row r="4749" spans="3:3" x14ac:dyDescent="0.2">
      <c r="C4749"/>
    </row>
    <row r="4750" spans="3:3" x14ac:dyDescent="0.2">
      <c r="C4750"/>
    </row>
    <row r="4751" spans="3:3" x14ac:dyDescent="0.2">
      <c r="C4751"/>
    </row>
    <row r="4752" spans="3:3" x14ac:dyDescent="0.2">
      <c r="C4752"/>
    </row>
    <row r="4753" spans="3:3" x14ac:dyDescent="0.2">
      <c r="C4753"/>
    </row>
    <row r="4754" spans="3:3" x14ac:dyDescent="0.2">
      <c r="C4754"/>
    </row>
    <row r="4755" spans="3:3" x14ac:dyDescent="0.2">
      <c r="C4755"/>
    </row>
    <row r="4756" spans="3:3" x14ac:dyDescent="0.2">
      <c r="C4756"/>
    </row>
    <row r="4757" spans="3:3" x14ac:dyDescent="0.2">
      <c r="C4757"/>
    </row>
    <row r="4758" spans="3:3" x14ac:dyDescent="0.2">
      <c r="C4758"/>
    </row>
    <row r="4759" spans="3:3" x14ac:dyDescent="0.2">
      <c r="C4759"/>
    </row>
    <row r="4760" spans="3:3" x14ac:dyDescent="0.2">
      <c r="C4760"/>
    </row>
    <row r="4761" spans="3:3" x14ac:dyDescent="0.2">
      <c r="C4761"/>
    </row>
    <row r="4762" spans="3:3" x14ac:dyDescent="0.2">
      <c r="C4762"/>
    </row>
    <row r="4763" spans="3:3" x14ac:dyDescent="0.2">
      <c r="C4763"/>
    </row>
    <row r="4764" spans="3:3" x14ac:dyDescent="0.2">
      <c r="C4764"/>
    </row>
    <row r="4765" spans="3:3" x14ac:dyDescent="0.2">
      <c r="C4765"/>
    </row>
    <row r="4766" spans="3:3" x14ac:dyDescent="0.2">
      <c r="C4766"/>
    </row>
    <row r="4767" spans="3:3" x14ac:dyDescent="0.2">
      <c r="C4767"/>
    </row>
    <row r="4768" spans="3:3" x14ac:dyDescent="0.2">
      <c r="C4768"/>
    </row>
    <row r="4769" spans="3:3" x14ac:dyDescent="0.2">
      <c r="C4769"/>
    </row>
    <row r="4770" spans="3:3" x14ac:dyDescent="0.2">
      <c r="C4770"/>
    </row>
    <row r="4771" spans="3:3" x14ac:dyDescent="0.2">
      <c r="C4771"/>
    </row>
    <row r="4772" spans="3:3" x14ac:dyDescent="0.2">
      <c r="C4772"/>
    </row>
    <row r="4773" spans="3:3" x14ac:dyDescent="0.2">
      <c r="C4773"/>
    </row>
    <row r="4774" spans="3:3" x14ac:dyDescent="0.2">
      <c r="C4774"/>
    </row>
    <row r="4775" spans="3:3" x14ac:dyDescent="0.2">
      <c r="C4775"/>
    </row>
    <row r="4776" spans="3:3" x14ac:dyDescent="0.2">
      <c r="C4776"/>
    </row>
    <row r="4777" spans="3:3" x14ac:dyDescent="0.2">
      <c r="C4777"/>
    </row>
    <row r="4778" spans="3:3" x14ac:dyDescent="0.2">
      <c r="C4778"/>
    </row>
    <row r="4779" spans="3:3" x14ac:dyDescent="0.2">
      <c r="C4779"/>
    </row>
    <row r="4780" spans="3:3" x14ac:dyDescent="0.2">
      <c r="C4780"/>
    </row>
    <row r="4781" spans="3:3" x14ac:dyDescent="0.2">
      <c r="C4781"/>
    </row>
    <row r="4782" spans="3:3" x14ac:dyDescent="0.2">
      <c r="C4782"/>
    </row>
    <row r="4783" spans="3:3" x14ac:dyDescent="0.2">
      <c r="C4783"/>
    </row>
    <row r="4784" spans="3:3" x14ac:dyDescent="0.2">
      <c r="C4784"/>
    </row>
    <row r="4785" spans="3:3" x14ac:dyDescent="0.2">
      <c r="C4785"/>
    </row>
    <row r="4786" spans="3:3" x14ac:dyDescent="0.2">
      <c r="C4786"/>
    </row>
    <row r="4787" spans="3:3" x14ac:dyDescent="0.2">
      <c r="C4787"/>
    </row>
    <row r="4788" spans="3:3" x14ac:dyDescent="0.2">
      <c r="C4788"/>
    </row>
    <row r="4789" spans="3:3" x14ac:dyDescent="0.2">
      <c r="C4789"/>
    </row>
    <row r="4790" spans="3:3" x14ac:dyDescent="0.2">
      <c r="C4790"/>
    </row>
    <row r="4791" spans="3:3" x14ac:dyDescent="0.2">
      <c r="C4791"/>
    </row>
    <row r="4792" spans="3:3" x14ac:dyDescent="0.2">
      <c r="C4792"/>
    </row>
    <row r="4793" spans="3:3" x14ac:dyDescent="0.2">
      <c r="C4793"/>
    </row>
    <row r="4794" spans="3:3" x14ac:dyDescent="0.2">
      <c r="C4794"/>
    </row>
    <row r="4795" spans="3:3" x14ac:dyDescent="0.2">
      <c r="C4795"/>
    </row>
    <row r="4796" spans="3:3" x14ac:dyDescent="0.2">
      <c r="C4796"/>
    </row>
    <row r="4797" spans="3:3" x14ac:dyDescent="0.2">
      <c r="C4797"/>
    </row>
    <row r="4798" spans="3:3" x14ac:dyDescent="0.2">
      <c r="C4798"/>
    </row>
    <row r="4799" spans="3:3" x14ac:dyDescent="0.2">
      <c r="C4799"/>
    </row>
    <row r="4800" spans="3:3" x14ac:dyDescent="0.2">
      <c r="C4800"/>
    </row>
    <row r="4801" spans="3:3" x14ac:dyDescent="0.2">
      <c r="C4801"/>
    </row>
    <row r="4802" spans="3:3" x14ac:dyDescent="0.2">
      <c r="C4802"/>
    </row>
    <row r="4803" spans="3:3" x14ac:dyDescent="0.2">
      <c r="C4803"/>
    </row>
    <row r="4804" spans="3:3" x14ac:dyDescent="0.2">
      <c r="C4804"/>
    </row>
    <row r="4805" spans="3:3" x14ac:dyDescent="0.2">
      <c r="C4805"/>
    </row>
    <row r="4806" spans="3:3" x14ac:dyDescent="0.2">
      <c r="C4806"/>
    </row>
    <row r="4807" spans="3:3" x14ac:dyDescent="0.2">
      <c r="C4807"/>
    </row>
    <row r="4808" spans="3:3" x14ac:dyDescent="0.2">
      <c r="C4808"/>
    </row>
    <row r="4809" spans="3:3" x14ac:dyDescent="0.2">
      <c r="C4809"/>
    </row>
    <row r="4810" spans="3:3" x14ac:dyDescent="0.2">
      <c r="C4810"/>
    </row>
    <row r="4811" spans="3:3" x14ac:dyDescent="0.2">
      <c r="C4811"/>
    </row>
    <row r="4812" spans="3:3" x14ac:dyDescent="0.2">
      <c r="C4812"/>
    </row>
    <row r="4813" spans="3:3" x14ac:dyDescent="0.2">
      <c r="C4813"/>
    </row>
    <row r="4814" spans="3:3" x14ac:dyDescent="0.2">
      <c r="C4814"/>
    </row>
    <row r="4815" spans="3:3" x14ac:dyDescent="0.2">
      <c r="C4815"/>
    </row>
    <row r="4816" spans="3:3" x14ac:dyDescent="0.2">
      <c r="C4816"/>
    </row>
    <row r="4817" spans="3:3" x14ac:dyDescent="0.2">
      <c r="C4817"/>
    </row>
    <row r="4818" spans="3:3" x14ac:dyDescent="0.2">
      <c r="C4818"/>
    </row>
    <row r="4819" spans="3:3" x14ac:dyDescent="0.2">
      <c r="C4819"/>
    </row>
    <row r="4820" spans="3:3" x14ac:dyDescent="0.2">
      <c r="C4820"/>
    </row>
    <row r="4821" spans="3:3" x14ac:dyDescent="0.2">
      <c r="C4821"/>
    </row>
    <row r="4822" spans="3:3" x14ac:dyDescent="0.2">
      <c r="C4822"/>
    </row>
    <row r="4823" spans="3:3" x14ac:dyDescent="0.2">
      <c r="C4823"/>
    </row>
    <row r="4824" spans="3:3" x14ac:dyDescent="0.2">
      <c r="C4824"/>
    </row>
    <row r="4825" spans="3:3" x14ac:dyDescent="0.2">
      <c r="C4825"/>
    </row>
    <row r="4826" spans="3:3" x14ac:dyDescent="0.2">
      <c r="C4826"/>
    </row>
    <row r="4827" spans="3:3" x14ac:dyDescent="0.2">
      <c r="C4827"/>
    </row>
    <row r="4828" spans="3:3" x14ac:dyDescent="0.2">
      <c r="C4828"/>
    </row>
    <row r="4829" spans="3:3" x14ac:dyDescent="0.2">
      <c r="C4829"/>
    </row>
    <row r="4830" spans="3:3" x14ac:dyDescent="0.2">
      <c r="C4830"/>
    </row>
    <row r="4831" spans="3:3" x14ac:dyDescent="0.2">
      <c r="C4831"/>
    </row>
    <row r="4832" spans="3:3" x14ac:dyDescent="0.2">
      <c r="C4832"/>
    </row>
    <row r="4833" spans="3:3" x14ac:dyDescent="0.2">
      <c r="C4833"/>
    </row>
    <row r="4834" spans="3:3" x14ac:dyDescent="0.2">
      <c r="C4834"/>
    </row>
    <row r="4835" spans="3:3" x14ac:dyDescent="0.2">
      <c r="C4835"/>
    </row>
    <row r="4836" spans="3:3" x14ac:dyDescent="0.2">
      <c r="C4836"/>
    </row>
    <row r="4837" spans="3:3" x14ac:dyDescent="0.2">
      <c r="C4837"/>
    </row>
    <row r="4838" spans="3:3" x14ac:dyDescent="0.2">
      <c r="C4838"/>
    </row>
    <row r="4839" spans="3:3" x14ac:dyDescent="0.2">
      <c r="C4839"/>
    </row>
    <row r="4840" spans="3:3" x14ac:dyDescent="0.2">
      <c r="C4840"/>
    </row>
    <row r="4841" spans="3:3" x14ac:dyDescent="0.2">
      <c r="C4841"/>
    </row>
    <row r="4842" spans="3:3" x14ac:dyDescent="0.2">
      <c r="C4842"/>
    </row>
    <row r="4843" spans="3:3" x14ac:dyDescent="0.2">
      <c r="C4843"/>
    </row>
    <row r="4844" spans="3:3" x14ac:dyDescent="0.2">
      <c r="C4844"/>
    </row>
    <row r="4845" spans="3:3" x14ac:dyDescent="0.2">
      <c r="C4845"/>
    </row>
    <row r="4846" spans="3:3" x14ac:dyDescent="0.2">
      <c r="C4846"/>
    </row>
    <row r="4847" spans="3:3" x14ac:dyDescent="0.2">
      <c r="C4847"/>
    </row>
    <row r="4848" spans="3:3" x14ac:dyDescent="0.2">
      <c r="C4848"/>
    </row>
    <row r="4849" spans="3:3" x14ac:dyDescent="0.2">
      <c r="C4849"/>
    </row>
    <row r="4850" spans="3:3" x14ac:dyDescent="0.2">
      <c r="C4850"/>
    </row>
    <row r="4851" spans="3:3" x14ac:dyDescent="0.2">
      <c r="C4851"/>
    </row>
    <row r="4852" spans="3:3" x14ac:dyDescent="0.2">
      <c r="C4852"/>
    </row>
    <row r="4853" spans="3:3" x14ac:dyDescent="0.2">
      <c r="C4853"/>
    </row>
    <row r="4854" spans="3:3" x14ac:dyDescent="0.2">
      <c r="C4854"/>
    </row>
    <row r="4855" spans="3:3" x14ac:dyDescent="0.2">
      <c r="C4855"/>
    </row>
    <row r="4856" spans="3:3" x14ac:dyDescent="0.2">
      <c r="C4856"/>
    </row>
    <row r="4857" spans="3:3" x14ac:dyDescent="0.2">
      <c r="C4857"/>
    </row>
    <row r="4858" spans="3:3" x14ac:dyDescent="0.2">
      <c r="C4858"/>
    </row>
    <row r="4859" spans="3:3" x14ac:dyDescent="0.2">
      <c r="C4859"/>
    </row>
    <row r="4860" spans="3:3" x14ac:dyDescent="0.2">
      <c r="C4860"/>
    </row>
    <row r="4861" spans="3:3" x14ac:dyDescent="0.2">
      <c r="C4861"/>
    </row>
    <row r="4862" spans="3:3" x14ac:dyDescent="0.2">
      <c r="C4862"/>
    </row>
    <row r="4863" spans="3:3" x14ac:dyDescent="0.2">
      <c r="C4863"/>
    </row>
    <row r="4864" spans="3:3" x14ac:dyDescent="0.2">
      <c r="C4864"/>
    </row>
    <row r="4865" spans="3:3" x14ac:dyDescent="0.2">
      <c r="C4865"/>
    </row>
    <row r="4866" spans="3:3" x14ac:dyDescent="0.2">
      <c r="C4866"/>
    </row>
    <row r="4867" spans="3:3" x14ac:dyDescent="0.2">
      <c r="C4867"/>
    </row>
    <row r="4868" spans="3:3" x14ac:dyDescent="0.2">
      <c r="C4868"/>
    </row>
    <row r="4869" spans="3:3" x14ac:dyDescent="0.2">
      <c r="C4869"/>
    </row>
    <row r="4870" spans="3:3" x14ac:dyDescent="0.2">
      <c r="C4870"/>
    </row>
    <row r="4871" spans="3:3" x14ac:dyDescent="0.2">
      <c r="C4871"/>
    </row>
    <row r="4872" spans="3:3" x14ac:dyDescent="0.2">
      <c r="C4872"/>
    </row>
    <row r="4873" spans="3:3" x14ac:dyDescent="0.2">
      <c r="C4873"/>
    </row>
    <row r="4874" spans="3:3" x14ac:dyDescent="0.2">
      <c r="C4874"/>
    </row>
    <row r="4875" spans="3:3" x14ac:dyDescent="0.2">
      <c r="C4875"/>
    </row>
    <row r="4876" spans="3:3" x14ac:dyDescent="0.2">
      <c r="C4876"/>
    </row>
    <row r="4877" spans="3:3" x14ac:dyDescent="0.2">
      <c r="C4877"/>
    </row>
  </sheetData>
  <autoFilter ref="A6:AG2285"/>
  <mergeCells count="8">
    <mergeCell ref="AF4:AG4"/>
    <mergeCell ref="Z3:AA3"/>
    <mergeCell ref="AB4:AC4"/>
    <mergeCell ref="E4:I4"/>
    <mergeCell ref="R4:T4"/>
    <mergeCell ref="U4:V4"/>
    <mergeCell ref="W3:Y3"/>
    <mergeCell ref="J4:Q4"/>
  </mergeCells>
  <phoneticPr fontId="2" type="noConversion"/>
  <pageMargins left="0.17" right="0.17" top="1" bottom="0.32" header="0.5" footer="0.16"/>
  <pageSetup paperSize="9" scale="66" orientation="landscape" r:id="rId1"/>
  <headerFooter alignWithMargins="0">
    <oddFooter>&amp;R&amp;8Страница &amp;P из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3:E645"/>
  <sheetViews>
    <sheetView workbookViewId="0">
      <selection activeCell="E4" sqref="E4"/>
    </sheetView>
  </sheetViews>
  <sheetFormatPr defaultRowHeight="12.75" x14ac:dyDescent="0.2"/>
  <cols>
    <col min="1" max="1" width="11.140625" customWidth="1"/>
    <col min="2" max="2" width="16.5703125" customWidth="1"/>
    <col min="3" max="3" width="17.5703125" customWidth="1"/>
    <col min="4" max="4" width="21.140625" bestFit="1" customWidth="1"/>
    <col min="5" max="5" width="25.140625" bestFit="1" customWidth="1"/>
  </cols>
  <sheetData>
    <row r="3" spans="1:5" x14ac:dyDescent="0.2">
      <c r="A3" s="21"/>
      <c r="B3" s="23" t="s">
        <v>296</v>
      </c>
      <c r="C3" s="156"/>
      <c r="D3" s="156"/>
      <c r="E3" s="22"/>
    </row>
    <row r="4" spans="1:5" x14ac:dyDescent="0.2">
      <c r="A4" s="23" t="s">
        <v>390</v>
      </c>
      <c r="B4" s="21" t="s">
        <v>61</v>
      </c>
      <c r="C4" s="157" t="s">
        <v>62</v>
      </c>
      <c r="D4" s="157" t="s">
        <v>1457</v>
      </c>
      <c r="E4" s="26" t="s">
        <v>1458</v>
      </c>
    </row>
    <row r="5" spans="1:5" x14ac:dyDescent="0.2">
      <c r="A5" s="21">
        <v>52</v>
      </c>
      <c r="B5" s="27">
        <v>1</v>
      </c>
      <c r="C5" s="158">
        <v>1</v>
      </c>
      <c r="D5" s="158">
        <v>1</v>
      </c>
      <c r="E5" s="28">
        <v>0</v>
      </c>
    </row>
    <row r="6" spans="1:5" x14ac:dyDescent="0.2">
      <c r="A6" s="24">
        <v>77</v>
      </c>
      <c r="B6" s="29">
        <v>1</v>
      </c>
      <c r="C6" s="9">
        <v>1</v>
      </c>
      <c r="D6" s="9">
        <v>1</v>
      </c>
      <c r="E6" s="30">
        <v>0</v>
      </c>
    </row>
    <row r="7" spans="1:5" x14ac:dyDescent="0.2">
      <c r="A7" s="24">
        <v>89</v>
      </c>
      <c r="B7" s="29">
        <v>1</v>
      </c>
      <c r="C7" s="9">
        <v>1</v>
      </c>
      <c r="D7" s="9">
        <v>1</v>
      </c>
      <c r="E7" s="30">
        <v>0</v>
      </c>
    </row>
    <row r="8" spans="1:5" x14ac:dyDescent="0.2">
      <c r="A8" s="24">
        <v>100</v>
      </c>
      <c r="B8" s="29">
        <v>1</v>
      </c>
      <c r="C8" s="9">
        <v>1</v>
      </c>
      <c r="D8" s="9">
        <v>1</v>
      </c>
      <c r="E8" s="30">
        <v>0</v>
      </c>
    </row>
    <row r="9" spans="1:5" x14ac:dyDescent="0.2">
      <c r="A9" s="24">
        <v>104</v>
      </c>
      <c r="B9" s="29">
        <v>1</v>
      </c>
      <c r="C9" s="9">
        <v>1</v>
      </c>
      <c r="D9" s="9">
        <v>1</v>
      </c>
      <c r="E9" s="30">
        <v>0</v>
      </c>
    </row>
    <row r="10" spans="1:5" x14ac:dyDescent="0.2">
      <c r="A10" s="24">
        <v>119</v>
      </c>
      <c r="B10" s="29">
        <v>1</v>
      </c>
      <c r="C10" s="9">
        <v>1</v>
      </c>
      <c r="D10" s="9">
        <v>1</v>
      </c>
      <c r="E10" s="30">
        <v>0</v>
      </c>
    </row>
    <row r="11" spans="1:5" x14ac:dyDescent="0.2">
      <c r="A11" s="24">
        <v>124</v>
      </c>
      <c r="B11" s="29">
        <v>1</v>
      </c>
      <c r="C11" s="9">
        <v>1</v>
      </c>
      <c r="D11" s="9">
        <v>1</v>
      </c>
      <c r="E11" s="30">
        <v>0</v>
      </c>
    </row>
    <row r="12" spans="1:5" x14ac:dyDescent="0.2">
      <c r="A12" s="24">
        <v>146</v>
      </c>
      <c r="B12" s="29">
        <v>1</v>
      </c>
      <c r="C12" s="9">
        <v>1</v>
      </c>
      <c r="D12" s="9">
        <v>1</v>
      </c>
      <c r="E12" s="30">
        <v>0</v>
      </c>
    </row>
    <row r="13" spans="1:5" x14ac:dyDescent="0.2">
      <c r="A13" s="24">
        <v>158</v>
      </c>
      <c r="B13" s="29">
        <v>1</v>
      </c>
      <c r="C13" s="9">
        <v>1</v>
      </c>
      <c r="D13" s="9">
        <v>1</v>
      </c>
      <c r="E13" s="30">
        <v>0</v>
      </c>
    </row>
    <row r="14" spans="1:5" x14ac:dyDescent="0.2">
      <c r="A14" s="24">
        <v>164</v>
      </c>
      <c r="B14" s="29">
        <v>1</v>
      </c>
      <c r="C14" s="9">
        <v>1</v>
      </c>
      <c r="D14" s="9">
        <v>1</v>
      </c>
      <c r="E14" s="30">
        <v>0</v>
      </c>
    </row>
    <row r="15" spans="1:5" x14ac:dyDescent="0.2">
      <c r="A15" s="24">
        <v>201</v>
      </c>
      <c r="B15" s="29">
        <v>1</v>
      </c>
      <c r="C15" s="9">
        <v>1</v>
      </c>
      <c r="D15" s="9">
        <v>1</v>
      </c>
      <c r="E15" s="30">
        <v>0</v>
      </c>
    </row>
    <row r="16" spans="1:5" x14ac:dyDescent="0.2">
      <c r="A16" s="24">
        <v>267</v>
      </c>
      <c r="B16" s="29">
        <v>1</v>
      </c>
      <c r="C16" s="9">
        <v>1</v>
      </c>
      <c r="D16" s="9">
        <v>1</v>
      </c>
      <c r="E16" s="30">
        <v>0</v>
      </c>
    </row>
    <row r="17" spans="1:5" x14ac:dyDescent="0.2">
      <c r="A17" s="24">
        <v>319</v>
      </c>
      <c r="B17" s="29">
        <v>1.1000000000000001</v>
      </c>
      <c r="C17" s="9">
        <v>1.1000000000000001</v>
      </c>
      <c r="D17" s="9">
        <v>1</v>
      </c>
      <c r="E17" s="30">
        <v>0</v>
      </c>
    </row>
    <row r="18" spans="1:5" x14ac:dyDescent="0.2">
      <c r="A18" s="24">
        <v>329</v>
      </c>
      <c r="B18" s="29">
        <v>1</v>
      </c>
      <c r="C18" s="9">
        <v>1</v>
      </c>
      <c r="D18" s="9">
        <v>1</v>
      </c>
      <c r="E18" s="30">
        <v>0</v>
      </c>
    </row>
    <row r="19" spans="1:5" x14ac:dyDescent="0.2">
      <c r="A19" s="24">
        <v>331</v>
      </c>
      <c r="B19" s="29">
        <v>1</v>
      </c>
      <c r="C19" s="9">
        <v>1</v>
      </c>
      <c r="D19" s="9">
        <v>1</v>
      </c>
      <c r="E19" s="30">
        <v>0</v>
      </c>
    </row>
    <row r="20" spans="1:5" x14ac:dyDescent="0.2">
      <c r="A20" s="24">
        <v>343</v>
      </c>
      <c r="B20" s="29">
        <v>1</v>
      </c>
      <c r="C20" s="9">
        <v>1</v>
      </c>
      <c r="D20" s="9">
        <v>1</v>
      </c>
      <c r="E20" s="30">
        <v>0</v>
      </c>
    </row>
    <row r="21" spans="1:5" x14ac:dyDescent="0.2">
      <c r="A21" s="24">
        <v>347</v>
      </c>
      <c r="B21" s="29">
        <v>5</v>
      </c>
      <c r="C21" s="9">
        <v>5</v>
      </c>
      <c r="D21" s="9">
        <v>3</v>
      </c>
      <c r="E21" s="30">
        <v>643</v>
      </c>
    </row>
    <row r="22" spans="1:5" x14ac:dyDescent="0.2">
      <c r="A22" s="24">
        <v>348</v>
      </c>
      <c r="B22" s="29">
        <v>1</v>
      </c>
      <c r="C22" s="9">
        <v>1</v>
      </c>
      <c r="D22" s="9">
        <v>1</v>
      </c>
      <c r="E22" s="30">
        <v>0</v>
      </c>
    </row>
    <row r="23" spans="1:5" x14ac:dyDescent="0.2">
      <c r="A23" s="24">
        <v>351</v>
      </c>
      <c r="B23" s="29">
        <v>1</v>
      </c>
      <c r="C23" s="9">
        <v>1</v>
      </c>
      <c r="D23" s="9">
        <v>1</v>
      </c>
      <c r="E23" s="30">
        <v>0</v>
      </c>
    </row>
    <row r="24" spans="1:5" x14ac:dyDescent="0.2">
      <c r="A24" s="24">
        <v>364</v>
      </c>
      <c r="B24" s="29">
        <v>1</v>
      </c>
      <c r="C24" s="9">
        <v>1</v>
      </c>
      <c r="D24" s="9">
        <v>1</v>
      </c>
      <c r="E24" s="30">
        <v>0</v>
      </c>
    </row>
    <row r="25" spans="1:5" x14ac:dyDescent="0.2">
      <c r="A25" s="24">
        <v>388</v>
      </c>
      <c r="B25" s="29">
        <v>1</v>
      </c>
      <c r="C25" s="9">
        <v>1</v>
      </c>
      <c r="D25" s="9">
        <v>1</v>
      </c>
      <c r="E25" s="30">
        <v>0</v>
      </c>
    </row>
    <row r="26" spans="1:5" x14ac:dyDescent="0.2">
      <c r="A26" s="24">
        <v>406</v>
      </c>
      <c r="B26" s="29">
        <v>1</v>
      </c>
      <c r="C26" s="9">
        <v>1</v>
      </c>
      <c r="D26" s="9">
        <v>1</v>
      </c>
      <c r="E26" s="30">
        <v>0</v>
      </c>
    </row>
    <row r="27" spans="1:5" x14ac:dyDescent="0.2">
      <c r="A27" s="24">
        <v>415</v>
      </c>
      <c r="B27" s="29">
        <v>1</v>
      </c>
      <c r="C27" s="9">
        <v>1</v>
      </c>
      <c r="D27" s="9">
        <v>1</v>
      </c>
      <c r="E27" s="30">
        <v>0</v>
      </c>
    </row>
    <row r="28" spans="1:5" x14ac:dyDescent="0.2">
      <c r="A28" s="24">
        <v>435</v>
      </c>
      <c r="B28" s="29">
        <v>1</v>
      </c>
      <c r="C28" s="9">
        <v>1</v>
      </c>
      <c r="D28" s="9">
        <v>1</v>
      </c>
      <c r="E28" s="30">
        <v>0</v>
      </c>
    </row>
    <row r="29" spans="1:5" x14ac:dyDescent="0.2">
      <c r="A29" s="24">
        <v>449</v>
      </c>
      <c r="B29" s="29">
        <v>1</v>
      </c>
      <c r="C29" s="9">
        <v>1</v>
      </c>
      <c r="D29" s="9">
        <v>1</v>
      </c>
      <c r="E29" s="30">
        <v>0</v>
      </c>
    </row>
    <row r="30" spans="1:5" x14ac:dyDescent="0.2">
      <c r="A30" s="24">
        <v>455</v>
      </c>
      <c r="B30" s="29">
        <v>1</v>
      </c>
      <c r="C30" s="9">
        <v>1</v>
      </c>
      <c r="D30" s="9">
        <v>1</v>
      </c>
      <c r="E30" s="30">
        <v>0</v>
      </c>
    </row>
    <row r="31" spans="1:5" x14ac:dyDescent="0.2">
      <c r="A31" s="24">
        <v>457</v>
      </c>
      <c r="B31" s="29">
        <v>2.1</v>
      </c>
      <c r="C31" s="9">
        <v>2.1</v>
      </c>
      <c r="D31" s="9">
        <v>1</v>
      </c>
      <c r="E31" s="30">
        <v>0</v>
      </c>
    </row>
    <row r="32" spans="1:5" x14ac:dyDescent="0.2">
      <c r="A32" s="24">
        <v>460</v>
      </c>
      <c r="B32" s="29">
        <v>1</v>
      </c>
      <c r="C32" s="9">
        <v>1</v>
      </c>
      <c r="D32" s="9">
        <v>1</v>
      </c>
      <c r="E32" s="30">
        <v>0</v>
      </c>
    </row>
    <row r="33" spans="1:5" x14ac:dyDescent="0.2">
      <c r="A33" s="24">
        <v>490</v>
      </c>
      <c r="B33" s="29">
        <v>1.1000000000000001</v>
      </c>
      <c r="C33" s="9">
        <v>1.1000000000000001</v>
      </c>
      <c r="D33" s="9">
        <v>1</v>
      </c>
      <c r="E33" s="30">
        <v>0</v>
      </c>
    </row>
    <row r="34" spans="1:5" x14ac:dyDescent="0.2">
      <c r="A34" s="24">
        <v>497</v>
      </c>
      <c r="B34" s="29">
        <v>4</v>
      </c>
      <c r="C34" s="9">
        <v>4</v>
      </c>
      <c r="D34" s="9">
        <v>3</v>
      </c>
      <c r="E34" s="30">
        <v>752</v>
      </c>
    </row>
    <row r="35" spans="1:5" x14ac:dyDescent="0.2">
      <c r="A35" s="24">
        <v>541</v>
      </c>
      <c r="B35" s="29">
        <v>1</v>
      </c>
      <c r="C35" s="9">
        <v>1</v>
      </c>
      <c r="D35" s="9">
        <v>1</v>
      </c>
      <c r="E35" s="30">
        <v>0</v>
      </c>
    </row>
    <row r="36" spans="1:5" x14ac:dyDescent="0.2">
      <c r="A36" s="24">
        <v>585</v>
      </c>
      <c r="B36" s="29">
        <v>1</v>
      </c>
      <c r="C36" s="9">
        <v>1</v>
      </c>
      <c r="D36" s="9">
        <v>1</v>
      </c>
      <c r="E36" s="30">
        <v>0</v>
      </c>
    </row>
    <row r="37" spans="1:5" x14ac:dyDescent="0.2">
      <c r="A37" s="24">
        <v>664</v>
      </c>
      <c r="B37" s="29">
        <v>1</v>
      </c>
      <c r="C37" s="9">
        <v>1</v>
      </c>
      <c r="D37" s="9">
        <v>1</v>
      </c>
      <c r="E37" s="30">
        <v>0</v>
      </c>
    </row>
    <row r="38" spans="1:5" x14ac:dyDescent="0.2">
      <c r="A38" s="24">
        <v>686</v>
      </c>
      <c r="B38" s="29">
        <v>3</v>
      </c>
      <c r="C38" s="9">
        <v>3</v>
      </c>
      <c r="D38" s="9">
        <v>3</v>
      </c>
      <c r="E38" s="30">
        <v>834</v>
      </c>
    </row>
    <row r="39" spans="1:5" x14ac:dyDescent="0.2">
      <c r="A39" s="24">
        <v>722</v>
      </c>
      <c r="B39" s="29">
        <v>1</v>
      </c>
      <c r="C39" s="9">
        <v>1</v>
      </c>
      <c r="D39" s="9">
        <v>1</v>
      </c>
      <c r="E39" s="30">
        <v>0</v>
      </c>
    </row>
    <row r="40" spans="1:5" x14ac:dyDescent="0.2">
      <c r="A40" s="24">
        <v>752</v>
      </c>
      <c r="B40" s="29">
        <v>1</v>
      </c>
      <c r="C40" s="9">
        <v>1</v>
      </c>
      <c r="D40" s="9">
        <v>1</v>
      </c>
      <c r="E40" s="30">
        <v>0</v>
      </c>
    </row>
    <row r="41" spans="1:5" x14ac:dyDescent="0.2">
      <c r="A41" s="24">
        <v>809</v>
      </c>
      <c r="B41" s="29">
        <v>1</v>
      </c>
      <c r="C41" s="9">
        <v>1</v>
      </c>
      <c r="D41" s="9">
        <v>1</v>
      </c>
      <c r="E41" s="30">
        <v>0</v>
      </c>
    </row>
    <row r="42" spans="1:5" x14ac:dyDescent="0.2">
      <c r="A42" s="24">
        <v>900</v>
      </c>
      <c r="B42" s="29">
        <v>1</v>
      </c>
      <c r="C42" s="9">
        <v>1</v>
      </c>
      <c r="D42" s="9">
        <v>1</v>
      </c>
      <c r="E42" s="30">
        <v>0</v>
      </c>
    </row>
    <row r="43" spans="1:5" x14ac:dyDescent="0.2">
      <c r="A43" s="24">
        <v>912</v>
      </c>
      <c r="B43" s="29">
        <v>1</v>
      </c>
      <c r="C43" s="9">
        <v>1</v>
      </c>
      <c r="D43" s="9">
        <v>1</v>
      </c>
      <c r="E43" s="30">
        <v>0</v>
      </c>
    </row>
    <row r="44" spans="1:5" x14ac:dyDescent="0.2">
      <c r="A44" s="24">
        <v>991</v>
      </c>
      <c r="B44" s="29">
        <v>3</v>
      </c>
      <c r="C44" s="9">
        <v>3</v>
      </c>
      <c r="D44" s="9">
        <v>1</v>
      </c>
      <c r="E44" s="30">
        <v>0</v>
      </c>
    </row>
    <row r="45" spans="1:5" x14ac:dyDescent="0.2">
      <c r="A45" s="24">
        <v>1019</v>
      </c>
      <c r="B45" s="29">
        <v>2.1</v>
      </c>
      <c r="C45" s="9">
        <v>2.1</v>
      </c>
      <c r="D45" s="9">
        <v>1</v>
      </c>
      <c r="E45" s="30">
        <v>0</v>
      </c>
    </row>
    <row r="46" spans="1:5" x14ac:dyDescent="0.2">
      <c r="A46" s="24">
        <v>1034</v>
      </c>
      <c r="B46" s="29">
        <v>1</v>
      </c>
      <c r="C46" s="9">
        <v>1</v>
      </c>
      <c r="D46" s="9">
        <v>1</v>
      </c>
      <c r="E46" s="30">
        <v>0</v>
      </c>
    </row>
    <row r="47" spans="1:5" x14ac:dyDescent="0.2">
      <c r="A47" s="24">
        <v>1042</v>
      </c>
      <c r="B47" s="29">
        <v>1</v>
      </c>
      <c r="C47" s="9">
        <v>1</v>
      </c>
      <c r="D47" s="9">
        <v>1</v>
      </c>
      <c r="E47" s="30">
        <v>0</v>
      </c>
    </row>
    <row r="48" spans="1:5" x14ac:dyDescent="0.2">
      <c r="A48" s="24">
        <v>1044</v>
      </c>
      <c r="B48" s="29">
        <v>1</v>
      </c>
      <c r="C48" s="9">
        <v>1</v>
      </c>
      <c r="D48" s="9">
        <v>1</v>
      </c>
      <c r="E48" s="30">
        <v>0</v>
      </c>
    </row>
    <row r="49" spans="1:5" x14ac:dyDescent="0.2">
      <c r="A49" s="24">
        <v>1051</v>
      </c>
      <c r="B49" s="29">
        <v>1</v>
      </c>
      <c r="C49" s="9">
        <v>1</v>
      </c>
      <c r="D49" s="9">
        <v>1</v>
      </c>
      <c r="E49" s="30">
        <v>0</v>
      </c>
    </row>
    <row r="50" spans="1:5" x14ac:dyDescent="0.2">
      <c r="A50" s="24">
        <v>1222</v>
      </c>
      <c r="B50" s="29">
        <v>1</v>
      </c>
      <c r="C50" s="9">
        <v>1</v>
      </c>
      <c r="D50" s="9">
        <v>1</v>
      </c>
      <c r="E50" s="30">
        <v>0</v>
      </c>
    </row>
    <row r="51" spans="1:5" x14ac:dyDescent="0.2">
      <c r="A51" s="24">
        <v>1241</v>
      </c>
      <c r="B51" s="29">
        <v>1</v>
      </c>
      <c r="C51" s="9">
        <v>1</v>
      </c>
      <c r="D51" s="9">
        <v>1</v>
      </c>
      <c r="E51" s="30">
        <v>0</v>
      </c>
    </row>
    <row r="52" spans="1:5" x14ac:dyDescent="0.2">
      <c r="A52" s="24">
        <v>1283</v>
      </c>
      <c r="B52" s="29">
        <v>1</v>
      </c>
      <c r="C52" s="9">
        <v>1</v>
      </c>
      <c r="D52" s="9">
        <v>1</v>
      </c>
      <c r="E52" s="30">
        <v>1</v>
      </c>
    </row>
    <row r="53" spans="1:5" x14ac:dyDescent="0.2">
      <c r="A53" s="24">
        <v>1286</v>
      </c>
      <c r="B53" s="29">
        <v>1</v>
      </c>
      <c r="C53" s="9">
        <v>1</v>
      </c>
      <c r="D53" s="9">
        <v>1</v>
      </c>
      <c r="E53" s="30">
        <v>0</v>
      </c>
    </row>
    <row r="54" spans="1:5" x14ac:dyDescent="0.2">
      <c r="A54" s="24">
        <v>1343</v>
      </c>
      <c r="B54" s="29">
        <v>5</v>
      </c>
      <c r="C54" s="9">
        <v>5</v>
      </c>
      <c r="D54" s="9">
        <v>3</v>
      </c>
      <c r="E54" s="30">
        <v>1754</v>
      </c>
    </row>
    <row r="55" spans="1:5" x14ac:dyDescent="0.2">
      <c r="A55" s="24">
        <v>1360</v>
      </c>
      <c r="B55" s="29">
        <v>1</v>
      </c>
      <c r="C55" s="9">
        <v>1</v>
      </c>
      <c r="D55" s="9">
        <v>1</v>
      </c>
      <c r="E55" s="30">
        <v>0</v>
      </c>
    </row>
    <row r="56" spans="1:5" x14ac:dyDescent="0.2">
      <c r="A56" s="24">
        <v>1368</v>
      </c>
      <c r="B56" s="29">
        <v>5</v>
      </c>
      <c r="C56" s="9">
        <v>5</v>
      </c>
      <c r="D56" s="9">
        <v>3</v>
      </c>
      <c r="E56" s="30">
        <v>275</v>
      </c>
    </row>
    <row r="57" spans="1:5" x14ac:dyDescent="0.2">
      <c r="A57" s="24">
        <v>1407</v>
      </c>
      <c r="B57" s="29">
        <v>1</v>
      </c>
      <c r="C57" s="9">
        <v>1</v>
      </c>
      <c r="D57" s="9">
        <v>1</v>
      </c>
      <c r="E57" s="30">
        <v>0</v>
      </c>
    </row>
    <row r="58" spans="1:5" x14ac:dyDescent="0.2">
      <c r="A58" s="24">
        <v>1449</v>
      </c>
      <c r="B58" s="29">
        <v>1</v>
      </c>
      <c r="C58" s="9">
        <v>1</v>
      </c>
      <c r="D58" s="9">
        <v>1</v>
      </c>
      <c r="E58" s="30">
        <v>0</v>
      </c>
    </row>
    <row r="59" spans="1:5" x14ac:dyDescent="0.2">
      <c r="A59" s="24">
        <v>1492</v>
      </c>
      <c r="B59" s="29">
        <v>1</v>
      </c>
      <c r="C59" s="9">
        <v>1</v>
      </c>
      <c r="D59" s="9">
        <v>1</v>
      </c>
      <c r="E59" s="30">
        <v>0</v>
      </c>
    </row>
    <row r="60" spans="1:5" x14ac:dyDescent="0.2">
      <c r="A60" s="24">
        <v>1568</v>
      </c>
      <c r="B60" s="29">
        <v>4.2</v>
      </c>
      <c r="C60" s="9">
        <v>4.2</v>
      </c>
      <c r="D60" s="9">
        <v>3</v>
      </c>
      <c r="E60" s="30">
        <v>885</v>
      </c>
    </row>
    <row r="61" spans="1:5" x14ac:dyDescent="0.2">
      <c r="A61" s="24">
        <v>1610</v>
      </c>
      <c r="B61" s="29">
        <v>1</v>
      </c>
      <c r="C61" s="9">
        <v>1</v>
      </c>
      <c r="D61" s="9">
        <v>1</v>
      </c>
      <c r="E61" s="30">
        <v>0</v>
      </c>
    </row>
    <row r="62" spans="1:5" x14ac:dyDescent="0.2">
      <c r="A62" s="24">
        <v>1712</v>
      </c>
      <c r="B62" s="29">
        <v>1</v>
      </c>
      <c r="C62" s="9">
        <v>1</v>
      </c>
      <c r="D62" s="9">
        <v>1</v>
      </c>
      <c r="E62" s="30">
        <v>0</v>
      </c>
    </row>
    <row r="63" spans="1:5" x14ac:dyDescent="0.2">
      <c r="A63" s="24">
        <v>1766</v>
      </c>
      <c r="B63" s="29">
        <v>1</v>
      </c>
      <c r="C63" s="9">
        <v>1</v>
      </c>
      <c r="D63" s="9">
        <v>1</v>
      </c>
      <c r="E63" s="30">
        <v>0</v>
      </c>
    </row>
    <row r="64" spans="1:5" x14ac:dyDescent="0.2">
      <c r="A64" s="24">
        <v>1854</v>
      </c>
      <c r="B64" s="29">
        <v>1</v>
      </c>
      <c r="C64" s="9">
        <v>1</v>
      </c>
      <c r="D64" s="9">
        <v>1</v>
      </c>
      <c r="E64" s="30">
        <v>0</v>
      </c>
    </row>
    <row r="65" spans="1:5" x14ac:dyDescent="0.2">
      <c r="A65" s="24">
        <v>1859</v>
      </c>
      <c r="B65" s="29">
        <v>1</v>
      </c>
      <c r="C65" s="9">
        <v>1</v>
      </c>
      <c r="D65" s="9">
        <v>1</v>
      </c>
      <c r="E65" s="30">
        <v>0</v>
      </c>
    </row>
    <row r="66" spans="1:5" x14ac:dyDescent="0.2">
      <c r="A66" s="24">
        <v>1870</v>
      </c>
      <c r="B66" s="29">
        <v>1</v>
      </c>
      <c r="C66" s="9">
        <v>1</v>
      </c>
      <c r="D66" s="9">
        <v>1</v>
      </c>
      <c r="E66" s="30">
        <v>0</v>
      </c>
    </row>
    <row r="67" spans="1:5" x14ac:dyDescent="0.2">
      <c r="A67" s="24">
        <v>1873</v>
      </c>
      <c r="B67" s="29">
        <v>1</v>
      </c>
      <c r="C67" s="9">
        <v>1</v>
      </c>
      <c r="D67" s="9">
        <v>1</v>
      </c>
      <c r="E67" s="30">
        <v>0</v>
      </c>
    </row>
    <row r="68" spans="1:5" x14ac:dyDescent="0.2">
      <c r="A68" s="24">
        <v>1879</v>
      </c>
      <c r="B68" s="29">
        <v>1</v>
      </c>
      <c r="C68" s="9">
        <v>1</v>
      </c>
      <c r="D68" s="9">
        <v>1</v>
      </c>
      <c r="E68" s="30">
        <v>0</v>
      </c>
    </row>
    <row r="69" spans="1:5" x14ac:dyDescent="0.2">
      <c r="A69" s="24">
        <v>1947</v>
      </c>
      <c r="B69" s="29">
        <v>1</v>
      </c>
      <c r="C69" s="9">
        <v>1</v>
      </c>
      <c r="D69" s="9">
        <v>1</v>
      </c>
      <c r="E69" s="30">
        <v>0</v>
      </c>
    </row>
    <row r="70" spans="1:5" x14ac:dyDescent="0.2">
      <c r="A70" s="24">
        <v>2039</v>
      </c>
      <c r="B70" s="29">
        <v>1</v>
      </c>
      <c r="C70" s="9">
        <v>1</v>
      </c>
      <c r="D70" s="9">
        <v>1</v>
      </c>
      <c r="E70" s="30">
        <v>0</v>
      </c>
    </row>
    <row r="71" spans="1:5" x14ac:dyDescent="0.2">
      <c r="A71" s="24">
        <v>2046</v>
      </c>
      <c r="B71" s="29">
        <v>1</v>
      </c>
      <c r="C71" s="9">
        <v>1</v>
      </c>
      <c r="D71" s="9">
        <v>1</v>
      </c>
      <c r="E71" s="30">
        <v>0</v>
      </c>
    </row>
    <row r="72" spans="1:5" x14ac:dyDescent="0.2">
      <c r="A72" s="24">
        <v>2058</v>
      </c>
      <c r="B72" s="29">
        <v>1</v>
      </c>
      <c r="C72" s="9">
        <v>1</v>
      </c>
      <c r="D72" s="9">
        <v>1</v>
      </c>
      <c r="E72" s="30">
        <v>0</v>
      </c>
    </row>
    <row r="73" spans="1:5" x14ac:dyDescent="0.2">
      <c r="A73" s="24">
        <v>2078</v>
      </c>
      <c r="B73" s="29">
        <v>1</v>
      </c>
      <c r="C73" s="9">
        <v>1</v>
      </c>
      <c r="D73" s="9">
        <v>1</v>
      </c>
      <c r="E73" s="30">
        <v>0</v>
      </c>
    </row>
    <row r="74" spans="1:5" x14ac:dyDescent="0.2">
      <c r="A74" s="24">
        <v>2091</v>
      </c>
      <c r="B74" s="29">
        <v>1</v>
      </c>
      <c r="C74" s="9">
        <v>1</v>
      </c>
      <c r="D74" s="9">
        <v>1</v>
      </c>
      <c r="E74" s="30">
        <v>0</v>
      </c>
    </row>
    <row r="75" spans="1:5" x14ac:dyDescent="0.2">
      <c r="A75" s="24">
        <v>2104</v>
      </c>
      <c r="B75" s="29">
        <v>1</v>
      </c>
      <c r="C75" s="9">
        <v>2</v>
      </c>
      <c r="D75" s="9">
        <v>3</v>
      </c>
      <c r="E75" s="30">
        <v>89</v>
      </c>
    </row>
    <row r="76" spans="1:5" x14ac:dyDescent="0.2">
      <c r="A76" s="24">
        <v>2148</v>
      </c>
      <c r="B76" s="29">
        <v>2.1</v>
      </c>
      <c r="C76" s="9">
        <v>2.1</v>
      </c>
      <c r="D76" s="9">
        <v>1</v>
      </c>
      <c r="E76" s="30">
        <v>0</v>
      </c>
    </row>
    <row r="77" spans="1:5" x14ac:dyDescent="0.2">
      <c r="A77" s="24">
        <v>2173</v>
      </c>
      <c r="B77" s="29">
        <v>1</v>
      </c>
      <c r="C77" s="9">
        <v>1</v>
      </c>
      <c r="D77" s="9">
        <v>1</v>
      </c>
      <c r="E77" s="30">
        <v>0</v>
      </c>
    </row>
    <row r="78" spans="1:5" x14ac:dyDescent="0.2">
      <c r="A78" s="24">
        <v>2174</v>
      </c>
      <c r="B78" s="29">
        <v>1</v>
      </c>
      <c r="C78" s="9">
        <v>1</v>
      </c>
      <c r="D78" s="9">
        <v>1</v>
      </c>
      <c r="E78" s="30">
        <v>0</v>
      </c>
    </row>
    <row r="79" spans="1:5" x14ac:dyDescent="0.2">
      <c r="A79" s="24">
        <v>2180</v>
      </c>
      <c r="B79" s="29">
        <v>1</v>
      </c>
      <c r="C79" s="9">
        <v>1</v>
      </c>
      <c r="D79" s="9">
        <v>1</v>
      </c>
      <c r="E79" s="30">
        <v>0</v>
      </c>
    </row>
    <row r="80" spans="1:5" x14ac:dyDescent="0.2">
      <c r="A80" s="24">
        <v>2221</v>
      </c>
      <c r="B80" s="29">
        <v>4.0999999999999996</v>
      </c>
      <c r="C80" s="9">
        <v>4.0999999999999996</v>
      </c>
      <c r="D80" s="9">
        <v>3</v>
      </c>
      <c r="E80" s="30">
        <v>215</v>
      </c>
    </row>
    <row r="81" spans="1:5" x14ac:dyDescent="0.2">
      <c r="A81" s="24">
        <v>2324</v>
      </c>
      <c r="B81" s="29">
        <v>3</v>
      </c>
      <c r="C81" s="9">
        <v>3</v>
      </c>
      <c r="D81" s="9">
        <v>1</v>
      </c>
      <c r="E81" s="30">
        <v>1</v>
      </c>
    </row>
    <row r="82" spans="1:5" x14ac:dyDescent="0.2">
      <c r="A82" s="24">
        <v>2341</v>
      </c>
      <c r="B82" s="29">
        <v>4.2</v>
      </c>
      <c r="C82" s="9">
        <v>4.2</v>
      </c>
      <c r="D82" s="9">
        <v>3</v>
      </c>
      <c r="E82" s="30">
        <v>640</v>
      </c>
    </row>
    <row r="83" spans="1:5" x14ac:dyDescent="0.2">
      <c r="A83" s="24">
        <v>2375</v>
      </c>
      <c r="B83" s="29">
        <v>1</v>
      </c>
      <c r="C83" s="9">
        <v>1</v>
      </c>
      <c r="D83" s="9">
        <v>1</v>
      </c>
      <c r="E83" s="30">
        <v>0</v>
      </c>
    </row>
    <row r="84" spans="1:5" x14ac:dyDescent="0.2">
      <c r="A84" s="24">
        <v>2404</v>
      </c>
      <c r="B84" s="29">
        <v>1</v>
      </c>
      <c r="C84" s="9">
        <v>1</v>
      </c>
      <c r="D84" s="9">
        <v>1</v>
      </c>
      <c r="E84" s="30">
        <v>0</v>
      </c>
    </row>
    <row r="85" spans="1:5" x14ac:dyDescent="0.2">
      <c r="A85" s="24">
        <v>2420</v>
      </c>
      <c r="B85" s="29">
        <v>1</v>
      </c>
      <c r="C85" s="9">
        <v>1</v>
      </c>
      <c r="D85" s="9">
        <v>1</v>
      </c>
      <c r="E85" s="30">
        <v>0</v>
      </c>
    </row>
    <row r="86" spans="1:5" x14ac:dyDescent="0.2">
      <c r="A86" s="24">
        <v>2437</v>
      </c>
      <c r="B86" s="29">
        <v>1</v>
      </c>
      <c r="C86" s="9">
        <v>1</v>
      </c>
      <c r="D86" s="9">
        <v>1</v>
      </c>
      <c r="E86" s="30">
        <v>0</v>
      </c>
    </row>
    <row r="87" spans="1:5" x14ac:dyDescent="0.2">
      <c r="A87" s="24">
        <v>2457</v>
      </c>
      <c r="B87" s="29">
        <v>1</v>
      </c>
      <c r="C87" s="9">
        <v>1</v>
      </c>
      <c r="D87" s="9">
        <v>1</v>
      </c>
      <c r="E87" s="30">
        <v>0</v>
      </c>
    </row>
    <row r="88" spans="1:5" x14ac:dyDescent="0.2">
      <c r="A88" s="24">
        <v>2460</v>
      </c>
      <c r="B88" s="29">
        <v>1</v>
      </c>
      <c r="C88" s="9">
        <v>1</v>
      </c>
      <c r="D88" s="9">
        <v>1</v>
      </c>
      <c r="E88" s="30">
        <v>0</v>
      </c>
    </row>
    <row r="89" spans="1:5" x14ac:dyDescent="0.2">
      <c r="A89" s="24">
        <v>2486</v>
      </c>
      <c r="B89" s="29">
        <v>2.1</v>
      </c>
      <c r="C89" s="9">
        <v>2.1</v>
      </c>
      <c r="D89" s="9">
        <v>1</v>
      </c>
      <c r="E89" s="30">
        <v>0</v>
      </c>
    </row>
    <row r="90" spans="1:5" x14ac:dyDescent="0.2">
      <c r="A90" s="24">
        <v>2490</v>
      </c>
      <c r="B90" s="29">
        <v>3.2</v>
      </c>
      <c r="C90" s="9">
        <v>3.2</v>
      </c>
      <c r="D90" s="9">
        <v>3</v>
      </c>
      <c r="E90" s="30">
        <v>306</v>
      </c>
    </row>
    <row r="91" spans="1:5" x14ac:dyDescent="0.2">
      <c r="A91" s="24">
        <v>2491</v>
      </c>
      <c r="B91" s="29">
        <v>4</v>
      </c>
      <c r="C91" s="9">
        <v>4</v>
      </c>
      <c r="D91" s="9">
        <v>3</v>
      </c>
      <c r="E91" s="30">
        <v>1617</v>
      </c>
    </row>
    <row r="92" spans="1:5" x14ac:dyDescent="0.2">
      <c r="A92" s="24">
        <v>2516</v>
      </c>
      <c r="B92" s="29">
        <v>5</v>
      </c>
      <c r="C92" s="9">
        <v>5</v>
      </c>
      <c r="D92" s="9">
        <v>3</v>
      </c>
      <c r="E92" s="30">
        <v>640</v>
      </c>
    </row>
    <row r="93" spans="1:5" x14ac:dyDescent="0.2">
      <c r="A93" s="24">
        <v>2517</v>
      </c>
      <c r="B93" s="29">
        <v>5</v>
      </c>
      <c r="C93" s="9">
        <v>5</v>
      </c>
      <c r="D93" s="9">
        <v>3</v>
      </c>
      <c r="E93" s="30">
        <v>603</v>
      </c>
    </row>
    <row r="94" spans="1:5" x14ac:dyDescent="0.2">
      <c r="A94" s="24">
        <v>2652</v>
      </c>
      <c r="B94" s="29">
        <v>5</v>
      </c>
      <c r="C94" s="9">
        <v>5</v>
      </c>
      <c r="D94" s="9">
        <v>3</v>
      </c>
      <c r="E94" s="30">
        <v>508</v>
      </c>
    </row>
    <row r="95" spans="1:5" x14ac:dyDescent="0.2">
      <c r="A95" s="24">
        <v>2669</v>
      </c>
      <c r="B95" s="29">
        <v>3</v>
      </c>
      <c r="C95" s="9">
        <v>3</v>
      </c>
      <c r="D95" s="9">
        <v>3</v>
      </c>
      <c r="E95" s="30">
        <v>206</v>
      </c>
    </row>
    <row r="96" spans="1:5" x14ac:dyDescent="0.2">
      <c r="A96" s="24">
        <v>2686</v>
      </c>
      <c r="B96" s="29">
        <v>1</v>
      </c>
      <c r="C96" s="9">
        <v>1</v>
      </c>
      <c r="D96" s="9">
        <v>1</v>
      </c>
      <c r="E96" s="30">
        <v>0</v>
      </c>
    </row>
    <row r="97" spans="1:5" x14ac:dyDescent="0.2">
      <c r="A97" s="24">
        <v>2697</v>
      </c>
      <c r="B97" s="29">
        <v>1</v>
      </c>
      <c r="C97" s="9">
        <v>1</v>
      </c>
      <c r="D97" s="9">
        <v>1</v>
      </c>
      <c r="E97" s="30">
        <v>0</v>
      </c>
    </row>
    <row r="98" spans="1:5" x14ac:dyDescent="0.2">
      <c r="A98" s="24">
        <v>2712</v>
      </c>
      <c r="B98" s="29">
        <v>4.3</v>
      </c>
      <c r="C98" s="9">
        <v>4.3</v>
      </c>
      <c r="D98" s="9">
        <v>3</v>
      </c>
      <c r="E98" s="30">
        <v>549</v>
      </c>
    </row>
    <row r="99" spans="1:5" x14ac:dyDescent="0.2">
      <c r="A99" s="24">
        <v>2718</v>
      </c>
      <c r="B99" s="29">
        <v>1</v>
      </c>
      <c r="C99" s="9">
        <v>1</v>
      </c>
      <c r="D99" s="9">
        <v>1</v>
      </c>
      <c r="E99" s="30">
        <v>0</v>
      </c>
    </row>
    <row r="100" spans="1:5" x14ac:dyDescent="0.2">
      <c r="A100" s="24">
        <v>2730</v>
      </c>
      <c r="B100" s="29">
        <v>1</v>
      </c>
      <c r="C100" s="9">
        <v>1</v>
      </c>
      <c r="D100" s="9">
        <v>1</v>
      </c>
      <c r="E100" s="30">
        <v>0</v>
      </c>
    </row>
    <row r="101" spans="1:5" x14ac:dyDescent="0.2">
      <c r="A101" s="24">
        <v>2736</v>
      </c>
      <c r="B101" s="29">
        <v>1</v>
      </c>
      <c r="C101" s="9">
        <v>1</v>
      </c>
      <c r="D101" s="9">
        <v>1</v>
      </c>
      <c r="E101" s="30">
        <v>0</v>
      </c>
    </row>
    <row r="102" spans="1:5" x14ac:dyDescent="0.2">
      <c r="A102" s="24">
        <v>2788</v>
      </c>
      <c r="B102" s="29">
        <v>1</v>
      </c>
      <c r="C102" s="9">
        <v>1</v>
      </c>
      <c r="D102" s="9">
        <v>1</v>
      </c>
      <c r="E102" s="30">
        <v>0</v>
      </c>
    </row>
    <row r="103" spans="1:5" x14ac:dyDescent="0.2">
      <c r="A103" s="24">
        <v>2803</v>
      </c>
      <c r="B103" s="29">
        <v>1</v>
      </c>
      <c r="C103" s="9">
        <v>1</v>
      </c>
      <c r="D103" s="9">
        <v>1</v>
      </c>
      <c r="E103" s="30">
        <v>0</v>
      </c>
    </row>
    <row r="104" spans="1:5" x14ac:dyDescent="0.2">
      <c r="A104" s="24">
        <v>2850</v>
      </c>
      <c r="B104" s="29">
        <v>4.0999999999999996</v>
      </c>
      <c r="C104" s="9">
        <v>4.0999999999999996</v>
      </c>
      <c r="D104" s="9">
        <v>3</v>
      </c>
      <c r="E104" s="30">
        <v>582</v>
      </c>
    </row>
    <row r="105" spans="1:5" x14ac:dyDescent="0.2">
      <c r="A105" s="24">
        <v>2852</v>
      </c>
      <c r="B105" s="29">
        <v>1</v>
      </c>
      <c r="C105" s="9">
        <v>1</v>
      </c>
      <c r="D105" s="9">
        <v>1</v>
      </c>
      <c r="E105" s="30">
        <v>0</v>
      </c>
    </row>
    <row r="106" spans="1:5" x14ac:dyDescent="0.2">
      <c r="A106" s="24">
        <v>2909</v>
      </c>
      <c r="B106" s="29">
        <v>5</v>
      </c>
      <c r="C106" s="9">
        <v>5</v>
      </c>
      <c r="D106" s="9">
        <v>3</v>
      </c>
      <c r="E106" s="30">
        <v>1590</v>
      </c>
    </row>
    <row r="107" spans="1:5" x14ac:dyDescent="0.2">
      <c r="A107" s="24">
        <v>2983</v>
      </c>
      <c r="B107" s="29">
        <v>1.2000000000000002</v>
      </c>
      <c r="C107" s="9">
        <v>1.2000000000000002</v>
      </c>
      <c r="D107" s="9">
        <v>1</v>
      </c>
      <c r="E107" s="30">
        <v>0</v>
      </c>
    </row>
    <row r="108" spans="1:5" x14ac:dyDescent="0.2">
      <c r="A108" s="24">
        <v>2996</v>
      </c>
      <c r="B108" s="29">
        <v>5</v>
      </c>
      <c r="C108" s="9">
        <v>5</v>
      </c>
      <c r="D108" s="9">
        <v>3</v>
      </c>
      <c r="E108" s="30">
        <v>1419</v>
      </c>
    </row>
    <row r="109" spans="1:5" x14ac:dyDescent="0.2">
      <c r="A109" s="24">
        <v>3000</v>
      </c>
      <c r="B109" s="29">
        <v>5</v>
      </c>
      <c r="C109" s="9">
        <v>5</v>
      </c>
      <c r="D109" s="9">
        <v>3</v>
      </c>
      <c r="E109" s="30">
        <v>558</v>
      </c>
    </row>
    <row r="110" spans="1:5" x14ac:dyDescent="0.2">
      <c r="A110" s="24">
        <v>3009</v>
      </c>
      <c r="B110" s="29">
        <v>4.2</v>
      </c>
      <c r="C110" s="9">
        <v>4.2</v>
      </c>
      <c r="D110" s="9">
        <v>3</v>
      </c>
      <c r="E110" s="30">
        <v>926</v>
      </c>
    </row>
    <row r="111" spans="1:5" x14ac:dyDescent="0.2">
      <c r="A111" s="24">
        <v>3010</v>
      </c>
      <c r="B111" s="29">
        <v>1</v>
      </c>
      <c r="C111" s="9">
        <v>1</v>
      </c>
      <c r="D111" s="9">
        <v>1</v>
      </c>
      <c r="E111" s="30">
        <v>0</v>
      </c>
    </row>
    <row r="112" spans="1:5" x14ac:dyDescent="0.2">
      <c r="A112" s="24">
        <v>3044</v>
      </c>
      <c r="B112" s="29">
        <v>1</v>
      </c>
      <c r="C112" s="9">
        <v>1</v>
      </c>
      <c r="D112" s="9">
        <v>1</v>
      </c>
      <c r="E112" s="30">
        <v>0</v>
      </c>
    </row>
    <row r="113" spans="1:5" x14ac:dyDescent="0.2">
      <c r="A113" s="24">
        <v>3070</v>
      </c>
      <c r="B113" s="29">
        <v>4.2</v>
      </c>
      <c r="C113" s="9">
        <v>4.2</v>
      </c>
      <c r="D113" s="9">
        <v>3</v>
      </c>
      <c r="E113" s="30">
        <v>367</v>
      </c>
    </row>
    <row r="114" spans="1:5" x14ac:dyDescent="0.2">
      <c r="A114" s="24">
        <v>3073</v>
      </c>
      <c r="B114" s="29">
        <v>4.2</v>
      </c>
      <c r="C114" s="9">
        <v>4.2</v>
      </c>
      <c r="D114" s="9">
        <v>3</v>
      </c>
      <c r="E114" s="30">
        <v>549</v>
      </c>
    </row>
    <row r="115" spans="1:5" x14ac:dyDescent="0.2">
      <c r="A115" s="24">
        <v>3075</v>
      </c>
      <c r="B115" s="29">
        <v>5</v>
      </c>
      <c r="C115" s="9">
        <v>5</v>
      </c>
      <c r="D115" s="9">
        <v>3</v>
      </c>
      <c r="E115" s="30">
        <v>514</v>
      </c>
    </row>
    <row r="116" spans="1:5" x14ac:dyDescent="0.2">
      <c r="A116" s="24">
        <v>3091</v>
      </c>
      <c r="B116" s="29">
        <v>4.0999999999999996</v>
      </c>
      <c r="C116" s="9">
        <v>4.0999999999999996</v>
      </c>
      <c r="D116" s="9">
        <v>3</v>
      </c>
      <c r="E116" s="30">
        <v>93</v>
      </c>
    </row>
    <row r="117" spans="1:5" x14ac:dyDescent="0.2">
      <c r="A117" s="24">
        <v>3169</v>
      </c>
      <c r="B117" s="29">
        <v>1.9999999999999996</v>
      </c>
      <c r="C117" s="9">
        <v>1.9999999999999996</v>
      </c>
      <c r="D117" s="9">
        <v>2</v>
      </c>
      <c r="E117" s="30">
        <v>5</v>
      </c>
    </row>
    <row r="118" spans="1:5" x14ac:dyDescent="0.2">
      <c r="A118" s="24">
        <v>3171</v>
      </c>
      <c r="B118" s="29">
        <v>2.1</v>
      </c>
      <c r="C118" s="9">
        <v>2.1</v>
      </c>
      <c r="D118" s="9">
        <v>1</v>
      </c>
      <c r="E118" s="30">
        <v>0</v>
      </c>
    </row>
    <row r="119" spans="1:5" x14ac:dyDescent="0.2">
      <c r="A119" s="24">
        <v>3177</v>
      </c>
      <c r="B119" s="29">
        <v>1</v>
      </c>
      <c r="C119" s="9">
        <v>1</v>
      </c>
      <c r="D119" s="9">
        <v>1</v>
      </c>
      <c r="E119" s="30">
        <v>0</v>
      </c>
    </row>
    <row r="120" spans="1:5" x14ac:dyDescent="0.2">
      <c r="A120" s="24">
        <v>3185</v>
      </c>
      <c r="B120" s="29">
        <v>1</v>
      </c>
      <c r="C120" s="9">
        <v>1</v>
      </c>
      <c r="D120" s="9">
        <v>1</v>
      </c>
      <c r="E120" s="30">
        <v>0</v>
      </c>
    </row>
    <row r="121" spans="1:5" x14ac:dyDescent="0.2">
      <c r="A121" s="24">
        <v>3216</v>
      </c>
      <c r="B121" s="29">
        <v>1</v>
      </c>
      <c r="C121" s="9">
        <v>1</v>
      </c>
      <c r="D121" s="9">
        <v>1</v>
      </c>
      <c r="E121" s="30">
        <v>0</v>
      </c>
    </row>
    <row r="122" spans="1:5" x14ac:dyDescent="0.2">
      <c r="A122" s="24">
        <v>3262</v>
      </c>
      <c r="B122" s="29">
        <v>1</v>
      </c>
      <c r="C122" s="9">
        <v>1</v>
      </c>
      <c r="D122" s="9">
        <v>1</v>
      </c>
      <c r="E122" s="30">
        <v>0</v>
      </c>
    </row>
    <row r="123" spans="1:5" x14ac:dyDescent="0.2">
      <c r="A123" s="24">
        <v>3271</v>
      </c>
      <c r="B123" s="29">
        <v>1</v>
      </c>
      <c r="C123" s="9">
        <v>1</v>
      </c>
      <c r="D123" s="9">
        <v>1</v>
      </c>
      <c r="E123" s="30">
        <v>0</v>
      </c>
    </row>
    <row r="124" spans="1:5" x14ac:dyDescent="0.2">
      <c r="A124" s="24">
        <v>3274</v>
      </c>
      <c r="B124" s="29">
        <v>1</v>
      </c>
      <c r="C124" s="9">
        <v>1</v>
      </c>
      <c r="D124" s="9">
        <v>1</v>
      </c>
      <c r="E124" s="30">
        <v>0</v>
      </c>
    </row>
    <row r="125" spans="1:5" x14ac:dyDescent="0.2">
      <c r="A125" s="24">
        <v>3279</v>
      </c>
      <c r="B125" s="29">
        <v>4.0999999999999996</v>
      </c>
      <c r="C125" s="9">
        <v>4.0999999999999996</v>
      </c>
      <c r="D125" s="9">
        <v>3</v>
      </c>
      <c r="E125" s="30">
        <v>522</v>
      </c>
    </row>
    <row r="126" spans="1:5" x14ac:dyDescent="0.2">
      <c r="A126" s="24">
        <v>3282</v>
      </c>
      <c r="B126" s="29">
        <v>1</v>
      </c>
      <c r="C126" s="9">
        <v>1</v>
      </c>
      <c r="D126" s="9">
        <v>1</v>
      </c>
      <c r="E126" s="30">
        <v>0</v>
      </c>
    </row>
    <row r="127" spans="1:5" x14ac:dyDescent="0.2">
      <c r="A127" s="24">
        <v>3297</v>
      </c>
      <c r="B127" s="29">
        <v>2.2000000000000002</v>
      </c>
      <c r="C127" s="9">
        <v>2.2000000000000002</v>
      </c>
      <c r="D127" s="9">
        <v>1</v>
      </c>
      <c r="E127" s="30">
        <v>0</v>
      </c>
    </row>
    <row r="128" spans="1:5" x14ac:dyDescent="0.2">
      <c r="A128" s="24">
        <v>3322</v>
      </c>
      <c r="B128" s="29">
        <v>1.9999999999999996</v>
      </c>
      <c r="C128" s="9">
        <v>1.9999999999999996</v>
      </c>
      <c r="D128" s="9">
        <v>2</v>
      </c>
      <c r="E128" s="30">
        <v>27</v>
      </c>
    </row>
    <row r="129" spans="1:5" x14ac:dyDescent="0.2">
      <c r="A129" s="24">
        <v>3328</v>
      </c>
      <c r="B129" s="29">
        <v>1</v>
      </c>
      <c r="C129" s="9">
        <v>1</v>
      </c>
      <c r="D129" s="9">
        <v>1</v>
      </c>
      <c r="E129" s="30">
        <v>0</v>
      </c>
    </row>
    <row r="130" spans="1:5" x14ac:dyDescent="0.2">
      <c r="A130" s="24">
        <v>3351</v>
      </c>
      <c r="B130" s="29">
        <v>1</v>
      </c>
      <c r="C130" s="9">
        <v>1</v>
      </c>
      <c r="D130" s="9">
        <v>1</v>
      </c>
      <c r="E130" s="30">
        <v>0</v>
      </c>
    </row>
    <row r="131" spans="1:5" x14ac:dyDescent="0.2">
      <c r="A131" s="24">
        <v>3365</v>
      </c>
      <c r="B131" s="29">
        <v>5</v>
      </c>
      <c r="C131" s="9">
        <v>5</v>
      </c>
      <c r="D131" s="9">
        <v>3</v>
      </c>
      <c r="E131" s="30">
        <v>0</v>
      </c>
    </row>
    <row r="132" spans="1:5" x14ac:dyDescent="0.2">
      <c r="A132" s="24">
        <v>3376</v>
      </c>
      <c r="B132" s="29">
        <v>1</v>
      </c>
      <c r="C132" s="9">
        <v>1</v>
      </c>
      <c r="D132" s="9">
        <v>1</v>
      </c>
      <c r="E132" s="30">
        <v>0</v>
      </c>
    </row>
    <row r="133" spans="1:5" x14ac:dyDescent="0.2">
      <c r="A133" s="24">
        <v>3389</v>
      </c>
      <c r="B133" s="29">
        <v>5</v>
      </c>
      <c r="C133" s="9">
        <v>5</v>
      </c>
      <c r="D133" s="9">
        <v>3</v>
      </c>
      <c r="E133" s="30">
        <v>561</v>
      </c>
    </row>
    <row r="134" spans="1:5" x14ac:dyDescent="0.2">
      <c r="A134" s="24">
        <v>3467</v>
      </c>
      <c r="B134" s="29">
        <v>1</v>
      </c>
      <c r="C134" s="9">
        <v>1</v>
      </c>
      <c r="D134" s="9">
        <v>1</v>
      </c>
      <c r="E134" s="30">
        <v>0</v>
      </c>
    </row>
    <row r="135" spans="1:5" x14ac:dyDescent="0.2">
      <c r="A135" s="24">
        <v>3480</v>
      </c>
      <c r="B135" s="29">
        <v>1</v>
      </c>
      <c r="C135" s="9">
        <v>1</v>
      </c>
      <c r="D135" s="9">
        <v>1</v>
      </c>
      <c r="E135" s="30">
        <v>0</v>
      </c>
    </row>
    <row r="136" spans="1:5" x14ac:dyDescent="0.2">
      <c r="A136" s="24">
        <v>3495</v>
      </c>
      <c r="B136" s="29">
        <v>1</v>
      </c>
      <c r="C136" s="9">
        <v>1</v>
      </c>
      <c r="D136" s="9">
        <v>1</v>
      </c>
      <c r="E136" s="30">
        <v>0</v>
      </c>
    </row>
    <row r="137" spans="1:5" x14ac:dyDescent="0.2">
      <c r="A137" s="24">
        <v>3546</v>
      </c>
      <c r="B137" s="29">
        <v>1</v>
      </c>
      <c r="C137" s="9">
        <v>1</v>
      </c>
      <c r="D137" s="9">
        <v>1</v>
      </c>
      <c r="E137" s="30">
        <v>0</v>
      </c>
    </row>
    <row r="138" spans="1:5" x14ac:dyDescent="0.2">
      <c r="A138" s="24">
        <v>3584</v>
      </c>
      <c r="B138" s="29">
        <v>1</v>
      </c>
      <c r="C138" s="9">
        <v>1</v>
      </c>
      <c r="D138" s="9">
        <v>1</v>
      </c>
      <c r="E138" s="30">
        <v>0</v>
      </c>
    </row>
    <row r="139" spans="1:5" x14ac:dyDescent="0.2">
      <c r="A139" s="24">
        <v>3592</v>
      </c>
      <c r="B139" s="29">
        <v>1</v>
      </c>
      <c r="C139" s="9">
        <v>1</v>
      </c>
      <c r="D139" s="9">
        <v>1</v>
      </c>
      <c r="E139" s="30">
        <v>0</v>
      </c>
    </row>
    <row r="140" spans="1:5" x14ac:dyDescent="0.2">
      <c r="A140" s="24">
        <v>3599</v>
      </c>
      <c r="B140" s="29">
        <v>1</v>
      </c>
      <c r="C140" s="9">
        <v>1</v>
      </c>
      <c r="D140" s="9">
        <v>1</v>
      </c>
      <c r="E140" s="30">
        <v>0</v>
      </c>
    </row>
    <row r="141" spans="1:5" x14ac:dyDescent="0.2">
      <c r="A141" s="24">
        <v>3604</v>
      </c>
      <c r="B141" s="29">
        <v>2.1</v>
      </c>
      <c r="C141" s="9">
        <v>3.0999999999999996</v>
      </c>
      <c r="D141" s="9">
        <v>2</v>
      </c>
      <c r="E141" s="30">
        <v>0</v>
      </c>
    </row>
    <row r="142" spans="1:5" x14ac:dyDescent="0.2">
      <c r="A142" s="24">
        <v>3616</v>
      </c>
      <c r="B142" s="29">
        <v>2.2999999999999998</v>
      </c>
      <c r="C142" s="9">
        <v>2.2999999999999998</v>
      </c>
      <c r="D142" s="9">
        <v>1</v>
      </c>
      <c r="E142" s="30">
        <v>0</v>
      </c>
    </row>
    <row r="143" spans="1:5" x14ac:dyDescent="0.2">
      <c r="A143" s="24">
        <v>3617</v>
      </c>
      <c r="B143" s="29">
        <v>1</v>
      </c>
      <c r="C143" s="9">
        <v>1</v>
      </c>
      <c r="D143" s="9">
        <v>1</v>
      </c>
      <c r="E143" s="30">
        <v>0</v>
      </c>
    </row>
    <row r="144" spans="1:5" x14ac:dyDescent="0.2">
      <c r="A144" s="24">
        <v>3624</v>
      </c>
      <c r="B144" s="29">
        <v>1</v>
      </c>
      <c r="C144" s="9">
        <v>1</v>
      </c>
      <c r="D144" s="9">
        <v>1</v>
      </c>
      <c r="E144" s="30">
        <v>0</v>
      </c>
    </row>
    <row r="145" spans="1:5" x14ac:dyDescent="0.2">
      <c r="A145" s="24">
        <v>3629</v>
      </c>
      <c r="B145" s="29">
        <v>3</v>
      </c>
      <c r="C145" s="9">
        <v>3</v>
      </c>
      <c r="D145" s="9">
        <v>3</v>
      </c>
      <c r="E145" s="30">
        <v>752</v>
      </c>
    </row>
    <row r="146" spans="1:5" x14ac:dyDescent="0.2">
      <c r="A146" s="24">
        <v>3644</v>
      </c>
      <c r="B146" s="29">
        <v>2.2000000000000002</v>
      </c>
      <c r="C146" s="9">
        <v>2.2000000000000002</v>
      </c>
      <c r="D146" s="9">
        <v>1</v>
      </c>
      <c r="E146" s="30">
        <v>0</v>
      </c>
    </row>
    <row r="147" spans="1:5" x14ac:dyDescent="0.2">
      <c r="A147" s="24">
        <v>3663</v>
      </c>
      <c r="B147" s="29">
        <v>1</v>
      </c>
      <c r="C147" s="9">
        <v>1</v>
      </c>
      <c r="D147" s="9">
        <v>1</v>
      </c>
      <c r="E147" s="30">
        <v>0</v>
      </c>
    </row>
    <row r="148" spans="1:5" x14ac:dyDescent="0.2">
      <c r="A148" s="24">
        <v>3677</v>
      </c>
      <c r="B148" s="29">
        <v>2</v>
      </c>
      <c r="C148" s="9">
        <v>2</v>
      </c>
      <c r="D148" s="9">
        <v>2</v>
      </c>
      <c r="E148" s="30">
        <v>8</v>
      </c>
    </row>
    <row r="149" spans="1:5" x14ac:dyDescent="0.2">
      <c r="A149" s="24">
        <v>3686</v>
      </c>
      <c r="B149" s="29">
        <v>1</v>
      </c>
      <c r="C149" s="9">
        <v>1</v>
      </c>
      <c r="D149" s="9">
        <v>1</v>
      </c>
      <c r="E149" s="30">
        <v>0</v>
      </c>
    </row>
    <row r="150" spans="1:5" x14ac:dyDescent="0.2">
      <c r="A150" s="24">
        <v>3718</v>
      </c>
      <c r="B150" s="29">
        <v>3</v>
      </c>
      <c r="C150" s="9">
        <v>3</v>
      </c>
      <c r="D150" s="9">
        <v>2</v>
      </c>
      <c r="E150" s="30">
        <v>0</v>
      </c>
    </row>
    <row r="151" spans="1:5" x14ac:dyDescent="0.2">
      <c r="A151" s="24">
        <v>3727</v>
      </c>
      <c r="B151" s="29">
        <v>1</v>
      </c>
      <c r="C151" s="9">
        <v>1</v>
      </c>
      <c r="D151" s="9">
        <v>1</v>
      </c>
      <c r="E151" s="30">
        <v>0</v>
      </c>
    </row>
    <row r="152" spans="1:5" x14ac:dyDescent="0.2">
      <c r="A152" s="24">
        <v>3731</v>
      </c>
      <c r="B152" s="29">
        <v>1</v>
      </c>
      <c r="C152" s="9">
        <v>1</v>
      </c>
      <c r="D152" s="9">
        <v>1</v>
      </c>
      <c r="E152" s="30">
        <v>0</v>
      </c>
    </row>
    <row r="153" spans="1:5" x14ac:dyDescent="0.2">
      <c r="A153" s="24">
        <v>3816</v>
      </c>
      <c r="B153" s="29">
        <v>1</v>
      </c>
      <c r="C153" s="9">
        <v>1</v>
      </c>
      <c r="D153" s="9">
        <v>1</v>
      </c>
      <c r="E153" s="30">
        <v>0</v>
      </c>
    </row>
    <row r="154" spans="1:5" x14ac:dyDescent="0.2">
      <c r="A154" s="24">
        <v>3822</v>
      </c>
      <c r="B154" s="29">
        <v>1</v>
      </c>
      <c r="C154" s="9">
        <v>1</v>
      </c>
      <c r="D154" s="9">
        <v>1</v>
      </c>
      <c r="E154" s="30">
        <v>0</v>
      </c>
    </row>
    <row r="155" spans="1:5" x14ac:dyDescent="0.2">
      <c r="A155" s="24">
        <v>3861</v>
      </c>
      <c r="B155" s="29">
        <v>5</v>
      </c>
      <c r="C155" s="9">
        <v>5</v>
      </c>
      <c r="D155" s="9">
        <v>3</v>
      </c>
      <c r="E155" s="30">
        <v>430</v>
      </c>
    </row>
    <row r="156" spans="1:5" x14ac:dyDescent="0.2">
      <c r="A156" s="24">
        <v>3880</v>
      </c>
      <c r="B156" s="29">
        <v>1.9999999999999996</v>
      </c>
      <c r="C156" s="9">
        <v>1.9999999999999996</v>
      </c>
      <c r="D156" s="9">
        <v>2</v>
      </c>
      <c r="E156" s="30">
        <v>28</v>
      </c>
    </row>
    <row r="157" spans="1:5" x14ac:dyDescent="0.2">
      <c r="A157" s="24">
        <v>3896</v>
      </c>
      <c r="B157" s="29">
        <v>4.2</v>
      </c>
      <c r="C157" s="9">
        <v>4.2</v>
      </c>
      <c r="D157" s="9">
        <v>3</v>
      </c>
      <c r="E157" s="30">
        <v>439</v>
      </c>
    </row>
    <row r="158" spans="1:5" x14ac:dyDescent="0.2">
      <c r="A158" s="24">
        <v>3909</v>
      </c>
      <c r="B158" s="29">
        <v>1</v>
      </c>
      <c r="C158" s="9">
        <v>1</v>
      </c>
      <c r="D158" s="9">
        <v>1</v>
      </c>
      <c r="E158" s="30">
        <v>0</v>
      </c>
    </row>
    <row r="159" spans="1:5" x14ac:dyDescent="0.2">
      <c r="A159" s="24">
        <v>3998</v>
      </c>
      <c r="B159" s="29">
        <v>2.1</v>
      </c>
      <c r="C159" s="9">
        <v>2.1</v>
      </c>
      <c r="D159" s="9">
        <v>1</v>
      </c>
      <c r="E159" s="30">
        <v>0</v>
      </c>
    </row>
    <row r="160" spans="1:5" x14ac:dyDescent="0.2">
      <c r="A160" s="24">
        <v>4007</v>
      </c>
      <c r="B160" s="29">
        <v>1</v>
      </c>
      <c r="C160" s="9">
        <v>1</v>
      </c>
      <c r="D160" s="9">
        <v>1</v>
      </c>
      <c r="E160" s="30">
        <v>0</v>
      </c>
    </row>
    <row r="161" spans="1:5" x14ac:dyDescent="0.2">
      <c r="A161" s="24">
        <v>4012</v>
      </c>
      <c r="B161" s="29">
        <v>1</v>
      </c>
      <c r="C161" s="9">
        <v>1</v>
      </c>
      <c r="D161" s="9">
        <v>1</v>
      </c>
      <c r="E161" s="30">
        <v>0</v>
      </c>
    </row>
    <row r="162" spans="1:5" x14ac:dyDescent="0.2">
      <c r="A162" s="24">
        <v>4056</v>
      </c>
      <c r="B162" s="29">
        <v>3</v>
      </c>
      <c r="C162" s="9">
        <v>3</v>
      </c>
      <c r="D162" s="9">
        <v>3</v>
      </c>
      <c r="E162" s="30">
        <v>243</v>
      </c>
    </row>
    <row r="163" spans="1:5" x14ac:dyDescent="0.2">
      <c r="A163" s="24">
        <v>4144</v>
      </c>
      <c r="B163" s="29">
        <v>1</v>
      </c>
      <c r="C163" s="9">
        <v>1</v>
      </c>
      <c r="D163" s="9">
        <v>1</v>
      </c>
      <c r="E163" s="30">
        <v>0</v>
      </c>
    </row>
    <row r="164" spans="1:5" x14ac:dyDescent="0.2">
      <c r="A164" s="24">
        <v>4200</v>
      </c>
      <c r="B164" s="29">
        <v>1</v>
      </c>
      <c r="C164" s="9">
        <v>1</v>
      </c>
      <c r="D164" s="9">
        <v>1</v>
      </c>
      <c r="E164" s="30">
        <v>0</v>
      </c>
    </row>
    <row r="165" spans="1:5" x14ac:dyDescent="0.2">
      <c r="A165" s="24">
        <v>4204</v>
      </c>
      <c r="B165" s="29">
        <v>5</v>
      </c>
      <c r="C165" s="9">
        <v>5</v>
      </c>
      <c r="D165" s="9">
        <v>3</v>
      </c>
      <c r="E165" s="30">
        <v>786</v>
      </c>
    </row>
    <row r="166" spans="1:5" x14ac:dyDescent="0.2">
      <c r="A166" s="24">
        <v>4234</v>
      </c>
      <c r="B166" s="29">
        <v>1</v>
      </c>
      <c r="C166" s="9">
        <v>1</v>
      </c>
      <c r="D166" s="9">
        <v>1</v>
      </c>
      <c r="E166" s="30">
        <v>0</v>
      </c>
    </row>
    <row r="167" spans="1:5" x14ac:dyDescent="0.2">
      <c r="A167" s="24">
        <v>4249</v>
      </c>
      <c r="B167" s="29">
        <v>5</v>
      </c>
      <c r="C167" s="9">
        <v>5</v>
      </c>
      <c r="D167" s="9">
        <v>3</v>
      </c>
      <c r="E167" s="30">
        <v>929</v>
      </c>
    </row>
    <row r="168" spans="1:5" x14ac:dyDescent="0.2">
      <c r="A168" s="24">
        <v>4290</v>
      </c>
      <c r="B168" s="29">
        <v>1</v>
      </c>
      <c r="C168" s="9">
        <v>1</v>
      </c>
      <c r="D168" s="9">
        <v>1</v>
      </c>
      <c r="E168" s="30">
        <v>0</v>
      </c>
    </row>
    <row r="169" spans="1:5" x14ac:dyDescent="0.2">
      <c r="A169" s="24">
        <v>4291</v>
      </c>
      <c r="B169" s="29">
        <v>1</v>
      </c>
      <c r="C169" s="9">
        <v>1</v>
      </c>
      <c r="D169" s="9">
        <v>1</v>
      </c>
      <c r="E169" s="30">
        <v>0</v>
      </c>
    </row>
    <row r="170" spans="1:5" x14ac:dyDescent="0.2">
      <c r="A170" s="24">
        <v>4293</v>
      </c>
      <c r="B170" s="29">
        <v>2</v>
      </c>
      <c r="C170" s="9">
        <v>2</v>
      </c>
      <c r="D170" s="9">
        <v>1</v>
      </c>
      <c r="E170" s="30">
        <v>0</v>
      </c>
    </row>
    <row r="171" spans="1:5" x14ac:dyDescent="0.2">
      <c r="A171" s="24">
        <v>4295</v>
      </c>
      <c r="B171" s="29">
        <v>2.1</v>
      </c>
      <c r="C171" s="9">
        <v>2.1</v>
      </c>
      <c r="D171" s="9">
        <v>1</v>
      </c>
      <c r="E171" s="30">
        <v>0</v>
      </c>
    </row>
    <row r="172" spans="1:5" x14ac:dyDescent="0.2">
      <c r="A172" s="24">
        <v>4306</v>
      </c>
      <c r="B172" s="29">
        <v>1</v>
      </c>
      <c r="C172" s="9">
        <v>1</v>
      </c>
      <c r="D172" s="9">
        <v>1</v>
      </c>
      <c r="E172" s="30">
        <v>0</v>
      </c>
    </row>
    <row r="173" spans="1:5" x14ac:dyDescent="0.2">
      <c r="A173" s="24">
        <v>4342</v>
      </c>
      <c r="B173" s="29">
        <v>1.2000000000000002</v>
      </c>
      <c r="C173" s="9">
        <v>1.2000000000000002</v>
      </c>
      <c r="D173" s="9">
        <v>1</v>
      </c>
      <c r="E173" s="30">
        <v>0</v>
      </c>
    </row>
    <row r="174" spans="1:5" x14ac:dyDescent="0.2">
      <c r="A174" s="24">
        <v>4351</v>
      </c>
      <c r="B174" s="29">
        <v>1</v>
      </c>
      <c r="C174" s="9">
        <v>1</v>
      </c>
      <c r="D174" s="9">
        <v>1</v>
      </c>
      <c r="E174" s="30">
        <v>0</v>
      </c>
    </row>
    <row r="175" spans="1:5" x14ac:dyDescent="0.2">
      <c r="A175" s="24">
        <v>4362</v>
      </c>
      <c r="B175" s="29">
        <v>2.2000000000000002</v>
      </c>
      <c r="C175" s="9">
        <v>2.2000000000000002</v>
      </c>
      <c r="D175" s="9">
        <v>1</v>
      </c>
      <c r="E175" s="30">
        <v>0</v>
      </c>
    </row>
    <row r="176" spans="1:5" x14ac:dyDescent="0.2">
      <c r="A176" s="24">
        <v>4372</v>
      </c>
      <c r="B176" s="29">
        <v>1</v>
      </c>
      <c r="C176" s="9">
        <v>1</v>
      </c>
      <c r="D176" s="9">
        <v>1</v>
      </c>
      <c r="E176" s="30">
        <v>0</v>
      </c>
    </row>
    <row r="177" spans="1:5" x14ac:dyDescent="0.2">
      <c r="A177" s="24">
        <v>4380</v>
      </c>
      <c r="B177" s="29">
        <v>1</v>
      </c>
      <c r="C177" s="9">
        <v>1</v>
      </c>
      <c r="D177" s="9">
        <v>1</v>
      </c>
      <c r="E177" s="30">
        <v>0</v>
      </c>
    </row>
    <row r="178" spans="1:5" x14ac:dyDescent="0.2">
      <c r="A178" s="24">
        <v>4390</v>
      </c>
      <c r="B178" s="29">
        <v>1</v>
      </c>
      <c r="C178" s="9">
        <v>1</v>
      </c>
      <c r="D178" s="9">
        <v>1</v>
      </c>
      <c r="E178" s="30">
        <v>0</v>
      </c>
    </row>
    <row r="179" spans="1:5" x14ac:dyDescent="0.2">
      <c r="A179" s="24">
        <v>4406</v>
      </c>
      <c r="B179" s="29">
        <v>4</v>
      </c>
      <c r="C179" s="9">
        <v>4</v>
      </c>
      <c r="D179" s="9">
        <v>3</v>
      </c>
      <c r="E179" s="30">
        <v>571</v>
      </c>
    </row>
    <row r="180" spans="1:5" x14ac:dyDescent="0.2">
      <c r="A180" s="24">
        <v>4414</v>
      </c>
      <c r="B180" s="29">
        <v>2.1</v>
      </c>
      <c r="C180" s="9">
        <v>2.1</v>
      </c>
      <c r="D180" s="9">
        <v>1</v>
      </c>
      <c r="E180" s="30">
        <v>0</v>
      </c>
    </row>
    <row r="181" spans="1:5" x14ac:dyDescent="0.2">
      <c r="A181" s="24">
        <v>4424</v>
      </c>
      <c r="B181" s="29">
        <v>1</v>
      </c>
      <c r="C181" s="9">
        <v>2</v>
      </c>
      <c r="D181" s="9">
        <v>2</v>
      </c>
      <c r="E181" s="30">
        <v>24</v>
      </c>
    </row>
    <row r="182" spans="1:5" x14ac:dyDescent="0.2">
      <c r="A182" s="24">
        <v>4438</v>
      </c>
      <c r="B182" s="29">
        <v>1</v>
      </c>
      <c r="C182" s="9">
        <v>1</v>
      </c>
      <c r="D182" s="9">
        <v>1</v>
      </c>
      <c r="E182" s="30">
        <v>0</v>
      </c>
    </row>
    <row r="183" spans="1:5" x14ac:dyDescent="0.2">
      <c r="A183" s="24">
        <v>4469</v>
      </c>
      <c r="B183" s="29">
        <v>1</v>
      </c>
      <c r="C183" s="9">
        <v>1</v>
      </c>
      <c r="D183" s="9">
        <v>1</v>
      </c>
      <c r="E183" s="30">
        <v>0</v>
      </c>
    </row>
    <row r="184" spans="1:5" x14ac:dyDescent="0.2">
      <c r="A184" s="24">
        <v>4484</v>
      </c>
      <c r="B184" s="29">
        <v>1</v>
      </c>
      <c r="C184" s="9">
        <v>1</v>
      </c>
      <c r="D184" s="9">
        <v>1</v>
      </c>
      <c r="E184" s="30">
        <v>0</v>
      </c>
    </row>
    <row r="185" spans="1:5" x14ac:dyDescent="0.2">
      <c r="A185" s="24">
        <v>4490</v>
      </c>
      <c r="B185" s="29">
        <v>1</v>
      </c>
      <c r="C185" s="9">
        <v>1</v>
      </c>
      <c r="D185" s="9">
        <v>1</v>
      </c>
      <c r="E185" s="30">
        <v>0</v>
      </c>
    </row>
    <row r="186" spans="1:5" x14ac:dyDescent="0.2">
      <c r="A186" s="24">
        <v>4496</v>
      </c>
      <c r="B186" s="29">
        <v>1</v>
      </c>
      <c r="C186" s="9">
        <v>1</v>
      </c>
      <c r="D186" s="9">
        <v>1</v>
      </c>
      <c r="E186" s="30">
        <v>0</v>
      </c>
    </row>
    <row r="187" spans="1:5" x14ac:dyDescent="0.2">
      <c r="A187" s="24">
        <v>4505</v>
      </c>
      <c r="B187" s="29">
        <v>1</v>
      </c>
      <c r="C187" s="9">
        <v>1</v>
      </c>
      <c r="D187" s="9">
        <v>1</v>
      </c>
      <c r="E187" s="30">
        <v>0</v>
      </c>
    </row>
    <row r="188" spans="1:5" x14ac:dyDescent="0.2">
      <c r="A188" s="24">
        <v>4521</v>
      </c>
      <c r="B188" s="29">
        <v>1</v>
      </c>
      <c r="C188" s="9">
        <v>1</v>
      </c>
      <c r="D188" s="9">
        <v>1</v>
      </c>
      <c r="E188" s="30">
        <v>0</v>
      </c>
    </row>
    <row r="189" spans="1:5" x14ac:dyDescent="0.2">
      <c r="A189" s="24">
        <v>4523</v>
      </c>
      <c r="B189" s="29">
        <v>1</v>
      </c>
      <c r="C189" s="9">
        <v>1</v>
      </c>
      <c r="D189" s="9">
        <v>1</v>
      </c>
      <c r="E189" s="30">
        <v>0</v>
      </c>
    </row>
    <row r="190" spans="1:5" x14ac:dyDescent="0.2">
      <c r="A190" s="24">
        <v>4524</v>
      </c>
      <c r="B190" s="29">
        <v>3</v>
      </c>
      <c r="C190" s="9">
        <v>3</v>
      </c>
      <c r="D190" s="9">
        <v>3</v>
      </c>
      <c r="E190" s="30">
        <v>519</v>
      </c>
    </row>
    <row r="191" spans="1:5" x14ac:dyDescent="0.2">
      <c r="A191" s="24">
        <v>4558</v>
      </c>
      <c r="B191" s="29">
        <v>1</v>
      </c>
      <c r="C191" s="9">
        <v>1</v>
      </c>
      <c r="D191" s="9">
        <v>1</v>
      </c>
      <c r="E191" s="30">
        <v>0</v>
      </c>
    </row>
    <row r="192" spans="1:5" x14ac:dyDescent="0.2">
      <c r="A192" s="24">
        <v>4575</v>
      </c>
      <c r="B192" s="29">
        <v>1</v>
      </c>
      <c r="C192" s="9">
        <v>1</v>
      </c>
      <c r="D192" s="9">
        <v>1</v>
      </c>
      <c r="E192" s="30">
        <v>0</v>
      </c>
    </row>
    <row r="193" spans="1:5" x14ac:dyDescent="0.2">
      <c r="A193" s="24">
        <v>4581</v>
      </c>
      <c r="B193" s="29">
        <v>5</v>
      </c>
      <c r="C193" s="9">
        <v>5</v>
      </c>
      <c r="D193" s="9">
        <v>3</v>
      </c>
      <c r="E193" s="30">
        <v>0</v>
      </c>
    </row>
    <row r="194" spans="1:5" x14ac:dyDescent="0.2">
      <c r="A194" s="24">
        <v>4597</v>
      </c>
      <c r="B194" s="29">
        <v>1.2000000000000002</v>
      </c>
      <c r="C194" s="9">
        <v>1.2000000000000002</v>
      </c>
      <c r="D194" s="9">
        <v>1</v>
      </c>
      <c r="E194" s="30">
        <v>0</v>
      </c>
    </row>
    <row r="195" spans="1:5" x14ac:dyDescent="0.2">
      <c r="A195" s="24">
        <v>4601</v>
      </c>
      <c r="B195" s="29">
        <v>1</v>
      </c>
      <c r="C195" s="9">
        <v>1</v>
      </c>
      <c r="D195" s="9">
        <v>1</v>
      </c>
      <c r="E195" s="30">
        <v>0</v>
      </c>
    </row>
    <row r="196" spans="1:5" x14ac:dyDescent="0.2">
      <c r="A196" s="24">
        <v>4633</v>
      </c>
      <c r="B196" s="29">
        <v>3</v>
      </c>
      <c r="C196" s="9">
        <v>3.0999999999999996</v>
      </c>
      <c r="D196" s="9">
        <v>2</v>
      </c>
      <c r="E196" s="30">
        <v>0</v>
      </c>
    </row>
    <row r="197" spans="1:5" x14ac:dyDescent="0.2">
      <c r="A197" s="24">
        <v>4642</v>
      </c>
      <c r="B197" s="29">
        <v>3</v>
      </c>
      <c r="C197" s="9">
        <v>3</v>
      </c>
      <c r="D197" s="9">
        <v>3</v>
      </c>
      <c r="E197" s="30">
        <v>143</v>
      </c>
    </row>
    <row r="198" spans="1:5" x14ac:dyDescent="0.2">
      <c r="A198" s="24">
        <v>4651</v>
      </c>
      <c r="B198" s="29">
        <v>1</v>
      </c>
      <c r="C198" s="9">
        <v>1</v>
      </c>
      <c r="D198" s="9">
        <v>1</v>
      </c>
      <c r="E198" s="30">
        <v>0</v>
      </c>
    </row>
    <row r="199" spans="1:5" x14ac:dyDescent="0.2">
      <c r="A199" s="24">
        <v>4695</v>
      </c>
      <c r="B199" s="29">
        <v>1</v>
      </c>
      <c r="C199" s="9">
        <v>1</v>
      </c>
      <c r="D199" s="9">
        <v>1</v>
      </c>
      <c r="E199" s="30">
        <v>0</v>
      </c>
    </row>
    <row r="200" spans="1:5" x14ac:dyDescent="0.2">
      <c r="A200" s="24">
        <v>4741</v>
      </c>
      <c r="B200" s="29">
        <v>3.0999999999999996</v>
      </c>
      <c r="C200" s="9">
        <v>3.0999999999999996</v>
      </c>
      <c r="D200" s="9">
        <v>2</v>
      </c>
      <c r="E200" s="30">
        <v>0</v>
      </c>
    </row>
    <row r="201" spans="1:5" x14ac:dyDescent="0.2">
      <c r="A201" s="24">
        <v>4752</v>
      </c>
      <c r="B201" s="29">
        <v>1</v>
      </c>
      <c r="C201" s="9">
        <v>1</v>
      </c>
      <c r="D201" s="9">
        <v>1</v>
      </c>
      <c r="E201" s="30">
        <v>1</v>
      </c>
    </row>
    <row r="202" spans="1:5" x14ac:dyDescent="0.2">
      <c r="A202" s="24">
        <v>4768</v>
      </c>
      <c r="B202" s="29">
        <v>1</v>
      </c>
      <c r="C202" s="9">
        <v>1</v>
      </c>
      <c r="D202" s="9">
        <v>1</v>
      </c>
      <c r="E202" s="30">
        <v>1</v>
      </c>
    </row>
    <row r="203" spans="1:5" x14ac:dyDescent="0.2">
      <c r="A203" s="24">
        <v>4778</v>
      </c>
      <c r="B203" s="29">
        <v>1</v>
      </c>
      <c r="C203" s="9">
        <v>1</v>
      </c>
      <c r="D203" s="9">
        <v>1</v>
      </c>
      <c r="E203" s="30">
        <v>0</v>
      </c>
    </row>
    <row r="204" spans="1:5" x14ac:dyDescent="0.2">
      <c r="A204" s="24">
        <v>4792</v>
      </c>
      <c r="B204" s="29">
        <v>2.2000000000000002</v>
      </c>
      <c r="C204" s="9">
        <v>2.2000000000000002</v>
      </c>
      <c r="D204" s="9">
        <v>1</v>
      </c>
      <c r="E204" s="30">
        <v>0</v>
      </c>
    </row>
    <row r="205" spans="1:5" x14ac:dyDescent="0.2">
      <c r="A205" s="24">
        <v>4814</v>
      </c>
      <c r="B205" s="29">
        <v>1</v>
      </c>
      <c r="C205" s="9">
        <v>1</v>
      </c>
      <c r="D205" s="9">
        <v>1</v>
      </c>
      <c r="E205" s="30">
        <v>0</v>
      </c>
    </row>
    <row r="206" spans="1:5" x14ac:dyDescent="0.2">
      <c r="A206" s="24">
        <v>4821</v>
      </c>
      <c r="B206" s="29">
        <v>4</v>
      </c>
      <c r="C206" s="9">
        <v>4</v>
      </c>
      <c r="D206" s="9">
        <v>3</v>
      </c>
      <c r="E206" s="30">
        <v>1473</v>
      </c>
    </row>
    <row r="207" spans="1:5" x14ac:dyDescent="0.2">
      <c r="A207" s="24">
        <v>4827</v>
      </c>
      <c r="B207" s="29">
        <v>4.0999999999999996</v>
      </c>
      <c r="C207" s="9">
        <v>4.0999999999999996</v>
      </c>
      <c r="D207" s="9">
        <v>3</v>
      </c>
      <c r="E207" s="30">
        <v>134</v>
      </c>
    </row>
    <row r="208" spans="1:5" x14ac:dyDescent="0.2">
      <c r="A208" s="24">
        <v>4864</v>
      </c>
      <c r="B208" s="29">
        <v>1</v>
      </c>
      <c r="C208" s="9">
        <v>1</v>
      </c>
      <c r="D208" s="9">
        <v>2</v>
      </c>
      <c r="E208" s="30">
        <v>0</v>
      </c>
    </row>
    <row r="209" spans="1:5" x14ac:dyDescent="0.2">
      <c r="A209" s="24">
        <v>4876</v>
      </c>
      <c r="B209" s="29">
        <v>1.1000000000000001</v>
      </c>
      <c r="C209" s="9">
        <v>1.1000000000000001</v>
      </c>
      <c r="D209" s="9">
        <v>1</v>
      </c>
      <c r="E209" s="30">
        <v>0</v>
      </c>
    </row>
    <row r="210" spans="1:5" x14ac:dyDescent="0.2">
      <c r="A210" s="24">
        <v>4887</v>
      </c>
      <c r="B210" s="29">
        <v>2.2000000000000002</v>
      </c>
      <c r="C210" s="9">
        <v>2.2000000000000002</v>
      </c>
      <c r="D210" s="9">
        <v>1</v>
      </c>
      <c r="E210" s="30">
        <v>0</v>
      </c>
    </row>
    <row r="211" spans="1:5" x14ac:dyDescent="0.2">
      <c r="A211" s="24">
        <v>4893</v>
      </c>
      <c r="B211" s="29">
        <v>1</v>
      </c>
      <c r="C211" s="9">
        <v>1</v>
      </c>
      <c r="D211" s="9">
        <v>1</v>
      </c>
      <c r="E211" s="30">
        <v>0</v>
      </c>
    </row>
    <row r="212" spans="1:5" x14ac:dyDescent="0.2">
      <c r="A212" s="24">
        <v>4894</v>
      </c>
      <c r="B212" s="29">
        <v>1</v>
      </c>
      <c r="C212" s="9">
        <v>1</v>
      </c>
      <c r="D212" s="9">
        <v>1</v>
      </c>
      <c r="E212" s="30">
        <v>0</v>
      </c>
    </row>
    <row r="213" spans="1:5" x14ac:dyDescent="0.2">
      <c r="A213" s="24">
        <v>4896</v>
      </c>
      <c r="B213" s="29">
        <v>4.2</v>
      </c>
      <c r="C213" s="9">
        <v>4.2</v>
      </c>
      <c r="D213" s="9">
        <v>3</v>
      </c>
      <c r="E213" s="30">
        <v>474</v>
      </c>
    </row>
    <row r="214" spans="1:5" x14ac:dyDescent="0.2">
      <c r="A214" s="24">
        <v>4934</v>
      </c>
      <c r="B214" s="29">
        <v>1</v>
      </c>
      <c r="C214" s="9">
        <v>1</v>
      </c>
      <c r="D214" s="9">
        <v>1</v>
      </c>
      <c r="E214" s="30">
        <v>0</v>
      </c>
    </row>
    <row r="215" spans="1:5" x14ac:dyDescent="0.2">
      <c r="A215" s="24">
        <v>4944</v>
      </c>
      <c r="B215" s="29">
        <v>1</v>
      </c>
      <c r="C215" s="9">
        <v>1</v>
      </c>
      <c r="D215" s="9">
        <v>1</v>
      </c>
      <c r="E215" s="30">
        <v>0</v>
      </c>
    </row>
    <row r="216" spans="1:5" x14ac:dyDescent="0.2">
      <c r="A216" s="24">
        <v>4958</v>
      </c>
      <c r="B216" s="29">
        <v>1</v>
      </c>
      <c r="C216" s="9">
        <v>1</v>
      </c>
      <c r="D216" s="9">
        <v>1</v>
      </c>
      <c r="E216" s="30">
        <v>0</v>
      </c>
    </row>
    <row r="217" spans="1:5" x14ac:dyDescent="0.2">
      <c r="A217" s="24">
        <v>4961</v>
      </c>
      <c r="B217" s="29">
        <v>2</v>
      </c>
      <c r="C217" s="9">
        <v>2</v>
      </c>
      <c r="D217" s="9">
        <v>3</v>
      </c>
      <c r="E217" s="30">
        <v>53</v>
      </c>
    </row>
    <row r="218" spans="1:5" x14ac:dyDescent="0.2">
      <c r="A218" s="24">
        <v>4966</v>
      </c>
      <c r="B218" s="29">
        <v>1</v>
      </c>
      <c r="C218" s="9">
        <v>1</v>
      </c>
      <c r="D218" s="9">
        <v>1</v>
      </c>
      <c r="E218" s="30">
        <v>0</v>
      </c>
    </row>
    <row r="219" spans="1:5" x14ac:dyDescent="0.2">
      <c r="A219" s="24">
        <v>4971</v>
      </c>
      <c r="B219" s="29">
        <v>1</v>
      </c>
      <c r="C219" s="9">
        <v>1</v>
      </c>
      <c r="D219" s="9">
        <v>1</v>
      </c>
      <c r="E219" s="30">
        <v>0</v>
      </c>
    </row>
    <row r="220" spans="1:5" x14ac:dyDescent="0.2">
      <c r="A220" s="24">
        <v>4986</v>
      </c>
      <c r="B220" s="29">
        <v>1</v>
      </c>
      <c r="C220" s="9">
        <v>1</v>
      </c>
      <c r="D220" s="9">
        <v>1</v>
      </c>
      <c r="E220" s="30">
        <v>0</v>
      </c>
    </row>
    <row r="221" spans="1:5" x14ac:dyDescent="0.2">
      <c r="A221" s="24">
        <v>4988</v>
      </c>
      <c r="B221" s="29">
        <v>1</v>
      </c>
      <c r="C221" s="9">
        <v>1</v>
      </c>
      <c r="D221" s="9">
        <v>1</v>
      </c>
      <c r="E221" s="30">
        <v>0</v>
      </c>
    </row>
    <row r="222" spans="1:5" x14ac:dyDescent="0.2">
      <c r="A222" s="24">
        <v>4989</v>
      </c>
      <c r="B222" s="29">
        <v>1</v>
      </c>
      <c r="C222" s="9">
        <v>1</v>
      </c>
      <c r="D222" s="9">
        <v>1</v>
      </c>
      <c r="E222" s="30">
        <v>0</v>
      </c>
    </row>
    <row r="223" spans="1:5" x14ac:dyDescent="0.2">
      <c r="A223" s="24">
        <v>4990</v>
      </c>
      <c r="B223" s="29">
        <v>2</v>
      </c>
      <c r="C223" s="9">
        <v>2</v>
      </c>
      <c r="D223" s="9">
        <v>3</v>
      </c>
      <c r="E223" s="30">
        <v>606</v>
      </c>
    </row>
    <row r="224" spans="1:5" x14ac:dyDescent="0.2">
      <c r="A224" s="24">
        <v>4994</v>
      </c>
      <c r="B224" s="29">
        <v>1</v>
      </c>
      <c r="C224" s="9">
        <v>1</v>
      </c>
      <c r="D224" s="9">
        <v>1</v>
      </c>
      <c r="E224" s="30">
        <v>0</v>
      </c>
    </row>
    <row r="225" spans="1:5" x14ac:dyDescent="0.2">
      <c r="A225" s="24">
        <v>5026</v>
      </c>
      <c r="B225" s="29">
        <v>2</v>
      </c>
      <c r="C225" s="9">
        <v>2</v>
      </c>
      <c r="D225" s="9">
        <v>2</v>
      </c>
      <c r="E225" s="30">
        <v>27</v>
      </c>
    </row>
    <row r="226" spans="1:5" x14ac:dyDescent="0.2">
      <c r="A226" s="24">
        <v>5039</v>
      </c>
      <c r="B226" s="29">
        <v>1</v>
      </c>
      <c r="C226" s="9">
        <v>1</v>
      </c>
      <c r="D226" s="9">
        <v>1</v>
      </c>
      <c r="E226" s="30">
        <v>0</v>
      </c>
    </row>
    <row r="227" spans="1:5" x14ac:dyDescent="0.2">
      <c r="A227" s="24">
        <v>5041</v>
      </c>
      <c r="B227" s="29">
        <v>1</v>
      </c>
      <c r="C227" s="9">
        <v>1</v>
      </c>
      <c r="D227" s="9">
        <v>1</v>
      </c>
      <c r="E227" s="30">
        <v>0</v>
      </c>
    </row>
    <row r="228" spans="1:5" x14ac:dyDescent="0.2">
      <c r="A228" s="24">
        <v>5046</v>
      </c>
      <c r="B228" s="29">
        <v>4.3</v>
      </c>
      <c r="C228" s="9">
        <v>4.3</v>
      </c>
      <c r="D228" s="9">
        <v>3</v>
      </c>
      <c r="E228" s="30">
        <v>520</v>
      </c>
    </row>
    <row r="229" spans="1:5" x14ac:dyDescent="0.2">
      <c r="A229" s="24">
        <v>5049</v>
      </c>
      <c r="B229" s="29">
        <v>1</v>
      </c>
      <c r="C229" s="9">
        <v>1</v>
      </c>
      <c r="D229" s="9">
        <v>1</v>
      </c>
      <c r="E229" s="30">
        <v>0</v>
      </c>
    </row>
    <row r="230" spans="1:5" x14ac:dyDescent="0.2">
      <c r="A230" s="24">
        <v>5065</v>
      </c>
      <c r="B230" s="29">
        <v>1</v>
      </c>
      <c r="C230" s="9">
        <v>1</v>
      </c>
      <c r="D230" s="9">
        <v>1</v>
      </c>
      <c r="E230" s="30">
        <v>0</v>
      </c>
    </row>
    <row r="231" spans="1:5" x14ac:dyDescent="0.2">
      <c r="A231" s="24">
        <v>5070</v>
      </c>
      <c r="B231" s="29">
        <v>4</v>
      </c>
      <c r="C231" s="9">
        <v>4</v>
      </c>
      <c r="D231" s="9">
        <v>3</v>
      </c>
      <c r="E231" s="30">
        <v>985</v>
      </c>
    </row>
    <row r="232" spans="1:5" x14ac:dyDescent="0.2">
      <c r="A232" s="24">
        <v>5073</v>
      </c>
      <c r="B232" s="29">
        <v>1</v>
      </c>
      <c r="C232" s="9">
        <v>1</v>
      </c>
      <c r="D232" s="9">
        <v>1</v>
      </c>
      <c r="E232" s="30">
        <v>0</v>
      </c>
    </row>
    <row r="233" spans="1:5" x14ac:dyDescent="0.2">
      <c r="A233" s="24">
        <v>5084</v>
      </c>
      <c r="B233" s="29">
        <v>1</v>
      </c>
      <c r="C233" s="9">
        <v>1</v>
      </c>
      <c r="D233" s="9">
        <v>1</v>
      </c>
      <c r="E233" s="30">
        <v>0</v>
      </c>
    </row>
    <row r="234" spans="1:5" x14ac:dyDescent="0.2">
      <c r="A234" s="24">
        <v>5087</v>
      </c>
      <c r="B234" s="29">
        <v>1</v>
      </c>
      <c r="C234" s="9">
        <v>1</v>
      </c>
      <c r="D234" s="9">
        <v>1</v>
      </c>
      <c r="E234" s="30">
        <v>0</v>
      </c>
    </row>
    <row r="235" spans="1:5" x14ac:dyDescent="0.2">
      <c r="A235" s="24">
        <v>5089</v>
      </c>
      <c r="B235" s="29">
        <v>5</v>
      </c>
      <c r="C235" s="9">
        <v>5</v>
      </c>
      <c r="D235" s="9">
        <v>3</v>
      </c>
      <c r="E235" s="30">
        <v>492</v>
      </c>
    </row>
    <row r="236" spans="1:5" x14ac:dyDescent="0.2">
      <c r="A236" s="24">
        <v>5092</v>
      </c>
      <c r="B236" s="29">
        <v>1</v>
      </c>
      <c r="C236" s="9">
        <v>1</v>
      </c>
      <c r="D236" s="9">
        <v>1</v>
      </c>
      <c r="E236" s="30">
        <v>0</v>
      </c>
    </row>
    <row r="237" spans="1:5" x14ac:dyDescent="0.2">
      <c r="A237" s="24">
        <v>5095</v>
      </c>
      <c r="B237" s="29">
        <v>1</v>
      </c>
      <c r="C237" s="9">
        <v>1</v>
      </c>
      <c r="D237" s="9">
        <v>1</v>
      </c>
      <c r="E237" s="30">
        <v>0</v>
      </c>
    </row>
    <row r="238" spans="1:5" x14ac:dyDescent="0.2">
      <c r="A238" s="24">
        <v>5097</v>
      </c>
      <c r="B238" s="29">
        <v>1</v>
      </c>
      <c r="C238" s="9">
        <v>1</v>
      </c>
      <c r="D238" s="9">
        <v>1</v>
      </c>
      <c r="E238" s="30">
        <v>0</v>
      </c>
    </row>
    <row r="239" spans="1:5" x14ac:dyDescent="0.2">
      <c r="A239" s="24">
        <v>5113</v>
      </c>
      <c r="B239" s="29">
        <v>5</v>
      </c>
      <c r="C239" s="9">
        <v>5</v>
      </c>
      <c r="D239" s="9">
        <v>3</v>
      </c>
      <c r="E239" s="30">
        <v>628</v>
      </c>
    </row>
    <row r="240" spans="1:5" x14ac:dyDescent="0.2">
      <c r="A240" s="24">
        <v>5123</v>
      </c>
      <c r="B240" s="29">
        <v>1</v>
      </c>
      <c r="C240" s="9">
        <v>1</v>
      </c>
      <c r="D240" s="9">
        <v>1</v>
      </c>
      <c r="E240" s="30">
        <v>0</v>
      </c>
    </row>
    <row r="241" spans="1:5" x14ac:dyDescent="0.2">
      <c r="A241" s="24">
        <v>5126</v>
      </c>
      <c r="B241" s="29">
        <v>4.3</v>
      </c>
      <c r="C241" s="9">
        <v>4.3</v>
      </c>
      <c r="D241" s="9">
        <v>3</v>
      </c>
      <c r="E241" s="30">
        <v>334</v>
      </c>
    </row>
    <row r="242" spans="1:5" x14ac:dyDescent="0.2">
      <c r="A242" s="24">
        <v>5133</v>
      </c>
      <c r="B242" s="29">
        <v>2.2000000000000002</v>
      </c>
      <c r="C242" s="9">
        <v>2.2000000000000002</v>
      </c>
      <c r="D242" s="9">
        <v>1</v>
      </c>
      <c r="E242" s="30">
        <v>0</v>
      </c>
    </row>
    <row r="243" spans="1:5" x14ac:dyDescent="0.2">
      <c r="A243" s="24">
        <v>5135</v>
      </c>
      <c r="B243" s="29">
        <v>1</v>
      </c>
      <c r="C243" s="9">
        <v>1</v>
      </c>
      <c r="D243" s="9">
        <v>1</v>
      </c>
      <c r="E243" s="30">
        <v>0</v>
      </c>
    </row>
    <row r="244" spans="1:5" x14ac:dyDescent="0.2">
      <c r="A244" s="24">
        <v>5138</v>
      </c>
      <c r="B244" s="29">
        <v>3</v>
      </c>
      <c r="C244" s="9">
        <v>3</v>
      </c>
      <c r="D244" s="9">
        <v>1</v>
      </c>
      <c r="E244" s="30">
        <v>0</v>
      </c>
    </row>
    <row r="245" spans="1:5" x14ac:dyDescent="0.2">
      <c r="A245" s="24">
        <v>5145</v>
      </c>
      <c r="B245" s="29">
        <v>1</v>
      </c>
      <c r="C245" s="9">
        <v>1</v>
      </c>
      <c r="D245" s="9">
        <v>1</v>
      </c>
      <c r="E245" s="30">
        <v>0</v>
      </c>
    </row>
    <row r="246" spans="1:5" x14ac:dyDescent="0.2">
      <c r="A246" s="24">
        <v>5147</v>
      </c>
      <c r="B246" s="29">
        <v>5</v>
      </c>
      <c r="C246" s="9">
        <v>5</v>
      </c>
      <c r="D246" s="9">
        <v>3</v>
      </c>
      <c r="E246" s="30">
        <v>771</v>
      </c>
    </row>
    <row r="247" spans="1:5" x14ac:dyDescent="0.2">
      <c r="A247" s="24">
        <v>5161</v>
      </c>
      <c r="B247" s="29">
        <v>1</v>
      </c>
      <c r="C247" s="9">
        <v>1</v>
      </c>
      <c r="D247" s="9">
        <v>1</v>
      </c>
      <c r="E247" s="30">
        <v>0</v>
      </c>
    </row>
    <row r="248" spans="1:5" x14ac:dyDescent="0.2">
      <c r="A248" s="24">
        <v>5182</v>
      </c>
      <c r="B248" s="29">
        <v>1</v>
      </c>
      <c r="C248" s="9">
        <v>1.9999999999999996</v>
      </c>
      <c r="D248" s="9">
        <v>2</v>
      </c>
      <c r="E248" s="30">
        <v>0</v>
      </c>
    </row>
    <row r="249" spans="1:5" x14ac:dyDescent="0.2">
      <c r="A249" s="24">
        <v>5199</v>
      </c>
      <c r="B249" s="29">
        <v>1</v>
      </c>
      <c r="C249" s="9">
        <v>1</v>
      </c>
      <c r="D249" s="9">
        <v>1</v>
      </c>
      <c r="E249" s="30">
        <v>0</v>
      </c>
    </row>
    <row r="250" spans="1:5" x14ac:dyDescent="0.2">
      <c r="A250" s="24">
        <v>5206</v>
      </c>
      <c r="B250" s="29">
        <v>1</v>
      </c>
      <c r="C250" s="9">
        <v>1</v>
      </c>
      <c r="D250" s="9">
        <v>1</v>
      </c>
      <c r="E250" s="30">
        <v>0</v>
      </c>
    </row>
    <row r="251" spans="1:5" x14ac:dyDescent="0.2">
      <c r="A251" s="24">
        <v>5208</v>
      </c>
      <c r="B251" s="29">
        <v>1</v>
      </c>
      <c r="C251" s="9">
        <v>1</v>
      </c>
      <c r="D251" s="9">
        <v>1</v>
      </c>
      <c r="E251" s="30">
        <v>0</v>
      </c>
    </row>
    <row r="252" spans="1:5" x14ac:dyDescent="0.2">
      <c r="A252" s="24">
        <v>5210</v>
      </c>
      <c r="B252" s="29">
        <v>2</v>
      </c>
      <c r="C252" s="9">
        <v>2</v>
      </c>
      <c r="D252" s="9">
        <v>2</v>
      </c>
      <c r="E252" s="30">
        <v>0</v>
      </c>
    </row>
    <row r="253" spans="1:5" x14ac:dyDescent="0.2">
      <c r="A253" s="24">
        <v>5216</v>
      </c>
      <c r="B253" s="29">
        <v>2</v>
      </c>
      <c r="C253" s="9">
        <v>2</v>
      </c>
      <c r="D253" s="9">
        <v>2</v>
      </c>
      <c r="E253" s="30">
        <v>7</v>
      </c>
    </row>
    <row r="254" spans="1:5" x14ac:dyDescent="0.2">
      <c r="A254" s="24">
        <v>5220</v>
      </c>
      <c r="B254" s="29">
        <v>2.1</v>
      </c>
      <c r="C254" s="9">
        <v>2.1</v>
      </c>
      <c r="D254" s="9">
        <v>1</v>
      </c>
      <c r="E254" s="30">
        <v>2</v>
      </c>
    </row>
    <row r="255" spans="1:5" x14ac:dyDescent="0.2">
      <c r="A255" s="24">
        <v>5254</v>
      </c>
      <c r="B255" s="29">
        <v>1</v>
      </c>
      <c r="C255" s="9">
        <v>1</v>
      </c>
      <c r="D255" s="9">
        <v>1</v>
      </c>
      <c r="E255" s="30">
        <v>0</v>
      </c>
    </row>
    <row r="256" spans="1:5" x14ac:dyDescent="0.2">
      <c r="A256" s="24">
        <v>5255</v>
      </c>
      <c r="B256" s="29">
        <v>1</v>
      </c>
      <c r="C256" s="9">
        <v>1</v>
      </c>
      <c r="D256" s="9">
        <v>1</v>
      </c>
      <c r="E256" s="30">
        <v>0</v>
      </c>
    </row>
    <row r="257" spans="1:5" x14ac:dyDescent="0.2">
      <c r="A257" s="24">
        <v>5257</v>
      </c>
      <c r="B257" s="29">
        <v>3</v>
      </c>
      <c r="C257" s="9">
        <v>3</v>
      </c>
      <c r="D257" s="9">
        <v>3</v>
      </c>
      <c r="E257" s="30">
        <v>467</v>
      </c>
    </row>
    <row r="258" spans="1:5" x14ac:dyDescent="0.2">
      <c r="A258" s="24">
        <v>5258</v>
      </c>
      <c r="B258" s="29">
        <v>2.9999999999999996</v>
      </c>
      <c r="C258" s="9">
        <v>2.9999999999999996</v>
      </c>
      <c r="D258" s="9">
        <v>3</v>
      </c>
      <c r="E258" s="30">
        <v>81</v>
      </c>
    </row>
    <row r="259" spans="1:5" x14ac:dyDescent="0.2">
      <c r="A259" s="24">
        <v>5259</v>
      </c>
      <c r="B259" s="29">
        <v>1</v>
      </c>
      <c r="C259" s="9">
        <v>1</v>
      </c>
      <c r="D259" s="9">
        <v>1</v>
      </c>
      <c r="E259" s="30">
        <v>0</v>
      </c>
    </row>
    <row r="260" spans="1:5" x14ac:dyDescent="0.2">
      <c r="A260" s="24">
        <v>5260</v>
      </c>
      <c r="B260" s="29">
        <v>1</v>
      </c>
      <c r="C260" s="9">
        <v>1</v>
      </c>
      <c r="D260" s="9">
        <v>1</v>
      </c>
      <c r="E260" s="30">
        <v>0</v>
      </c>
    </row>
    <row r="261" spans="1:5" x14ac:dyDescent="0.2">
      <c r="A261" s="24">
        <v>5265</v>
      </c>
      <c r="B261" s="29">
        <v>5</v>
      </c>
      <c r="C261" s="9">
        <v>5</v>
      </c>
      <c r="D261" s="9">
        <v>3</v>
      </c>
      <c r="E261" s="30">
        <v>1212</v>
      </c>
    </row>
    <row r="262" spans="1:5" x14ac:dyDescent="0.2">
      <c r="A262" s="24">
        <v>5278</v>
      </c>
      <c r="B262" s="29">
        <v>1</v>
      </c>
      <c r="C262" s="9">
        <v>1</v>
      </c>
      <c r="D262" s="9">
        <v>1</v>
      </c>
      <c r="E262" s="30">
        <v>0</v>
      </c>
    </row>
    <row r="263" spans="1:5" x14ac:dyDescent="0.2">
      <c r="A263" s="24">
        <v>5289</v>
      </c>
      <c r="B263" s="29">
        <v>1</v>
      </c>
      <c r="C263" s="9">
        <v>1</v>
      </c>
      <c r="D263" s="9">
        <v>1</v>
      </c>
      <c r="E263" s="30">
        <v>0</v>
      </c>
    </row>
    <row r="264" spans="1:5" x14ac:dyDescent="0.2">
      <c r="A264" s="24">
        <v>5308</v>
      </c>
      <c r="B264" s="29">
        <v>1</v>
      </c>
      <c r="C264" s="9">
        <v>1</v>
      </c>
      <c r="D264" s="9">
        <v>1</v>
      </c>
      <c r="E264" s="30">
        <v>0</v>
      </c>
    </row>
    <row r="265" spans="1:5" x14ac:dyDescent="0.2">
      <c r="A265" s="24">
        <v>5313</v>
      </c>
      <c r="B265" s="29">
        <v>1</v>
      </c>
      <c r="C265" s="9">
        <v>1</v>
      </c>
      <c r="D265" s="9">
        <v>1</v>
      </c>
      <c r="E265" s="30">
        <v>0</v>
      </c>
    </row>
    <row r="266" spans="1:5" x14ac:dyDescent="0.2">
      <c r="A266" s="24">
        <v>5325</v>
      </c>
      <c r="B266" s="29">
        <v>1</v>
      </c>
      <c r="C266" s="9">
        <v>1</v>
      </c>
      <c r="D266" s="9">
        <v>1</v>
      </c>
      <c r="E266" s="30">
        <v>0</v>
      </c>
    </row>
    <row r="267" spans="1:5" x14ac:dyDescent="0.2">
      <c r="A267" s="24">
        <v>5326</v>
      </c>
      <c r="B267" s="29">
        <v>4</v>
      </c>
      <c r="C267" s="9">
        <v>4</v>
      </c>
      <c r="D267" s="9">
        <v>3</v>
      </c>
      <c r="E267" s="30">
        <v>1097</v>
      </c>
    </row>
    <row r="268" spans="1:5" x14ac:dyDescent="0.2">
      <c r="A268" s="24">
        <v>5333</v>
      </c>
      <c r="B268" s="29">
        <v>5</v>
      </c>
      <c r="C268" s="9">
        <v>5</v>
      </c>
      <c r="D268" s="9">
        <v>3</v>
      </c>
      <c r="E268" s="30">
        <v>946</v>
      </c>
    </row>
    <row r="269" spans="1:5" x14ac:dyDescent="0.2">
      <c r="A269" s="24">
        <v>5335</v>
      </c>
      <c r="B269" s="29">
        <v>1</v>
      </c>
      <c r="C269" s="9">
        <v>1</v>
      </c>
      <c r="D269" s="9">
        <v>1</v>
      </c>
      <c r="E269" s="30">
        <v>0</v>
      </c>
    </row>
    <row r="270" spans="1:5" x14ac:dyDescent="0.2">
      <c r="A270" s="24">
        <v>5336</v>
      </c>
      <c r="B270" s="29">
        <v>1</v>
      </c>
      <c r="C270" s="9">
        <v>1</v>
      </c>
      <c r="D270" s="9">
        <v>1</v>
      </c>
      <c r="E270" s="30">
        <v>0</v>
      </c>
    </row>
    <row r="271" spans="1:5" x14ac:dyDescent="0.2">
      <c r="A271" s="24">
        <v>5337</v>
      </c>
      <c r="B271" s="29">
        <v>1</v>
      </c>
      <c r="C271" s="9">
        <v>1</v>
      </c>
      <c r="D271" s="9">
        <v>1</v>
      </c>
      <c r="E271" s="30">
        <v>0</v>
      </c>
    </row>
    <row r="272" spans="1:5" x14ac:dyDescent="0.2">
      <c r="A272" s="24">
        <v>5339</v>
      </c>
      <c r="B272" s="29">
        <v>1</v>
      </c>
      <c r="C272" s="9">
        <v>1</v>
      </c>
      <c r="D272" s="9">
        <v>1</v>
      </c>
      <c r="E272" s="30">
        <v>0</v>
      </c>
    </row>
    <row r="273" spans="1:5" x14ac:dyDescent="0.2">
      <c r="A273" s="24">
        <v>5342</v>
      </c>
      <c r="B273" s="29">
        <v>5</v>
      </c>
      <c r="C273" s="9">
        <v>5</v>
      </c>
      <c r="D273" s="9">
        <v>3</v>
      </c>
      <c r="E273" s="30">
        <v>488</v>
      </c>
    </row>
    <row r="274" spans="1:5" x14ac:dyDescent="0.2">
      <c r="A274" s="24">
        <v>5347</v>
      </c>
      <c r="B274" s="29">
        <v>5</v>
      </c>
      <c r="C274" s="9">
        <v>5</v>
      </c>
      <c r="D274" s="9">
        <v>3</v>
      </c>
      <c r="E274" s="30">
        <v>1250</v>
      </c>
    </row>
    <row r="275" spans="1:5" x14ac:dyDescent="0.2">
      <c r="A275" s="24">
        <v>5348</v>
      </c>
      <c r="B275" s="29">
        <v>1</v>
      </c>
      <c r="C275" s="9">
        <v>1</v>
      </c>
      <c r="D275" s="9">
        <v>1</v>
      </c>
      <c r="E275" s="30">
        <v>0</v>
      </c>
    </row>
    <row r="276" spans="1:5" x14ac:dyDescent="0.2">
      <c r="A276" s="24">
        <v>5354</v>
      </c>
      <c r="B276" s="29">
        <v>5</v>
      </c>
      <c r="C276" s="9">
        <v>5</v>
      </c>
      <c r="D276" s="9">
        <v>3</v>
      </c>
      <c r="E276" s="30">
        <v>1355</v>
      </c>
    </row>
    <row r="277" spans="1:5" x14ac:dyDescent="0.2">
      <c r="A277" s="24">
        <v>5357</v>
      </c>
      <c r="B277" s="29">
        <v>5</v>
      </c>
      <c r="C277" s="9">
        <v>5</v>
      </c>
      <c r="D277" s="9">
        <v>3</v>
      </c>
      <c r="E277" s="30">
        <v>1705</v>
      </c>
    </row>
    <row r="278" spans="1:5" x14ac:dyDescent="0.2">
      <c r="A278" s="24">
        <v>5373</v>
      </c>
      <c r="B278" s="29">
        <v>1</v>
      </c>
      <c r="C278" s="9">
        <v>1</v>
      </c>
      <c r="D278" s="9">
        <v>1</v>
      </c>
      <c r="E278" s="30">
        <v>0</v>
      </c>
    </row>
    <row r="279" spans="1:5" x14ac:dyDescent="0.2">
      <c r="A279" s="24">
        <v>5380</v>
      </c>
      <c r="B279" s="29">
        <v>1</v>
      </c>
      <c r="C279" s="9">
        <v>1</v>
      </c>
      <c r="D279" s="9">
        <v>1</v>
      </c>
      <c r="E279" s="30">
        <v>0</v>
      </c>
    </row>
    <row r="280" spans="1:5" x14ac:dyDescent="0.2">
      <c r="A280" s="24">
        <v>5384</v>
      </c>
      <c r="B280" s="29">
        <v>2</v>
      </c>
      <c r="C280" s="9">
        <v>2</v>
      </c>
      <c r="D280" s="9">
        <v>1</v>
      </c>
      <c r="E280" s="30">
        <v>0</v>
      </c>
    </row>
    <row r="281" spans="1:5" x14ac:dyDescent="0.2">
      <c r="A281" s="24">
        <v>5398</v>
      </c>
      <c r="B281" s="29">
        <v>1</v>
      </c>
      <c r="C281" s="9">
        <v>1</v>
      </c>
      <c r="D281" s="9">
        <v>1</v>
      </c>
      <c r="E281" s="30">
        <v>0</v>
      </c>
    </row>
    <row r="282" spans="1:5" x14ac:dyDescent="0.2">
      <c r="A282" s="24">
        <v>5400</v>
      </c>
      <c r="B282" s="29">
        <v>3</v>
      </c>
      <c r="C282" s="9">
        <v>3</v>
      </c>
      <c r="D282" s="9">
        <v>3</v>
      </c>
      <c r="E282" s="30">
        <v>324</v>
      </c>
    </row>
    <row r="283" spans="1:5" x14ac:dyDescent="0.2">
      <c r="A283" s="24">
        <v>5408</v>
      </c>
      <c r="B283" s="29">
        <v>4.2</v>
      </c>
      <c r="C283" s="9">
        <v>4.2</v>
      </c>
      <c r="D283" s="9">
        <v>3</v>
      </c>
      <c r="E283" s="30">
        <v>334</v>
      </c>
    </row>
    <row r="284" spans="1:5" x14ac:dyDescent="0.2">
      <c r="A284" s="24">
        <v>5412</v>
      </c>
      <c r="B284" s="29">
        <v>1</v>
      </c>
      <c r="C284" s="9">
        <v>1</v>
      </c>
      <c r="D284" s="9">
        <v>1</v>
      </c>
      <c r="E284" s="30">
        <v>0</v>
      </c>
    </row>
    <row r="285" spans="1:5" x14ac:dyDescent="0.2">
      <c r="A285" s="24">
        <v>5414</v>
      </c>
      <c r="B285" s="29">
        <v>2</v>
      </c>
      <c r="C285" s="9">
        <v>2</v>
      </c>
      <c r="D285" s="9">
        <v>3</v>
      </c>
      <c r="E285" s="30">
        <v>74</v>
      </c>
    </row>
    <row r="286" spans="1:5" x14ac:dyDescent="0.2">
      <c r="A286" s="24">
        <v>5415</v>
      </c>
      <c r="B286" s="29">
        <v>2.2000000000000002</v>
      </c>
      <c r="C286" s="9">
        <v>2.2000000000000002</v>
      </c>
      <c r="D286" s="9">
        <v>1</v>
      </c>
      <c r="E286" s="30">
        <v>0</v>
      </c>
    </row>
    <row r="287" spans="1:5" x14ac:dyDescent="0.2">
      <c r="A287" s="24">
        <v>5416</v>
      </c>
      <c r="B287" s="29">
        <v>1</v>
      </c>
      <c r="C287" s="9">
        <v>1</v>
      </c>
      <c r="D287" s="9">
        <v>1</v>
      </c>
      <c r="E287" s="30">
        <v>0</v>
      </c>
    </row>
    <row r="288" spans="1:5" x14ac:dyDescent="0.2">
      <c r="A288" s="24">
        <v>5421</v>
      </c>
      <c r="B288" s="29">
        <v>2.2000000000000002</v>
      </c>
      <c r="C288" s="9">
        <v>2.2000000000000002</v>
      </c>
      <c r="D288" s="9">
        <v>1</v>
      </c>
      <c r="E288" s="30">
        <v>0</v>
      </c>
    </row>
    <row r="289" spans="1:5" x14ac:dyDescent="0.2">
      <c r="A289" s="24">
        <v>5422</v>
      </c>
      <c r="B289" s="29">
        <v>4.2</v>
      </c>
      <c r="C289" s="9">
        <v>4.2</v>
      </c>
      <c r="D289" s="9">
        <v>3</v>
      </c>
      <c r="E289" s="30">
        <v>369</v>
      </c>
    </row>
    <row r="290" spans="1:5" x14ac:dyDescent="0.2">
      <c r="A290" s="24">
        <v>5433</v>
      </c>
      <c r="B290" s="29">
        <v>1</v>
      </c>
      <c r="C290" s="9">
        <v>1</v>
      </c>
      <c r="D290" s="9">
        <v>1</v>
      </c>
      <c r="E290" s="30">
        <v>0</v>
      </c>
    </row>
    <row r="291" spans="1:5" x14ac:dyDescent="0.2">
      <c r="A291" s="24">
        <v>5434</v>
      </c>
      <c r="B291" s="29">
        <v>1</v>
      </c>
      <c r="C291" s="9">
        <v>1</v>
      </c>
      <c r="D291" s="9">
        <v>1</v>
      </c>
      <c r="E291" s="30">
        <v>0</v>
      </c>
    </row>
    <row r="292" spans="1:5" x14ac:dyDescent="0.2">
      <c r="A292" s="24">
        <v>5436</v>
      </c>
      <c r="B292" s="29">
        <v>1</v>
      </c>
      <c r="C292" s="9">
        <v>1</v>
      </c>
      <c r="D292" s="9">
        <v>1</v>
      </c>
      <c r="E292" s="30">
        <v>0</v>
      </c>
    </row>
    <row r="293" spans="1:5" x14ac:dyDescent="0.2">
      <c r="A293" s="24">
        <v>5458</v>
      </c>
      <c r="B293" s="29">
        <v>2.1</v>
      </c>
      <c r="C293" s="9">
        <v>2.1</v>
      </c>
      <c r="D293" s="9">
        <v>1</v>
      </c>
      <c r="E293" s="30">
        <v>0</v>
      </c>
    </row>
    <row r="294" spans="1:5" x14ac:dyDescent="0.2">
      <c r="A294" s="24">
        <v>5462</v>
      </c>
      <c r="B294" s="29">
        <v>1</v>
      </c>
      <c r="C294" s="9">
        <v>1</v>
      </c>
      <c r="D294" s="9">
        <v>1</v>
      </c>
      <c r="E294" s="30">
        <v>0</v>
      </c>
    </row>
    <row r="295" spans="1:5" x14ac:dyDescent="0.2">
      <c r="A295" s="24">
        <v>5479</v>
      </c>
      <c r="B295" s="29">
        <v>1</v>
      </c>
      <c r="C295" s="9">
        <v>1</v>
      </c>
      <c r="D295" s="9">
        <v>1</v>
      </c>
      <c r="E295" s="30">
        <v>0</v>
      </c>
    </row>
    <row r="296" spans="1:5" x14ac:dyDescent="0.2">
      <c r="A296" s="24">
        <v>5496</v>
      </c>
      <c r="B296" s="29">
        <v>2.1</v>
      </c>
      <c r="C296" s="9">
        <v>2.1</v>
      </c>
      <c r="D296" s="9">
        <v>1</v>
      </c>
      <c r="E296" s="30">
        <v>0</v>
      </c>
    </row>
    <row r="297" spans="1:5" x14ac:dyDescent="0.2">
      <c r="A297" s="24">
        <v>5500</v>
      </c>
      <c r="B297" s="29">
        <v>1</v>
      </c>
      <c r="C297" s="9">
        <v>1</v>
      </c>
      <c r="D297" s="9">
        <v>1</v>
      </c>
      <c r="E297" s="30">
        <v>0</v>
      </c>
    </row>
    <row r="298" spans="1:5" x14ac:dyDescent="0.2">
      <c r="A298" s="24">
        <v>5501</v>
      </c>
      <c r="B298" s="29">
        <v>1</v>
      </c>
      <c r="C298" s="9">
        <v>2</v>
      </c>
      <c r="D298" s="9">
        <v>2</v>
      </c>
      <c r="E298" s="30">
        <v>12</v>
      </c>
    </row>
    <row r="299" spans="1:5" x14ac:dyDescent="0.2">
      <c r="A299" s="24">
        <v>5503</v>
      </c>
      <c r="B299" s="29">
        <v>5</v>
      </c>
      <c r="C299" s="9">
        <v>5</v>
      </c>
      <c r="D299" s="9">
        <v>3</v>
      </c>
      <c r="E299" s="30">
        <v>1219</v>
      </c>
    </row>
    <row r="300" spans="1:5" x14ac:dyDescent="0.2">
      <c r="A300" s="24">
        <v>5504</v>
      </c>
      <c r="B300" s="29">
        <v>1</v>
      </c>
      <c r="C300" s="9">
        <v>1</v>
      </c>
      <c r="D300" s="9">
        <v>1</v>
      </c>
      <c r="E300" s="30">
        <v>0</v>
      </c>
    </row>
    <row r="301" spans="1:5" x14ac:dyDescent="0.2">
      <c r="A301" s="24">
        <v>5505</v>
      </c>
      <c r="B301" s="29">
        <v>5</v>
      </c>
      <c r="C301" s="9">
        <v>5</v>
      </c>
      <c r="D301" s="9">
        <v>3</v>
      </c>
      <c r="E301" s="30">
        <v>1219</v>
      </c>
    </row>
    <row r="302" spans="1:5" x14ac:dyDescent="0.2">
      <c r="A302" s="24">
        <v>5506</v>
      </c>
      <c r="B302" s="29">
        <v>5</v>
      </c>
      <c r="C302" s="9">
        <v>5</v>
      </c>
      <c r="D302" s="9">
        <v>3</v>
      </c>
      <c r="E302" s="30">
        <v>1219</v>
      </c>
    </row>
    <row r="303" spans="1:5" x14ac:dyDescent="0.2">
      <c r="A303" s="24">
        <v>5511</v>
      </c>
      <c r="B303" s="29">
        <v>1</v>
      </c>
      <c r="C303" s="9">
        <v>1</v>
      </c>
      <c r="D303" s="9">
        <v>1</v>
      </c>
      <c r="E303" s="30">
        <v>0</v>
      </c>
    </row>
    <row r="304" spans="1:5" x14ac:dyDescent="0.2">
      <c r="A304" s="24">
        <v>5520</v>
      </c>
      <c r="B304" s="29">
        <v>1</v>
      </c>
      <c r="C304" s="9">
        <v>1</v>
      </c>
      <c r="D304" s="9">
        <v>1</v>
      </c>
      <c r="E304" s="30">
        <v>0</v>
      </c>
    </row>
    <row r="305" spans="1:5" x14ac:dyDescent="0.2">
      <c r="A305" s="24">
        <v>5535</v>
      </c>
      <c r="B305" s="29">
        <v>3.2</v>
      </c>
      <c r="C305" s="9">
        <v>3.2</v>
      </c>
      <c r="D305" s="9">
        <v>2</v>
      </c>
      <c r="E305" s="30">
        <v>0</v>
      </c>
    </row>
    <row r="306" spans="1:5" x14ac:dyDescent="0.2">
      <c r="A306" s="24">
        <v>5544</v>
      </c>
      <c r="B306" s="29">
        <v>1</v>
      </c>
      <c r="C306" s="9">
        <v>1</v>
      </c>
      <c r="D306" s="9">
        <v>1</v>
      </c>
      <c r="E306" s="30">
        <v>0</v>
      </c>
    </row>
    <row r="307" spans="1:5" x14ac:dyDescent="0.2">
      <c r="A307" s="24">
        <v>5571</v>
      </c>
      <c r="B307" s="29">
        <v>1</v>
      </c>
      <c r="C307" s="9">
        <v>1</v>
      </c>
      <c r="D307" s="9">
        <v>1</v>
      </c>
      <c r="E307" s="30">
        <v>0</v>
      </c>
    </row>
    <row r="308" spans="1:5" x14ac:dyDescent="0.2">
      <c r="A308" s="24">
        <v>5572</v>
      </c>
      <c r="B308" s="29">
        <v>4.3</v>
      </c>
      <c r="C308" s="9">
        <v>4.3</v>
      </c>
      <c r="D308" s="9">
        <v>3</v>
      </c>
      <c r="E308" s="30">
        <v>690</v>
      </c>
    </row>
    <row r="309" spans="1:5" x14ac:dyDescent="0.2">
      <c r="A309" s="24">
        <v>5573</v>
      </c>
      <c r="B309" s="29">
        <v>1</v>
      </c>
      <c r="C309" s="9">
        <v>1</v>
      </c>
      <c r="D309" s="9">
        <v>1</v>
      </c>
      <c r="E309" s="30">
        <v>0</v>
      </c>
    </row>
    <row r="310" spans="1:5" x14ac:dyDescent="0.2">
      <c r="A310" s="24">
        <v>5577</v>
      </c>
      <c r="B310" s="29">
        <v>1</v>
      </c>
      <c r="C310" s="9">
        <v>1</v>
      </c>
      <c r="D310" s="9">
        <v>1</v>
      </c>
      <c r="E310" s="30">
        <v>0</v>
      </c>
    </row>
    <row r="311" spans="1:5" x14ac:dyDescent="0.2">
      <c r="A311" s="24">
        <v>5580</v>
      </c>
      <c r="B311" s="29">
        <v>1</v>
      </c>
      <c r="C311" s="9">
        <v>1</v>
      </c>
      <c r="D311" s="9">
        <v>1</v>
      </c>
      <c r="E311" s="30">
        <v>0</v>
      </c>
    </row>
    <row r="312" spans="1:5" x14ac:dyDescent="0.2">
      <c r="A312" s="24">
        <v>5581</v>
      </c>
      <c r="B312" s="29">
        <v>1</v>
      </c>
      <c r="C312" s="9">
        <v>1</v>
      </c>
      <c r="D312" s="9">
        <v>1</v>
      </c>
      <c r="E312" s="30">
        <v>0</v>
      </c>
    </row>
    <row r="313" spans="1:5" x14ac:dyDescent="0.2">
      <c r="A313" s="24">
        <v>5591</v>
      </c>
      <c r="B313" s="29">
        <v>1</v>
      </c>
      <c r="C313" s="9">
        <v>1</v>
      </c>
      <c r="D313" s="9">
        <v>1</v>
      </c>
      <c r="E313" s="30">
        <v>1</v>
      </c>
    </row>
    <row r="314" spans="1:5" x14ac:dyDescent="0.2">
      <c r="A314" s="24">
        <v>5600</v>
      </c>
      <c r="B314" s="29">
        <v>1</v>
      </c>
      <c r="C314" s="9">
        <v>1</v>
      </c>
      <c r="D314" s="9">
        <v>1</v>
      </c>
      <c r="E314" s="30">
        <v>0</v>
      </c>
    </row>
    <row r="315" spans="1:5" x14ac:dyDescent="0.2">
      <c r="A315" s="24">
        <v>5603</v>
      </c>
      <c r="B315" s="29">
        <v>1</v>
      </c>
      <c r="C315" s="9">
        <v>1</v>
      </c>
      <c r="D315" s="9">
        <v>1</v>
      </c>
      <c r="E315" s="30">
        <v>0</v>
      </c>
    </row>
    <row r="316" spans="1:5" x14ac:dyDescent="0.2">
      <c r="A316" s="24">
        <v>5607</v>
      </c>
      <c r="B316" s="29">
        <v>1</v>
      </c>
      <c r="C316" s="9">
        <v>1</v>
      </c>
      <c r="D316" s="9">
        <v>1</v>
      </c>
      <c r="E316" s="30">
        <v>1</v>
      </c>
    </row>
    <row r="317" spans="1:5" x14ac:dyDescent="0.2">
      <c r="A317" s="24">
        <v>5615</v>
      </c>
      <c r="B317" s="29">
        <v>1</v>
      </c>
      <c r="C317" s="9">
        <v>1</v>
      </c>
      <c r="D317" s="9">
        <v>1</v>
      </c>
      <c r="E317" s="30">
        <v>0</v>
      </c>
    </row>
    <row r="318" spans="1:5" x14ac:dyDescent="0.2">
      <c r="A318" s="24">
        <v>5625</v>
      </c>
      <c r="B318" s="29">
        <v>1</v>
      </c>
      <c r="C318" s="9">
        <v>1</v>
      </c>
      <c r="D318" s="9">
        <v>1</v>
      </c>
      <c r="E318" s="30">
        <v>0</v>
      </c>
    </row>
    <row r="319" spans="1:5" x14ac:dyDescent="0.2">
      <c r="A319" s="24">
        <v>5626</v>
      </c>
      <c r="B319" s="29">
        <v>1</v>
      </c>
      <c r="C319" s="9">
        <v>1</v>
      </c>
      <c r="D319" s="9">
        <v>1</v>
      </c>
      <c r="E319" s="30">
        <v>0</v>
      </c>
    </row>
    <row r="320" spans="1:5" x14ac:dyDescent="0.2">
      <c r="A320" s="24">
        <v>5627</v>
      </c>
      <c r="B320" s="29">
        <v>1</v>
      </c>
      <c r="C320" s="9">
        <v>1</v>
      </c>
      <c r="D320" s="9">
        <v>1</v>
      </c>
      <c r="E320" s="30">
        <v>0</v>
      </c>
    </row>
    <row r="321" spans="1:5" x14ac:dyDescent="0.2">
      <c r="A321" s="24">
        <v>5646</v>
      </c>
      <c r="B321" s="29">
        <v>3.2</v>
      </c>
      <c r="C321" s="9">
        <v>3.2</v>
      </c>
      <c r="D321" s="9">
        <v>2</v>
      </c>
      <c r="E321" s="30">
        <v>0</v>
      </c>
    </row>
    <row r="322" spans="1:5" x14ac:dyDescent="0.2">
      <c r="A322" s="24">
        <v>5652</v>
      </c>
      <c r="B322" s="29">
        <v>1</v>
      </c>
      <c r="C322" s="9">
        <v>1</v>
      </c>
      <c r="D322" s="9">
        <v>1</v>
      </c>
      <c r="E322" s="30">
        <v>0</v>
      </c>
    </row>
    <row r="323" spans="1:5" x14ac:dyDescent="0.2">
      <c r="A323" s="24">
        <v>5653</v>
      </c>
      <c r="B323" s="29">
        <v>2.2000000000000002</v>
      </c>
      <c r="C323" s="9">
        <v>2.2000000000000002</v>
      </c>
      <c r="D323" s="9">
        <v>1</v>
      </c>
      <c r="E323" s="30">
        <v>0</v>
      </c>
    </row>
    <row r="324" spans="1:5" x14ac:dyDescent="0.2">
      <c r="A324" s="24">
        <v>5659</v>
      </c>
      <c r="B324" s="29">
        <v>4.2</v>
      </c>
      <c r="C324" s="9">
        <v>4.2</v>
      </c>
      <c r="D324" s="9">
        <v>3</v>
      </c>
      <c r="E324" s="30">
        <v>571</v>
      </c>
    </row>
    <row r="325" spans="1:5" x14ac:dyDescent="0.2">
      <c r="A325" s="24">
        <v>5665</v>
      </c>
      <c r="B325" s="29">
        <v>3</v>
      </c>
      <c r="C325" s="9">
        <v>3</v>
      </c>
      <c r="D325" s="9">
        <v>3</v>
      </c>
      <c r="E325" s="30">
        <v>439</v>
      </c>
    </row>
    <row r="326" spans="1:5" x14ac:dyDescent="0.2">
      <c r="A326" s="24">
        <v>5669</v>
      </c>
      <c r="B326" s="29">
        <v>2.9999999999999996</v>
      </c>
      <c r="C326" s="9">
        <v>2.9999999999999996</v>
      </c>
      <c r="D326" s="9">
        <v>3</v>
      </c>
      <c r="E326" s="30">
        <v>408</v>
      </c>
    </row>
    <row r="327" spans="1:5" x14ac:dyDescent="0.2">
      <c r="A327" s="24">
        <v>5670</v>
      </c>
      <c r="B327" s="29">
        <v>2.9999999999999996</v>
      </c>
      <c r="C327" s="9">
        <v>2.9999999999999996</v>
      </c>
      <c r="D327" s="9">
        <v>3</v>
      </c>
      <c r="E327" s="30">
        <v>439</v>
      </c>
    </row>
    <row r="328" spans="1:5" x14ac:dyDescent="0.2">
      <c r="A328" s="24">
        <v>5671</v>
      </c>
      <c r="B328" s="29">
        <v>2.9999999999999996</v>
      </c>
      <c r="C328" s="9">
        <v>2.9999999999999996</v>
      </c>
      <c r="D328" s="9">
        <v>3</v>
      </c>
      <c r="E328" s="30">
        <v>376</v>
      </c>
    </row>
    <row r="329" spans="1:5" x14ac:dyDescent="0.2">
      <c r="A329" s="24">
        <v>5672</v>
      </c>
      <c r="B329" s="29">
        <v>2</v>
      </c>
      <c r="C329" s="9">
        <v>2</v>
      </c>
      <c r="D329" s="9">
        <v>3</v>
      </c>
      <c r="E329" s="30">
        <v>347</v>
      </c>
    </row>
    <row r="330" spans="1:5" x14ac:dyDescent="0.2">
      <c r="A330" s="24">
        <v>5682</v>
      </c>
      <c r="B330" s="29">
        <v>1</v>
      </c>
      <c r="C330" s="9">
        <v>1</v>
      </c>
      <c r="D330" s="9">
        <v>1</v>
      </c>
      <c r="E330" s="30">
        <v>0</v>
      </c>
    </row>
    <row r="331" spans="1:5" x14ac:dyDescent="0.2">
      <c r="A331" s="24">
        <v>5705</v>
      </c>
      <c r="B331" s="29">
        <v>1</v>
      </c>
      <c r="C331" s="9">
        <v>1</v>
      </c>
      <c r="D331" s="9">
        <v>1</v>
      </c>
      <c r="E331" s="30">
        <v>0</v>
      </c>
    </row>
    <row r="332" spans="1:5" x14ac:dyDescent="0.2">
      <c r="A332" s="24">
        <v>5709</v>
      </c>
      <c r="B332" s="29">
        <v>1</v>
      </c>
      <c r="C332" s="9">
        <v>1</v>
      </c>
      <c r="D332" s="9">
        <v>1</v>
      </c>
      <c r="E332" s="30">
        <v>0</v>
      </c>
    </row>
    <row r="333" spans="1:5" x14ac:dyDescent="0.2">
      <c r="A333" s="24">
        <v>5712</v>
      </c>
      <c r="B333" s="29">
        <v>1</v>
      </c>
      <c r="C333" s="9">
        <v>1</v>
      </c>
      <c r="D333" s="9">
        <v>1</v>
      </c>
      <c r="E333" s="30">
        <v>0</v>
      </c>
    </row>
    <row r="334" spans="1:5" x14ac:dyDescent="0.2">
      <c r="A334" s="24">
        <v>5714</v>
      </c>
      <c r="B334" s="29">
        <v>2.1</v>
      </c>
      <c r="C334" s="9">
        <v>2.1</v>
      </c>
      <c r="D334" s="9">
        <v>1</v>
      </c>
      <c r="E334" s="30">
        <v>0</v>
      </c>
    </row>
    <row r="335" spans="1:5" x14ac:dyDescent="0.2">
      <c r="A335" s="24">
        <v>5715</v>
      </c>
      <c r="B335" s="29">
        <v>1</v>
      </c>
      <c r="C335" s="9">
        <v>1</v>
      </c>
      <c r="D335" s="9">
        <v>1</v>
      </c>
      <c r="E335" s="30">
        <v>0</v>
      </c>
    </row>
    <row r="336" spans="1:5" x14ac:dyDescent="0.2">
      <c r="A336" s="24">
        <v>5717</v>
      </c>
      <c r="B336" s="29">
        <v>5</v>
      </c>
      <c r="C336" s="9">
        <v>5</v>
      </c>
      <c r="D336" s="9">
        <v>3</v>
      </c>
      <c r="E336" s="30">
        <v>1157</v>
      </c>
    </row>
    <row r="337" spans="1:5" x14ac:dyDescent="0.2">
      <c r="A337" s="24">
        <v>5718</v>
      </c>
      <c r="B337" s="29">
        <v>4</v>
      </c>
      <c r="C337" s="9">
        <v>4</v>
      </c>
      <c r="D337" s="9">
        <v>3</v>
      </c>
      <c r="E337" s="30">
        <v>1006</v>
      </c>
    </row>
    <row r="338" spans="1:5" x14ac:dyDescent="0.2">
      <c r="A338" s="24">
        <v>5723</v>
      </c>
      <c r="B338" s="29">
        <v>1</v>
      </c>
      <c r="C338" s="9">
        <v>1</v>
      </c>
      <c r="D338" s="9">
        <v>1</v>
      </c>
      <c r="E338" s="30">
        <v>0</v>
      </c>
    </row>
    <row r="339" spans="1:5" x14ac:dyDescent="0.2">
      <c r="A339" s="24">
        <v>5724</v>
      </c>
      <c r="B339" s="29">
        <v>1</v>
      </c>
      <c r="C339" s="9">
        <v>1</v>
      </c>
      <c r="D339" s="9">
        <v>1</v>
      </c>
      <c r="E339" s="30">
        <v>0</v>
      </c>
    </row>
    <row r="340" spans="1:5" x14ac:dyDescent="0.2">
      <c r="A340" s="24">
        <v>5726</v>
      </c>
      <c r="B340" s="29">
        <v>1</v>
      </c>
      <c r="C340" s="9">
        <v>1</v>
      </c>
      <c r="D340" s="9">
        <v>1</v>
      </c>
      <c r="E340" s="30">
        <v>0</v>
      </c>
    </row>
    <row r="341" spans="1:5" x14ac:dyDescent="0.2">
      <c r="A341" s="24">
        <v>5739</v>
      </c>
      <c r="B341" s="29">
        <v>1</v>
      </c>
      <c r="C341" s="9">
        <v>1</v>
      </c>
      <c r="D341" s="9">
        <v>1</v>
      </c>
      <c r="E341" s="30">
        <v>0</v>
      </c>
    </row>
    <row r="342" spans="1:5" x14ac:dyDescent="0.2">
      <c r="A342" s="24">
        <v>5743</v>
      </c>
      <c r="B342" s="29">
        <v>5</v>
      </c>
      <c r="C342" s="9">
        <v>5</v>
      </c>
      <c r="D342" s="9">
        <v>3</v>
      </c>
      <c r="E342" s="30">
        <v>990</v>
      </c>
    </row>
    <row r="343" spans="1:5" x14ac:dyDescent="0.2">
      <c r="A343" s="24">
        <v>5744</v>
      </c>
      <c r="B343" s="29">
        <v>5</v>
      </c>
      <c r="C343" s="9">
        <v>5</v>
      </c>
      <c r="D343" s="9">
        <v>3</v>
      </c>
      <c r="E343" s="30">
        <v>975</v>
      </c>
    </row>
    <row r="344" spans="1:5" x14ac:dyDescent="0.2">
      <c r="A344" s="24">
        <v>5745</v>
      </c>
      <c r="B344" s="29">
        <v>1</v>
      </c>
      <c r="C344" s="9">
        <v>1</v>
      </c>
      <c r="D344" s="9">
        <v>1</v>
      </c>
      <c r="E344" s="30">
        <v>0</v>
      </c>
    </row>
    <row r="345" spans="1:5" x14ac:dyDescent="0.2">
      <c r="A345" s="24">
        <v>5748</v>
      </c>
      <c r="B345" s="29">
        <v>5</v>
      </c>
      <c r="C345" s="9">
        <v>5</v>
      </c>
      <c r="D345" s="9">
        <v>3</v>
      </c>
      <c r="E345" s="30">
        <v>1097</v>
      </c>
    </row>
    <row r="346" spans="1:5" x14ac:dyDescent="0.2">
      <c r="A346" s="24">
        <v>5770</v>
      </c>
      <c r="B346" s="29">
        <v>2.2000000000000002</v>
      </c>
      <c r="C346" s="9">
        <v>2.2000000000000002</v>
      </c>
      <c r="D346" s="9">
        <v>1</v>
      </c>
      <c r="E346" s="30">
        <v>0</v>
      </c>
    </row>
    <row r="347" spans="1:5" x14ac:dyDescent="0.2">
      <c r="A347" s="24">
        <v>5782</v>
      </c>
      <c r="B347" s="29">
        <v>2</v>
      </c>
      <c r="C347" s="9">
        <v>2</v>
      </c>
      <c r="D347" s="9">
        <v>3</v>
      </c>
      <c r="E347" s="30">
        <v>100</v>
      </c>
    </row>
    <row r="348" spans="1:5" x14ac:dyDescent="0.2">
      <c r="A348" s="24">
        <v>5784</v>
      </c>
      <c r="B348" s="29">
        <v>2</v>
      </c>
      <c r="C348" s="9">
        <v>2</v>
      </c>
      <c r="D348" s="9">
        <v>2</v>
      </c>
      <c r="E348" s="30">
        <v>20</v>
      </c>
    </row>
    <row r="349" spans="1:5" x14ac:dyDescent="0.2">
      <c r="A349" s="24">
        <v>5785</v>
      </c>
      <c r="B349" s="29">
        <v>1</v>
      </c>
      <c r="C349" s="9">
        <v>1</v>
      </c>
      <c r="D349" s="9">
        <v>1</v>
      </c>
      <c r="E349" s="30">
        <v>0</v>
      </c>
    </row>
    <row r="350" spans="1:5" x14ac:dyDescent="0.2">
      <c r="A350" s="24">
        <v>5786</v>
      </c>
      <c r="B350" s="29">
        <v>4.3</v>
      </c>
      <c r="C350" s="9">
        <v>4.3</v>
      </c>
      <c r="D350" s="9">
        <v>3</v>
      </c>
      <c r="E350" s="30">
        <v>278</v>
      </c>
    </row>
    <row r="351" spans="1:5" x14ac:dyDescent="0.2">
      <c r="A351" s="24">
        <v>5794</v>
      </c>
      <c r="B351" s="29">
        <v>1</v>
      </c>
      <c r="C351" s="9">
        <v>1</v>
      </c>
      <c r="D351" s="9">
        <v>1</v>
      </c>
      <c r="E351" s="30">
        <v>0</v>
      </c>
    </row>
    <row r="352" spans="1:5" x14ac:dyDescent="0.2">
      <c r="A352" s="24">
        <v>5801</v>
      </c>
      <c r="B352" s="29">
        <v>5</v>
      </c>
      <c r="C352" s="9">
        <v>5</v>
      </c>
      <c r="D352" s="9">
        <v>3</v>
      </c>
      <c r="E352" s="30">
        <v>115</v>
      </c>
    </row>
    <row r="353" spans="1:5" x14ac:dyDescent="0.2">
      <c r="A353" s="24">
        <v>5818</v>
      </c>
      <c r="B353" s="29">
        <v>1</v>
      </c>
      <c r="C353" s="9">
        <v>1</v>
      </c>
      <c r="D353" s="9">
        <v>1</v>
      </c>
      <c r="E353" s="30">
        <v>0</v>
      </c>
    </row>
    <row r="354" spans="1:5" x14ac:dyDescent="0.2">
      <c r="A354" s="24">
        <v>5823</v>
      </c>
      <c r="B354" s="29">
        <v>1</v>
      </c>
      <c r="C354" s="9">
        <v>1</v>
      </c>
      <c r="D354" s="9">
        <v>1</v>
      </c>
      <c r="E354" s="30">
        <v>0</v>
      </c>
    </row>
    <row r="355" spans="1:5" x14ac:dyDescent="0.2">
      <c r="A355" s="24">
        <v>5824</v>
      </c>
      <c r="B355" s="29">
        <v>1</v>
      </c>
      <c r="C355" s="9">
        <v>1</v>
      </c>
      <c r="D355" s="9">
        <v>1</v>
      </c>
      <c r="E355" s="30">
        <v>0</v>
      </c>
    </row>
    <row r="356" spans="1:5" x14ac:dyDescent="0.2">
      <c r="A356" s="24">
        <v>5829</v>
      </c>
      <c r="B356" s="29">
        <v>1</v>
      </c>
      <c r="C356" s="9">
        <v>1</v>
      </c>
      <c r="D356" s="9">
        <v>1</v>
      </c>
      <c r="E356" s="30">
        <v>0</v>
      </c>
    </row>
    <row r="357" spans="1:5" x14ac:dyDescent="0.2">
      <c r="A357" s="24">
        <v>5852</v>
      </c>
      <c r="B357" s="29">
        <v>1</v>
      </c>
      <c r="C357" s="9">
        <v>1</v>
      </c>
      <c r="D357" s="9">
        <v>1</v>
      </c>
      <c r="E357" s="30">
        <v>0</v>
      </c>
    </row>
    <row r="358" spans="1:5" x14ac:dyDescent="0.2">
      <c r="A358" s="24">
        <v>5860</v>
      </c>
      <c r="B358" s="29">
        <v>1</v>
      </c>
      <c r="C358" s="9">
        <v>1</v>
      </c>
      <c r="D358" s="9">
        <v>1</v>
      </c>
      <c r="E358" s="30">
        <v>0</v>
      </c>
    </row>
    <row r="359" spans="1:5" x14ac:dyDescent="0.2">
      <c r="A359" s="24">
        <v>5861</v>
      </c>
      <c r="B359" s="29">
        <v>1</v>
      </c>
      <c r="C359" s="9">
        <v>1</v>
      </c>
      <c r="D359" s="9">
        <v>1</v>
      </c>
      <c r="E359" s="30">
        <v>0</v>
      </c>
    </row>
    <row r="360" spans="1:5" x14ac:dyDescent="0.2">
      <c r="A360" s="24">
        <v>5862</v>
      </c>
      <c r="B360" s="29">
        <v>1</v>
      </c>
      <c r="C360" s="9">
        <v>1</v>
      </c>
      <c r="D360" s="9">
        <v>1</v>
      </c>
      <c r="E360" s="30">
        <v>0</v>
      </c>
    </row>
    <row r="361" spans="1:5" x14ac:dyDescent="0.2">
      <c r="A361" s="24">
        <v>5865</v>
      </c>
      <c r="B361" s="29">
        <v>1</v>
      </c>
      <c r="C361" s="9">
        <v>1</v>
      </c>
      <c r="D361" s="9">
        <v>1</v>
      </c>
      <c r="E361" s="30">
        <v>0</v>
      </c>
    </row>
    <row r="362" spans="1:5" x14ac:dyDescent="0.2">
      <c r="A362" s="24">
        <v>5867</v>
      </c>
      <c r="B362" s="29">
        <v>1</v>
      </c>
      <c r="C362" s="9">
        <v>1</v>
      </c>
      <c r="D362" s="9">
        <v>1</v>
      </c>
      <c r="E362" s="30">
        <v>0</v>
      </c>
    </row>
    <row r="363" spans="1:5" x14ac:dyDescent="0.2">
      <c r="A363" s="24">
        <v>5870</v>
      </c>
      <c r="B363" s="29">
        <v>1</v>
      </c>
      <c r="C363" s="9">
        <v>1</v>
      </c>
      <c r="D363" s="9">
        <v>1</v>
      </c>
      <c r="E363" s="30">
        <v>0</v>
      </c>
    </row>
    <row r="364" spans="1:5" x14ac:dyDescent="0.2">
      <c r="A364" s="24">
        <v>5874</v>
      </c>
      <c r="B364" s="29">
        <v>2.2000000000000002</v>
      </c>
      <c r="C364" s="9">
        <v>2.2000000000000002</v>
      </c>
      <c r="D364" s="9">
        <v>1</v>
      </c>
      <c r="E364" s="30">
        <v>0</v>
      </c>
    </row>
    <row r="365" spans="1:5" x14ac:dyDescent="0.2">
      <c r="A365" s="24">
        <v>5882</v>
      </c>
      <c r="B365" s="29">
        <v>2.2000000000000002</v>
      </c>
      <c r="C365" s="9">
        <v>2.2000000000000002</v>
      </c>
      <c r="D365" s="9">
        <v>1</v>
      </c>
      <c r="E365" s="30">
        <v>0</v>
      </c>
    </row>
    <row r="366" spans="1:5" x14ac:dyDescent="0.2">
      <c r="A366" s="24">
        <v>5894</v>
      </c>
      <c r="B366" s="29">
        <v>1</v>
      </c>
      <c r="C366" s="9">
        <v>1</v>
      </c>
      <c r="D366" s="9">
        <v>1</v>
      </c>
      <c r="E366" s="30">
        <v>0</v>
      </c>
    </row>
    <row r="367" spans="1:5" x14ac:dyDescent="0.2">
      <c r="A367" s="24">
        <v>5904</v>
      </c>
      <c r="B367" s="29">
        <v>3</v>
      </c>
      <c r="C367" s="9">
        <v>3</v>
      </c>
      <c r="D367" s="9">
        <v>3</v>
      </c>
      <c r="E367" s="30">
        <v>81</v>
      </c>
    </row>
    <row r="368" spans="1:5" x14ac:dyDescent="0.2">
      <c r="A368" s="24">
        <v>5922</v>
      </c>
      <c r="B368" s="29">
        <v>1</v>
      </c>
      <c r="C368" s="9">
        <v>1</v>
      </c>
      <c r="D368" s="9">
        <v>1</v>
      </c>
      <c r="E368" s="30">
        <v>0</v>
      </c>
    </row>
    <row r="369" spans="1:5" x14ac:dyDescent="0.2">
      <c r="A369" s="24">
        <v>5923</v>
      </c>
      <c r="B369" s="29">
        <v>1</v>
      </c>
      <c r="C369" s="9">
        <v>1</v>
      </c>
      <c r="D369" s="9">
        <v>1</v>
      </c>
      <c r="E369" s="30">
        <v>0</v>
      </c>
    </row>
    <row r="370" spans="1:5" x14ac:dyDescent="0.2">
      <c r="A370" s="24">
        <v>5928</v>
      </c>
      <c r="B370" s="29">
        <v>1.1000000000000001</v>
      </c>
      <c r="C370" s="9">
        <v>1.1000000000000001</v>
      </c>
      <c r="D370" s="9">
        <v>1</v>
      </c>
      <c r="E370" s="30">
        <v>2</v>
      </c>
    </row>
    <row r="371" spans="1:5" x14ac:dyDescent="0.2">
      <c r="A371" s="24">
        <v>5932</v>
      </c>
      <c r="B371" s="29">
        <v>2.2999999999999998</v>
      </c>
      <c r="C371" s="9">
        <v>2.2999999999999998</v>
      </c>
      <c r="D371" s="9">
        <v>1</v>
      </c>
      <c r="E371" s="30">
        <v>0</v>
      </c>
    </row>
    <row r="372" spans="1:5" x14ac:dyDescent="0.2">
      <c r="A372" s="24">
        <v>5942</v>
      </c>
      <c r="B372" s="29">
        <v>4.2</v>
      </c>
      <c r="C372" s="9">
        <v>4.2</v>
      </c>
      <c r="D372" s="9">
        <v>3</v>
      </c>
      <c r="E372" s="30">
        <v>1192</v>
      </c>
    </row>
    <row r="373" spans="1:5" x14ac:dyDescent="0.2">
      <c r="A373" s="24">
        <v>5943</v>
      </c>
      <c r="B373" s="29">
        <v>5</v>
      </c>
      <c r="C373" s="9">
        <v>5</v>
      </c>
      <c r="D373" s="9">
        <v>3</v>
      </c>
      <c r="E373" s="30">
        <v>974</v>
      </c>
    </row>
    <row r="374" spans="1:5" x14ac:dyDescent="0.2">
      <c r="A374" s="24">
        <v>5946</v>
      </c>
      <c r="B374" s="29">
        <v>2.1</v>
      </c>
      <c r="C374" s="9">
        <v>2.1</v>
      </c>
      <c r="D374" s="9">
        <v>1</v>
      </c>
      <c r="E374" s="30">
        <v>0</v>
      </c>
    </row>
    <row r="375" spans="1:5" x14ac:dyDescent="0.2">
      <c r="A375" s="24">
        <v>5958</v>
      </c>
      <c r="B375" s="29">
        <v>2.2000000000000002</v>
      </c>
      <c r="C375" s="9">
        <v>2.2000000000000002</v>
      </c>
      <c r="D375" s="9">
        <v>1</v>
      </c>
      <c r="E375" s="30">
        <v>0</v>
      </c>
    </row>
    <row r="376" spans="1:5" x14ac:dyDescent="0.2">
      <c r="A376" s="24">
        <v>5959</v>
      </c>
      <c r="B376" s="29">
        <v>1</v>
      </c>
      <c r="C376" s="9">
        <v>1</v>
      </c>
      <c r="D376" s="9">
        <v>1</v>
      </c>
      <c r="E376" s="30">
        <v>0</v>
      </c>
    </row>
    <row r="377" spans="1:5" x14ac:dyDescent="0.2">
      <c r="A377" s="24">
        <v>5960</v>
      </c>
      <c r="B377" s="29">
        <v>1</v>
      </c>
      <c r="C377" s="9">
        <v>1</v>
      </c>
      <c r="D377" s="9">
        <v>1</v>
      </c>
      <c r="E377" s="30">
        <v>0</v>
      </c>
    </row>
    <row r="378" spans="1:5" x14ac:dyDescent="0.2">
      <c r="A378" s="24">
        <v>5965</v>
      </c>
      <c r="B378" s="29">
        <v>1</v>
      </c>
      <c r="C378" s="9">
        <v>1</v>
      </c>
      <c r="D378" s="9">
        <v>1</v>
      </c>
      <c r="E378" s="30">
        <v>0</v>
      </c>
    </row>
    <row r="379" spans="1:5" x14ac:dyDescent="0.2">
      <c r="A379" s="24">
        <v>5976</v>
      </c>
      <c r="B379" s="29">
        <v>1</v>
      </c>
      <c r="C379" s="9">
        <v>1</v>
      </c>
      <c r="D379" s="9">
        <v>1</v>
      </c>
      <c r="E379" s="30">
        <v>0</v>
      </c>
    </row>
    <row r="380" spans="1:5" x14ac:dyDescent="0.2">
      <c r="A380" s="24">
        <v>5981</v>
      </c>
      <c r="B380" s="29">
        <v>5</v>
      </c>
      <c r="C380" s="9">
        <v>5</v>
      </c>
      <c r="D380" s="9">
        <v>3</v>
      </c>
      <c r="E380" s="30">
        <v>100</v>
      </c>
    </row>
    <row r="381" spans="1:5" x14ac:dyDescent="0.2">
      <c r="A381" s="24">
        <v>5983</v>
      </c>
      <c r="B381" s="29">
        <v>1</v>
      </c>
      <c r="C381" s="9">
        <v>1</v>
      </c>
      <c r="D381" s="9">
        <v>1</v>
      </c>
      <c r="E381" s="30">
        <v>0</v>
      </c>
    </row>
    <row r="382" spans="1:5" x14ac:dyDescent="0.2">
      <c r="A382" s="24">
        <v>6000</v>
      </c>
      <c r="B382" s="29">
        <v>1</v>
      </c>
      <c r="C382" s="9">
        <v>1</v>
      </c>
      <c r="D382" s="9">
        <v>1</v>
      </c>
      <c r="E382" s="30">
        <v>0</v>
      </c>
    </row>
    <row r="383" spans="1:5" x14ac:dyDescent="0.2">
      <c r="A383" s="24">
        <v>6010</v>
      </c>
      <c r="B383" s="29">
        <v>5</v>
      </c>
      <c r="C383" s="9">
        <v>5</v>
      </c>
      <c r="D383" s="9">
        <v>3</v>
      </c>
      <c r="E383" s="30">
        <v>995</v>
      </c>
    </row>
    <row r="384" spans="1:5" x14ac:dyDescent="0.2">
      <c r="A384" s="24">
        <v>6012</v>
      </c>
      <c r="B384" s="29">
        <v>1</v>
      </c>
      <c r="C384" s="9">
        <v>1</v>
      </c>
      <c r="D384" s="9">
        <v>1</v>
      </c>
      <c r="E384" s="30">
        <v>0</v>
      </c>
    </row>
    <row r="385" spans="1:5" x14ac:dyDescent="0.2">
      <c r="A385" s="24">
        <v>6013</v>
      </c>
      <c r="B385" s="29">
        <v>1</v>
      </c>
      <c r="C385" s="9">
        <v>1</v>
      </c>
      <c r="D385" s="9">
        <v>1</v>
      </c>
      <c r="E385" s="30">
        <v>0</v>
      </c>
    </row>
    <row r="386" spans="1:5" x14ac:dyDescent="0.2">
      <c r="A386" s="24">
        <v>6020</v>
      </c>
      <c r="B386" s="29">
        <v>1</v>
      </c>
      <c r="C386" s="9">
        <v>1</v>
      </c>
      <c r="D386" s="9">
        <v>1</v>
      </c>
      <c r="E386" s="30">
        <v>0</v>
      </c>
    </row>
    <row r="387" spans="1:5" x14ac:dyDescent="0.2">
      <c r="A387" s="24">
        <v>6026</v>
      </c>
      <c r="B387" s="29">
        <v>1</v>
      </c>
      <c r="C387" s="9">
        <v>1</v>
      </c>
      <c r="D387" s="9">
        <v>1</v>
      </c>
      <c r="E387" s="30">
        <v>0</v>
      </c>
    </row>
    <row r="388" spans="1:5" x14ac:dyDescent="0.2">
      <c r="A388" s="24">
        <v>6038</v>
      </c>
      <c r="B388" s="29">
        <v>1</v>
      </c>
      <c r="C388" s="9">
        <v>1</v>
      </c>
      <c r="D388" s="9">
        <v>1</v>
      </c>
      <c r="E388" s="30">
        <v>0</v>
      </c>
    </row>
    <row r="389" spans="1:5" x14ac:dyDescent="0.2">
      <c r="A389" s="24">
        <v>6041</v>
      </c>
      <c r="B389" s="29">
        <v>1</v>
      </c>
      <c r="C389" s="9">
        <v>1</v>
      </c>
      <c r="D389" s="9">
        <v>1</v>
      </c>
      <c r="E389" s="30">
        <v>0</v>
      </c>
    </row>
    <row r="390" spans="1:5" x14ac:dyDescent="0.2">
      <c r="A390" s="24">
        <v>6042</v>
      </c>
      <c r="B390" s="29">
        <v>1</v>
      </c>
      <c r="C390" s="9">
        <v>1</v>
      </c>
      <c r="D390" s="9">
        <v>1</v>
      </c>
      <c r="E390" s="30">
        <v>0</v>
      </c>
    </row>
    <row r="391" spans="1:5" x14ac:dyDescent="0.2">
      <c r="A391" s="24">
        <v>6046</v>
      </c>
      <c r="B391" s="29">
        <v>1</v>
      </c>
      <c r="C391" s="9">
        <v>1</v>
      </c>
      <c r="D391" s="9">
        <v>1</v>
      </c>
      <c r="E391" s="30">
        <v>0</v>
      </c>
    </row>
    <row r="392" spans="1:5" x14ac:dyDescent="0.2">
      <c r="A392" s="24">
        <v>6052</v>
      </c>
      <c r="B392" s="29">
        <v>2.1</v>
      </c>
      <c r="C392" s="9">
        <v>2.1</v>
      </c>
      <c r="D392" s="9">
        <v>1</v>
      </c>
      <c r="E392" s="30">
        <v>0</v>
      </c>
    </row>
    <row r="393" spans="1:5" x14ac:dyDescent="0.2">
      <c r="A393" s="24">
        <v>6055</v>
      </c>
      <c r="B393" s="29">
        <v>1</v>
      </c>
      <c r="C393" s="9">
        <v>1</v>
      </c>
      <c r="D393" s="9">
        <v>1</v>
      </c>
      <c r="E393" s="30">
        <v>0</v>
      </c>
    </row>
    <row r="394" spans="1:5" x14ac:dyDescent="0.2">
      <c r="A394" s="24">
        <v>6068</v>
      </c>
      <c r="B394" s="29">
        <v>1</v>
      </c>
      <c r="C394" s="9">
        <v>1</v>
      </c>
      <c r="D394" s="9">
        <v>1</v>
      </c>
      <c r="E394" s="30">
        <v>0</v>
      </c>
    </row>
    <row r="395" spans="1:5" x14ac:dyDescent="0.2">
      <c r="A395" s="24">
        <v>6076</v>
      </c>
      <c r="B395" s="29">
        <v>1</v>
      </c>
      <c r="C395" s="9">
        <v>1</v>
      </c>
      <c r="D395" s="9">
        <v>1</v>
      </c>
      <c r="E395" s="30">
        <v>0</v>
      </c>
    </row>
    <row r="396" spans="1:5" x14ac:dyDescent="0.2">
      <c r="A396" s="24">
        <v>6078</v>
      </c>
      <c r="B396" s="29">
        <v>2.1</v>
      </c>
      <c r="C396" s="9">
        <v>2.1</v>
      </c>
      <c r="D396" s="9">
        <v>1</v>
      </c>
      <c r="E396" s="30">
        <v>0</v>
      </c>
    </row>
    <row r="397" spans="1:5" x14ac:dyDescent="0.2">
      <c r="A397" s="24">
        <v>6088</v>
      </c>
      <c r="B397" s="29">
        <v>1</v>
      </c>
      <c r="C397" s="9">
        <v>1</v>
      </c>
      <c r="D397" s="9">
        <v>1</v>
      </c>
      <c r="E397" s="30">
        <v>0</v>
      </c>
    </row>
    <row r="398" spans="1:5" x14ac:dyDescent="0.2">
      <c r="A398" s="24">
        <v>6091</v>
      </c>
      <c r="B398" s="29">
        <v>1</v>
      </c>
      <c r="C398" s="9">
        <v>1</v>
      </c>
      <c r="D398" s="9">
        <v>1</v>
      </c>
      <c r="E398" s="30">
        <v>1</v>
      </c>
    </row>
    <row r="399" spans="1:5" x14ac:dyDescent="0.2">
      <c r="A399" s="24">
        <v>6098</v>
      </c>
      <c r="B399" s="29">
        <v>1</v>
      </c>
      <c r="C399" s="9">
        <v>1</v>
      </c>
      <c r="D399" s="9">
        <v>1</v>
      </c>
      <c r="E399" s="30">
        <v>0</v>
      </c>
    </row>
    <row r="400" spans="1:5" x14ac:dyDescent="0.2">
      <c r="A400" s="24">
        <v>6099</v>
      </c>
      <c r="B400" s="29">
        <v>4.0999999999999996</v>
      </c>
      <c r="C400" s="9">
        <v>4.0999999999999996</v>
      </c>
      <c r="D400" s="9">
        <v>3</v>
      </c>
      <c r="E400" s="30">
        <v>367</v>
      </c>
    </row>
    <row r="401" spans="1:5" x14ac:dyDescent="0.2">
      <c r="A401" s="24">
        <v>6105</v>
      </c>
      <c r="B401" s="29">
        <v>4.0999999999999996</v>
      </c>
      <c r="C401" s="9">
        <v>4.0999999999999996</v>
      </c>
      <c r="D401" s="9">
        <v>3</v>
      </c>
      <c r="E401" s="30">
        <v>809</v>
      </c>
    </row>
    <row r="402" spans="1:5" x14ac:dyDescent="0.2">
      <c r="A402" s="24">
        <v>6112</v>
      </c>
      <c r="B402" s="29">
        <v>1</v>
      </c>
      <c r="C402" s="9">
        <v>1</v>
      </c>
      <c r="D402" s="9">
        <v>1</v>
      </c>
      <c r="E402" s="30">
        <v>0</v>
      </c>
    </row>
    <row r="403" spans="1:5" x14ac:dyDescent="0.2">
      <c r="A403" s="24">
        <v>6124</v>
      </c>
      <c r="B403" s="29">
        <v>4.2</v>
      </c>
      <c r="C403" s="9">
        <v>4.2</v>
      </c>
      <c r="D403" s="9">
        <v>3</v>
      </c>
      <c r="E403" s="30">
        <v>246</v>
      </c>
    </row>
    <row r="404" spans="1:5" x14ac:dyDescent="0.2">
      <c r="A404" s="24">
        <v>6125</v>
      </c>
      <c r="B404" s="29">
        <v>1</v>
      </c>
      <c r="C404" s="9">
        <v>1</v>
      </c>
      <c r="D404" s="9">
        <v>1</v>
      </c>
      <c r="E404" s="30">
        <v>0</v>
      </c>
    </row>
    <row r="405" spans="1:5" x14ac:dyDescent="0.2">
      <c r="A405" s="24">
        <v>6131</v>
      </c>
      <c r="B405" s="29">
        <v>1.1000000000000001</v>
      </c>
      <c r="C405" s="9">
        <v>1.1000000000000001</v>
      </c>
      <c r="D405" s="9">
        <v>1</v>
      </c>
      <c r="E405" s="30">
        <v>0</v>
      </c>
    </row>
    <row r="406" spans="1:5" x14ac:dyDescent="0.2">
      <c r="A406" s="24">
        <v>6132</v>
      </c>
      <c r="B406" s="29">
        <v>1</v>
      </c>
      <c r="C406" s="9">
        <v>1</v>
      </c>
      <c r="D406" s="9">
        <v>1</v>
      </c>
      <c r="E406" s="30">
        <v>0</v>
      </c>
    </row>
    <row r="407" spans="1:5" x14ac:dyDescent="0.2">
      <c r="A407" s="24">
        <v>6133</v>
      </c>
      <c r="B407" s="29">
        <v>1</v>
      </c>
      <c r="C407" s="9">
        <v>1</v>
      </c>
      <c r="D407" s="9">
        <v>1</v>
      </c>
      <c r="E407" s="30">
        <v>0</v>
      </c>
    </row>
    <row r="408" spans="1:5" x14ac:dyDescent="0.2">
      <c r="A408" s="24">
        <v>6135</v>
      </c>
      <c r="B408" s="29">
        <v>4.2</v>
      </c>
      <c r="C408" s="9">
        <v>4.2</v>
      </c>
      <c r="D408" s="9">
        <v>3</v>
      </c>
      <c r="E408" s="30">
        <v>194</v>
      </c>
    </row>
    <row r="409" spans="1:5" x14ac:dyDescent="0.2">
      <c r="A409" s="24">
        <v>6142</v>
      </c>
      <c r="B409" s="29">
        <v>4.2</v>
      </c>
      <c r="C409" s="9">
        <v>4.2</v>
      </c>
      <c r="D409" s="9">
        <v>3</v>
      </c>
      <c r="E409" s="30">
        <v>697</v>
      </c>
    </row>
    <row r="410" spans="1:5" x14ac:dyDescent="0.2">
      <c r="A410" s="24">
        <v>6144</v>
      </c>
      <c r="B410" s="29">
        <v>1</v>
      </c>
      <c r="C410" s="9">
        <v>1</v>
      </c>
      <c r="D410" s="9">
        <v>1</v>
      </c>
      <c r="E410" s="30">
        <v>0</v>
      </c>
    </row>
    <row r="411" spans="1:5" x14ac:dyDescent="0.2">
      <c r="A411" s="24">
        <v>6160</v>
      </c>
      <c r="B411" s="29">
        <v>1</v>
      </c>
      <c r="C411" s="9">
        <v>1</v>
      </c>
      <c r="D411" s="9">
        <v>1</v>
      </c>
      <c r="E411" s="30">
        <v>0</v>
      </c>
    </row>
    <row r="412" spans="1:5" x14ac:dyDescent="0.2">
      <c r="A412" s="24">
        <v>6202</v>
      </c>
      <c r="B412" s="29">
        <v>2.1</v>
      </c>
      <c r="C412" s="9">
        <v>2.1</v>
      </c>
      <c r="D412" s="9">
        <v>1</v>
      </c>
      <c r="E412" s="30">
        <v>0</v>
      </c>
    </row>
    <row r="413" spans="1:5" x14ac:dyDescent="0.2">
      <c r="A413" s="24">
        <v>6205</v>
      </c>
      <c r="B413" s="29">
        <v>1</v>
      </c>
      <c r="C413" s="9">
        <v>1</v>
      </c>
      <c r="D413" s="9">
        <v>1</v>
      </c>
      <c r="E413" s="30">
        <v>1</v>
      </c>
    </row>
    <row r="414" spans="1:5" x14ac:dyDescent="0.2">
      <c r="A414" s="24">
        <v>6210</v>
      </c>
      <c r="B414" s="29">
        <v>1</v>
      </c>
      <c r="C414" s="9">
        <v>1</v>
      </c>
      <c r="D414" s="9">
        <v>1</v>
      </c>
      <c r="E414" s="30">
        <v>0</v>
      </c>
    </row>
    <row r="415" spans="1:5" x14ac:dyDescent="0.2">
      <c r="A415" s="24">
        <v>6214</v>
      </c>
      <c r="B415" s="29">
        <v>1</v>
      </c>
      <c r="C415" s="9">
        <v>1</v>
      </c>
      <c r="D415" s="9">
        <v>1</v>
      </c>
      <c r="E415" s="30">
        <v>0</v>
      </c>
    </row>
    <row r="416" spans="1:5" x14ac:dyDescent="0.2">
      <c r="A416" s="24">
        <v>6216</v>
      </c>
      <c r="B416" s="29">
        <v>3</v>
      </c>
      <c r="C416" s="9">
        <v>3</v>
      </c>
      <c r="D416" s="9">
        <v>3</v>
      </c>
      <c r="E416" s="30">
        <v>148</v>
      </c>
    </row>
    <row r="417" spans="1:5" x14ac:dyDescent="0.2">
      <c r="A417" s="24">
        <v>6222</v>
      </c>
      <c r="B417" s="29">
        <v>1</v>
      </c>
      <c r="C417" s="9">
        <v>1</v>
      </c>
      <c r="D417" s="9">
        <v>1</v>
      </c>
      <c r="E417" s="30">
        <v>0</v>
      </c>
    </row>
    <row r="418" spans="1:5" x14ac:dyDescent="0.2">
      <c r="A418" s="24">
        <v>6223</v>
      </c>
      <c r="B418" s="29">
        <v>1</v>
      </c>
      <c r="C418" s="9">
        <v>1</v>
      </c>
      <c r="D418" s="9">
        <v>1</v>
      </c>
      <c r="E418" s="30">
        <v>0</v>
      </c>
    </row>
    <row r="419" spans="1:5" x14ac:dyDescent="0.2">
      <c r="A419" s="24">
        <v>6224</v>
      </c>
      <c r="B419" s="29">
        <v>2.2000000000000002</v>
      </c>
      <c r="C419" s="9">
        <v>2.2000000000000002</v>
      </c>
      <c r="D419" s="9">
        <v>1</v>
      </c>
      <c r="E419" s="30">
        <v>0</v>
      </c>
    </row>
    <row r="420" spans="1:5" x14ac:dyDescent="0.2">
      <c r="A420" s="24">
        <v>6226</v>
      </c>
      <c r="B420" s="29">
        <v>1</v>
      </c>
      <c r="C420" s="9">
        <v>1</v>
      </c>
      <c r="D420" s="9">
        <v>1</v>
      </c>
      <c r="E420" s="30">
        <v>0</v>
      </c>
    </row>
    <row r="421" spans="1:5" x14ac:dyDescent="0.2">
      <c r="A421" s="24">
        <v>6228</v>
      </c>
      <c r="B421" s="29">
        <v>1</v>
      </c>
      <c r="C421" s="9">
        <v>1</v>
      </c>
      <c r="D421" s="9">
        <v>1</v>
      </c>
      <c r="E421" s="30">
        <v>0</v>
      </c>
    </row>
    <row r="422" spans="1:5" x14ac:dyDescent="0.2">
      <c r="A422" s="24">
        <v>6241</v>
      </c>
      <c r="B422" s="29">
        <v>1</v>
      </c>
      <c r="C422" s="9">
        <v>1</v>
      </c>
      <c r="D422" s="9">
        <v>1</v>
      </c>
      <c r="E422" s="30">
        <v>0</v>
      </c>
    </row>
    <row r="423" spans="1:5" x14ac:dyDescent="0.2">
      <c r="A423" s="24">
        <v>6244</v>
      </c>
      <c r="B423" s="29">
        <v>1</v>
      </c>
      <c r="C423" s="9">
        <v>1</v>
      </c>
      <c r="D423" s="9">
        <v>1</v>
      </c>
      <c r="E423" s="30">
        <v>0</v>
      </c>
    </row>
    <row r="424" spans="1:5" x14ac:dyDescent="0.2">
      <c r="A424" s="24">
        <v>6268</v>
      </c>
      <c r="B424" s="29">
        <v>1</v>
      </c>
      <c r="C424" s="9">
        <v>1</v>
      </c>
      <c r="D424" s="9">
        <v>1</v>
      </c>
      <c r="E424" s="30">
        <v>0</v>
      </c>
    </row>
    <row r="425" spans="1:5" x14ac:dyDescent="0.2">
      <c r="A425" s="24">
        <v>6292</v>
      </c>
      <c r="B425" s="29">
        <v>5</v>
      </c>
      <c r="C425" s="9">
        <v>5</v>
      </c>
      <c r="D425" s="9">
        <v>3</v>
      </c>
      <c r="E425" s="30">
        <v>628</v>
      </c>
    </row>
    <row r="426" spans="1:5" x14ac:dyDescent="0.2">
      <c r="A426" s="24">
        <v>6311</v>
      </c>
      <c r="B426" s="29">
        <v>4</v>
      </c>
      <c r="C426" s="9">
        <v>4</v>
      </c>
      <c r="D426" s="9">
        <v>3</v>
      </c>
      <c r="E426" s="30">
        <v>793</v>
      </c>
    </row>
    <row r="427" spans="1:5" x14ac:dyDescent="0.2">
      <c r="A427" s="24">
        <v>6312</v>
      </c>
      <c r="B427" s="29">
        <v>4</v>
      </c>
      <c r="C427" s="9">
        <v>4</v>
      </c>
      <c r="D427" s="9">
        <v>3</v>
      </c>
      <c r="E427" s="30">
        <v>793</v>
      </c>
    </row>
    <row r="428" spans="1:5" x14ac:dyDescent="0.2">
      <c r="A428" s="24">
        <v>6315</v>
      </c>
      <c r="B428" s="29">
        <v>1</v>
      </c>
      <c r="C428" s="9">
        <v>2</v>
      </c>
      <c r="D428" s="9">
        <v>2</v>
      </c>
      <c r="E428" s="30">
        <v>0</v>
      </c>
    </row>
    <row r="429" spans="1:5" x14ac:dyDescent="0.2">
      <c r="A429" s="24">
        <v>6322</v>
      </c>
      <c r="B429" s="29">
        <v>1</v>
      </c>
      <c r="C429" s="9">
        <v>1</v>
      </c>
      <c r="D429" s="9">
        <v>1</v>
      </c>
      <c r="E429" s="30">
        <v>1</v>
      </c>
    </row>
    <row r="430" spans="1:5" x14ac:dyDescent="0.2">
      <c r="A430" s="24">
        <v>6329</v>
      </c>
      <c r="B430" s="29">
        <v>1</v>
      </c>
      <c r="C430" s="9">
        <v>1</v>
      </c>
      <c r="D430" s="9">
        <v>1</v>
      </c>
      <c r="E430" s="30">
        <v>0</v>
      </c>
    </row>
    <row r="431" spans="1:5" x14ac:dyDescent="0.2">
      <c r="A431" s="24">
        <v>6345</v>
      </c>
      <c r="B431" s="29">
        <v>1</v>
      </c>
      <c r="C431" s="9">
        <v>1</v>
      </c>
      <c r="D431" s="9">
        <v>1</v>
      </c>
      <c r="E431" s="30">
        <v>0</v>
      </c>
    </row>
    <row r="432" spans="1:5" x14ac:dyDescent="0.2">
      <c r="A432" s="24">
        <v>6353</v>
      </c>
      <c r="B432" s="29">
        <v>1</v>
      </c>
      <c r="C432" s="9">
        <v>1</v>
      </c>
      <c r="D432" s="9">
        <v>1</v>
      </c>
      <c r="E432" s="30">
        <v>0</v>
      </c>
    </row>
    <row r="433" spans="1:5" x14ac:dyDescent="0.2">
      <c r="A433" s="24">
        <v>6354</v>
      </c>
      <c r="B433" s="29">
        <v>1</v>
      </c>
      <c r="C433" s="9">
        <v>1</v>
      </c>
      <c r="D433" s="9">
        <v>1</v>
      </c>
      <c r="E433" s="30">
        <v>0</v>
      </c>
    </row>
    <row r="434" spans="1:5" x14ac:dyDescent="0.2">
      <c r="A434" s="24">
        <v>6356</v>
      </c>
      <c r="B434" s="29">
        <v>1</v>
      </c>
      <c r="C434" s="9">
        <v>1</v>
      </c>
      <c r="D434" s="9">
        <v>1</v>
      </c>
      <c r="E434" s="30">
        <v>0</v>
      </c>
    </row>
    <row r="435" spans="1:5" x14ac:dyDescent="0.2">
      <c r="A435" s="24">
        <v>6357</v>
      </c>
      <c r="B435" s="29">
        <v>1</v>
      </c>
      <c r="C435" s="9">
        <v>1</v>
      </c>
      <c r="D435" s="9">
        <v>1</v>
      </c>
      <c r="E435" s="30">
        <v>0</v>
      </c>
    </row>
    <row r="436" spans="1:5" x14ac:dyDescent="0.2">
      <c r="A436" s="24">
        <v>6359</v>
      </c>
      <c r="B436" s="29">
        <v>1</v>
      </c>
      <c r="C436" s="9">
        <v>1</v>
      </c>
      <c r="D436" s="9">
        <v>1</v>
      </c>
      <c r="E436" s="30">
        <v>0</v>
      </c>
    </row>
    <row r="437" spans="1:5" x14ac:dyDescent="0.2">
      <c r="A437" s="24">
        <v>6364</v>
      </c>
      <c r="B437" s="29">
        <v>4</v>
      </c>
      <c r="C437" s="9">
        <v>4</v>
      </c>
      <c r="D437" s="9">
        <v>3</v>
      </c>
      <c r="E437" s="30">
        <v>1645</v>
      </c>
    </row>
    <row r="438" spans="1:5" x14ac:dyDescent="0.2">
      <c r="A438" s="24">
        <v>6370</v>
      </c>
      <c r="B438" s="29">
        <v>1</v>
      </c>
      <c r="C438" s="9">
        <v>1</v>
      </c>
      <c r="D438" s="9">
        <v>1</v>
      </c>
      <c r="E438" s="30">
        <v>0</v>
      </c>
    </row>
    <row r="439" spans="1:5" x14ac:dyDescent="0.2">
      <c r="A439" s="24">
        <v>6372</v>
      </c>
      <c r="B439" s="29">
        <v>2.2000000000000002</v>
      </c>
      <c r="C439" s="9">
        <v>2.2000000000000002</v>
      </c>
      <c r="D439" s="9">
        <v>1</v>
      </c>
      <c r="E439" s="30">
        <v>0</v>
      </c>
    </row>
    <row r="440" spans="1:5" x14ac:dyDescent="0.2">
      <c r="A440" s="24">
        <v>6383</v>
      </c>
      <c r="B440" s="29">
        <v>2.2000000000000002</v>
      </c>
      <c r="C440" s="9">
        <v>2.2000000000000002</v>
      </c>
      <c r="D440" s="9">
        <v>1</v>
      </c>
      <c r="E440" s="30">
        <v>0</v>
      </c>
    </row>
    <row r="441" spans="1:5" x14ac:dyDescent="0.2">
      <c r="A441" s="24">
        <v>6393</v>
      </c>
      <c r="B441" s="29">
        <v>2.2000000000000002</v>
      </c>
      <c r="C441" s="9">
        <v>2.2000000000000002</v>
      </c>
      <c r="D441" s="9">
        <v>1</v>
      </c>
      <c r="E441" s="30">
        <v>0</v>
      </c>
    </row>
    <row r="442" spans="1:5" x14ac:dyDescent="0.2">
      <c r="A442" s="24">
        <v>6395</v>
      </c>
      <c r="B442" s="29">
        <v>2.1</v>
      </c>
      <c r="C442" s="9">
        <v>2.1</v>
      </c>
      <c r="D442" s="9">
        <v>1</v>
      </c>
      <c r="E442" s="30">
        <v>0</v>
      </c>
    </row>
    <row r="443" spans="1:5" x14ac:dyDescent="0.2">
      <c r="A443" s="24">
        <v>6396</v>
      </c>
      <c r="B443" s="29">
        <v>1</v>
      </c>
      <c r="C443" s="9">
        <v>1</v>
      </c>
      <c r="D443" s="9">
        <v>1</v>
      </c>
      <c r="E443" s="30">
        <v>0</v>
      </c>
    </row>
    <row r="444" spans="1:5" x14ac:dyDescent="0.2">
      <c r="A444" s="24">
        <v>6413</v>
      </c>
      <c r="B444" s="29">
        <v>5</v>
      </c>
      <c r="C444" s="9">
        <v>5</v>
      </c>
      <c r="D444" s="9">
        <v>3</v>
      </c>
      <c r="E444" s="30">
        <v>732</v>
      </c>
    </row>
    <row r="445" spans="1:5" x14ac:dyDescent="0.2">
      <c r="A445" s="24">
        <v>6414</v>
      </c>
      <c r="B445" s="29">
        <v>5</v>
      </c>
      <c r="C445" s="9">
        <v>5</v>
      </c>
      <c r="D445" s="9">
        <v>3</v>
      </c>
      <c r="E445" s="30">
        <v>732</v>
      </c>
    </row>
    <row r="446" spans="1:5" x14ac:dyDescent="0.2">
      <c r="A446" s="24">
        <v>6415</v>
      </c>
      <c r="B446" s="29">
        <v>5</v>
      </c>
      <c r="C446" s="9">
        <v>5</v>
      </c>
      <c r="D446" s="9">
        <v>3</v>
      </c>
      <c r="E446" s="30">
        <v>740</v>
      </c>
    </row>
    <row r="447" spans="1:5" x14ac:dyDescent="0.2">
      <c r="A447" s="24">
        <v>6416</v>
      </c>
      <c r="B447" s="29">
        <v>1</v>
      </c>
      <c r="C447" s="9">
        <v>1</v>
      </c>
      <c r="D447" s="9">
        <v>1</v>
      </c>
      <c r="E447" s="30">
        <v>0</v>
      </c>
    </row>
    <row r="448" spans="1:5" x14ac:dyDescent="0.2">
      <c r="A448" s="24">
        <v>6420</v>
      </c>
      <c r="B448" s="29">
        <v>1</v>
      </c>
      <c r="C448" s="9">
        <v>1</v>
      </c>
      <c r="D448" s="9">
        <v>1</v>
      </c>
      <c r="E448" s="30">
        <v>0</v>
      </c>
    </row>
    <row r="449" spans="1:5" x14ac:dyDescent="0.2">
      <c r="A449" s="24">
        <v>6427</v>
      </c>
      <c r="B449" s="29">
        <v>1</v>
      </c>
      <c r="C449" s="9">
        <v>1</v>
      </c>
      <c r="D449" s="9">
        <v>1</v>
      </c>
      <c r="E449" s="30">
        <v>0</v>
      </c>
    </row>
    <row r="450" spans="1:5" x14ac:dyDescent="0.2">
      <c r="A450" s="24">
        <v>6449</v>
      </c>
      <c r="B450" s="29">
        <v>1</v>
      </c>
      <c r="C450" s="9">
        <v>1</v>
      </c>
      <c r="D450" s="9">
        <v>1</v>
      </c>
      <c r="E450" s="30">
        <v>0</v>
      </c>
    </row>
    <row r="451" spans="1:5" x14ac:dyDescent="0.2">
      <c r="A451" s="24">
        <v>6450</v>
      </c>
      <c r="B451" s="29">
        <v>1</v>
      </c>
      <c r="C451" s="9">
        <v>1</v>
      </c>
      <c r="D451" s="9">
        <v>1</v>
      </c>
      <c r="E451" s="30">
        <v>0</v>
      </c>
    </row>
    <row r="452" spans="1:5" x14ac:dyDescent="0.2">
      <c r="A452" s="24">
        <v>6451</v>
      </c>
      <c r="B452" s="29">
        <v>1</v>
      </c>
      <c r="C452" s="9">
        <v>1</v>
      </c>
      <c r="D452" s="9">
        <v>1</v>
      </c>
      <c r="E452" s="30">
        <v>0</v>
      </c>
    </row>
    <row r="453" spans="1:5" x14ac:dyDescent="0.2">
      <c r="A453" s="24">
        <v>6461</v>
      </c>
      <c r="B453" s="29">
        <v>1</v>
      </c>
      <c r="C453" s="9">
        <v>1</v>
      </c>
      <c r="D453" s="9">
        <v>1</v>
      </c>
      <c r="E453" s="30">
        <v>0</v>
      </c>
    </row>
    <row r="454" spans="1:5" x14ac:dyDescent="0.2">
      <c r="A454" s="24">
        <v>6465</v>
      </c>
      <c r="B454" s="29">
        <v>1</v>
      </c>
      <c r="C454" s="9">
        <v>1</v>
      </c>
      <c r="D454" s="9">
        <v>1</v>
      </c>
      <c r="E454" s="30">
        <v>0</v>
      </c>
    </row>
    <row r="455" spans="1:5" x14ac:dyDescent="0.2">
      <c r="A455" s="24">
        <v>6469</v>
      </c>
      <c r="B455" s="29">
        <v>4.0999999999999996</v>
      </c>
      <c r="C455" s="9">
        <v>4.0999999999999996</v>
      </c>
      <c r="D455" s="9">
        <v>3</v>
      </c>
      <c r="E455" s="30">
        <v>184</v>
      </c>
    </row>
    <row r="456" spans="1:5" x14ac:dyDescent="0.2">
      <c r="A456" s="24">
        <v>6476</v>
      </c>
      <c r="B456" s="29">
        <v>1</v>
      </c>
      <c r="C456" s="9">
        <v>1</v>
      </c>
      <c r="D456" s="9">
        <v>1</v>
      </c>
      <c r="E456" s="30">
        <v>0</v>
      </c>
    </row>
    <row r="457" spans="1:5" x14ac:dyDescent="0.2">
      <c r="A457" s="24">
        <v>6477</v>
      </c>
      <c r="B457" s="29">
        <v>1</v>
      </c>
      <c r="C457" s="9">
        <v>1</v>
      </c>
      <c r="D457" s="9">
        <v>1</v>
      </c>
      <c r="E457" s="30">
        <v>0</v>
      </c>
    </row>
    <row r="458" spans="1:5" x14ac:dyDescent="0.2">
      <c r="A458" s="24">
        <v>6479</v>
      </c>
      <c r="B458" s="29">
        <v>5</v>
      </c>
      <c r="C458" s="9">
        <v>5</v>
      </c>
      <c r="D458" s="9">
        <v>3</v>
      </c>
      <c r="E458" s="30">
        <v>676</v>
      </c>
    </row>
    <row r="459" spans="1:5" x14ac:dyDescent="0.2">
      <c r="A459" s="24">
        <v>6485</v>
      </c>
      <c r="B459" s="29">
        <v>1</v>
      </c>
      <c r="C459" s="9">
        <v>2</v>
      </c>
      <c r="D459" s="9">
        <v>2</v>
      </c>
      <c r="E459" s="30">
        <v>17</v>
      </c>
    </row>
    <row r="460" spans="1:5" x14ac:dyDescent="0.2">
      <c r="A460" s="24">
        <v>6490</v>
      </c>
      <c r="B460" s="29">
        <v>1</v>
      </c>
      <c r="C460" s="9">
        <v>1</v>
      </c>
      <c r="D460" s="9">
        <v>1</v>
      </c>
      <c r="E460" s="30">
        <v>0</v>
      </c>
    </row>
    <row r="461" spans="1:5" x14ac:dyDescent="0.2">
      <c r="A461" s="24">
        <v>6491</v>
      </c>
      <c r="B461" s="29">
        <v>1</v>
      </c>
      <c r="C461" s="9">
        <v>1</v>
      </c>
      <c r="D461" s="9">
        <v>1</v>
      </c>
      <c r="E461" s="30">
        <v>0</v>
      </c>
    </row>
    <row r="462" spans="1:5" x14ac:dyDescent="0.2">
      <c r="A462" s="24">
        <v>6515</v>
      </c>
      <c r="B462" s="29">
        <v>1</v>
      </c>
      <c r="C462" s="9">
        <v>1</v>
      </c>
      <c r="D462" s="9">
        <v>1</v>
      </c>
      <c r="E462" s="30">
        <v>0</v>
      </c>
    </row>
    <row r="463" spans="1:5" x14ac:dyDescent="0.2">
      <c r="A463" s="24">
        <v>6516</v>
      </c>
      <c r="B463" s="29">
        <v>1</v>
      </c>
      <c r="C463" s="9">
        <v>1</v>
      </c>
      <c r="D463" s="9">
        <v>1</v>
      </c>
      <c r="E463" s="30">
        <v>0</v>
      </c>
    </row>
    <row r="464" spans="1:5" x14ac:dyDescent="0.2">
      <c r="A464" s="24">
        <v>6518</v>
      </c>
      <c r="B464" s="29">
        <v>1</v>
      </c>
      <c r="C464" s="9">
        <v>1</v>
      </c>
      <c r="D464" s="9">
        <v>1</v>
      </c>
      <c r="E464" s="30">
        <v>0</v>
      </c>
    </row>
    <row r="465" spans="1:5" x14ac:dyDescent="0.2">
      <c r="A465" s="24">
        <v>6528</v>
      </c>
      <c r="B465" s="29">
        <v>1</v>
      </c>
      <c r="C465" s="9">
        <v>1</v>
      </c>
      <c r="D465" s="9">
        <v>1</v>
      </c>
      <c r="E465" s="30">
        <v>0</v>
      </c>
    </row>
    <row r="466" spans="1:5" x14ac:dyDescent="0.2">
      <c r="A466" s="24">
        <v>6536</v>
      </c>
      <c r="B466" s="29">
        <v>1</v>
      </c>
      <c r="C466" s="9">
        <v>1</v>
      </c>
      <c r="D466" s="9">
        <v>1</v>
      </c>
      <c r="E466" s="30">
        <v>0</v>
      </c>
    </row>
    <row r="467" spans="1:5" x14ac:dyDescent="0.2">
      <c r="A467" s="24">
        <v>6538</v>
      </c>
      <c r="B467" s="29">
        <v>1</v>
      </c>
      <c r="C467" s="9">
        <v>1</v>
      </c>
      <c r="D467" s="9">
        <v>1</v>
      </c>
      <c r="E467" s="30">
        <v>0</v>
      </c>
    </row>
    <row r="468" spans="1:5" x14ac:dyDescent="0.2">
      <c r="A468" s="24">
        <v>6548</v>
      </c>
      <c r="B468" s="29">
        <v>1</v>
      </c>
      <c r="C468" s="9">
        <v>1</v>
      </c>
      <c r="D468" s="9">
        <v>1</v>
      </c>
      <c r="E468" s="30">
        <v>0</v>
      </c>
    </row>
    <row r="469" spans="1:5" x14ac:dyDescent="0.2">
      <c r="A469" s="24">
        <v>6550</v>
      </c>
      <c r="B469" s="29">
        <v>1</v>
      </c>
      <c r="C469" s="9">
        <v>1</v>
      </c>
      <c r="D469" s="9">
        <v>1</v>
      </c>
      <c r="E469" s="30">
        <v>0</v>
      </c>
    </row>
    <row r="470" spans="1:5" x14ac:dyDescent="0.2">
      <c r="A470" s="24">
        <v>6554</v>
      </c>
      <c r="B470" s="29">
        <v>5</v>
      </c>
      <c r="C470" s="9">
        <v>5</v>
      </c>
      <c r="D470" s="9">
        <v>3</v>
      </c>
      <c r="E470" s="30">
        <v>521</v>
      </c>
    </row>
    <row r="471" spans="1:5" x14ac:dyDescent="0.2">
      <c r="A471" s="24">
        <v>6562</v>
      </c>
      <c r="B471" s="29">
        <v>1</v>
      </c>
      <c r="C471" s="9">
        <v>1</v>
      </c>
      <c r="D471" s="9">
        <v>1</v>
      </c>
      <c r="E471" s="30">
        <v>0</v>
      </c>
    </row>
    <row r="472" spans="1:5" x14ac:dyDescent="0.2">
      <c r="A472" s="24">
        <v>6568</v>
      </c>
      <c r="B472" s="29">
        <v>2</v>
      </c>
      <c r="C472" s="9">
        <v>2</v>
      </c>
      <c r="D472" s="9">
        <v>2</v>
      </c>
      <c r="E472" s="30">
        <v>0</v>
      </c>
    </row>
    <row r="473" spans="1:5" x14ac:dyDescent="0.2">
      <c r="A473" s="24">
        <v>6570</v>
      </c>
      <c r="B473" s="29">
        <v>1</v>
      </c>
      <c r="C473" s="9">
        <v>1</v>
      </c>
      <c r="D473" s="9">
        <v>1</v>
      </c>
      <c r="E473" s="30">
        <v>0</v>
      </c>
    </row>
    <row r="474" spans="1:5" x14ac:dyDescent="0.2">
      <c r="A474" s="24">
        <v>6573</v>
      </c>
      <c r="B474" s="29">
        <v>1</v>
      </c>
      <c r="C474" s="9">
        <v>1</v>
      </c>
      <c r="D474" s="9">
        <v>1</v>
      </c>
      <c r="E474" s="30">
        <v>0</v>
      </c>
    </row>
    <row r="475" spans="1:5" x14ac:dyDescent="0.2">
      <c r="A475" s="24">
        <v>6577</v>
      </c>
      <c r="B475" s="29">
        <v>1</v>
      </c>
      <c r="C475" s="9">
        <v>1</v>
      </c>
      <c r="D475" s="9">
        <v>1</v>
      </c>
      <c r="E475" s="30">
        <v>0</v>
      </c>
    </row>
    <row r="476" spans="1:5" x14ac:dyDescent="0.2">
      <c r="A476" s="24">
        <v>6578</v>
      </c>
      <c r="B476" s="29">
        <v>1</v>
      </c>
      <c r="C476" s="9">
        <v>1</v>
      </c>
      <c r="D476" s="9">
        <v>1</v>
      </c>
      <c r="E476" s="30">
        <v>0</v>
      </c>
    </row>
    <row r="477" spans="1:5" x14ac:dyDescent="0.2">
      <c r="A477" s="24">
        <v>6580</v>
      </c>
      <c r="B477" s="29">
        <v>1</v>
      </c>
      <c r="C477" s="9">
        <v>1</v>
      </c>
      <c r="D477" s="9">
        <v>1</v>
      </c>
      <c r="E477" s="30">
        <v>0</v>
      </c>
    </row>
    <row r="478" spans="1:5" x14ac:dyDescent="0.2">
      <c r="A478" s="24">
        <v>6582</v>
      </c>
      <c r="B478" s="29">
        <v>1</v>
      </c>
      <c r="C478" s="9">
        <v>1</v>
      </c>
      <c r="D478" s="9">
        <v>1</v>
      </c>
      <c r="E478" s="30">
        <v>0</v>
      </c>
    </row>
    <row r="479" spans="1:5" x14ac:dyDescent="0.2">
      <c r="A479" s="24">
        <v>6583</v>
      </c>
      <c r="B479" s="29">
        <v>5</v>
      </c>
      <c r="C479" s="9">
        <v>5</v>
      </c>
      <c r="D479" s="9">
        <v>3</v>
      </c>
      <c r="E479" s="30">
        <v>423</v>
      </c>
    </row>
    <row r="480" spans="1:5" x14ac:dyDescent="0.2">
      <c r="A480" s="24">
        <v>6584</v>
      </c>
      <c r="B480" s="29">
        <v>1</v>
      </c>
      <c r="C480" s="9">
        <v>1</v>
      </c>
      <c r="D480" s="9">
        <v>1</v>
      </c>
      <c r="E480" s="30">
        <v>0</v>
      </c>
    </row>
    <row r="481" spans="1:5" x14ac:dyDescent="0.2">
      <c r="A481" s="24">
        <v>6585</v>
      </c>
      <c r="B481" s="29">
        <v>1</v>
      </c>
      <c r="C481" s="9">
        <v>1</v>
      </c>
      <c r="D481" s="9">
        <v>1</v>
      </c>
      <c r="E481" s="30">
        <v>0</v>
      </c>
    </row>
    <row r="482" spans="1:5" x14ac:dyDescent="0.2">
      <c r="A482" s="24">
        <v>6589</v>
      </c>
      <c r="B482" s="29">
        <v>1</v>
      </c>
      <c r="C482" s="9">
        <v>1</v>
      </c>
      <c r="D482" s="9">
        <v>1</v>
      </c>
      <c r="E482" s="30">
        <v>0</v>
      </c>
    </row>
    <row r="483" spans="1:5" x14ac:dyDescent="0.2">
      <c r="A483" s="24">
        <v>6605</v>
      </c>
      <c r="B483" s="29">
        <v>1</v>
      </c>
      <c r="C483" s="9">
        <v>1</v>
      </c>
      <c r="D483" s="9">
        <v>1</v>
      </c>
      <c r="E483" s="30">
        <v>0</v>
      </c>
    </row>
    <row r="484" spans="1:5" x14ac:dyDescent="0.2">
      <c r="A484" s="24">
        <v>6613</v>
      </c>
      <c r="B484" s="29">
        <v>4.3</v>
      </c>
      <c r="C484" s="9">
        <v>4.3</v>
      </c>
      <c r="D484" s="9">
        <v>3</v>
      </c>
      <c r="E484" s="30">
        <v>344</v>
      </c>
    </row>
    <row r="485" spans="1:5" x14ac:dyDescent="0.2">
      <c r="A485" s="24">
        <v>6615</v>
      </c>
      <c r="B485" s="29">
        <v>1</v>
      </c>
      <c r="C485" s="9">
        <v>1</v>
      </c>
      <c r="D485" s="9">
        <v>1</v>
      </c>
      <c r="E485" s="30">
        <v>0</v>
      </c>
    </row>
    <row r="486" spans="1:5" x14ac:dyDescent="0.2">
      <c r="A486" s="24">
        <v>6618</v>
      </c>
      <c r="B486" s="29">
        <v>1</v>
      </c>
      <c r="C486" s="9">
        <v>1</v>
      </c>
      <c r="D486" s="9">
        <v>1</v>
      </c>
      <c r="E486" s="30">
        <v>0</v>
      </c>
    </row>
    <row r="487" spans="1:5" x14ac:dyDescent="0.2">
      <c r="A487" s="24">
        <v>6624</v>
      </c>
      <c r="B487" s="29">
        <v>1</v>
      </c>
      <c r="C487" s="9">
        <v>1</v>
      </c>
      <c r="D487" s="9">
        <v>1</v>
      </c>
      <c r="E487" s="30">
        <v>0</v>
      </c>
    </row>
    <row r="488" spans="1:5" x14ac:dyDescent="0.2">
      <c r="A488" s="24">
        <v>6626</v>
      </c>
      <c r="B488" s="29">
        <v>1</v>
      </c>
      <c r="C488" s="9">
        <v>1</v>
      </c>
      <c r="D488" s="9">
        <v>1</v>
      </c>
      <c r="E488" s="30">
        <v>0</v>
      </c>
    </row>
    <row r="489" spans="1:5" x14ac:dyDescent="0.2">
      <c r="A489" s="24">
        <v>6627</v>
      </c>
      <c r="B489" s="29">
        <v>1</v>
      </c>
      <c r="C489" s="9">
        <v>1</v>
      </c>
      <c r="D489" s="9">
        <v>1</v>
      </c>
      <c r="E489" s="30">
        <v>0</v>
      </c>
    </row>
    <row r="490" spans="1:5" x14ac:dyDescent="0.2">
      <c r="A490" s="24">
        <v>6629</v>
      </c>
      <c r="B490" s="29">
        <v>1</v>
      </c>
      <c r="C490" s="9">
        <v>1</v>
      </c>
      <c r="D490" s="9">
        <v>1</v>
      </c>
      <c r="E490" s="30">
        <v>0</v>
      </c>
    </row>
    <row r="491" spans="1:5" x14ac:dyDescent="0.2">
      <c r="A491" s="24">
        <v>6630</v>
      </c>
      <c r="B491" s="29">
        <v>1</v>
      </c>
      <c r="C491" s="9">
        <v>1</v>
      </c>
      <c r="D491" s="9">
        <v>1</v>
      </c>
      <c r="E491" s="30">
        <v>0</v>
      </c>
    </row>
    <row r="492" spans="1:5" x14ac:dyDescent="0.2">
      <c r="A492" s="24">
        <v>6631</v>
      </c>
      <c r="B492" s="29">
        <v>4</v>
      </c>
      <c r="C492" s="9">
        <v>4</v>
      </c>
      <c r="D492" s="9">
        <v>3</v>
      </c>
      <c r="E492" s="30">
        <v>360</v>
      </c>
    </row>
    <row r="493" spans="1:5" x14ac:dyDescent="0.2">
      <c r="A493" s="24">
        <v>6632</v>
      </c>
      <c r="B493" s="29">
        <v>1</v>
      </c>
      <c r="C493" s="9">
        <v>1</v>
      </c>
      <c r="D493" s="9">
        <v>1</v>
      </c>
      <c r="E493" s="30">
        <v>0</v>
      </c>
    </row>
    <row r="494" spans="1:5" x14ac:dyDescent="0.2">
      <c r="A494" s="24">
        <v>6633</v>
      </c>
      <c r="B494" s="29">
        <v>1</v>
      </c>
      <c r="C494" s="9">
        <v>1</v>
      </c>
      <c r="D494" s="9">
        <v>1</v>
      </c>
      <c r="E494" s="30">
        <v>0</v>
      </c>
    </row>
    <row r="495" spans="1:5" x14ac:dyDescent="0.2">
      <c r="A495" s="24">
        <v>6635</v>
      </c>
      <c r="B495" s="29">
        <v>1</v>
      </c>
      <c r="C495" s="9">
        <v>1</v>
      </c>
      <c r="D495" s="9">
        <v>2</v>
      </c>
      <c r="E495" s="30">
        <v>15</v>
      </c>
    </row>
    <row r="496" spans="1:5" x14ac:dyDescent="0.2">
      <c r="A496" s="24">
        <v>6637</v>
      </c>
      <c r="B496" s="29">
        <v>1</v>
      </c>
      <c r="C496" s="9">
        <v>1</v>
      </c>
      <c r="D496" s="9">
        <v>1</v>
      </c>
      <c r="E496" s="30">
        <v>0</v>
      </c>
    </row>
    <row r="497" spans="1:5" x14ac:dyDescent="0.2">
      <c r="A497" s="24">
        <v>6640</v>
      </c>
      <c r="B497" s="29">
        <v>1</v>
      </c>
      <c r="C497" s="9">
        <v>1</v>
      </c>
      <c r="D497" s="9">
        <v>1</v>
      </c>
      <c r="E497" s="30">
        <v>0</v>
      </c>
    </row>
    <row r="498" spans="1:5" x14ac:dyDescent="0.2">
      <c r="A498" s="24">
        <v>6642</v>
      </c>
      <c r="B498" s="29">
        <v>2.2000000000000002</v>
      </c>
      <c r="C498" s="9">
        <v>2.2000000000000002</v>
      </c>
      <c r="D498" s="9">
        <v>1</v>
      </c>
      <c r="E498" s="30">
        <v>1</v>
      </c>
    </row>
    <row r="499" spans="1:5" x14ac:dyDescent="0.2">
      <c r="A499" s="24">
        <v>6644</v>
      </c>
      <c r="B499" s="29">
        <v>1</v>
      </c>
      <c r="C499" s="9">
        <v>1</v>
      </c>
      <c r="D499" s="9">
        <v>1</v>
      </c>
      <c r="E499" s="30">
        <v>0</v>
      </c>
    </row>
    <row r="500" spans="1:5" x14ac:dyDescent="0.2">
      <c r="A500" s="24">
        <v>6645</v>
      </c>
      <c r="B500" s="29">
        <v>1</v>
      </c>
      <c r="C500" s="9">
        <v>1</v>
      </c>
      <c r="D500" s="9">
        <v>1</v>
      </c>
      <c r="E500" s="30">
        <v>0</v>
      </c>
    </row>
    <row r="501" spans="1:5" x14ac:dyDescent="0.2">
      <c r="A501" s="24">
        <v>6646</v>
      </c>
      <c r="B501" s="29">
        <v>1</v>
      </c>
      <c r="C501" s="9">
        <v>1</v>
      </c>
      <c r="D501" s="9">
        <v>1</v>
      </c>
      <c r="E501" s="30">
        <v>0</v>
      </c>
    </row>
    <row r="502" spans="1:5" x14ac:dyDescent="0.2">
      <c r="A502" s="24">
        <v>6647</v>
      </c>
      <c r="B502" s="29">
        <v>1</v>
      </c>
      <c r="C502" s="9">
        <v>1</v>
      </c>
      <c r="D502" s="9">
        <v>1</v>
      </c>
      <c r="E502" s="30">
        <v>0</v>
      </c>
    </row>
    <row r="503" spans="1:5" x14ac:dyDescent="0.2">
      <c r="A503" s="24">
        <v>6662</v>
      </c>
      <c r="B503" s="29">
        <v>3</v>
      </c>
      <c r="C503" s="9">
        <v>3</v>
      </c>
      <c r="D503" s="9">
        <v>3</v>
      </c>
      <c r="E503" s="30">
        <v>93</v>
      </c>
    </row>
    <row r="504" spans="1:5" x14ac:dyDescent="0.2">
      <c r="A504" s="24">
        <v>6672</v>
      </c>
      <c r="B504" s="29">
        <v>1</v>
      </c>
      <c r="C504" s="9">
        <v>1</v>
      </c>
      <c r="D504" s="9">
        <v>1</v>
      </c>
      <c r="E504" s="30">
        <v>0</v>
      </c>
    </row>
    <row r="505" spans="1:5" x14ac:dyDescent="0.2">
      <c r="A505" s="24">
        <v>6674</v>
      </c>
      <c r="B505" s="29">
        <v>1</v>
      </c>
      <c r="C505" s="9">
        <v>1</v>
      </c>
      <c r="D505" s="9">
        <v>1</v>
      </c>
      <c r="E505" s="30">
        <v>0</v>
      </c>
    </row>
    <row r="506" spans="1:5" x14ac:dyDescent="0.2">
      <c r="A506" s="24">
        <v>6685</v>
      </c>
      <c r="B506" s="29">
        <v>1</v>
      </c>
      <c r="C506" s="9">
        <v>1</v>
      </c>
      <c r="D506" s="9">
        <v>1</v>
      </c>
      <c r="E506" s="30">
        <v>0</v>
      </c>
    </row>
    <row r="507" spans="1:5" x14ac:dyDescent="0.2">
      <c r="A507" s="24">
        <v>6686</v>
      </c>
      <c r="B507" s="29">
        <v>1</v>
      </c>
      <c r="C507" s="9">
        <v>1</v>
      </c>
      <c r="D507" s="9">
        <v>1</v>
      </c>
      <c r="E507" s="30">
        <v>0</v>
      </c>
    </row>
    <row r="508" spans="1:5" x14ac:dyDescent="0.2">
      <c r="A508" s="24">
        <v>6691</v>
      </c>
      <c r="B508" s="29">
        <v>1</v>
      </c>
      <c r="C508" s="9">
        <v>1</v>
      </c>
      <c r="D508" s="9">
        <v>1</v>
      </c>
      <c r="E508" s="30">
        <v>0</v>
      </c>
    </row>
    <row r="509" spans="1:5" x14ac:dyDescent="0.2">
      <c r="A509" s="24">
        <v>6692</v>
      </c>
      <c r="B509" s="29">
        <v>1</v>
      </c>
      <c r="C509" s="9">
        <v>1</v>
      </c>
      <c r="D509" s="9">
        <v>1</v>
      </c>
      <c r="E509" s="30">
        <v>0</v>
      </c>
    </row>
    <row r="510" spans="1:5" x14ac:dyDescent="0.2">
      <c r="A510" s="24">
        <v>6696</v>
      </c>
      <c r="B510" s="29">
        <v>1</v>
      </c>
      <c r="C510" s="9">
        <v>1</v>
      </c>
      <c r="D510" s="9">
        <v>1</v>
      </c>
      <c r="E510" s="30">
        <v>0</v>
      </c>
    </row>
    <row r="511" spans="1:5" x14ac:dyDescent="0.2">
      <c r="A511" s="24">
        <v>6697</v>
      </c>
      <c r="B511" s="29">
        <v>1</v>
      </c>
      <c r="C511" s="9">
        <v>1</v>
      </c>
      <c r="D511" s="9">
        <v>1</v>
      </c>
      <c r="E511" s="30">
        <v>0</v>
      </c>
    </row>
    <row r="512" spans="1:5" x14ac:dyDescent="0.2">
      <c r="A512" s="24">
        <v>6705</v>
      </c>
      <c r="B512" s="29">
        <v>1</v>
      </c>
      <c r="C512" s="9">
        <v>1</v>
      </c>
      <c r="D512" s="9">
        <v>1</v>
      </c>
      <c r="E512" s="30">
        <v>0</v>
      </c>
    </row>
    <row r="513" spans="1:5" x14ac:dyDescent="0.2">
      <c r="A513" s="24">
        <v>6706</v>
      </c>
      <c r="B513" s="29">
        <v>1</v>
      </c>
      <c r="C513" s="9">
        <v>1</v>
      </c>
      <c r="D513" s="9">
        <v>1</v>
      </c>
      <c r="E513" s="30">
        <v>0</v>
      </c>
    </row>
    <row r="514" spans="1:5" x14ac:dyDescent="0.2">
      <c r="A514" s="24">
        <v>6715</v>
      </c>
      <c r="B514" s="29">
        <v>1</v>
      </c>
      <c r="C514" s="9">
        <v>1</v>
      </c>
      <c r="D514" s="9">
        <v>1</v>
      </c>
      <c r="E514" s="30">
        <v>0</v>
      </c>
    </row>
    <row r="515" spans="1:5" x14ac:dyDescent="0.2">
      <c r="A515" s="24">
        <v>6716</v>
      </c>
      <c r="B515" s="29">
        <v>1</v>
      </c>
      <c r="C515" s="9">
        <v>1</v>
      </c>
      <c r="D515" s="9">
        <v>1</v>
      </c>
      <c r="E515" s="30">
        <v>0</v>
      </c>
    </row>
    <row r="516" spans="1:5" x14ac:dyDescent="0.2">
      <c r="A516" s="24">
        <v>6719</v>
      </c>
      <c r="B516" s="29">
        <v>1</v>
      </c>
      <c r="C516" s="9">
        <v>1</v>
      </c>
      <c r="D516" s="9">
        <v>1</v>
      </c>
      <c r="E516" s="30">
        <v>1</v>
      </c>
    </row>
    <row r="517" spans="1:5" x14ac:dyDescent="0.2">
      <c r="A517" s="24">
        <v>6728</v>
      </c>
      <c r="B517" s="29">
        <v>1</v>
      </c>
      <c r="C517" s="9">
        <v>1</v>
      </c>
      <c r="D517" s="9">
        <v>1</v>
      </c>
      <c r="E517" s="30">
        <v>0</v>
      </c>
    </row>
    <row r="518" spans="1:5" x14ac:dyDescent="0.2">
      <c r="A518" s="24">
        <v>6737</v>
      </c>
      <c r="B518" s="29">
        <v>1</v>
      </c>
      <c r="C518" s="9">
        <v>1</v>
      </c>
      <c r="D518" s="9">
        <v>1</v>
      </c>
      <c r="E518" s="30">
        <v>0</v>
      </c>
    </row>
    <row r="519" spans="1:5" x14ac:dyDescent="0.2">
      <c r="A519" s="24">
        <v>6742</v>
      </c>
      <c r="B519" s="29">
        <v>1</v>
      </c>
      <c r="C519" s="9">
        <v>1</v>
      </c>
      <c r="D519" s="9">
        <v>1</v>
      </c>
      <c r="E519" s="30">
        <v>0</v>
      </c>
    </row>
    <row r="520" spans="1:5" x14ac:dyDescent="0.2">
      <c r="A520" s="24">
        <v>6745</v>
      </c>
      <c r="B520" s="29">
        <v>2.1</v>
      </c>
      <c r="C520" s="9">
        <v>2.1</v>
      </c>
      <c r="D520" s="9">
        <v>1</v>
      </c>
      <c r="E520" s="30">
        <v>0</v>
      </c>
    </row>
    <row r="521" spans="1:5" x14ac:dyDescent="0.2">
      <c r="A521" s="24">
        <v>6750</v>
      </c>
      <c r="B521" s="29">
        <v>1</v>
      </c>
      <c r="C521" s="9">
        <v>1</v>
      </c>
      <c r="D521" s="9">
        <v>1</v>
      </c>
      <c r="E521" s="30">
        <v>0</v>
      </c>
    </row>
    <row r="522" spans="1:5" x14ac:dyDescent="0.2">
      <c r="A522" s="24">
        <v>6775</v>
      </c>
      <c r="B522" s="29">
        <v>1</v>
      </c>
      <c r="C522" s="9">
        <v>1</v>
      </c>
      <c r="D522" s="9">
        <v>1</v>
      </c>
      <c r="E522" s="30">
        <v>0</v>
      </c>
    </row>
    <row r="523" spans="1:5" x14ac:dyDescent="0.2">
      <c r="A523" s="24">
        <v>6803</v>
      </c>
      <c r="B523" s="29">
        <v>1</v>
      </c>
      <c r="C523" s="9">
        <v>1</v>
      </c>
      <c r="D523" s="9">
        <v>1</v>
      </c>
      <c r="E523" s="30">
        <v>0</v>
      </c>
    </row>
    <row r="524" spans="1:5" x14ac:dyDescent="0.2">
      <c r="A524" s="24">
        <v>6804</v>
      </c>
      <c r="B524" s="29">
        <v>1</v>
      </c>
      <c r="C524" s="9">
        <v>1</v>
      </c>
      <c r="D524" s="9">
        <v>1</v>
      </c>
      <c r="E524" s="30">
        <v>0</v>
      </c>
    </row>
    <row r="525" spans="1:5" x14ac:dyDescent="0.2">
      <c r="A525" s="24">
        <v>6809</v>
      </c>
      <c r="B525" s="29">
        <v>1</v>
      </c>
      <c r="C525" s="9">
        <v>1</v>
      </c>
      <c r="D525" s="9">
        <v>1</v>
      </c>
      <c r="E525" s="30">
        <v>0</v>
      </c>
    </row>
    <row r="526" spans="1:5" x14ac:dyDescent="0.2">
      <c r="A526" s="24">
        <v>6812</v>
      </c>
      <c r="B526" s="29">
        <v>1</v>
      </c>
      <c r="C526" s="9">
        <v>1</v>
      </c>
      <c r="D526" s="9">
        <v>1</v>
      </c>
      <c r="E526" s="30">
        <v>0</v>
      </c>
    </row>
    <row r="527" spans="1:5" x14ac:dyDescent="0.2">
      <c r="A527" s="24">
        <v>6813</v>
      </c>
      <c r="B527" s="29">
        <v>1</v>
      </c>
      <c r="C527" s="9">
        <v>1</v>
      </c>
      <c r="D527" s="9">
        <v>1</v>
      </c>
      <c r="E527" s="30">
        <v>0</v>
      </c>
    </row>
    <row r="528" spans="1:5" x14ac:dyDescent="0.2">
      <c r="A528" s="24">
        <v>6814</v>
      </c>
      <c r="B528" s="29">
        <v>1</v>
      </c>
      <c r="C528" s="9">
        <v>1</v>
      </c>
      <c r="D528" s="9">
        <v>1</v>
      </c>
      <c r="E528" s="30">
        <v>0</v>
      </c>
    </row>
    <row r="529" spans="1:5" x14ac:dyDescent="0.2">
      <c r="A529" s="24">
        <v>6815</v>
      </c>
      <c r="B529" s="29">
        <v>1</v>
      </c>
      <c r="C529" s="9">
        <v>1</v>
      </c>
      <c r="D529" s="9">
        <v>1</v>
      </c>
      <c r="E529" s="30">
        <v>0</v>
      </c>
    </row>
    <row r="530" spans="1:5" x14ac:dyDescent="0.2">
      <c r="A530" s="24">
        <v>6816</v>
      </c>
      <c r="B530" s="29">
        <v>2.1</v>
      </c>
      <c r="C530" s="9">
        <v>2.1</v>
      </c>
      <c r="D530" s="9">
        <v>1</v>
      </c>
      <c r="E530" s="30">
        <v>0</v>
      </c>
    </row>
    <row r="531" spans="1:5" x14ac:dyDescent="0.2">
      <c r="A531" s="24">
        <v>6817</v>
      </c>
      <c r="B531" s="29">
        <v>1</v>
      </c>
      <c r="C531" s="9">
        <v>1</v>
      </c>
      <c r="D531" s="9">
        <v>1</v>
      </c>
      <c r="E531" s="30">
        <v>0</v>
      </c>
    </row>
    <row r="532" spans="1:5" x14ac:dyDescent="0.2">
      <c r="A532" s="24">
        <v>6819</v>
      </c>
      <c r="B532" s="29">
        <v>4</v>
      </c>
      <c r="C532" s="9">
        <v>4</v>
      </c>
      <c r="D532" s="9">
        <v>3</v>
      </c>
      <c r="E532" s="30">
        <v>259</v>
      </c>
    </row>
    <row r="533" spans="1:5" x14ac:dyDescent="0.2">
      <c r="A533" s="24">
        <v>6820</v>
      </c>
      <c r="B533" s="29">
        <v>2.1</v>
      </c>
      <c r="C533" s="9">
        <v>2.1</v>
      </c>
      <c r="D533" s="9">
        <v>1</v>
      </c>
      <c r="E533" s="30">
        <v>0</v>
      </c>
    </row>
    <row r="534" spans="1:5" x14ac:dyDescent="0.2">
      <c r="A534" s="24">
        <v>6822</v>
      </c>
      <c r="B534" s="29">
        <v>1</v>
      </c>
      <c r="C534" s="9">
        <v>1</v>
      </c>
      <c r="D534" s="9">
        <v>1</v>
      </c>
      <c r="E534" s="30">
        <v>0</v>
      </c>
    </row>
    <row r="535" spans="1:5" x14ac:dyDescent="0.2">
      <c r="A535" s="24">
        <v>6823</v>
      </c>
      <c r="B535" s="29">
        <v>1</v>
      </c>
      <c r="C535" s="9">
        <v>1</v>
      </c>
      <c r="D535" s="9">
        <v>1</v>
      </c>
      <c r="E535" s="30">
        <v>0</v>
      </c>
    </row>
    <row r="536" spans="1:5" x14ac:dyDescent="0.2">
      <c r="A536" s="24">
        <v>6826</v>
      </c>
      <c r="B536" s="29">
        <v>1</v>
      </c>
      <c r="C536" s="9">
        <v>1</v>
      </c>
      <c r="D536" s="9">
        <v>1</v>
      </c>
      <c r="E536" s="30">
        <v>0</v>
      </c>
    </row>
    <row r="537" spans="1:5" x14ac:dyDescent="0.2">
      <c r="A537" s="24">
        <v>6833</v>
      </c>
      <c r="B537" s="29">
        <v>3.2</v>
      </c>
      <c r="C537" s="9">
        <v>3.2</v>
      </c>
      <c r="D537" s="9">
        <v>2</v>
      </c>
      <c r="E537" s="30">
        <v>0</v>
      </c>
    </row>
    <row r="538" spans="1:5" x14ac:dyDescent="0.2">
      <c r="A538" s="24">
        <v>6834</v>
      </c>
      <c r="B538" s="29">
        <v>1</v>
      </c>
      <c r="C538" s="9">
        <v>1</v>
      </c>
      <c r="D538" s="9">
        <v>1</v>
      </c>
      <c r="E538" s="30">
        <v>0</v>
      </c>
    </row>
    <row r="539" spans="1:5" x14ac:dyDescent="0.2">
      <c r="A539" s="24">
        <v>6836</v>
      </c>
      <c r="B539" s="29">
        <v>1</v>
      </c>
      <c r="C539" s="9">
        <v>1</v>
      </c>
      <c r="D539" s="9">
        <v>1</v>
      </c>
      <c r="E539" s="30">
        <v>0</v>
      </c>
    </row>
    <row r="540" spans="1:5" x14ac:dyDescent="0.2">
      <c r="A540" s="24">
        <v>6840</v>
      </c>
      <c r="B540" s="29">
        <v>1</v>
      </c>
      <c r="C540" s="9">
        <v>1</v>
      </c>
      <c r="D540" s="9">
        <v>1</v>
      </c>
      <c r="E540" s="30">
        <v>0</v>
      </c>
    </row>
    <row r="541" spans="1:5" x14ac:dyDescent="0.2">
      <c r="A541" s="24">
        <v>6842</v>
      </c>
      <c r="B541" s="29">
        <v>1</v>
      </c>
      <c r="C541" s="9">
        <v>1</v>
      </c>
      <c r="D541" s="9">
        <v>1</v>
      </c>
      <c r="E541" s="30">
        <v>0</v>
      </c>
    </row>
    <row r="542" spans="1:5" x14ac:dyDescent="0.2">
      <c r="A542" s="24">
        <v>6843</v>
      </c>
      <c r="B542" s="29">
        <v>1</v>
      </c>
      <c r="C542" s="9">
        <v>1</v>
      </c>
      <c r="D542" s="9">
        <v>1</v>
      </c>
      <c r="E542" s="30">
        <v>0</v>
      </c>
    </row>
    <row r="543" spans="1:5" x14ac:dyDescent="0.2">
      <c r="A543" s="24">
        <v>6847</v>
      </c>
      <c r="B543" s="29">
        <v>1</v>
      </c>
      <c r="C543" s="9">
        <v>1</v>
      </c>
      <c r="D543" s="9">
        <v>1</v>
      </c>
      <c r="E543" s="30">
        <v>3</v>
      </c>
    </row>
    <row r="544" spans="1:5" x14ac:dyDescent="0.2">
      <c r="A544" s="24">
        <v>6849</v>
      </c>
      <c r="B544" s="29">
        <v>3</v>
      </c>
      <c r="C544" s="9">
        <v>3</v>
      </c>
      <c r="D544" s="9">
        <v>3</v>
      </c>
      <c r="E544" s="30">
        <v>320</v>
      </c>
    </row>
    <row r="545" spans="1:5" x14ac:dyDescent="0.2">
      <c r="A545" s="24">
        <v>6852</v>
      </c>
      <c r="B545" s="29">
        <v>1</v>
      </c>
      <c r="C545" s="9">
        <v>1</v>
      </c>
      <c r="D545" s="9">
        <v>1</v>
      </c>
      <c r="E545" s="30">
        <v>0</v>
      </c>
    </row>
    <row r="546" spans="1:5" x14ac:dyDescent="0.2">
      <c r="A546" s="24">
        <v>6853</v>
      </c>
      <c r="B546" s="29">
        <v>1</v>
      </c>
      <c r="C546" s="9">
        <v>1</v>
      </c>
      <c r="D546" s="9">
        <v>1</v>
      </c>
      <c r="E546" s="30">
        <v>0</v>
      </c>
    </row>
    <row r="547" spans="1:5" x14ac:dyDescent="0.2">
      <c r="A547" s="24">
        <v>6854</v>
      </c>
      <c r="B547" s="29">
        <v>1</v>
      </c>
      <c r="C547" s="9">
        <v>1</v>
      </c>
      <c r="D547" s="9">
        <v>1</v>
      </c>
      <c r="E547" s="30">
        <v>0</v>
      </c>
    </row>
    <row r="548" spans="1:5" x14ac:dyDescent="0.2">
      <c r="A548" s="24">
        <v>6859</v>
      </c>
      <c r="B548" s="29">
        <v>1</v>
      </c>
      <c r="C548" s="9">
        <v>1</v>
      </c>
      <c r="D548" s="9">
        <v>1</v>
      </c>
      <c r="E548" s="30">
        <v>0</v>
      </c>
    </row>
    <row r="549" spans="1:5" x14ac:dyDescent="0.2">
      <c r="A549" s="24">
        <v>6860</v>
      </c>
      <c r="B549" s="29">
        <v>1</v>
      </c>
      <c r="C549" s="9">
        <v>1</v>
      </c>
      <c r="D549" s="9">
        <v>1</v>
      </c>
      <c r="E549" s="30">
        <v>0</v>
      </c>
    </row>
    <row r="550" spans="1:5" x14ac:dyDescent="0.2">
      <c r="A550" s="24">
        <v>6861</v>
      </c>
      <c r="B550" s="29">
        <v>1</v>
      </c>
      <c r="C550" s="9">
        <v>1</v>
      </c>
      <c r="D550" s="9">
        <v>1</v>
      </c>
      <c r="E550" s="30">
        <v>0</v>
      </c>
    </row>
    <row r="551" spans="1:5" x14ac:dyDescent="0.2">
      <c r="A551" s="24">
        <v>6862</v>
      </c>
      <c r="B551" s="29">
        <v>2.2000000000000002</v>
      </c>
      <c r="C551" s="9">
        <v>2.2000000000000002</v>
      </c>
      <c r="D551" s="9">
        <v>1</v>
      </c>
      <c r="E551" s="30">
        <v>0</v>
      </c>
    </row>
    <row r="552" spans="1:5" x14ac:dyDescent="0.2">
      <c r="A552" s="24">
        <v>6879</v>
      </c>
      <c r="B552" s="29">
        <v>1</v>
      </c>
      <c r="C552" s="9">
        <v>1</v>
      </c>
      <c r="D552" s="9">
        <v>1</v>
      </c>
      <c r="E552" s="30">
        <v>0</v>
      </c>
    </row>
    <row r="553" spans="1:5" x14ac:dyDescent="0.2">
      <c r="A553" s="24">
        <v>6884</v>
      </c>
      <c r="B553" s="29">
        <v>1</v>
      </c>
      <c r="C553" s="9">
        <v>1</v>
      </c>
      <c r="D553" s="9">
        <v>1</v>
      </c>
      <c r="E553" s="30">
        <v>0</v>
      </c>
    </row>
    <row r="554" spans="1:5" x14ac:dyDescent="0.2">
      <c r="A554" s="24">
        <v>6891</v>
      </c>
      <c r="B554" s="29">
        <v>1</v>
      </c>
      <c r="C554" s="9">
        <v>1</v>
      </c>
      <c r="D554" s="9">
        <v>1</v>
      </c>
      <c r="E554" s="30">
        <v>0</v>
      </c>
    </row>
    <row r="555" spans="1:5" x14ac:dyDescent="0.2">
      <c r="A555" s="24">
        <v>6893</v>
      </c>
      <c r="B555" s="29">
        <v>3</v>
      </c>
      <c r="C555" s="9">
        <v>3</v>
      </c>
      <c r="D555" s="9">
        <v>2</v>
      </c>
      <c r="E555" s="30">
        <v>0</v>
      </c>
    </row>
    <row r="556" spans="1:5" x14ac:dyDescent="0.2">
      <c r="A556" s="24">
        <v>6894</v>
      </c>
      <c r="B556" s="29">
        <v>1</v>
      </c>
      <c r="C556" s="9">
        <v>1</v>
      </c>
      <c r="D556" s="9">
        <v>1</v>
      </c>
      <c r="E556" s="30">
        <v>0</v>
      </c>
    </row>
    <row r="557" spans="1:5" x14ac:dyDescent="0.2">
      <c r="A557" s="24">
        <v>6895</v>
      </c>
      <c r="B557" s="29">
        <v>1</v>
      </c>
      <c r="C557" s="9">
        <v>1</v>
      </c>
      <c r="D557" s="9">
        <v>1</v>
      </c>
      <c r="E557" s="30">
        <v>0</v>
      </c>
    </row>
    <row r="558" spans="1:5" x14ac:dyDescent="0.2">
      <c r="A558" s="24">
        <v>6903</v>
      </c>
      <c r="B558" s="29">
        <v>3</v>
      </c>
      <c r="C558" s="9">
        <v>3</v>
      </c>
      <c r="D558" s="9">
        <v>3</v>
      </c>
      <c r="E558" s="30">
        <v>243</v>
      </c>
    </row>
    <row r="559" spans="1:5" x14ac:dyDescent="0.2">
      <c r="A559" s="24">
        <v>6908</v>
      </c>
      <c r="B559" s="29">
        <v>1</v>
      </c>
      <c r="C559" s="9">
        <v>1</v>
      </c>
      <c r="D559" s="9">
        <v>1</v>
      </c>
      <c r="E559" s="30">
        <v>0</v>
      </c>
    </row>
    <row r="560" spans="1:5" x14ac:dyDescent="0.2">
      <c r="A560" s="24">
        <v>6913</v>
      </c>
      <c r="B560" s="29">
        <v>1</v>
      </c>
      <c r="C560" s="9">
        <v>1</v>
      </c>
      <c r="D560" s="9">
        <v>1</v>
      </c>
      <c r="E560" s="30">
        <v>0</v>
      </c>
    </row>
    <row r="561" spans="1:5" x14ac:dyDescent="0.2">
      <c r="A561" s="24">
        <v>6915</v>
      </c>
      <c r="B561" s="29">
        <v>1</v>
      </c>
      <c r="C561" s="9">
        <v>1</v>
      </c>
      <c r="D561" s="9">
        <v>1</v>
      </c>
      <c r="E561" s="30">
        <v>0</v>
      </c>
    </row>
    <row r="562" spans="1:5" x14ac:dyDescent="0.2">
      <c r="A562" s="24">
        <v>6916</v>
      </c>
      <c r="B562" s="29">
        <v>1</v>
      </c>
      <c r="C562" s="9">
        <v>1</v>
      </c>
      <c r="D562" s="9">
        <v>1</v>
      </c>
      <c r="E562" s="30">
        <v>0</v>
      </c>
    </row>
    <row r="563" spans="1:5" x14ac:dyDescent="0.2">
      <c r="A563" s="24">
        <v>6924</v>
      </c>
      <c r="B563" s="29">
        <v>1</v>
      </c>
      <c r="C563" s="9">
        <v>1</v>
      </c>
      <c r="D563" s="9">
        <v>1</v>
      </c>
      <c r="E563" s="30">
        <v>0</v>
      </c>
    </row>
    <row r="564" spans="1:5" x14ac:dyDescent="0.2">
      <c r="A564" s="24">
        <v>6941</v>
      </c>
      <c r="B564" s="29">
        <v>2.1</v>
      </c>
      <c r="C564" s="9">
        <v>2.1</v>
      </c>
      <c r="D564" s="9">
        <v>1</v>
      </c>
      <c r="E564" s="30">
        <v>0</v>
      </c>
    </row>
    <row r="565" spans="1:5" x14ac:dyDescent="0.2">
      <c r="A565" s="24">
        <v>6945</v>
      </c>
      <c r="B565" s="29">
        <v>1</v>
      </c>
      <c r="C565" s="9">
        <v>1</v>
      </c>
      <c r="D565" s="9">
        <v>1</v>
      </c>
      <c r="E565" s="30">
        <v>0</v>
      </c>
    </row>
    <row r="566" spans="1:5" x14ac:dyDescent="0.2">
      <c r="A566" s="24">
        <v>6951</v>
      </c>
      <c r="B566" s="29">
        <v>1</v>
      </c>
      <c r="C566" s="9">
        <v>1</v>
      </c>
      <c r="D566" s="9">
        <v>1</v>
      </c>
      <c r="E566" s="30">
        <v>0</v>
      </c>
    </row>
    <row r="567" spans="1:5" x14ac:dyDescent="0.2">
      <c r="A567" s="24">
        <v>6956</v>
      </c>
      <c r="B567" s="29">
        <v>1</v>
      </c>
      <c r="C567" s="9">
        <v>1</v>
      </c>
      <c r="D567" s="9">
        <v>1</v>
      </c>
      <c r="E567" s="30">
        <v>0</v>
      </c>
    </row>
    <row r="568" spans="1:5" x14ac:dyDescent="0.2">
      <c r="A568" s="24">
        <v>6958</v>
      </c>
      <c r="B568" s="29">
        <v>5</v>
      </c>
      <c r="C568" s="9">
        <v>5</v>
      </c>
      <c r="D568" s="9">
        <v>3</v>
      </c>
      <c r="E568" s="30">
        <v>1164</v>
      </c>
    </row>
    <row r="569" spans="1:5" x14ac:dyDescent="0.2">
      <c r="A569" s="24">
        <v>6960</v>
      </c>
      <c r="B569" s="29">
        <v>2</v>
      </c>
      <c r="C569" s="9">
        <v>2</v>
      </c>
      <c r="D569" s="9">
        <v>1</v>
      </c>
      <c r="E569" s="30">
        <v>1</v>
      </c>
    </row>
    <row r="570" spans="1:5" x14ac:dyDescent="0.2">
      <c r="A570" s="24">
        <v>6961</v>
      </c>
      <c r="B570" s="29">
        <v>1</v>
      </c>
      <c r="C570" s="9">
        <v>1</v>
      </c>
      <c r="D570" s="9">
        <v>1</v>
      </c>
      <c r="E570" s="30">
        <v>0</v>
      </c>
    </row>
    <row r="571" spans="1:5" x14ac:dyDescent="0.2">
      <c r="A571" s="24">
        <v>6970</v>
      </c>
      <c r="B571" s="29">
        <v>2.2000000000000002</v>
      </c>
      <c r="C571" s="9">
        <v>2.2000000000000002</v>
      </c>
      <c r="D571" s="9">
        <v>1</v>
      </c>
      <c r="E571" s="30">
        <v>0</v>
      </c>
    </row>
    <row r="572" spans="1:5" x14ac:dyDescent="0.2">
      <c r="A572" s="24">
        <v>6972</v>
      </c>
      <c r="B572" s="29">
        <v>1</v>
      </c>
      <c r="C572" s="9">
        <v>1</v>
      </c>
      <c r="D572" s="9">
        <v>1</v>
      </c>
      <c r="E572" s="30">
        <v>0</v>
      </c>
    </row>
    <row r="573" spans="1:5" x14ac:dyDescent="0.2">
      <c r="A573" s="24">
        <v>6980</v>
      </c>
      <c r="B573" s="29">
        <v>1</v>
      </c>
      <c r="C573" s="9">
        <v>1</v>
      </c>
      <c r="D573" s="9">
        <v>1</v>
      </c>
      <c r="E573" s="30">
        <v>0</v>
      </c>
    </row>
    <row r="574" spans="1:5" x14ac:dyDescent="0.2">
      <c r="A574" s="24">
        <v>6981</v>
      </c>
      <c r="B574" s="29">
        <v>1</v>
      </c>
      <c r="C574" s="9">
        <v>1</v>
      </c>
      <c r="D574" s="9">
        <v>1</v>
      </c>
      <c r="E574" s="30">
        <v>0</v>
      </c>
    </row>
    <row r="575" spans="1:5" x14ac:dyDescent="0.2">
      <c r="A575" s="24">
        <v>6984</v>
      </c>
      <c r="B575" s="29">
        <v>1</v>
      </c>
      <c r="C575" s="9">
        <v>1</v>
      </c>
      <c r="D575" s="9">
        <v>1</v>
      </c>
      <c r="E575" s="30">
        <v>0</v>
      </c>
    </row>
    <row r="576" spans="1:5" x14ac:dyDescent="0.2">
      <c r="A576" s="24">
        <v>6987</v>
      </c>
      <c r="B576" s="29">
        <v>1</v>
      </c>
      <c r="C576" s="9">
        <v>1</v>
      </c>
      <c r="D576" s="9">
        <v>1</v>
      </c>
      <c r="E576" s="30">
        <v>0</v>
      </c>
    </row>
    <row r="577" spans="1:5" x14ac:dyDescent="0.2">
      <c r="A577" s="24">
        <v>6993</v>
      </c>
      <c r="B577" s="29">
        <v>1</v>
      </c>
      <c r="C577" s="9">
        <v>1</v>
      </c>
      <c r="D577" s="9">
        <v>1</v>
      </c>
      <c r="E577" s="30">
        <v>0</v>
      </c>
    </row>
    <row r="578" spans="1:5" x14ac:dyDescent="0.2">
      <c r="A578" s="24">
        <v>7257</v>
      </c>
      <c r="B578" s="29">
        <v>4.0999999999999996</v>
      </c>
      <c r="C578" s="9">
        <v>4.0999999999999996</v>
      </c>
      <c r="D578" s="9">
        <v>3</v>
      </c>
      <c r="E578" s="30">
        <v>548</v>
      </c>
    </row>
    <row r="579" spans="1:5" x14ac:dyDescent="0.2">
      <c r="A579" s="24">
        <v>7285</v>
      </c>
      <c r="B579" s="29">
        <v>5</v>
      </c>
      <c r="C579" s="9">
        <v>5</v>
      </c>
      <c r="D579" s="9">
        <v>3</v>
      </c>
      <c r="E579" s="30">
        <v>219</v>
      </c>
    </row>
    <row r="580" spans="1:5" x14ac:dyDescent="0.2">
      <c r="A580" s="24">
        <v>7321</v>
      </c>
      <c r="B580" s="29">
        <v>4.0999999999999996</v>
      </c>
      <c r="C580" s="9">
        <v>4.0999999999999996</v>
      </c>
      <c r="D580" s="9">
        <v>3</v>
      </c>
      <c r="E580" s="30">
        <v>149</v>
      </c>
    </row>
    <row r="581" spans="1:5" x14ac:dyDescent="0.2">
      <c r="A581" s="24">
        <v>7376</v>
      </c>
      <c r="B581" s="29">
        <v>4.0999999999999996</v>
      </c>
      <c r="C581" s="9">
        <v>4.0999999999999996</v>
      </c>
      <c r="D581" s="9">
        <v>3</v>
      </c>
      <c r="E581" s="30">
        <v>109</v>
      </c>
    </row>
    <row r="582" spans="1:5" x14ac:dyDescent="0.2">
      <c r="A582" s="24">
        <v>7385</v>
      </c>
      <c r="B582" s="29">
        <v>1</v>
      </c>
      <c r="C582" s="9">
        <v>1</v>
      </c>
      <c r="D582" s="9">
        <v>1</v>
      </c>
      <c r="E582" s="30">
        <v>0</v>
      </c>
    </row>
    <row r="583" spans="1:5" x14ac:dyDescent="0.2">
      <c r="A583" s="24">
        <v>7386</v>
      </c>
      <c r="B583" s="29">
        <v>1</v>
      </c>
      <c r="C583" s="9">
        <v>1</v>
      </c>
      <c r="D583" s="9">
        <v>1</v>
      </c>
      <c r="E583" s="30">
        <v>0</v>
      </c>
    </row>
    <row r="584" spans="1:5" x14ac:dyDescent="0.2">
      <c r="A584" s="24">
        <v>7455</v>
      </c>
      <c r="B584" s="29">
        <v>4.0999999999999996</v>
      </c>
      <c r="C584" s="9">
        <v>4.0999999999999996</v>
      </c>
      <c r="D584" s="9">
        <v>3</v>
      </c>
      <c r="E584" s="30">
        <v>317</v>
      </c>
    </row>
    <row r="585" spans="1:5" x14ac:dyDescent="0.2">
      <c r="A585" s="24">
        <v>7486</v>
      </c>
      <c r="B585" s="29">
        <v>2.1</v>
      </c>
      <c r="C585" s="9">
        <v>2.1</v>
      </c>
      <c r="D585" s="9">
        <v>1</v>
      </c>
      <c r="E585" s="30">
        <v>0</v>
      </c>
    </row>
    <row r="586" spans="1:5" x14ac:dyDescent="0.2">
      <c r="A586" s="24">
        <v>7500</v>
      </c>
      <c r="B586" s="29">
        <v>2.1</v>
      </c>
      <c r="C586" s="9">
        <v>2.1</v>
      </c>
      <c r="D586" s="9">
        <v>1</v>
      </c>
      <c r="E586" s="30">
        <v>0</v>
      </c>
    </row>
    <row r="587" spans="1:5" x14ac:dyDescent="0.2">
      <c r="A587" s="24">
        <v>7507</v>
      </c>
      <c r="B587" s="29">
        <v>1</v>
      </c>
      <c r="C587" s="9">
        <v>1</v>
      </c>
      <c r="D587" s="9">
        <v>1</v>
      </c>
      <c r="E587" s="30">
        <v>0</v>
      </c>
    </row>
    <row r="588" spans="1:5" x14ac:dyDescent="0.2">
      <c r="A588" s="24">
        <v>7508</v>
      </c>
      <c r="B588" s="29">
        <v>1</v>
      </c>
      <c r="C588" s="9">
        <v>1</v>
      </c>
      <c r="D588" s="9">
        <v>1</v>
      </c>
      <c r="E588" s="30">
        <v>0</v>
      </c>
    </row>
    <row r="589" spans="1:5" x14ac:dyDescent="0.2">
      <c r="A589" s="24">
        <v>7509</v>
      </c>
      <c r="B589" s="29">
        <v>2</v>
      </c>
      <c r="C589" s="9">
        <v>2</v>
      </c>
      <c r="D589" s="9">
        <v>2</v>
      </c>
      <c r="E589" s="30">
        <v>0</v>
      </c>
    </row>
    <row r="590" spans="1:5" x14ac:dyDescent="0.2">
      <c r="A590" s="24">
        <v>7517</v>
      </c>
      <c r="B590" s="29">
        <v>2.1</v>
      </c>
      <c r="C590" s="9">
        <v>2.1</v>
      </c>
      <c r="D590" s="9">
        <v>1</v>
      </c>
      <c r="E590" s="30">
        <v>0</v>
      </c>
    </row>
    <row r="591" spans="1:5" x14ac:dyDescent="0.2">
      <c r="A591" s="24">
        <v>7519</v>
      </c>
      <c r="B591" s="29">
        <v>2.9999999999999996</v>
      </c>
      <c r="C591" s="9">
        <v>2.9999999999999996</v>
      </c>
      <c r="D591" s="9">
        <v>3</v>
      </c>
      <c r="E591" s="30">
        <v>34</v>
      </c>
    </row>
    <row r="592" spans="1:5" x14ac:dyDescent="0.2">
      <c r="A592" s="24">
        <v>7536</v>
      </c>
      <c r="B592" s="29">
        <v>1</v>
      </c>
      <c r="C592" s="9">
        <v>1</v>
      </c>
      <c r="D592" s="9">
        <v>2</v>
      </c>
      <c r="E592" s="30">
        <v>30</v>
      </c>
    </row>
    <row r="593" spans="1:5" x14ac:dyDescent="0.2">
      <c r="A593" s="24">
        <v>7538</v>
      </c>
      <c r="B593" s="29">
        <v>1</v>
      </c>
      <c r="C593" s="9">
        <v>1</v>
      </c>
      <c r="D593" s="9">
        <v>1</v>
      </c>
      <c r="E593" s="30">
        <v>0</v>
      </c>
    </row>
    <row r="594" spans="1:5" x14ac:dyDescent="0.2">
      <c r="A594" s="24">
        <v>7544</v>
      </c>
      <c r="B594" s="29">
        <v>2.1</v>
      </c>
      <c r="C594" s="9">
        <v>2.1</v>
      </c>
      <c r="D594" s="9">
        <v>1</v>
      </c>
      <c r="E594" s="30">
        <v>0</v>
      </c>
    </row>
    <row r="595" spans="1:5" x14ac:dyDescent="0.2">
      <c r="A595" s="24">
        <v>7573</v>
      </c>
      <c r="B595" s="29">
        <v>1</v>
      </c>
      <c r="C595" s="9">
        <v>1</v>
      </c>
      <c r="D595" s="9">
        <v>1</v>
      </c>
      <c r="E595" s="30">
        <v>0</v>
      </c>
    </row>
    <row r="596" spans="1:5" x14ac:dyDescent="0.2">
      <c r="A596" s="24">
        <v>7580</v>
      </c>
      <c r="B596" s="29">
        <v>1</v>
      </c>
      <c r="C596" s="9">
        <v>1</v>
      </c>
      <c r="D596" s="9">
        <v>1</v>
      </c>
      <c r="E596" s="30">
        <v>4</v>
      </c>
    </row>
    <row r="597" spans="1:5" x14ac:dyDescent="0.2">
      <c r="A597" s="24">
        <v>7590</v>
      </c>
      <c r="B597" s="29">
        <v>1</v>
      </c>
      <c r="C597" s="9">
        <v>1</v>
      </c>
      <c r="D597" s="9">
        <v>1</v>
      </c>
      <c r="E597" s="30">
        <v>0</v>
      </c>
    </row>
    <row r="598" spans="1:5" x14ac:dyDescent="0.2">
      <c r="A598" s="24">
        <v>7593</v>
      </c>
      <c r="B598" s="29">
        <v>2.1</v>
      </c>
      <c r="C598" s="9">
        <v>2.1</v>
      </c>
      <c r="D598" s="9">
        <v>1</v>
      </c>
      <c r="E598" s="30">
        <v>0</v>
      </c>
    </row>
    <row r="599" spans="1:5" x14ac:dyDescent="0.2">
      <c r="A599" s="24">
        <v>7596</v>
      </c>
      <c r="B599" s="29">
        <v>1</v>
      </c>
      <c r="C599" s="9">
        <v>1</v>
      </c>
      <c r="D599" s="9">
        <v>1</v>
      </c>
      <c r="E599" s="30">
        <v>0</v>
      </c>
    </row>
    <row r="600" spans="1:5" x14ac:dyDescent="0.2">
      <c r="A600" s="24">
        <v>7640</v>
      </c>
      <c r="B600" s="29">
        <v>1</v>
      </c>
      <c r="C600" s="9">
        <v>1</v>
      </c>
      <c r="D600" s="9">
        <v>1</v>
      </c>
      <c r="E600" s="30">
        <v>0</v>
      </c>
    </row>
    <row r="601" spans="1:5" x14ac:dyDescent="0.2">
      <c r="A601" s="24">
        <v>7655</v>
      </c>
      <c r="B601" s="29">
        <v>1</v>
      </c>
      <c r="C601" s="9">
        <v>1</v>
      </c>
      <c r="D601" s="9">
        <v>1</v>
      </c>
      <c r="E601" s="30">
        <v>0</v>
      </c>
    </row>
    <row r="602" spans="1:5" x14ac:dyDescent="0.2">
      <c r="A602" s="24">
        <v>7686</v>
      </c>
      <c r="B602" s="29">
        <v>3</v>
      </c>
      <c r="C602" s="9">
        <v>3</v>
      </c>
      <c r="D602" s="9">
        <v>3</v>
      </c>
      <c r="E602" s="30">
        <v>47</v>
      </c>
    </row>
    <row r="603" spans="1:5" x14ac:dyDescent="0.2">
      <c r="A603" s="24">
        <v>7693</v>
      </c>
      <c r="B603" s="29">
        <v>1</v>
      </c>
      <c r="C603" s="9">
        <v>1</v>
      </c>
      <c r="D603" s="9">
        <v>1</v>
      </c>
      <c r="E603" s="30">
        <v>0</v>
      </c>
    </row>
    <row r="604" spans="1:5" x14ac:dyDescent="0.2">
      <c r="A604" s="24">
        <v>7710</v>
      </c>
      <c r="B604" s="29">
        <v>5</v>
      </c>
      <c r="C604" s="9">
        <v>5</v>
      </c>
      <c r="D604" s="9">
        <v>3</v>
      </c>
      <c r="E604" s="30">
        <v>574</v>
      </c>
    </row>
    <row r="605" spans="1:5" x14ac:dyDescent="0.2">
      <c r="A605" s="24">
        <v>7713</v>
      </c>
      <c r="B605" s="29">
        <v>1</v>
      </c>
      <c r="C605" s="9">
        <v>1</v>
      </c>
      <c r="D605" s="9">
        <v>1</v>
      </c>
      <c r="E605" s="30">
        <v>0</v>
      </c>
    </row>
    <row r="606" spans="1:5" x14ac:dyDescent="0.2">
      <c r="A606" s="24">
        <v>7716</v>
      </c>
      <c r="B606" s="29">
        <v>1</v>
      </c>
      <c r="C606" s="9">
        <v>1</v>
      </c>
      <c r="D606" s="9">
        <v>1</v>
      </c>
      <c r="E606" s="30">
        <v>0</v>
      </c>
    </row>
    <row r="607" spans="1:5" x14ac:dyDescent="0.2">
      <c r="A607" s="24">
        <v>7727</v>
      </c>
      <c r="B607" s="29">
        <v>4.0999999999999996</v>
      </c>
      <c r="C607" s="9">
        <v>4.0999999999999996</v>
      </c>
      <c r="D607" s="9">
        <v>3</v>
      </c>
      <c r="E607" s="30">
        <v>185</v>
      </c>
    </row>
    <row r="608" spans="1:5" x14ac:dyDescent="0.2">
      <c r="A608" s="24">
        <v>7741</v>
      </c>
      <c r="B608" s="29">
        <v>1</v>
      </c>
      <c r="C608" s="9">
        <v>1</v>
      </c>
      <c r="D608" s="9">
        <v>1</v>
      </c>
      <c r="E608" s="30">
        <v>0</v>
      </c>
    </row>
    <row r="609" spans="1:5" x14ac:dyDescent="0.2">
      <c r="A609" s="24">
        <v>7745</v>
      </c>
      <c r="B609" s="29">
        <v>1</v>
      </c>
      <c r="C609" s="9">
        <v>1</v>
      </c>
      <c r="D609" s="9">
        <v>1</v>
      </c>
      <c r="E609" s="30">
        <v>0</v>
      </c>
    </row>
    <row r="610" spans="1:5" x14ac:dyDescent="0.2">
      <c r="A610" s="24">
        <v>7750</v>
      </c>
      <c r="B610" s="29">
        <v>1</v>
      </c>
      <c r="C610" s="9">
        <v>1</v>
      </c>
      <c r="D610" s="9">
        <v>1</v>
      </c>
      <c r="E610" s="30">
        <v>0</v>
      </c>
    </row>
    <row r="611" spans="1:5" x14ac:dyDescent="0.2">
      <c r="A611" s="24">
        <v>7757</v>
      </c>
      <c r="B611" s="29">
        <v>2</v>
      </c>
      <c r="C611" s="9">
        <v>2</v>
      </c>
      <c r="D611" s="9">
        <v>2</v>
      </c>
      <c r="E611" s="30">
        <v>7</v>
      </c>
    </row>
    <row r="612" spans="1:5" x14ac:dyDescent="0.2">
      <c r="A612" s="24">
        <v>7762</v>
      </c>
      <c r="B612" s="29">
        <v>1</v>
      </c>
      <c r="C612" s="9">
        <v>1</v>
      </c>
      <c r="D612" s="9">
        <v>1</v>
      </c>
      <c r="E612" s="30">
        <v>0</v>
      </c>
    </row>
    <row r="613" spans="1:5" x14ac:dyDescent="0.2">
      <c r="A613" s="24">
        <v>7765</v>
      </c>
      <c r="B613" s="29">
        <v>1</v>
      </c>
      <c r="C613" s="9">
        <v>1</v>
      </c>
      <c r="D613" s="9">
        <v>1</v>
      </c>
      <c r="E613" s="30">
        <v>0</v>
      </c>
    </row>
    <row r="614" spans="1:5" x14ac:dyDescent="0.2">
      <c r="A614" s="24">
        <v>7773</v>
      </c>
      <c r="B614" s="29">
        <v>3.0999999999999996</v>
      </c>
      <c r="C614" s="9">
        <v>3.0999999999999996</v>
      </c>
      <c r="D614" s="9">
        <v>2</v>
      </c>
      <c r="E614" s="30">
        <v>30</v>
      </c>
    </row>
    <row r="615" spans="1:5" x14ac:dyDescent="0.2">
      <c r="A615" s="24">
        <v>7781</v>
      </c>
      <c r="B615" s="29">
        <v>1</v>
      </c>
      <c r="C615" s="9">
        <v>1</v>
      </c>
      <c r="D615" s="9">
        <v>1</v>
      </c>
      <c r="E615" s="30">
        <v>0</v>
      </c>
    </row>
    <row r="616" spans="1:5" x14ac:dyDescent="0.2">
      <c r="A616" s="24">
        <v>7787</v>
      </c>
      <c r="B616" s="29">
        <v>1</v>
      </c>
      <c r="C616" s="9">
        <v>1</v>
      </c>
      <c r="D616" s="9">
        <v>1</v>
      </c>
      <c r="E616" s="30">
        <v>0</v>
      </c>
    </row>
    <row r="617" spans="1:5" x14ac:dyDescent="0.2">
      <c r="A617" s="24">
        <v>7792</v>
      </c>
      <c r="B617" s="29">
        <v>2.2000000000000002</v>
      </c>
      <c r="C617" s="9">
        <v>2.2000000000000002</v>
      </c>
      <c r="D617" s="9">
        <v>1</v>
      </c>
      <c r="E617" s="30">
        <v>0</v>
      </c>
    </row>
    <row r="618" spans="1:5" x14ac:dyDescent="0.2">
      <c r="A618" s="24">
        <v>7813</v>
      </c>
      <c r="B618" s="29">
        <v>1</v>
      </c>
      <c r="C618" s="9">
        <v>1</v>
      </c>
      <c r="D618" s="9">
        <v>1</v>
      </c>
      <c r="E618" s="30">
        <v>0</v>
      </c>
    </row>
    <row r="619" spans="1:5" x14ac:dyDescent="0.2">
      <c r="A619" s="24">
        <v>7852</v>
      </c>
      <c r="B619" s="29">
        <v>1</v>
      </c>
      <c r="C619" s="9">
        <v>1</v>
      </c>
      <c r="D619" s="9">
        <v>1</v>
      </c>
      <c r="E619" s="30">
        <v>0</v>
      </c>
    </row>
    <row r="620" spans="1:5" x14ac:dyDescent="0.2">
      <c r="A620" s="24">
        <v>7886</v>
      </c>
      <c r="B620" s="29">
        <v>2.2000000000000002</v>
      </c>
      <c r="C620" s="9">
        <v>2.2000000000000002</v>
      </c>
      <c r="D620" s="9">
        <v>1</v>
      </c>
      <c r="E620" s="30">
        <v>0</v>
      </c>
    </row>
    <row r="621" spans="1:5" x14ac:dyDescent="0.2">
      <c r="A621" s="24">
        <v>7918</v>
      </c>
      <c r="B621" s="29">
        <v>2.1</v>
      </c>
      <c r="C621" s="9">
        <v>2.1</v>
      </c>
      <c r="D621" s="9">
        <v>1</v>
      </c>
      <c r="E621" s="30">
        <v>0</v>
      </c>
    </row>
    <row r="622" spans="1:5" x14ac:dyDescent="0.2">
      <c r="A622" s="24">
        <v>8001</v>
      </c>
      <c r="B622" s="29">
        <v>1</v>
      </c>
      <c r="C622" s="9">
        <v>1</v>
      </c>
      <c r="D622" s="9">
        <v>1</v>
      </c>
      <c r="E622" s="30">
        <v>0</v>
      </c>
    </row>
    <row r="623" spans="1:5" x14ac:dyDescent="0.2">
      <c r="A623" s="24">
        <v>8003</v>
      </c>
      <c r="B623" s="29">
        <v>1</v>
      </c>
      <c r="C623" s="9">
        <v>1</v>
      </c>
      <c r="D623" s="9">
        <v>1</v>
      </c>
      <c r="E623" s="30">
        <v>0</v>
      </c>
    </row>
    <row r="624" spans="1:5" x14ac:dyDescent="0.2">
      <c r="A624" s="24">
        <v>8005</v>
      </c>
      <c r="B624" s="29">
        <v>1</v>
      </c>
      <c r="C624" s="9">
        <v>1</v>
      </c>
      <c r="D624" s="9">
        <v>1</v>
      </c>
      <c r="E624" s="30">
        <v>0</v>
      </c>
    </row>
    <row r="625" spans="1:5" x14ac:dyDescent="0.2">
      <c r="A625" s="24">
        <v>8011</v>
      </c>
      <c r="B625" s="29">
        <v>3</v>
      </c>
      <c r="C625" s="9">
        <v>3</v>
      </c>
      <c r="D625" s="9">
        <v>1</v>
      </c>
      <c r="E625" s="30">
        <v>0</v>
      </c>
    </row>
    <row r="626" spans="1:5" x14ac:dyDescent="0.2">
      <c r="A626" s="24">
        <v>8014</v>
      </c>
      <c r="B626" s="29">
        <v>1</v>
      </c>
      <c r="C626" s="9">
        <v>1</v>
      </c>
      <c r="D626" s="9">
        <v>1</v>
      </c>
      <c r="E626" s="30">
        <v>0</v>
      </c>
    </row>
    <row r="627" spans="1:5" x14ac:dyDescent="0.2">
      <c r="A627" s="24">
        <v>8022</v>
      </c>
      <c r="B627" s="29">
        <v>1</v>
      </c>
      <c r="C627" s="9">
        <v>1</v>
      </c>
      <c r="D627" s="9">
        <v>1</v>
      </c>
      <c r="E627" s="30">
        <v>1</v>
      </c>
    </row>
    <row r="628" spans="1:5" x14ac:dyDescent="0.2">
      <c r="A628" s="24">
        <v>8026</v>
      </c>
      <c r="B628" s="29">
        <v>1</v>
      </c>
      <c r="C628" s="9">
        <v>1</v>
      </c>
      <c r="D628" s="9">
        <v>1</v>
      </c>
      <c r="E628" s="30">
        <v>0</v>
      </c>
    </row>
    <row r="629" spans="1:5" x14ac:dyDescent="0.2">
      <c r="A629" s="24">
        <v>8057</v>
      </c>
      <c r="B629" s="29">
        <v>1</v>
      </c>
      <c r="C629" s="9">
        <v>1</v>
      </c>
      <c r="D629" s="9">
        <v>1</v>
      </c>
      <c r="E629" s="30">
        <v>0</v>
      </c>
    </row>
    <row r="630" spans="1:5" x14ac:dyDescent="0.2">
      <c r="A630" s="24">
        <v>8058</v>
      </c>
      <c r="B630" s="29">
        <v>1</v>
      </c>
      <c r="C630" s="9">
        <v>1</v>
      </c>
      <c r="D630" s="9">
        <v>1</v>
      </c>
      <c r="E630" s="30">
        <v>0</v>
      </c>
    </row>
    <row r="631" spans="1:5" x14ac:dyDescent="0.2">
      <c r="A631" s="24">
        <v>8061</v>
      </c>
      <c r="B631" s="29">
        <v>2.1</v>
      </c>
      <c r="C631" s="9">
        <v>2.1</v>
      </c>
      <c r="D631" s="9">
        <v>1</v>
      </c>
      <c r="E631" s="30">
        <v>0</v>
      </c>
    </row>
    <row r="632" spans="1:5" x14ac:dyDescent="0.2">
      <c r="A632" s="24">
        <v>8065</v>
      </c>
      <c r="B632" s="29">
        <v>1</v>
      </c>
      <c r="C632" s="9">
        <v>1</v>
      </c>
      <c r="D632" s="9">
        <v>1</v>
      </c>
      <c r="E632" s="30">
        <v>0</v>
      </c>
    </row>
    <row r="633" spans="1:5" x14ac:dyDescent="0.2">
      <c r="A633" s="24">
        <v>8066</v>
      </c>
      <c r="B633" s="29">
        <v>1</v>
      </c>
      <c r="C633" s="9">
        <v>1</v>
      </c>
      <c r="D633" s="9">
        <v>1</v>
      </c>
      <c r="E633" s="30">
        <v>0</v>
      </c>
    </row>
    <row r="634" spans="1:5" x14ac:dyDescent="0.2">
      <c r="A634" s="24">
        <v>8067</v>
      </c>
      <c r="B634" s="29">
        <v>1</v>
      </c>
      <c r="C634" s="9">
        <v>1</v>
      </c>
      <c r="D634" s="9">
        <v>1</v>
      </c>
      <c r="E634" s="30">
        <v>0</v>
      </c>
    </row>
    <row r="635" spans="1:5" x14ac:dyDescent="0.2">
      <c r="A635" s="24">
        <v>8068</v>
      </c>
      <c r="B635" s="29">
        <v>2.1</v>
      </c>
      <c r="C635" s="9">
        <v>2.1</v>
      </c>
      <c r="D635" s="9">
        <v>1</v>
      </c>
      <c r="E635" s="30">
        <v>0</v>
      </c>
    </row>
    <row r="636" spans="1:5" x14ac:dyDescent="0.2">
      <c r="A636" s="24">
        <v>8074</v>
      </c>
      <c r="B636" s="29">
        <v>1</v>
      </c>
      <c r="C636" s="9">
        <v>1</v>
      </c>
      <c r="D636" s="9">
        <v>1</v>
      </c>
      <c r="E636" s="30">
        <v>0</v>
      </c>
    </row>
    <row r="637" spans="1:5" x14ac:dyDescent="0.2">
      <c r="A637" s="24">
        <v>8075</v>
      </c>
      <c r="B637" s="29">
        <v>4.0999999999999996</v>
      </c>
      <c r="C637" s="9">
        <v>4.0999999999999996</v>
      </c>
      <c r="D637" s="9">
        <v>3</v>
      </c>
      <c r="E637" s="30">
        <v>99</v>
      </c>
    </row>
    <row r="638" spans="1:5" x14ac:dyDescent="0.2">
      <c r="A638" s="24">
        <v>8088</v>
      </c>
      <c r="B638" s="29">
        <v>3</v>
      </c>
      <c r="C638" s="9">
        <v>3</v>
      </c>
      <c r="D638" s="9">
        <v>1</v>
      </c>
      <c r="E638" s="30">
        <v>0</v>
      </c>
    </row>
    <row r="639" spans="1:5" x14ac:dyDescent="0.2">
      <c r="A639" s="24">
        <v>8119</v>
      </c>
      <c r="B639" s="29">
        <v>1</v>
      </c>
      <c r="C639" s="9">
        <v>1</v>
      </c>
      <c r="D639" s="9">
        <v>1</v>
      </c>
      <c r="E639" s="30">
        <v>0</v>
      </c>
    </row>
    <row r="640" spans="1:5" x14ac:dyDescent="0.2">
      <c r="A640" s="24">
        <v>8141</v>
      </c>
      <c r="B640" s="29">
        <v>4</v>
      </c>
      <c r="C640" s="9">
        <v>4</v>
      </c>
      <c r="D640" s="9">
        <v>3</v>
      </c>
      <c r="E640" s="30">
        <v>140</v>
      </c>
    </row>
    <row r="641" spans="1:5" x14ac:dyDescent="0.2">
      <c r="A641" s="24">
        <v>8148</v>
      </c>
      <c r="B641" s="29">
        <v>1</v>
      </c>
      <c r="C641" s="9">
        <v>1</v>
      </c>
      <c r="D641" s="9">
        <v>1</v>
      </c>
      <c r="E641" s="30">
        <v>0</v>
      </c>
    </row>
    <row r="642" spans="1:5" x14ac:dyDescent="0.2">
      <c r="A642" s="24">
        <v>8157</v>
      </c>
      <c r="B642" s="29">
        <v>1</v>
      </c>
      <c r="C642" s="9">
        <v>1</v>
      </c>
      <c r="D642" s="9">
        <v>1</v>
      </c>
      <c r="E642" s="30">
        <v>0</v>
      </c>
    </row>
    <row r="643" spans="1:5" x14ac:dyDescent="0.2">
      <c r="A643" s="24" t="s">
        <v>50</v>
      </c>
      <c r="B643" s="29" t="e">
        <v>#N/A</v>
      </c>
      <c r="C643" s="9" t="e">
        <v>#N/A</v>
      </c>
      <c r="D643" s="9">
        <v>3</v>
      </c>
      <c r="E643" s="30">
        <v>0</v>
      </c>
    </row>
    <row r="644" spans="1:5" x14ac:dyDescent="0.2">
      <c r="A644" s="24" t="s">
        <v>155</v>
      </c>
      <c r="B644" s="29"/>
      <c r="C644" s="9"/>
      <c r="D644" s="9"/>
      <c r="E644" s="30"/>
    </row>
    <row r="645" spans="1:5" x14ac:dyDescent="0.2">
      <c r="A645" s="25" t="s">
        <v>295</v>
      </c>
      <c r="B645" s="31" t="e">
        <v>#N/A</v>
      </c>
      <c r="C645" s="159" t="e">
        <v>#N/A</v>
      </c>
      <c r="D645" s="159">
        <v>3</v>
      </c>
      <c r="E645" s="32">
        <v>1754</v>
      </c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 enableFormatConditionsCalculation="0">
    <tabColor indexed="47"/>
  </sheetPr>
  <dimension ref="A1:P2047"/>
  <sheetViews>
    <sheetView zoomScale="85" workbookViewId="0">
      <selection activeCell="A5" sqref="A5:XFD1953"/>
    </sheetView>
  </sheetViews>
  <sheetFormatPr defaultColWidth="12.140625" defaultRowHeight="12.75" x14ac:dyDescent="0.2"/>
  <cols>
    <col min="1" max="1" width="26.7109375" style="120" customWidth="1"/>
    <col min="2" max="2" width="64.85546875" style="117" customWidth="1"/>
    <col min="3" max="3" width="22.140625" style="116" bestFit="1" customWidth="1"/>
    <col min="4" max="4" width="10" style="117" customWidth="1"/>
    <col min="5" max="5" width="18.140625" style="117" bestFit="1" customWidth="1"/>
    <col min="6" max="6" width="10.28515625" style="117" bestFit="1" customWidth="1"/>
    <col min="7" max="7" width="29.42578125" style="117" customWidth="1"/>
    <col min="8" max="8" width="10.7109375" style="119" bestFit="1" customWidth="1"/>
    <col min="9" max="9" width="8.85546875" style="117" bestFit="1" customWidth="1"/>
    <col min="10" max="10" width="21.85546875" style="120" bestFit="1" customWidth="1"/>
    <col min="11" max="11" width="19.7109375" style="116" bestFit="1" customWidth="1"/>
    <col min="12" max="12" width="10.28515625" style="117" bestFit="1" customWidth="1"/>
    <col min="13" max="14" width="17.7109375" style="117" customWidth="1"/>
    <col min="15" max="15" width="3.7109375" style="117" customWidth="1"/>
    <col min="16" max="16" width="16.5703125" style="117" bestFit="1" customWidth="1"/>
    <col min="17" max="18" width="2.7109375" style="117" customWidth="1"/>
    <col min="19" max="16384" width="12.140625" style="117"/>
  </cols>
  <sheetData>
    <row r="1" spans="1:16" x14ac:dyDescent="0.2">
      <c r="A1" s="114" t="s">
        <v>101</v>
      </c>
      <c r="B1" s="115">
        <v>42647.419710648152</v>
      </c>
      <c r="E1" s="118"/>
    </row>
    <row r="2" spans="1:16" x14ac:dyDescent="0.2">
      <c r="A2" s="114" t="s">
        <v>102</v>
      </c>
      <c r="B2" s="121">
        <v>42644</v>
      </c>
      <c r="C2" s="122"/>
      <c r="G2" s="117">
        <f>COLUMN(G2)</f>
        <v>7</v>
      </c>
      <c r="K2" s="123"/>
      <c r="L2" s="117">
        <f t="shared" ref="L2:P2" si="0">COLUMN(L2)</f>
        <v>12</v>
      </c>
      <c r="M2" s="117">
        <f t="shared" si="0"/>
        <v>13</v>
      </c>
      <c r="N2" s="117">
        <f t="shared" si="0"/>
        <v>14</v>
      </c>
      <c r="O2" s="117">
        <f t="shared" si="0"/>
        <v>15</v>
      </c>
      <c r="P2" s="117">
        <f t="shared" si="0"/>
        <v>16</v>
      </c>
    </row>
    <row r="3" spans="1:16" ht="51" x14ac:dyDescent="0.2">
      <c r="A3" s="124" t="s">
        <v>333</v>
      </c>
      <c r="B3" s="125" t="s">
        <v>332</v>
      </c>
      <c r="C3" s="126" t="s">
        <v>103</v>
      </c>
      <c r="D3" s="125" t="s">
        <v>104</v>
      </c>
      <c r="E3" s="125" t="s">
        <v>105</v>
      </c>
      <c r="F3" s="125" t="s">
        <v>106</v>
      </c>
      <c r="G3" s="127" t="s">
        <v>107</v>
      </c>
      <c r="H3" s="128" t="s">
        <v>108</v>
      </c>
      <c r="I3" s="125" t="s">
        <v>109</v>
      </c>
      <c r="J3" s="124" t="s">
        <v>411</v>
      </c>
      <c r="K3" s="126" t="s">
        <v>513</v>
      </c>
      <c r="L3" s="125" t="s">
        <v>514</v>
      </c>
      <c r="M3" s="154" t="s">
        <v>1328</v>
      </c>
      <c r="N3" s="154" t="s">
        <v>1329</v>
      </c>
      <c r="P3" s="125" t="s">
        <v>44</v>
      </c>
    </row>
    <row r="4" spans="1:16" x14ac:dyDescent="0.2">
      <c r="A4" s="129" t="s">
        <v>50</v>
      </c>
      <c r="B4" s="130" t="s">
        <v>50</v>
      </c>
      <c r="C4" s="140" t="s">
        <v>50</v>
      </c>
      <c r="D4" s="131" t="s">
        <v>50</v>
      </c>
      <c r="E4" s="129" t="s">
        <v>50</v>
      </c>
      <c r="F4" s="131" t="s">
        <v>50</v>
      </c>
      <c r="G4" s="130" t="s">
        <v>50</v>
      </c>
      <c r="H4" s="131" t="s">
        <v>50</v>
      </c>
      <c r="I4" s="132" t="s">
        <v>50</v>
      </c>
      <c r="J4" s="129" t="s">
        <v>50</v>
      </c>
      <c r="K4" s="140" t="s">
        <v>50</v>
      </c>
      <c r="L4" s="133" t="s">
        <v>50</v>
      </c>
      <c r="M4" s="140" t="s">
        <v>50</v>
      </c>
      <c r="N4" s="140" t="s">
        <v>50</v>
      </c>
      <c r="P4" s="141" t="s">
        <v>50</v>
      </c>
    </row>
    <row r="5" spans="1:16" x14ac:dyDescent="0.2">
      <c r="A5" s="129"/>
      <c r="B5" s="130"/>
      <c r="C5" s="140"/>
      <c r="D5" s="131"/>
      <c r="E5" s="129"/>
      <c r="F5" s="131"/>
      <c r="G5" s="130"/>
      <c r="H5" s="131"/>
      <c r="I5" s="132"/>
      <c r="J5" s="129"/>
      <c r="K5" s="140"/>
      <c r="L5" s="133"/>
      <c r="M5" s="140"/>
      <c r="N5" s="140"/>
      <c r="P5" s="141"/>
    </row>
    <row r="6" spans="1:16" x14ac:dyDescent="0.2">
      <c r="A6" s="129"/>
      <c r="B6" s="130"/>
      <c r="C6" s="140"/>
      <c r="D6" s="131"/>
      <c r="E6" s="129"/>
      <c r="F6" s="131"/>
      <c r="G6" s="130"/>
      <c r="H6" s="131"/>
      <c r="I6" s="132"/>
      <c r="J6" s="129"/>
      <c r="K6" s="140"/>
      <c r="L6" s="133"/>
      <c r="M6" s="140"/>
      <c r="N6" s="140"/>
      <c r="P6" s="141"/>
    </row>
    <row r="7" spans="1:16" x14ac:dyDescent="0.2">
      <c r="A7" s="129"/>
      <c r="B7" s="130"/>
      <c r="C7" s="140"/>
      <c r="D7" s="131"/>
      <c r="E7" s="129"/>
      <c r="F7" s="131"/>
      <c r="G7" s="130"/>
      <c r="H7" s="131"/>
      <c r="I7" s="132"/>
      <c r="J7" s="129"/>
      <c r="K7" s="140"/>
      <c r="L7" s="133"/>
      <c r="M7" s="140"/>
      <c r="N7" s="140"/>
      <c r="P7" s="141"/>
    </row>
    <row r="8" spans="1:16" x14ac:dyDescent="0.2">
      <c r="A8" s="129"/>
      <c r="B8" s="130"/>
      <c r="C8" s="140"/>
      <c r="D8" s="131"/>
      <c r="E8" s="129"/>
      <c r="F8" s="131"/>
      <c r="G8" s="130"/>
      <c r="H8" s="131"/>
      <c r="I8" s="132"/>
      <c r="J8" s="129"/>
      <c r="K8" s="140"/>
      <c r="L8" s="133"/>
      <c r="M8" s="140"/>
      <c r="N8" s="140"/>
      <c r="P8" s="141"/>
    </row>
    <row r="9" spans="1:16" x14ac:dyDescent="0.2">
      <c r="A9" s="129"/>
      <c r="B9" s="130"/>
      <c r="C9" s="140"/>
      <c r="D9" s="131"/>
      <c r="E9" s="129"/>
      <c r="F9" s="131"/>
      <c r="G9" s="130"/>
      <c r="H9" s="131"/>
      <c r="I9" s="132"/>
      <c r="J9" s="129"/>
      <c r="K9" s="140"/>
      <c r="L9" s="133"/>
      <c r="M9" s="140"/>
      <c r="N9" s="140"/>
      <c r="P9" s="141"/>
    </row>
    <row r="10" spans="1:16" x14ac:dyDescent="0.2">
      <c r="A10" s="129"/>
      <c r="B10" s="130"/>
      <c r="C10" s="140"/>
      <c r="D10" s="131"/>
      <c r="E10" s="129"/>
      <c r="F10" s="131"/>
      <c r="G10" s="130"/>
      <c r="H10" s="131"/>
      <c r="I10" s="132"/>
      <c r="J10" s="129"/>
      <c r="K10" s="140"/>
      <c r="L10" s="133"/>
      <c r="M10" s="140"/>
      <c r="N10" s="140"/>
      <c r="P10" s="141"/>
    </row>
    <row r="11" spans="1:16" x14ac:dyDescent="0.2">
      <c r="A11" s="129"/>
      <c r="B11" s="130"/>
      <c r="C11" s="140"/>
      <c r="D11" s="131"/>
      <c r="E11" s="129"/>
      <c r="F11" s="131"/>
      <c r="G11" s="130"/>
      <c r="H11" s="131"/>
      <c r="I11" s="132"/>
      <c r="J11" s="129"/>
      <c r="K11" s="140"/>
      <c r="L11" s="133"/>
      <c r="M11" s="140"/>
      <c r="N11" s="140"/>
      <c r="P11" s="141"/>
    </row>
    <row r="12" spans="1:16" x14ac:dyDescent="0.2">
      <c r="A12" s="129"/>
      <c r="B12" s="130"/>
      <c r="C12" s="140"/>
      <c r="D12" s="131"/>
      <c r="E12" s="129"/>
      <c r="F12" s="131"/>
      <c r="G12" s="130"/>
      <c r="H12" s="131"/>
      <c r="I12" s="132"/>
      <c r="J12" s="129"/>
      <c r="K12" s="140"/>
      <c r="L12" s="133"/>
      <c r="M12" s="140"/>
      <c r="N12" s="140"/>
      <c r="P12" s="141"/>
    </row>
    <row r="13" spans="1:16" x14ac:dyDescent="0.2">
      <c r="A13" s="129"/>
      <c r="B13" s="130"/>
      <c r="C13" s="140"/>
      <c r="D13" s="131"/>
      <c r="E13" s="129"/>
      <c r="F13" s="131"/>
      <c r="G13" s="130"/>
      <c r="H13" s="131"/>
      <c r="I13" s="132"/>
      <c r="J13" s="129"/>
      <c r="K13" s="140"/>
      <c r="L13" s="133"/>
      <c r="M13" s="140"/>
      <c r="N13" s="140"/>
      <c r="P13" s="141"/>
    </row>
    <row r="14" spans="1:16" x14ac:dyDescent="0.2">
      <c r="A14" s="129"/>
      <c r="B14" s="130"/>
      <c r="C14" s="140"/>
      <c r="D14" s="131"/>
      <c r="E14" s="129"/>
      <c r="F14" s="131"/>
      <c r="G14" s="130"/>
      <c r="H14" s="131"/>
      <c r="I14" s="132"/>
      <c r="J14" s="129"/>
      <c r="K14" s="140"/>
      <c r="L14" s="133"/>
      <c r="M14" s="140"/>
      <c r="N14" s="140"/>
      <c r="P14" s="141"/>
    </row>
    <row r="15" spans="1:16" x14ac:dyDescent="0.2">
      <c r="A15" s="129"/>
      <c r="B15" s="130"/>
      <c r="C15" s="140"/>
      <c r="D15" s="131"/>
      <c r="E15" s="129"/>
      <c r="F15" s="131"/>
      <c r="G15" s="130"/>
      <c r="H15" s="131"/>
      <c r="I15" s="132"/>
      <c r="J15" s="129"/>
      <c r="K15" s="140"/>
      <c r="L15" s="133"/>
      <c r="M15" s="140"/>
      <c r="N15" s="140"/>
      <c r="P15" s="141"/>
    </row>
    <row r="16" spans="1:16" x14ac:dyDescent="0.2">
      <c r="A16" s="129"/>
      <c r="B16" s="130"/>
      <c r="C16" s="140"/>
      <c r="D16" s="131"/>
      <c r="E16" s="129"/>
      <c r="F16" s="131"/>
      <c r="G16" s="130"/>
      <c r="H16" s="131"/>
      <c r="I16" s="132"/>
      <c r="J16" s="129"/>
      <c r="K16" s="140"/>
      <c r="L16" s="133"/>
      <c r="M16" s="140"/>
      <c r="N16" s="140"/>
      <c r="P16" s="141"/>
    </row>
    <row r="17" spans="1:16" x14ac:dyDescent="0.2">
      <c r="A17" s="129"/>
      <c r="B17" s="130"/>
      <c r="C17" s="140"/>
      <c r="D17" s="131"/>
      <c r="E17" s="129"/>
      <c r="F17" s="131"/>
      <c r="G17" s="130"/>
      <c r="H17" s="131"/>
      <c r="I17" s="132"/>
      <c r="J17" s="129"/>
      <c r="K17" s="140"/>
      <c r="L17" s="133"/>
      <c r="M17" s="140"/>
      <c r="N17" s="140"/>
      <c r="P17" s="141"/>
    </row>
    <row r="18" spans="1:16" x14ac:dyDescent="0.2">
      <c r="A18" s="129"/>
      <c r="B18" s="130"/>
      <c r="C18" s="140"/>
      <c r="D18" s="131"/>
      <c r="E18" s="129"/>
      <c r="F18" s="131"/>
      <c r="G18" s="130"/>
      <c r="H18" s="131"/>
      <c r="I18" s="132"/>
      <c r="J18" s="129"/>
      <c r="K18" s="140"/>
      <c r="L18" s="133"/>
      <c r="M18" s="140"/>
      <c r="N18" s="140"/>
      <c r="P18" s="141"/>
    </row>
    <row r="19" spans="1:16" x14ac:dyDescent="0.2">
      <c r="A19" s="129"/>
      <c r="B19" s="130"/>
      <c r="C19" s="140"/>
      <c r="D19" s="131"/>
      <c r="E19" s="129"/>
      <c r="F19" s="131"/>
      <c r="G19" s="130"/>
      <c r="H19" s="131"/>
      <c r="I19" s="132"/>
      <c r="J19" s="129"/>
      <c r="K19" s="140"/>
      <c r="L19" s="133"/>
      <c r="M19" s="140"/>
      <c r="N19" s="140"/>
      <c r="P19" s="141"/>
    </row>
    <row r="20" spans="1:16" x14ac:dyDescent="0.2">
      <c r="A20" s="129"/>
      <c r="B20" s="130"/>
      <c r="C20" s="140"/>
      <c r="D20" s="131"/>
      <c r="E20" s="129"/>
      <c r="F20" s="131"/>
      <c r="G20" s="130"/>
      <c r="H20" s="131"/>
      <c r="I20" s="132"/>
      <c r="J20" s="129"/>
      <c r="K20" s="140"/>
      <c r="L20" s="133"/>
      <c r="M20" s="140"/>
      <c r="N20" s="140"/>
      <c r="P20" s="141"/>
    </row>
    <row r="21" spans="1:16" x14ac:dyDescent="0.2">
      <c r="A21" s="129"/>
      <c r="B21" s="130"/>
      <c r="C21" s="140"/>
      <c r="D21" s="131"/>
      <c r="E21" s="129"/>
      <c r="F21" s="131"/>
      <c r="G21" s="130"/>
      <c r="H21" s="131"/>
      <c r="I21" s="132"/>
      <c r="J21" s="129"/>
      <c r="K21" s="140"/>
      <c r="L21" s="133"/>
      <c r="M21" s="140"/>
      <c r="N21" s="140"/>
      <c r="P21" s="141"/>
    </row>
    <row r="22" spans="1:16" x14ac:dyDescent="0.2">
      <c r="A22" s="129"/>
      <c r="B22" s="130"/>
      <c r="C22" s="140"/>
      <c r="D22" s="131"/>
      <c r="E22" s="129"/>
      <c r="F22" s="131"/>
      <c r="G22" s="130"/>
      <c r="H22" s="131"/>
      <c r="I22" s="132"/>
      <c r="J22" s="129"/>
      <c r="K22" s="140"/>
      <c r="L22" s="133"/>
      <c r="M22" s="140"/>
      <c r="N22" s="140"/>
      <c r="P22" s="141"/>
    </row>
    <row r="23" spans="1:16" x14ac:dyDescent="0.2">
      <c r="A23" s="129"/>
      <c r="B23" s="130"/>
      <c r="C23" s="140"/>
      <c r="D23" s="131"/>
      <c r="E23" s="129"/>
      <c r="F23" s="131"/>
      <c r="G23" s="130"/>
      <c r="H23" s="131"/>
      <c r="I23" s="132"/>
      <c r="J23" s="129"/>
      <c r="K23" s="140"/>
      <c r="L23" s="133"/>
      <c r="M23" s="140"/>
      <c r="N23" s="140"/>
      <c r="P23" s="141"/>
    </row>
    <row r="24" spans="1:16" x14ac:dyDescent="0.2">
      <c r="A24" s="129"/>
      <c r="B24" s="130"/>
      <c r="C24" s="140"/>
      <c r="D24" s="131"/>
      <c r="E24" s="129"/>
      <c r="F24" s="131"/>
      <c r="G24" s="130"/>
      <c r="H24" s="131"/>
      <c r="I24" s="132"/>
      <c r="J24" s="129"/>
      <c r="K24" s="140"/>
      <c r="L24" s="133"/>
      <c r="M24" s="140"/>
      <c r="N24" s="140"/>
      <c r="P24" s="141"/>
    </row>
    <row r="25" spans="1:16" x14ac:dyDescent="0.2">
      <c r="A25" s="129"/>
      <c r="B25" s="130"/>
      <c r="C25" s="140"/>
      <c r="D25" s="131"/>
      <c r="E25" s="129"/>
      <c r="F25" s="131"/>
      <c r="G25" s="130"/>
      <c r="H25" s="131"/>
      <c r="I25" s="132"/>
      <c r="J25" s="129"/>
      <c r="K25" s="140"/>
      <c r="L25" s="133"/>
      <c r="M25" s="140"/>
      <c r="N25" s="140"/>
      <c r="P25" s="141"/>
    </row>
    <row r="26" spans="1:16" x14ac:dyDescent="0.2">
      <c r="A26" s="129"/>
      <c r="B26" s="130"/>
      <c r="C26" s="140"/>
      <c r="D26" s="131"/>
      <c r="E26" s="129"/>
      <c r="F26" s="131"/>
      <c r="G26" s="130"/>
      <c r="H26" s="131"/>
      <c r="I26" s="132"/>
      <c r="J26" s="129"/>
      <c r="K26" s="140"/>
      <c r="L26" s="133"/>
      <c r="M26" s="140"/>
      <c r="N26" s="140"/>
      <c r="P26" s="141"/>
    </row>
    <row r="27" spans="1:16" x14ac:dyDescent="0.2">
      <c r="A27" s="129"/>
      <c r="B27" s="130"/>
      <c r="C27" s="140"/>
      <c r="D27" s="131"/>
      <c r="E27" s="129"/>
      <c r="F27" s="131"/>
      <c r="G27" s="130"/>
      <c r="H27" s="131"/>
      <c r="I27" s="132"/>
      <c r="J27" s="129"/>
      <c r="K27" s="140"/>
      <c r="L27" s="133"/>
      <c r="M27" s="140"/>
      <c r="N27" s="140"/>
      <c r="P27" s="141"/>
    </row>
    <row r="28" spans="1:16" x14ac:dyDescent="0.2">
      <c r="A28" s="129"/>
      <c r="B28" s="130"/>
      <c r="C28" s="140"/>
      <c r="D28" s="131"/>
      <c r="E28" s="129"/>
      <c r="F28" s="131"/>
      <c r="G28" s="130"/>
      <c r="H28" s="131"/>
      <c r="I28" s="132"/>
      <c r="J28" s="129"/>
      <c r="K28" s="140"/>
      <c r="L28" s="133"/>
      <c r="M28" s="140"/>
      <c r="N28" s="140"/>
      <c r="P28" s="141"/>
    </row>
    <row r="29" spans="1:16" x14ac:dyDescent="0.2">
      <c r="A29" s="129"/>
      <c r="B29" s="130"/>
      <c r="C29" s="140"/>
      <c r="D29" s="131"/>
      <c r="E29" s="129"/>
      <c r="F29" s="131"/>
      <c r="G29" s="130"/>
      <c r="H29" s="131"/>
      <c r="I29" s="132"/>
      <c r="J29" s="129"/>
      <c r="K29" s="140"/>
      <c r="L29" s="133"/>
      <c r="M29" s="140"/>
      <c r="N29" s="140"/>
      <c r="P29" s="141"/>
    </row>
    <row r="30" spans="1:16" x14ac:dyDescent="0.2">
      <c r="A30" s="129"/>
      <c r="B30" s="130"/>
      <c r="C30" s="140"/>
      <c r="D30" s="131"/>
      <c r="E30" s="129"/>
      <c r="F30" s="131"/>
      <c r="G30" s="130"/>
      <c r="H30" s="131"/>
      <c r="I30" s="132"/>
      <c r="J30" s="129"/>
      <c r="K30" s="140"/>
      <c r="L30" s="133"/>
      <c r="M30" s="140"/>
      <c r="N30" s="140"/>
      <c r="P30" s="141"/>
    </row>
    <row r="31" spans="1:16" x14ac:dyDescent="0.2">
      <c r="A31" s="129"/>
      <c r="B31" s="130"/>
      <c r="C31" s="140"/>
      <c r="D31" s="131"/>
      <c r="E31" s="129"/>
      <c r="F31" s="131"/>
      <c r="G31" s="130"/>
      <c r="H31" s="131"/>
      <c r="I31" s="132"/>
      <c r="J31" s="129"/>
      <c r="K31" s="140"/>
      <c r="L31" s="133"/>
      <c r="M31" s="140"/>
      <c r="N31" s="140"/>
      <c r="P31" s="141"/>
    </row>
    <row r="32" spans="1:16" x14ac:dyDescent="0.2">
      <c r="A32" s="129"/>
      <c r="B32" s="130"/>
      <c r="C32" s="140"/>
      <c r="D32" s="131"/>
      <c r="E32" s="129"/>
      <c r="F32" s="131"/>
      <c r="G32" s="130"/>
      <c r="H32" s="131"/>
      <c r="I32" s="132"/>
      <c r="J32" s="129"/>
      <c r="K32" s="140"/>
      <c r="L32" s="133"/>
      <c r="M32" s="140"/>
      <c r="N32" s="140"/>
      <c r="P32" s="141"/>
    </row>
    <row r="33" spans="1:16" x14ac:dyDescent="0.2">
      <c r="A33" s="129"/>
      <c r="B33" s="130"/>
      <c r="C33" s="140"/>
      <c r="D33" s="131"/>
      <c r="E33" s="129"/>
      <c r="F33" s="131"/>
      <c r="G33" s="130"/>
      <c r="H33" s="131"/>
      <c r="I33" s="132"/>
      <c r="J33" s="129"/>
      <c r="K33" s="140"/>
      <c r="L33" s="133"/>
      <c r="M33" s="140"/>
      <c r="N33" s="140"/>
      <c r="P33" s="141"/>
    </row>
    <row r="34" spans="1:16" x14ac:dyDescent="0.2">
      <c r="A34" s="129"/>
      <c r="B34" s="130"/>
      <c r="C34" s="140"/>
      <c r="D34" s="131"/>
      <c r="E34" s="129"/>
      <c r="F34" s="131"/>
      <c r="G34" s="130"/>
      <c r="H34" s="131"/>
      <c r="I34" s="132"/>
      <c r="J34" s="129"/>
      <c r="K34" s="140"/>
      <c r="L34" s="133"/>
      <c r="M34" s="140"/>
      <c r="N34" s="140"/>
      <c r="P34" s="141"/>
    </row>
    <row r="35" spans="1:16" x14ac:dyDescent="0.2">
      <c r="A35" s="129"/>
      <c r="B35" s="130"/>
      <c r="C35" s="140"/>
      <c r="D35" s="131"/>
      <c r="E35" s="129"/>
      <c r="F35" s="131"/>
      <c r="G35" s="130"/>
      <c r="H35" s="131"/>
      <c r="I35" s="132"/>
      <c r="J35" s="129"/>
      <c r="K35" s="140"/>
      <c r="L35" s="133"/>
      <c r="M35" s="140"/>
      <c r="N35" s="140"/>
      <c r="P35" s="141"/>
    </row>
    <row r="36" spans="1:16" x14ac:dyDescent="0.2">
      <c r="A36" s="129"/>
      <c r="B36" s="130"/>
      <c r="C36" s="140"/>
      <c r="D36" s="131"/>
      <c r="E36" s="129"/>
      <c r="F36" s="131"/>
      <c r="G36" s="130"/>
      <c r="H36" s="131"/>
      <c r="I36" s="132"/>
      <c r="J36" s="129"/>
      <c r="K36" s="140"/>
      <c r="L36" s="133"/>
      <c r="M36" s="140"/>
      <c r="N36" s="140"/>
      <c r="P36" s="141"/>
    </row>
    <row r="37" spans="1:16" x14ac:dyDescent="0.2">
      <c r="A37" s="129"/>
      <c r="B37" s="130"/>
      <c r="C37" s="140"/>
      <c r="D37" s="131"/>
      <c r="E37" s="129"/>
      <c r="F37" s="131"/>
      <c r="G37" s="130"/>
      <c r="H37" s="131"/>
      <c r="I37" s="132"/>
      <c r="J37" s="129"/>
      <c r="K37" s="140"/>
      <c r="L37" s="133"/>
      <c r="M37" s="140"/>
      <c r="N37" s="140"/>
      <c r="P37" s="141"/>
    </row>
    <row r="38" spans="1:16" x14ac:dyDescent="0.2">
      <c r="A38" s="129"/>
      <c r="B38" s="130"/>
      <c r="C38" s="140"/>
      <c r="D38" s="131"/>
      <c r="E38" s="129"/>
      <c r="F38" s="131"/>
      <c r="G38" s="130"/>
      <c r="H38" s="131"/>
      <c r="I38" s="132"/>
      <c r="J38" s="129"/>
      <c r="K38" s="140"/>
      <c r="L38" s="133"/>
      <c r="M38" s="140"/>
      <c r="N38" s="140"/>
      <c r="P38" s="141"/>
    </row>
    <row r="39" spans="1:16" x14ac:dyDescent="0.2">
      <c r="A39" s="129"/>
      <c r="B39" s="130"/>
      <c r="C39" s="140"/>
      <c r="D39" s="131"/>
      <c r="E39" s="129"/>
      <c r="F39" s="131"/>
      <c r="G39" s="130"/>
      <c r="H39" s="131"/>
      <c r="I39" s="132"/>
      <c r="J39" s="129"/>
      <c r="K39" s="140"/>
      <c r="L39" s="133"/>
      <c r="M39" s="140"/>
      <c r="N39" s="140"/>
      <c r="P39" s="141"/>
    </row>
    <row r="40" spans="1:16" x14ac:dyDescent="0.2">
      <c r="A40" s="129"/>
      <c r="B40" s="130"/>
      <c r="C40" s="140"/>
      <c r="D40" s="131"/>
      <c r="E40" s="129"/>
      <c r="F40" s="131"/>
      <c r="G40" s="130"/>
      <c r="H40" s="131"/>
      <c r="I40" s="132"/>
      <c r="J40" s="129"/>
      <c r="K40" s="140"/>
      <c r="L40" s="133"/>
      <c r="M40" s="140"/>
      <c r="N40" s="140"/>
      <c r="P40" s="141"/>
    </row>
    <row r="41" spans="1:16" x14ac:dyDescent="0.2">
      <c r="A41" s="129"/>
      <c r="B41" s="130"/>
      <c r="C41" s="140"/>
      <c r="D41" s="131"/>
      <c r="E41" s="129"/>
      <c r="F41" s="131"/>
      <c r="G41" s="130"/>
      <c r="H41" s="131"/>
      <c r="I41" s="132"/>
      <c r="J41" s="129"/>
      <c r="K41" s="140"/>
      <c r="L41" s="133"/>
      <c r="M41" s="140"/>
      <c r="N41" s="140"/>
      <c r="P41" s="141"/>
    </row>
    <row r="42" spans="1:16" x14ac:dyDescent="0.2">
      <c r="A42" s="129"/>
      <c r="B42" s="130"/>
      <c r="C42" s="140"/>
      <c r="D42" s="131"/>
      <c r="E42" s="129"/>
      <c r="F42" s="131"/>
      <c r="G42" s="130"/>
      <c r="H42" s="131"/>
      <c r="I42" s="132"/>
      <c r="J42" s="129"/>
      <c r="K42" s="140"/>
      <c r="L42" s="133"/>
      <c r="M42" s="140"/>
      <c r="N42" s="140"/>
      <c r="P42" s="141"/>
    </row>
    <row r="43" spans="1:16" x14ac:dyDescent="0.2">
      <c r="A43" s="129"/>
      <c r="B43" s="130"/>
      <c r="C43" s="140"/>
      <c r="D43" s="131"/>
      <c r="E43" s="129"/>
      <c r="F43" s="131"/>
      <c r="G43" s="130"/>
      <c r="H43" s="131"/>
      <c r="I43" s="132"/>
      <c r="J43" s="129"/>
      <c r="K43" s="140"/>
      <c r="L43" s="133"/>
      <c r="M43" s="140"/>
      <c r="N43" s="140"/>
      <c r="P43" s="141"/>
    </row>
    <row r="44" spans="1:16" x14ac:dyDescent="0.2">
      <c r="A44" s="129"/>
      <c r="B44" s="130"/>
      <c r="C44" s="140"/>
      <c r="D44" s="131"/>
      <c r="E44" s="129"/>
      <c r="F44" s="131"/>
      <c r="G44" s="130"/>
      <c r="H44" s="131"/>
      <c r="I44" s="132"/>
      <c r="J44" s="129"/>
      <c r="K44" s="140"/>
      <c r="L44" s="133"/>
      <c r="M44" s="140"/>
      <c r="N44" s="140"/>
      <c r="P44" s="141"/>
    </row>
    <row r="45" spans="1:16" x14ac:dyDescent="0.2">
      <c r="A45" s="129"/>
      <c r="B45" s="130"/>
      <c r="C45" s="140"/>
      <c r="D45" s="131"/>
      <c r="E45" s="129"/>
      <c r="F45" s="131"/>
      <c r="G45" s="130"/>
      <c r="H45" s="131"/>
      <c r="I45" s="132"/>
      <c r="J45" s="129"/>
      <c r="K45" s="140"/>
      <c r="L45" s="133"/>
      <c r="M45" s="140"/>
      <c r="N45" s="140"/>
      <c r="P45" s="141"/>
    </row>
    <row r="46" spans="1:16" x14ac:dyDescent="0.2">
      <c r="A46" s="129"/>
      <c r="B46" s="130"/>
      <c r="C46" s="140"/>
      <c r="D46" s="131"/>
      <c r="E46" s="129"/>
      <c r="F46" s="131"/>
      <c r="G46" s="130"/>
      <c r="H46" s="131"/>
      <c r="I46" s="132"/>
      <c r="J46" s="129"/>
      <c r="K46" s="140"/>
      <c r="L46" s="133"/>
      <c r="M46" s="140"/>
      <c r="N46" s="140"/>
      <c r="P46" s="141"/>
    </row>
    <row r="47" spans="1:16" x14ac:dyDescent="0.2">
      <c r="A47" s="129"/>
      <c r="B47" s="130"/>
      <c r="C47" s="140"/>
      <c r="D47" s="131"/>
      <c r="E47" s="129"/>
      <c r="F47" s="131"/>
      <c r="G47" s="130"/>
      <c r="H47" s="131"/>
      <c r="I47" s="132"/>
      <c r="J47" s="129"/>
      <c r="K47" s="140"/>
      <c r="L47" s="133"/>
      <c r="M47" s="140"/>
      <c r="N47" s="140"/>
      <c r="P47" s="141"/>
    </row>
    <row r="48" spans="1:16" x14ac:dyDescent="0.2">
      <c r="A48" s="129"/>
      <c r="B48" s="130"/>
      <c r="C48" s="140"/>
      <c r="D48" s="131"/>
      <c r="E48" s="129"/>
      <c r="F48" s="131"/>
      <c r="G48" s="130"/>
      <c r="H48" s="131"/>
      <c r="I48" s="132"/>
      <c r="J48" s="129"/>
      <c r="K48" s="140"/>
      <c r="L48" s="133"/>
      <c r="M48" s="140"/>
      <c r="N48" s="140"/>
      <c r="P48" s="141"/>
    </row>
    <row r="49" spans="1:16" x14ac:dyDescent="0.2">
      <c r="A49" s="129"/>
      <c r="B49" s="130"/>
      <c r="C49" s="140"/>
      <c r="D49" s="131"/>
      <c r="E49" s="129"/>
      <c r="F49" s="131"/>
      <c r="G49" s="130"/>
      <c r="H49" s="131"/>
      <c r="I49" s="132"/>
      <c r="J49" s="129"/>
      <c r="K49" s="140"/>
      <c r="L49" s="133"/>
      <c r="M49" s="140"/>
      <c r="N49" s="140"/>
      <c r="P49" s="141"/>
    </row>
    <row r="50" spans="1:16" x14ac:dyDescent="0.2">
      <c r="A50" s="129"/>
      <c r="B50" s="130"/>
      <c r="C50" s="140"/>
      <c r="D50" s="131"/>
      <c r="E50" s="129"/>
      <c r="F50" s="131"/>
      <c r="G50" s="130"/>
      <c r="H50" s="131"/>
      <c r="I50" s="132"/>
      <c r="J50" s="129"/>
      <c r="K50" s="140"/>
      <c r="L50" s="133"/>
      <c r="M50" s="140"/>
      <c r="N50" s="140"/>
      <c r="P50" s="141"/>
    </row>
    <row r="51" spans="1:16" x14ac:dyDescent="0.2">
      <c r="A51" s="129"/>
      <c r="B51" s="130"/>
      <c r="C51" s="140"/>
      <c r="D51" s="131"/>
      <c r="E51" s="129"/>
      <c r="F51" s="131"/>
      <c r="G51" s="130"/>
      <c r="H51" s="131"/>
      <c r="I51" s="132"/>
      <c r="J51" s="129"/>
      <c r="K51" s="140"/>
      <c r="L51" s="133"/>
      <c r="M51" s="140"/>
      <c r="N51" s="140"/>
      <c r="P51" s="141"/>
    </row>
    <row r="52" spans="1:16" x14ac:dyDescent="0.2">
      <c r="A52" s="129"/>
      <c r="B52" s="130"/>
      <c r="C52" s="140"/>
      <c r="D52" s="131"/>
      <c r="E52" s="129"/>
      <c r="F52" s="131"/>
      <c r="G52" s="130"/>
      <c r="H52" s="131"/>
      <c r="I52" s="132"/>
      <c r="J52" s="129"/>
      <c r="K52" s="140"/>
      <c r="L52" s="133"/>
      <c r="M52" s="140"/>
      <c r="N52" s="140"/>
      <c r="P52" s="141"/>
    </row>
    <row r="53" spans="1:16" x14ac:dyDescent="0.2">
      <c r="A53" s="129"/>
      <c r="B53" s="130"/>
      <c r="C53" s="140"/>
      <c r="D53" s="131"/>
      <c r="E53" s="129"/>
      <c r="F53" s="131"/>
      <c r="G53" s="130"/>
      <c r="H53" s="131"/>
      <c r="I53" s="132"/>
      <c r="J53" s="129"/>
      <c r="K53" s="140"/>
      <c r="L53" s="133"/>
      <c r="M53" s="140"/>
      <c r="N53" s="140"/>
      <c r="P53" s="141"/>
    </row>
    <row r="54" spans="1:16" x14ac:dyDescent="0.2">
      <c r="A54" s="129"/>
      <c r="B54" s="130"/>
      <c r="C54" s="140"/>
      <c r="D54" s="131"/>
      <c r="E54" s="129"/>
      <c r="F54" s="131"/>
      <c r="G54" s="130"/>
      <c r="H54" s="131"/>
      <c r="I54" s="132"/>
      <c r="J54" s="129"/>
      <c r="K54" s="140"/>
      <c r="L54" s="133"/>
      <c r="M54" s="140"/>
      <c r="N54" s="140"/>
      <c r="P54" s="141"/>
    </row>
    <row r="55" spans="1:16" x14ac:dyDescent="0.2">
      <c r="A55" s="129"/>
      <c r="B55" s="130"/>
      <c r="C55" s="140"/>
      <c r="D55" s="131"/>
      <c r="E55" s="129"/>
      <c r="F55" s="131"/>
      <c r="G55" s="130"/>
      <c r="H55" s="131"/>
      <c r="I55" s="132"/>
      <c r="J55" s="129"/>
      <c r="K55" s="140"/>
      <c r="L55" s="133"/>
      <c r="M55" s="140"/>
      <c r="N55" s="140"/>
      <c r="P55" s="141"/>
    </row>
    <row r="56" spans="1:16" x14ac:dyDescent="0.2">
      <c r="A56" s="129"/>
      <c r="B56" s="130"/>
      <c r="C56" s="140"/>
      <c r="D56" s="131"/>
      <c r="E56" s="129"/>
      <c r="F56" s="131"/>
      <c r="G56" s="130"/>
      <c r="H56" s="131"/>
      <c r="I56" s="132"/>
      <c r="J56" s="129"/>
      <c r="K56" s="140"/>
      <c r="L56" s="133"/>
      <c r="M56" s="140"/>
      <c r="N56" s="140"/>
      <c r="P56" s="141"/>
    </row>
    <row r="57" spans="1:16" x14ac:dyDescent="0.2">
      <c r="A57" s="129"/>
      <c r="B57" s="130"/>
      <c r="C57" s="140"/>
      <c r="D57" s="131"/>
      <c r="E57" s="129"/>
      <c r="F57" s="131"/>
      <c r="G57" s="130"/>
      <c r="H57" s="131"/>
      <c r="I57" s="132"/>
      <c r="J57" s="129"/>
      <c r="K57" s="140"/>
      <c r="L57" s="133"/>
      <c r="M57" s="140"/>
      <c r="N57" s="140"/>
      <c r="P57" s="141"/>
    </row>
    <row r="58" spans="1:16" x14ac:dyDescent="0.2">
      <c r="A58" s="129"/>
      <c r="B58" s="130"/>
      <c r="C58" s="140"/>
      <c r="D58" s="131"/>
      <c r="E58" s="129"/>
      <c r="F58" s="131"/>
      <c r="G58" s="130"/>
      <c r="H58" s="131"/>
      <c r="I58" s="132"/>
      <c r="J58" s="129"/>
      <c r="K58" s="140"/>
      <c r="L58" s="133"/>
      <c r="M58" s="140"/>
      <c r="N58" s="140"/>
      <c r="P58" s="141"/>
    </row>
    <row r="59" spans="1:16" x14ac:dyDescent="0.2">
      <c r="A59" s="129"/>
      <c r="B59" s="130"/>
      <c r="C59" s="140"/>
      <c r="D59" s="131"/>
      <c r="E59" s="129"/>
      <c r="F59" s="131"/>
      <c r="G59" s="130"/>
      <c r="H59" s="131"/>
      <c r="I59" s="132"/>
      <c r="J59" s="129"/>
      <c r="K59" s="140"/>
      <c r="L59" s="133"/>
      <c r="M59" s="140"/>
      <c r="N59" s="140"/>
      <c r="P59" s="141"/>
    </row>
    <row r="60" spans="1:16" x14ac:dyDescent="0.2">
      <c r="A60" s="129"/>
      <c r="B60" s="130"/>
      <c r="C60" s="140"/>
      <c r="D60" s="131"/>
      <c r="E60" s="129"/>
      <c r="F60" s="131"/>
      <c r="G60" s="130"/>
      <c r="H60" s="131"/>
      <c r="I60" s="132"/>
      <c r="J60" s="129"/>
      <c r="K60" s="140"/>
      <c r="L60" s="133"/>
      <c r="M60" s="140"/>
      <c r="N60" s="140"/>
      <c r="P60" s="141"/>
    </row>
    <row r="61" spans="1:16" x14ac:dyDescent="0.2">
      <c r="A61" s="129"/>
      <c r="B61" s="130"/>
      <c r="C61" s="140"/>
      <c r="D61" s="131"/>
      <c r="E61" s="129"/>
      <c r="F61" s="131"/>
      <c r="G61" s="130"/>
      <c r="H61" s="131"/>
      <c r="I61" s="132"/>
      <c r="J61" s="129"/>
      <c r="K61" s="140"/>
      <c r="L61" s="133"/>
      <c r="M61" s="140"/>
      <c r="N61" s="140"/>
      <c r="P61" s="141"/>
    </row>
    <row r="62" spans="1:16" x14ac:dyDescent="0.2">
      <c r="A62" s="129"/>
      <c r="B62" s="130"/>
      <c r="C62" s="140"/>
      <c r="D62" s="131"/>
      <c r="E62" s="129"/>
      <c r="F62" s="131"/>
      <c r="G62" s="130"/>
      <c r="H62" s="131"/>
      <c r="I62" s="132"/>
      <c r="J62" s="129"/>
      <c r="K62" s="140"/>
      <c r="L62" s="133"/>
      <c r="M62" s="140"/>
      <c r="N62" s="140"/>
      <c r="P62" s="141"/>
    </row>
    <row r="63" spans="1:16" x14ac:dyDescent="0.2">
      <c r="A63" s="129"/>
      <c r="B63" s="130"/>
      <c r="C63" s="140"/>
      <c r="D63" s="131"/>
      <c r="E63" s="129"/>
      <c r="F63" s="131"/>
      <c r="G63" s="130"/>
      <c r="H63" s="131"/>
      <c r="I63" s="132"/>
      <c r="J63" s="129"/>
      <c r="K63" s="140"/>
      <c r="L63" s="133"/>
      <c r="M63" s="140"/>
      <c r="N63" s="140"/>
      <c r="P63" s="141"/>
    </row>
    <row r="64" spans="1:16" x14ac:dyDescent="0.2">
      <c r="A64" s="129"/>
      <c r="B64" s="130"/>
      <c r="C64" s="140"/>
      <c r="D64" s="131"/>
      <c r="E64" s="129"/>
      <c r="F64" s="131"/>
      <c r="G64" s="130"/>
      <c r="H64" s="131"/>
      <c r="I64" s="132"/>
      <c r="J64" s="129"/>
      <c r="K64" s="140"/>
      <c r="L64" s="133"/>
      <c r="M64" s="140"/>
      <c r="N64" s="140"/>
      <c r="P64" s="141"/>
    </row>
    <row r="65" spans="1:16" x14ac:dyDescent="0.2">
      <c r="A65" s="129"/>
      <c r="B65" s="130"/>
      <c r="C65" s="140"/>
      <c r="D65" s="131"/>
      <c r="E65" s="129"/>
      <c r="F65" s="131"/>
      <c r="G65" s="130"/>
      <c r="H65" s="131"/>
      <c r="I65" s="132"/>
      <c r="J65" s="129"/>
      <c r="K65" s="140"/>
      <c r="L65" s="133"/>
      <c r="M65" s="140"/>
      <c r="N65" s="140"/>
      <c r="P65" s="141"/>
    </row>
    <row r="66" spans="1:16" x14ac:dyDescent="0.2">
      <c r="A66" s="129"/>
      <c r="B66" s="130"/>
      <c r="C66" s="140"/>
      <c r="D66" s="131"/>
      <c r="E66" s="129"/>
      <c r="F66" s="131"/>
      <c r="G66" s="130"/>
      <c r="H66" s="131"/>
      <c r="I66" s="132"/>
      <c r="J66" s="129"/>
      <c r="K66" s="140"/>
      <c r="L66" s="133"/>
      <c r="M66" s="140"/>
      <c r="N66" s="140"/>
      <c r="P66" s="141"/>
    </row>
    <row r="67" spans="1:16" x14ac:dyDescent="0.2">
      <c r="A67" s="129"/>
      <c r="B67" s="130"/>
      <c r="C67" s="140"/>
      <c r="D67" s="131"/>
      <c r="E67" s="129"/>
      <c r="F67" s="131"/>
      <c r="G67" s="130"/>
      <c r="H67" s="131"/>
      <c r="I67" s="132"/>
      <c r="J67" s="129"/>
      <c r="K67" s="140"/>
      <c r="L67" s="133"/>
      <c r="M67" s="140"/>
      <c r="N67" s="140"/>
      <c r="P67" s="141"/>
    </row>
    <row r="68" spans="1:16" x14ac:dyDescent="0.2">
      <c r="A68" s="129"/>
      <c r="B68" s="130"/>
      <c r="C68" s="140"/>
      <c r="D68" s="131"/>
      <c r="E68" s="129"/>
      <c r="F68" s="131"/>
      <c r="G68" s="130"/>
      <c r="H68" s="131"/>
      <c r="I68" s="132"/>
      <c r="J68" s="129"/>
      <c r="K68" s="140"/>
      <c r="L68" s="133"/>
      <c r="M68" s="140"/>
      <c r="N68" s="140"/>
      <c r="P68" s="141"/>
    </row>
    <row r="69" spans="1:16" x14ac:dyDescent="0.2">
      <c r="A69" s="129"/>
      <c r="B69" s="130"/>
      <c r="C69" s="140"/>
      <c r="D69" s="131"/>
      <c r="E69" s="129"/>
      <c r="F69" s="131"/>
      <c r="G69" s="130"/>
      <c r="H69" s="131"/>
      <c r="I69" s="132"/>
      <c r="J69" s="129"/>
      <c r="K69" s="140"/>
      <c r="L69" s="133"/>
      <c r="M69" s="140"/>
      <c r="N69" s="140"/>
      <c r="P69" s="141"/>
    </row>
    <row r="70" spans="1:16" x14ac:dyDescent="0.2">
      <c r="A70" s="129"/>
      <c r="B70" s="130"/>
      <c r="C70" s="140"/>
      <c r="D70" s="131"/>
      <c r="E70" s="129"/>
      <c r="F70" s="131"/>
      <c r="G70" s="130"/>
      <c r="H70" s="131"/>
      <c r="I70" s="132"/>
      <c r="J70" s="129"/>
      <c r="K70" s="140"/>
      <c r="L70" s="133"/>
      <c r="M70" s="140"/>
      <c r="N70" s="140"/>
      <c r="P70" s="141"/>
    </row>
    <row r="71" spans="1:16" x14ac:dyDescent="0.2">
      <c r="A71" s="129"/>
      <c r="B71" s="130"/>
      <c r="C71" s="140"/>
      <c r="D71" s="131"/>
      <c r="E71" s="129"/>
      <c r="F71" s="131"/>
      <c r="G71" s="130"/>
      <c r="H71" s="131"/>
      <c r="I71" s="132"/>
      <c r="J71" s="129"/>
      <c r="K71" s="140"/>
      <c r="L71" s="133"/>
      <c r="M71" s="140"/>
      <c r="N71" s="140"/>
      <c r="P71" s="141"/>
    </row>
    <row r="72" spans="1:16" x14ac:dyDescent="0.2">
      <c r="A72" s="129"/>
      <c r="B72" s="130"/>
      <c r="C72" s="140"/>
      <c r="D72" s="131"/>
      <c r="E72" s="129"/>
      <c r="F72" s="131"/>
      <c r="G72" s="130"/>
      <c r="H72" s="131"/>
      <c r="I72" s="132"/>
      <c r="J72" s="129"/>
      <c r="K72" s="140"/>
      <c r="L72" s="133"/>
      <c r="M72" s="140"/>
      <c r="N72" s="140"/>
      <c r="P72" s="141"/>
    </row>
    <row r="73" spans="1:16" x14ac:dyDescent="0.2">
      <c r="A73" s="129"/>
      <c r="B73" s="130"/>
      <c r="C73" s="140"/>
      <c r="D73" s="131"/>
      <c r="E73" s="129"/>
      <c r="F73" s="131"/>
      <c r="G73" s="130"/>
      <c r="H73" s="131"/>
      <c r="I73" s="132"/>
      <c r="J73" s="129"/>
      <c r="K73" s="140"/>
      <c r="L73" s="133"/>
      <c r="M73" s="140"/>
      <c r="N73" s="140"/>
      <c r="P73" s="141"/>
    </row>
    <row r="74" spans="1:16" x14ac:dyDescent="0.2">
      <c r="A74" s="129"/>
      <c r="B74" s="130"/>
      <c r="C74" s="140"/>
      <c r="D74" s="131"/>
      <c r="E74" s="129"/>
      <c r="F74" s="131"/>
      <c r="G74" s="130"/>
      <c r="H74" s="131"/>
      <c r="I74" s="132"/>
      <c r="J74" s="129"/>
      <c r="K74" s="140"/>
      <c r="L74" s="133"/>
      <c r="M74" s="140"/>
      <c r="N74" s="140"/>
      <c r="P74" s="141"/>
    </row>
    <row r="75" spans="1:16" x14ac:dyDescent="0.2">
      <c r="A75" s="129"/>
      <c r="B75" s="130"/>
      <c r="C75" s="140"/>
      <c r="D75" s="131"/>
      <c r="E75" s="129"/>
      <c r="F75" s="131"/>
      <c r="G75" s="130"/>
      <c r="H75" s="131"/>
      <c r="I75" s="132"/>
      <c r="J75" s="129"/>
      <c r="K75" s="140"/>
      <c r="L75" s="133"/>
      <c r="M75" s="140"/>
      <c r="N75" s="140"/>
      <c r="P75" s="141"/>
    </row>
    <row r="76" spans="1:16" x14ac:dyDescent="0.2">
      <c r="A76" s="129"/>
      <c r="B76" s="130"/>
      <c r="C76" s="140"/>
      <c r="D76" s="131"/>
      <c r="E76" s="129"/>
      <c r="F76" s="131"/>
      <c r="G76" s="130"/>
      <c r="H76" s="131"/>
      <c r="I76" s="132"/>
      <c r="J76" s="129"/>
      <c r="K76" s="140"/>
      <c r="L76" s="133"/>
      <c r="M76" s="140"/>
      <c r="N76" s="140"/>
      <c r="P76" s="141"/>
    </row>
    <row r="77" spans="1:16" x14ac:dyDescent="0.2">
      <c r="A77" s="129"/>
      <c r="B77" s="130"/>
      <c r="C77" s="140"/>
      <c r="D77" s="131"/>
      <c r="E77" s="129"/>
      <c r="F77" s="131"/>
      <c r="G77" s="130"/>
      <c r="H77" s="131"/>
      <c r="I77" s="132"/>
      <c r="J77" s="129"/>
      <c r="K77" s="140"/>
      <c r="L77" s="133"/>
      <c r="M77" s="140"/>
      <c r="N77" s="140"/>
      <c r="P77" s="141"/>
    </row>
    <row r="78" spans="1:16" x14ac:dyDescent="0.2">
      <c r="A78" s="129"/>
      <c r="B78" s="130"/>
      <c r="C78" s="140"/>
      <c r="D78" s="131"/>
      <c r="E78" s="129"/>
      <c r="F78" s="131"/>
      <c r="G78" s="130"/>
      <c r="H78" s="131"/>
      <c r="I78" s="132"/>
      <c r="J78" s="129"/>
      <c r="K78" s="140"/>
      <c r="L78" s="133"/>
      <c r="M78" s="140"/>
      <c r="N78" s="140"/>
      <c r="P78" s="141"/>
    </row>
    <row r="79" spans="1:16" x14ac:dyDescent="0.2">
      <c r="A79" s="129"/>
      <c r="B79" s="130"/>
      <c r="C79" s="140"/>
      <c r="D79" s="131"/>
      <c r="E79" s="129"/>
      <c r="F79" s="131"/>
      <c r="G79" s="130"/>
      <c r="H79" s="131"/>
      <c r="I79" s="132"/>
      <c r="J79" s="129"/>
      <c r="K79" s="140"/>
      <c r="L79" s="133"/>
      <c r="M79" s="140"/>
      <c r="N79" s="140"/>
      <c r="P79" s="141"/>
    </row>
    <row r="80" spans="1:16" x14ac:dyDescent="0.2">
      <c r="A80" s="129"/>
      <c r="B80" s="130"/>
      <c r="C80" s="140"/>
      <c r="D80" s="131"/>
      <c r="E80" s="129"/>
      <c r="F80" s="131"/>
      <c r="G80" s="130"/>
      <c r="H80" s="131"/>
      <c r="I80" s="132"/>
      <c r="J80" s="129"/>
      <c r="K80" s="140"/>
      <c r="L80" s="133"/>
      <c r="M80" s="140"/>
      <c r="N80" s="140"/>
      <c r="P80" s="141"/>
    </row>
    <row r="81" spans="1:16" x14ac:dyDescent="0.2">
      <c r="A81" s="129"/>
      <c r="B81" s="130"/>
      <c r="C81" s="140"/>
      <c r="D81" s="131"/>
      <c r="E81" s="129"/>
      <c r="F81" s="131"/>
      <c r="G81" s="130"/>
      <c r="H81" s="131"/>
      <c r="I81" s="132"/>
      <c r="J81" s="129"/>
      <c r="K81" s="140"/>
      <c r="L81" s="133"/>
      <c r="M81" s="140"/>
      <c r="N81" s="140"/>
      <c r="P81" s="141"/>
    </row>
    <row r="82" spans="1:16" x14ac:dyDescent="0.2">
      <c r="A82" s="129"/>
      <c r="B82" s="130"/>
      <c r="C82" s="140"/>
      <c r="D82" s="131"/>
      <c r="E82" s="129"/>
      <c r="F82" s="131"/>
      <c r="G82" s="130"/>
      <c r="H82" s="131"/>
      <c r="I82" s="132"/>
      <c r="J82" s="129"/>
      <c r="K82" s="140"/>
      <c r="L82" s="133"/>
      <c r="M82" s="140"/>
      <c r="N82" s="140"/>
      <c r="P82" s="141"/>
    </row>
    <row r="83" spans="1:16" x14ac:dyDescent="0.2">
      <c r="A83" s="129"/>
      <c r="B83" s="130"/>
      <c r="C83" s="140"/>
      <c r="D83" s="131"/>
      <c r="E83" s="129"/>
      <c r="F83" s="131"/>
      <c r="G83" s="130"/>
      <c r="H83" s="131"/>
      <c r="I83" s="132"/>
      <c r="J83" s="129"/>
      <c r="K83" s="140"/>
      <c r="L83" s="133"/>
      <c r="M83" s="140"/>
      <c r="N83" s="140"/>
      <c r="P83" s="141"/>
    </row>
    <row r="84" spans="1:16" x14ac:dyDescent="0.2">
      <c r="A84" s="129"/>
      <c r="B84" s="130"/>
      <c r="C84" s="140"/>
      <c r="D84" s="131"/>
      <c r="E84" s="129"/>
      <c r="F84" s="131"/>
      <c r="G84" s="130"/>
      <c r="H84" s="131"/>
      <c r="I84" s="132"/>
      <c r="J84" s="129"/>
      <c r="K84" s="140"/>
      <c r="L84" s="133"/>
      <c r="M84" s="140"/>
      <c r="N84" s="140"/>
      <c r="P84" s="141"/>
    </row>
    <row r="85" spans="1:16" x14ac:dyDescent="0.2">
      <c r="A85" s="129"/>
      <c r="B85" s="130"/>
      <c r="C85" s="140"/>
      <c r="D85" s="131"/>
      <c r="E85" s="129"/>
      <c r="F85" s="131"/>
      <c r="G85" s="130"/>
      <c r="H85" s="131"/>
      <c r="I85" s="132"/>
      <c r="J85" s="129"/>
      <c r="K85" s="140"/>
      <c r="L85" s="133"/>
      <c r="M85" s="140"/>
      <c r="N85" s="140"/>
      <c r="P85" s="141"/>
    </row>
    <row r="86" spans="1:16" x14ac:dyDescent="0.2">
      <c r="A86" s="129"/>
      <c r="B86" s="130"/>
      <c r="C86" s="140"/>
      <c r="D86" s="131"/>
      <c r="E86" s="129"/>
      <c r="F86" s="131"/>
      <c r="G86" s="130"/>
      <c r="H86" s="131"/>
      <c r="I86" s="132"/>
      <c r="J86" s="129"/>
      <c r="K86" s="140"/>
      <c r="L86" s="133"/>
      <c r="M86" s="140"/>
      <c r="N86" s="140"/>
      <c r="P86" s="141"/>
    </row>
    <row r="87" spans="1:16" x14ac:dyDescent="0.2">
      <c r="A87" s="129"/>
      <c r="B87" s="130"/>
      <c r="C87" s="140"/>
      <c r="D87" s="131"/>
      <c r="E87" s="129"/>
      <c r="F87" s="131"/>
      <c r="G87" s="130"/>
      <c r="H87" s="131"/>
      <c r="I87" s="132"/>
      <c r="J87" s="129"/>
      <c r="K87" s="140"/>
      <c r="L87" s="133"/>
      <c r="M87" s="140"/>
      <c r="N87" s="140"/>
      <c r="P87" s="141"/>
    </row>
    <row r="88" spans="1:16" x14ac:dyDescent="0.2">
      <c r="A88" s="129"/>
      <c r="B88" s="130"/>
      <c r="C88" s="140"/>
      <c r="D88" s="131"/>
      <c r="E88" s="129"/>
      <c r="F88" s="131"/>
      <c r="G88" s="130"/>
      <c r="H88" s="131"/>
      <c r="I88" s="132"/>
      <c r="J88" s="129"/>
      <c r="K88" s="140"/>
      <c r="L88" s="133"/>
      <c r="M88" s="140"/>
      <c r="N88" s="140"/>
      <c r="P88" s="141"/>
    </row>
    <row r="89" spans="1:16" x14ac:dyDescent="0.2">
      <c r="A89" s="129"/>
      <c r="B89" s="130"/>
      <c r="C89" s="140"/>
      <c r="D89" s="131"/>
      <c r="E89" s="129"/>
      <c r="F89" s="131"/>
      <c r="G89" s="130"/>
      <c r="H89" s="131"/>
      <c r="I89" s="132"/>
      <c r="J89" s="129"/>
      <c r="K89" s="140"/>
      <c r="L89" s="133"/>
      <c r="M89" s="140"/>
      <c r="N89" s="140"/>
      <c r="P89" s="141"/>
    </row>
    <row r="90" spans="1:16" x14ac:dyDescent="0.2">
      <c r="A90" s="129"/>
      <c r="B90" s="130"/>
      <c r="C90" s="140"/>
      <c r="D90" s="131"/>
      <c r="E90" s="129"/>
      <c r="F90" s="131"/>
      <c r="G90" s="130"/>
      <c r="H90" s="131"/>
      <c r="I90" s="132"/>
      <c r="J90" s="129"/>
      <c r="K90" s="140"/>
      <c r="L90" s="133"/>
      <c r="M90" s="140"/>
      <c r="N90" s="140"/>
      <c r="P90" s="141"/>
    </row>
    <row r="91" spans="1:16" x14ac:dyDescent="0.2">
      <c r="A91" s="129"/>
      <c r="B91" s="130"/>
      <c r="C91" s="140"/>
      <c r="D91" s="131"/>
      <c r="E91" s="129"/>
      <c r="F91" s="131"/>
      <c r="G91" s="130"/>
      <c r="H91" s="131"/>
      <c r="I91" s="132"/>
      <c r="J91" s="129"/>
      <c r="K91" s="140"/>
      <c r="L91" s="133"/>
      <c r="M91" s="140"/>
      <c r="N91" s="140"/>
      <c r="P91" s="141"/>
    </row>
    <row r="92" spans="1:16" x14ac:dyDescent="0.2">
      <c r="A92" s="129"/>
      <c r="B92" s="130"/>
      <c r="C92" s="140"/>
      <c r="D92" s="131"/>
      <c r="E92" s="129"/>
      <c r="F92" s="131"/>
      <c r="G92" s="130"/>
      <c r="H92" s="131"/>
      <c r="I92" s="132"/>
      <c r="J92" s="129"/>
      <c r="K92" s="140"/>
      <c r="L92" s="133"/>
      <c r="M92" s="140"/>
      <c r="N92" s="140"/>
      <c r="P92" s="141"/>
    </row>
    <row r="93" spans="1:16" x14ac:dyDescent="0.2">
      <c r="A93" s="129"/>
      <c r="B93" s="130"/>
      <c r="C93" s="140"/>
      <c r="D93" s="131"/>
      <c r="E93" s="129"/>
      <c r="F93" s="131"/>
      <c r="G93" s="130"/>
      <c r="H93" s="131"/>
      <c r="I93" s="132"/>
      <c r="J93" s="129"/>
      <c r="K93" s="140"/>
      <c r="L93" s="133"/>
      <c r="M93" s="140"/>
      <c r="N93" s="140"/>
      <c r="P93" s="141"/>
    </row>
    <row r="94" spans="1:16" x14ac:dyDescent="0.2">
      <c r="A94" s="129"/>
      <c r="B94" s="130"/>
      <c r="C94" s="140"/>
      <c r="D94" s="131"/>
      <c r="E94" s="129"/>
      <c r="F94" s="131"/>
      <c r="G94" s="130"/>
      <c r="H94" s="131"/>
      <c r="I94" s="132"/>
      <c r="J94" s="129"/>
      <c r="K94" s="140"/>
      <c r="L94" s="133"/>
      <c r="M94" s="140"/>
      <c r="N94" s="140"/>
      <c r="P94" s="141"/>
    </row>
    <row r="95" spans="1:16" x14ac:dyDescent="0.2">
      <c r="A95" s="129"/>
      <c r="B95" s="130"/>
      <c r="C95" s="140"/>
      <c r="D95" s="131"/>
      <c r="E95" s="129"/>
      <c r="F95" s="131"/>
      <c r="G95" s="130"/>
      <c r="H95" s="131"/>
      <c r="I95" s="132"/>
      <c r="J95" s="129"/>
      <c r="K95" s="140"/>
      <c r="L95" s="133"/>
      <c r="M95" s="140"/>
      <c r="N95" s="140"/>
      <c r="P95" s="141"/>
    </row>
    <row r="96" spans="1:16" x14ac:dyDescent="0.2">
      <c r="A96" s="129"/>
      <c r="B96" s="130"/>
      <c r="C96" s="140"/>
      <c r="D96" s="131"/>
      <c r="E96" s="129"/>
      <c r="F96" s="131"/>
      <c r="G96" s="130"/>
      <c r="H96" s="131"/>
      <c r="I96" s="132"/>
      <c r="J96" s="129"/>
      <c r="K96" s="140"/>
      <c r="L96" s="133"/>
      <c r="M96" s="140"/>
      <c r="N96" s="140"/>
      <c r="P96" s="141"/>
    </row>
    <row r="97" spans="1:16" x14ac:dyDescent="0.2">
      <c r="A97" s="129"/>
      <c r="B97" s="130"/>
      <c r="C97" s="140"/>
      <c r="D97" s="131"/>
      <c r="E97" s="129"/>
      <c r="F97" s="131"/>
      <c r="G97" s="130"/>
      <c r="H97" s="131"/>
      <c r="I97" s="132"/>
      <c r="J97" s="129"/>
      <c r="K97" s="140"/>
      <c r="L97" s="133"/>
      <c r="M97" s="140"/>
      <c r="N97" s="140"/>
      <c r="P97" s="141"/>
    </row>
    <row r="98" spans="1:16" x14ac:dyDescent="0.2">
      <c r="A98" s="129"/>
      <c r="B98" s="130"/>
      <c r="C98" s="140"/>
      <c r="D98" s="131"/>
      <c r="E98" s="129"/>
      <c r="F98" s="131"/>
      <c r="G98" s="130"/>
      <c r="H98" s="131"/>
      <c r="I98" s="132"/>
      <c r="J98" s="129"/>
      <c r="K98" s="140"/>
      <c r="L98" s="133"/>
      <c r="M98" s="140"/>
      <c r="N98" s="140"/>
      <c r="P98" s="141"/>
    </row>
    <row r="99" spans="1:16" x14ac:dyDescent="0.2">
      <c r="A99" s="129"/>
      <c r="B99" s="130"/>
      <c r="C99" s="140"/>
      <c r="D99" s="131"/>
      <c r="E99" s="129"/>
      <c r="F99" s="131"/>
      <c r="G99" s="130"/>
      <c r="H99" s="131"/>
      <c r="I99" s="132"/>
      <c r="J99" s="129"/>
      <c r="K99" s="140"/>
      <c r="L99" s="133"/>
      <c r="M99" s="140"/>
      <c r="N99" s="140"/>
      <c r="P99" s="141"/>
    </row>
    <row r="100" spans="1:16" x14ac:dyDescent="0.2">
      <c r="A100" s="129"/>
      <c r="B100" s="130"/>
      <c r="C100" s="140"/>
      <c r="D100" s="131"/>
      <c r="E100" s="129"/>
      <c r="F100" s="131"/>
      <c r="G100" s="130"/>
      <c r="H100" s="131"/>
      <c r="I100" s="132"/>
      <c r="J100" s="129"/>
      <c r="K100" s="140"/>
      <c r="L100" s="133"/>
      <c r="M100" s="140"/>
      <c r="N100" s="140"/>
      <c r="P100" s="141"/>
    </row>
    <row r="101" spans="1:16" x14ac:dyDescent="0.2">
      <c r="A101" s="129"/>
      <c r="B101" s="130"/>
      <c r="C101" s="140"/>
      <c r="D101" s="131"/>
      <c r="E101" s="129"/>
      <c r="F101" s="131"/>
      <c r="G101" s="130"/>
      <c r="H101" s="131"/>
      <c r="I101" s="132"/>
      <c r="J101" s="129"/>
      <c r="K101" s="140"/>
      <c r="L101" s="133"/>
      <c r="M101" s="140"/>
      <c r="N101" s="140"/>
      <c r="P101" s="141"/>
    </row>
    <row r="102" spans="1:16" x14ac:dyDescent="0.2">
      <c r="A102" s="129"/>
      <c r="B102" s="130"/>
      <c r="C102" s="140"/>
      <c r="D102" s="131"/>
      <c r="E102" s="129"/>
      <c r="F102" s="131"/>
      <c r="G102" s="130"/>
      <c r="H102" s="131"/>
      <c r="I102" s="132"/>
      <c r="J102" s="129"/>
      <c r="K102" s="140"/>
      <c r="L102" s="133"/>
      <c r="M102" s="140"/>
      <c r="N102" s="140"/>
      <c r="P102" s="141"/>
    </row>
    <row r="103" spans="1:16" x14ac:dyDescent="0.2">
      <c r="A103" s="129"/>
      <c r="B103" s="130"/>
      <c r="C103" s="140"/>
      <c r="D103" s="131"/>
      <c r="E103" s="129"/>
      <c r="F103" s="131"/>
      <c r="G103" s="130"/>
      <c r="H103" s="131"/>
      <c r="I103" s="132"/>
      <c r="J103" s="129"/>
      <c r="K103" s="140"/>
      <c r="L103" s="133"/>
      <c r="M103" s="140"/>
      <c r="N103" s="140"/>
      <c r="P103" s="141"/>
    </row>
    <row r="104" spans="1:16" x14ac:dyDescent="0.2">
      <c r="A104" s="129"/>
      <c r="B104" s="130"/>
      <c r="C104" s="140"/>
      <c r="D104" s="131"/>
      <c r="E104" s="129"/>
      <c r="F104" s="131"/>
      <c r="G104" s="130"/>
      <c r="H104" s="131"/>
      <c r="I104" s="132"/>
      <c r="J104" s="129"/>
      <c r="K104" s="140"/>
      <c r="L104" s="133"/>
      <c r="M104" s="140"/>
      <c r="N104" s="140"/>
      <c r="P104" s="141"/>
    </row>
    <row r="105" spans="1:16" x14ac:dyDescent="0.2">
      <c r="A105" s="129"/>
      <c r="B105" s="130"/>
      <c r="C105" s="140"/>
      <c r="D105" s="131"/>
      <c r="E105" s="129"/>
      <c r="F105" s="131"/>
      <c r="G105" s="130"/>
      <c r="H105" s="131"/>
      <c r="I105" s="132"/>
      <c r="J105" s="129"/>
      <c r="K105" s="140"/>
      <c r="L105" s="133"/>
      <c r="M105" s="140"/>
      <c r="N105" s="140"/>
      <c r="P105" s="141"/>
    </row>
    <row r="106" spans="1:16" x14ac:dyDescent="0.2">
      <c r="A106" s="129"/>
      <c r="B106" s="130"/>
      <c r="C106" s="140"/>
      <c r="D106" s="131"/>
      <c r="E106" s="129"/>
      <c r="F106" s="131"/>
      <c r="G106" s="130"/>
      <c r="H106" s="131"/>
      <c r="I106" s="132"/>
      <c r="J106" s="129"/>
      <c r="K106" s="140"/>
      <c r="L106" s="133"/>
      <c r="M106" s="140"/>
      <c r="N106" s="140"/>
      <c r="P106" s="141"/>
    </row>
    <row r="107" spans="1:16" x14ac:dyDescent="0.2">
      <c r="A107" s="129"/>
      <c r="B107" s="130"/>
      <c r="C107" s="140"/>
      <c r="D107" s="131"/>
      <c r="E107" s="129"/>
      <c r="F107" s="131"/>
      <c r="G107" s="130"/>
      <c r="H107" s="131"/>
      <c r="I107" s="132"/>
      <c r="J107" s="129"/>
      <c r="K107" s="140"/>
      <c r="L107" s="133"/>
      <c r="M107" s="140"/>
      <c r="N107" s="140"/>
      <c r="P107" s="141"/>
    </row>
    <row r="108" spans="1:16" x14ac:dyDescent="0.2">
      <c r="A108" s="129"/>
      <c r="B108" s="130"/>
      <c r="C108" s="140"/>
      <c r="D108" s="131"/>
      <c r="E108" s="129"/>
      <c r="F108" s="131"/>
      <c r="G108" s="130"/>
      <c r="H108" s="131"/>
      <c r="I108" s="132"/>
      <c r="J108" s="129"/>
      <c r="K108" s="140"/>
      <c r="L108" s="133"/>
      <c r="M108" s="140"/>
      <c r="N108" s="140"/>
      <c r="P108" s="141"/>
    </row>
    <row r="109" spans="1:16" x14ac:dyDescent="0.2">
      <c r="A109" s="129"/>
      <c r="B109" s="130"/>
      <c r="C109" s="140"/>
      <c r="D109" s="131"/>
      <c r="E109" s="129"/>
      <c r="F109" s="131"/>
      <c r="G109" s="130"/>
      <c r="H109" s="131"/>
      <c r="I109" s="132"/>
      <c r="J109" s="129"/>
      <c r="K109" s="140"/>
      <c r="L109" s="133"/>
      <c r="M109" s="140"/>
      <c r="N109" s="140"/>
      <c r="P109" s="141"/>
    </row>
    <row r="110" spans="1:16" x14ac:dyDescent="0.2">
      <c r="A110" s="129"/>
      <c r="B110" s="130"/>
      <c r="C110" s="140"/>
      <c r="D110" s="131"/>
      <c r="E110" s="129"/>
      <c r="F110" s="131"/>
      <c r="G110" s="130"/>
      <c r="H110" s="131"/>
      <c r="I110" s="132"/>
      <c r="J110" s="129"/>
      <c r="K110" s="140"/>
      <c r="L110" s="133"/>
      <c r="M110" s="140"/>
      <c r="N110" s="140"/>
      <c r="P110" s="141"/>
    </row>
    <row r="111" spans="1:16" x14ac:dyDescent="0.2">
      <c r="A111" s="129"/>
      <c r="B111" s="130"/>
      <c r="C111" s="140"/>
      <c r="D111" s="131"/>
      <c r="E111" s="129"/>
      <c r="F111" s="131"/>
      <c r="G111" s="130"/>
      <c r="H111" s="131"/>
      <c r="I111" s="132"/>
      <c r="J111" s="129"/>
      <c r="K111" s="140"/>
      <c r="L111" s="133"/>
      <c r="M111" s="140"/>
      <c r="N111" s="140"/>
      <c r="P111" s="141"/>
    </row>
    <row r="112" spans="1:16" x14ac:dyDescent="0.2">
      <c r="A112" s="129"/>
      <c r="B112" s="130"/>
      <c r="C112" s="140"/>
      <c r="D112" s="131"/>
      <c r="E112" s="129"/>
      <c r="F112" s="131"/>
      <c r="G112" s="130"/>
      <c r="H112" s="131"/>
      <c r="I112" s="132"/>
      <c r="J112" s="129"/>
      <c r="K112" s="140"/>
      <c r="L112" s="133"/>
      <c r="M112" s="140"/>
      <c r="N112" s="140"/>
      <c r="P112" s="141"/>
    </row>
    <row r="113" spans="1:16" x14ac:dyDescent="0.2">
      <c r="A113" s="129"/>
      <c r="B113" s="130"/>
      <c r="C113" s="140"/>
      <c r="D113" s="131"/>
      <c r="E113" s="129"/>
      <c r="F113" s="131"/>
      <c r="G113" s="130"/>
      <c r="H113" s="131"/>
      <c r="I113" s="132"/>
      <c r="J113" s="129"/>
      <c r="K113" s="140"/>
      <c r="L113" s="133"/>
      <c r="M113" s="140"/>
      <c r="N113" s="140"/>
      <c r="P113" s="141"/>
    </row>
    <row r="114" spans="1:16" x14ac:dyDescent="0.2">
      <c r="A114" s="129"/>
      <c r="B114" s="130"/>
      <c r="C114" s="140"/>
      <c r="D114" s="131"/>
      <c r="E114" s="129"/>
      <c r="F114" s="131"/>
      <c r="G114" s="130"/>
      <c r="H114" s="131"/>
      <c r="I114" s="132"/>
      <c r="J114" s="129"/>
      <c r="K114" s="140"/>
      <c r="L114" s="133"/>
      <c r="M114" s="140"/>
      <c r="N114" s="140"/>
      <c r="P114" s="141"/>
    </row>
    <row r="115" spans="1:16" x14ac:dyDescent="0.2">
      <c r="A115" s="129"/>
      <c r="B115" s="130"/>
      <c r="C115" s="140"/>
      <c r="D115" s="131"/>
      <c r="E115" s="129"/>
      <c r="F115" s="131"/>
      <c r="G115" s="130"/>
      <c r="H115" s="131"/>
      <c r="I115" s="132"/>
      <c r="J115" s="129"/>
      <c r="K115" s="140"/>
      <c r="L115" s="133"/>
      <c r="M115" s="140"/>
      <c r="N115" s="140"/>
      <c r="P115" s="141"/>
    </row>
    <row r="116" spans="1:16" x14ac:dyDescent="0.2">
      <c r="A116" s="129"/>
      <c r="B116" s="130"/>
      <c r="C116" s="140"/>
      <c r="D116" s="131"/>
      <c r="E116" s="129"/>
      <c r="F116" s="131"/>
      <c r="G116" s="130"/>
      <c r="H116" s="131"/>
      <c r="I116" s="132"/>
      <c r="J116" s="129"/>
      <c r="K116" s="140"/>
      <c r="L116" s="133"/>
      <c r="M116" s="140"/>
      <c r="N116" s="140"/>
      <c r="P116" s="141"/>
    </row>
    <row r="117" spans="1:16" x14ac:dyDescent="0.2">
      <c r="A117" s="129"/>
      <c r="B117" s="130"/>
      <c r="C117" s="140"/>
      <c r="D117" s="131"/>
      <c r="E117" s="129"/>
      <c r="F117" s="131"/>
      <c r="G117" s="130"/>
      <c r="H117" s="131"/>
      <c r="I117" s="132"/>
      <c r="J117" s="129"/>
      <c r="K117" s="140"/>
      <c r="L117" s="133"/>
      <c r="M117" s="140"/>
      <c r="N117" s="140"/>
      <c r="P117" s="141"/>
    </row>
    <row r="118" spans="1:16" x14ac:dyDescent="0.2">
      <c r="A118" s="129"/>
      <c r="B118" s="130"/>
      <c r="C118" s="140"/>
      <c r="D118" s="131"/>
      <c r="E118" s="129"/>
      <c r="F118" s="131"/>
      <c r="G118" s="130"/>
      <c r="H118" s="131"/>
      <c r="I118" s="132"/>
      <c r="J118" s="129"/>
      <c r="K118" s="140"/>
      <c r="L118" s="133"/>
      <c r="M118" s="140"/>
      <c r="N118" s="140"/>
      <c r="P118" s="141"/>
    </row>
    <row r="119" spans="1:16" x14ac:dyDescent="0.2">
      <c r="A119" s="129"/>
      <c r="B119" s="130"/>
      <c r="C119" s="140"/>
      <c r="D119" s="131"/>
      <c r="E119" s="129"/>
      <c r="F119" s="131"/>
      <c r="G119" s="130"/>
      <c r="H119" s="131"/>
      <c r="I119" s="132"/>
      <c r="J119" s="129"/>
      <c r="K119" s="140"/>
      <c r="L119" s="133"/>
      <c r="M119" s="140"/>
      <c r="N119" s="140"/>
      <c r="P119" s="141"/>
    </row>
    <row r="120" spans="1:16" x14ac:dyDescent="0.2">
      <c r="A120" s="129"/>
      <c r="B120" s="130"/>
      <c r="C120" s="140"/>
      <c r="D120" s="131"/>
      <c r="E120" s="129"/>
      <c r="F120" s="131"/>
      <c r="G120" s="130"/>
      <c r="H120" s="131"/>
      <c r="I120" s="132"/>
      <c r="J120" s="129"/>
      <c r="K120" s="140"/>
      <c r="L120" s="133"/>
      <c r="M120" s="140"/>
      <c r="N120" s="140"/>
      <c r="P120" s="141"/>
    </row>
    <row r="121" spans="1:16" x14ac:dyDescent="0.2">
      <c r="A121" s="129"/>
      <c r="B121" s="130"/>
      <c r="C121" s="140"/>
      <c r="D121" s="131"/>
      <c r="E121" s="129"/>
      <c r="F121" s="131"/>
      <c r="G121" s="130"/>
      <c r="H121" s="131"/>
      <c r="I121" s="132"/>
      <c r="J121" s="129"/>
      <c r="K121" s="140"/>
      <c r="L121" s="133"/>
      <c r="M121" s="140"/>
      <c r="N121" s="140"/>
      <c r="P121" s="141"/>
    </row>
    <row r="122" spans="1:16" x14ac:dyDescent="0.2">
      <c r="A122" s="129"/>
      <c r="B122" s="130"/>
      <c r="C122" s="140"/>
      <c r="D122" s="131"/>
      <c r="E122" s="129"/>
      <c r="F122" s="131"/>
      <c r="G122" s="130"/>
      <c r="H122" s="131"/>
      <c r="I122" s="132"/>
      <c r="J122" s="129"/>
      <c r="K122" s="140"/>
      <c r="L122" s="133"/>
      <c r="M122" s="140"/>
      <c r="N122" s="140"/>
      <c r="P122" s="141"/>
    </row>
    <row r="123" spans="1:16" x14ac:dyDescent="0.2">
      <c r="A123" s="129"/>
      <c r="B123" s="130"/>
      <c r="C123" s="140"/>
      <c r="D123" s="131"/>
      <c r="E123" s="129"/>
      <c r="F123" s="131"/>
      <c r="G123" s="130"/>
      <c r="H123" s="131"/>
      <c r="I123" s="132"/>
      <c r="J123" s="129"/>
      <c r="K123" s="140"/>
      <c r="L123" s="133"/>
      <c r="M123" s="140"/>
      <c r="N123" s="140"/>
      <c r="P123" s="141"/>
    </row>
    <row r="124" spans="1:16" x14ac:dyDescent="0.2">
      <c r="A124" s="129"/>
      <c r="B124" s="130"/>
      <c r="C124" s="140"/>
      <c r="D124" s="131"/>
      <c r="E124" s="129"/>
      <c r="F124" s="131"/>
      <c r="G124" s="130"/>
      <c r="H124" s="131"/>
      <c r="I124" s="132"/>
      <c r="J124" s="129"/>
      <c r="K124" s="140"/>
      <c r="L124" s="133"/>
      <c r="M124" s="140"/>
      <c r="N124" s="140"/>
      <c r="P124" s="141"/>
    </row>
    <row r="125" spans="1:16" x14ac:dyDescent="0.2">
      <c r="A125" s="129"/>
      <c r="B125" s="130"/>
      <c r="C125" s="140"/>
      <c r="D125" s="131"/>
      <c r="E125" s="129"/>
      <c r="F125" s="131"/>
      <c r="G125" s="130"/>
      <c r="H125" s="131"/>
      <c r="I125" s="132"/>
      <c r="J125" s="129"/>
      <c r="K125" s="140"/>
      <c r="L125" s="133"/>
      <c r="M125" s="140"/>
      <c r="N125" s="140"/>
      <c r="P125" s="141"/>
    </row>
    <row r="126" spans="1:16" x14ac:dyDescent="0.2">
      <c r="A126" s="129"/>
      <c r="B126" s="130"/>
      <c r="C126" s="140"/>
      <c r="D126" s="131"/>
      <c r="E126" s="129"/>
      <c r="F126" s="131"/>
      <c r="G126" s="130"/>
      <c r="H126" s="131"/>
      <c r="I126" s="132"/>
      <c r="J126" s="129"/>
      <c r="K126" s="140"/>
      <c r="L126" s="133"/>
      <c r="M126" s="140"/>
      <c r="N126" s="140"/>
      <c r="P126" s="141"/>
    </row>
    <row r="127" spans="1:16" x14ac:dyDescent="0.2">
      <c r="A127" s="129"/>
      <c r="B127" s="130"/>
      <c r="C127" s="140"/>
      <c r="D127" s="131"/>
      <c r="E127" s="129"/>
      <c r="F127" s="131"/>
      <c r="G127" s="130"/>
      <c r="H127" s="131"/>
      <c r="I127" s="132"/>
      <c r="J127" s="129"/>
      <c r="K127" s="140"/>
      <c r="L127" s="133"/>
      <c r="M127" s="140"/>
      <c r="N127" s="140"/>
      <c r="P127" s="141"/>
    </row>
    <row r="128" spans="1:16" x14ac:dyDescent="0.2">
      <c r="A128" s="129"/>
      <c r="B128" s="130"/>
      <c r="C128" s="140"/>
      <c r="D128" s="131"/>
      <c r="E128" s="129"/>
      <c r="F128" s="131"/>
      <c r="G128" s="130"/>
      <c r="H128" s="131"/>
      <c r="I128" s="132"/>
      <c r="J128" s="129"/>
      <c r="K128" s="140"/>
      <c r="L128" s="133"/>
      <c r="M128" s="140"/>
      <c r="N128" s="140"/>
      <c r="P128" s="141"/>
    </row>
    <row r="129" spans="1:16" x14ac:dyDescent="0.2">
      <c r="A129" s="129"/>
      <c r="B129" s="130"/>
      <c r="C129" s="140"/>
      <c r="D129" s="131"/>
      <c r="E129" s="129"/>
      <c r="F129" s="131"/>
      <c r="G129" s="130"/>
      <c r="H129" s="131"/>
      <c r="I129" s="132"/>
      <c r="J129" s="129"/>
      <c r="K129" s="140"/>
      <c r="L129" s="133"/>
      <c r="M129" s="140"/>
      <c r="N129" s="140"/>
      <c r="P129" s="141"/>
    </row>
    <row r="130" spans="1:16" x14ac:dyDescent="0.2">
      <c r="A130" s="129"/>
      <c r="B130" s="130"/>
      <c r="C130" s="140"/>
      <c r="D130" s="131"/>
      <c r="E130" s="129"/>
      <c r="F130" s="131"/>
      <c r="G130" s="130"/>
      <c r="H130" s="131"/>
      <c r="I130" s="132"/>
      <c r="J130" s="129"/>
      <c r="K130" s="140"/>
      <c r="L130" s="133"/>
      <c r="M130" s="140"/>
      <c r="N130" s="140"/>
      <c r="P130" s="141"/>
    </row>
    <row r="131" spans="1:16" x14ac:dyDescent="0.2">
      <c r="A131" s="129"/>
      <c r="B131" s="130"/>
      <c r="C131" s="140"/>
      <c r="D131" s="131"/>
      <c r="E131" s="129"/>
      <c r="F131" s="131"/>
      <c r="G131" s="130"/>
      <c r="H131" s="131"/>
      <c r="I131" s="132"/>
      <c r="J131" s="129"/>
      <c r="K131" s="140"/>
      <c r="L131" s="133"/>
      <c r="M131" s="140"/>
      <c r="N131" s="140"/>
      <c r="P131" s="141"/>
    </row>
    <row r="132" spans="1:16" x14ac:dyDescent="0.2">
      <c r="A132" s="129"/>
      <c r="B132" s="130"/>
      <c r="C132" s="140"/>
      <c r="D132" s="131"/>
      <c r="E132" s="129"/>
      <c r="F132" s="131"/>
      <c r="G132" s="130"/>
      <c r="H132" s="131"/>
      <c r="I132" s="132"/>
      <c r="J132" s="129"/>
      <c r="K132" s="140"/>
      <c r="L132" s="133"/>
      <c r="M132" s="140"/>
      <c r="N132" s="140"/>
      <c r="P132" s="141"/>
    </row>
    <row r="133" spans="1:16" x14ac:dyDescent="0.2">
      <c r="A133" s="129"/>
      <c r="B133" s="130"/>
      <c r="C133" s="140"/>
      <c r="D133" s="131"/>
      <c r="E133" s="129"/>
      <c r="F133" s="131"/>
      <c r="G133" s="130"/>
      <c r="H133" s="131"/>
      <c r="I133" s="132"/>
      <c r="J133" s="129"/>
      <c r="K133" s="140"/>
      <c r="L133" s="133"/>
      <c r="M133" s="140"/>
      <c r="N133" s="140"/>
      <c r="P133" s="141"/>
    </row>
    <row r="134" spans="1:16" x14ac:dyDescent="0.2">
      <c r="A134" s="129"/>
      <c r="B134" s="130"/>
      <c r="C134" s="140"/>
      <c r="D134" s="131"/>
      <c r="E134" s="129"/>
      <c r="F134" s="131"/>
      <c r="G134" s="130"/>
      <c r="H134" s="131"/>
      <c r="I134" s="132"/>
      <c r="J134" s="129"/>
      <c r="K134" s="140"/>
      <c r="L134" s="133"/>
      <c r="M134" s="140"/>
      <c r="N134" s="140"/>
      <c r="P134" s="141"/>
    </row>
    <row r="135" spans="1:16" x14ac:dyDescent="0.2">
      <c r="A135" s="129"/>
      <c r="B135" s="130"/>
      <c r="C135" s="140"/>
      <c r="D135" s="131"/>
      <c r="E135" s="129"/>
      <c r="F135" s="131"/>
      <c r="G135" s="130"/>
      <c r="H135" s="131"/>
      <c r="I135" s="132"/>
      <c r="J135" s="129"/>
      <c r="K135" s="140"/>
      <c r="L135" s="133"/>
      <c r="M135" s="140"/>
      <c r="N135" s="140"/>
      <c r="P135" s="141"/>
    </row>
    <row r="136" spans="1:16" x14ac:dyDescent="0.2">
      <c r="A136" s="129"/>
      <c r="B136" s="130"/>
      <c r="C136" s="140"/>
      <c r="D136" s="131"/>
      <c r="E136" s="129"/>
      <c r="F136" s="131"/>
      <c r="G136" s="130"/>
      <c r="H136" s="131"/>
      <c r="I136" s="132"/>
      <c r="J136" s="129"/>
      <c r="K136" s="140"/>
      <c r="L136" s="133"/>
      <c r="M136" s="140"/>
      <c r="N136" s="140"/>
      <c r="P136" s="141"/>
    </row>
    <row r="137" spans="1:16" x14ac:dyDescent="0.2">
      <c r="A137" s="129"/>
      <c r="B137" s="130"/>
      <c r="C137" s="140"/>
      <c r="D137" s="131"/>
      <c r="E137" s="129"/>
      <c r="F137" s="131"/>
      <c r="G137" s="130"/>
      <c r="H137" s="131"/>
      <c r="I137" s="132"/>
      <c r="J137" s="129"/>
      <c r="K137" s="140"/>
      <c r="L137" s="133"/>
      <c r="M137" s="140"/>
      <c r="N137" s="140"/>
      <c r="P137" s="141"/>
    </row>
    <row r="138" spans="1:16" x14ac:dyDescent="0.2">
      <c r="A138" s="129"/>
      <c r="B138" s="130"/>
      <c r="C138" s="140"/>
      <c r="D138" s="131"/>
      <c r="E138" s="129"/>
      <c r="F138" s="131"/>
      <c r="G138" s="130"/>
      <c r="H138" s="131"/>
      <c r="I138" s="132"/>
      <c r="J138" s="129"/>
      <c r="K138" s="140"/>
      <c r="L138" s="133"/>
      <c r="M138" s="140"/>
      <c r="N138" s="140"/>
      <c r="P138" s="141"/>
    </row>
    <row r="139" spans="1:16" x14ac:dyDescent="0.2">
      <c r="A139" s="129"/>
      <c r="B139" s="130"/>
      <c r="C139" s="140"/>
      <c r="D139" s="131"/>
      <c r="E139" s="129"/>
      <c r="F139" s="131"/>
      <c r="G139" s="130"/>
      <c r="H139" s="131"/>
      <c r="I139" s="132"/>
      <c r="J139" s="129"/>
      <c r="K139" s="140"/>
      <c r="L139" s="133"/>
      <c r="M139" s="140"/>
      <c r="N139" s="140"/>
      <c r="P139" s="141"/>
    </row>
    <row r="140" spans="1:16" x14ac:dyDescent="0.2">
      <c r="A140" s="129"/>
      <c r="B140" s="130"/>
      <c r="C140" s="140"/>
      <c r="D140" s="131"/>
      <c r="E140" s="129"/>
      <c r="F140" s="131"/>
      <c r="G140" s="130"/>
      <c r="H140" s="131"/>
      <c r="I140" s="132"/>
      <c r="J140" s="129"/>
      <c r="K140" s="140"/>
      <c r="L140" s="133"/>
      <c r="M140" s="140"/>
      <c r="N140" s="140"/>
      <c r="P140" s="141"/>
    </row>
    <row r="141" spans="1:16" x14ac:dyDescent="0.2">
      <c r="A141" s="129"/>
      <c r="B141" s="130"/>
      <c r="C141" s="140"/>
      <c r="D141" s="131"/>
      <c r="E141" s="129"/>
      <c r="F141" s="131"/>
      <c r="G141" s="130"/>
      <c r="H141" s="131"/>
      <c r="I141" s="132"/>
      <c r="J141" s="129"/>
      <c r="K141" s="140"/>
      <c r="L141" s="133"/>
      <c r="M141" s="140"/>
      <c r="N141" s="140"/>
      <c r="P141" s="141"/>
    </row>
    <row r="142" spans="1:16" x14ac:dyDescent="0.2">
      <c r="A142" s="129"/>
      <c r="B142" s="130"/>
      <c r="C142" s="140"/>
      <c r="D142" s="131"/>
      <c r="E142" s="129"/>
      <c r="F142" s="131"/>
      <c r="G142" s="130"/>
      <c r="H142" s="131"/>
      <c r="I142" s="132"/>
      <c r="J142" s="129"/>
      <c r="K142" s="140"/>
      <c r="L142" s="133"/>
      <c r="M142" s="140"/>
      <c r="N142" s="140"/>
      <c r="P142" s="141"/>
    </row>
    <row r="143" spans="1:16" x14ac:dyDescent="0.2">
      <c r="A143" s="129"/>
      <c r="B143" s="130"/>
      <c r="C143" s="140"/>
      <c r="D143" s="131"/>
      <c r="E143" s="129"/>
      <c r="F143" s="131"/>
      <c r="G143" s="130"/>
      <c r="H143" s="131"/>
      <c r="I143" s="132"/>
      <c r="J143" s="129"/>
      <c r="K143" s="140"/>
      <c r="L143" s="133"/>
      <c r="M143" s="140"/>
      <c r="N143" s="140"/>
      <c r="P143" s="141"/>
    </row>
    <row r="144" spans="1:16" x14ac:dyDescent="0.2">
      <c r="A144" s="129"/>
      <c r="B144" s="130"/>
      <c r="C144" s="140"/>
      <c r="D144" s="131"/>
      <c r="E144" s="129"/>
      <c r="F144" s="131"/>
      <c r="G144" s="130"/>
      <c r="H144" s="131"/>
      <c r="I144" s="132"/>
      <c r="J144" s="129"/>
      <c r="K144" s="140"/>
      <c r="L144" s="133"/>
      <c r="M144" s="140"/>
      <c r="N144" s="140"/>
      <c r="P144" s="141"/>
    </row>
    <row r="145" spans="1:16" x14ac:dyDescent="0.2">
      <c r="A145" s="129"/>
      <c r="B145" s="130"/>
      <c r="C145" s="140"/>
      <c r="D145" s="131"/>
      <c r="E145" s="129"/>
      <c r="F145" s="131"/>
      <c r="G145" s="130"/>
      <c r="H145" s="131"/>
      <c r="I145" s="132"/>
      <c r="J145" s="129"/>
      <c r="K145" s="140"/>
      <c r="L145" s="133"/>
      <c r="M145" s="140"/>
      <c r="N145" s="140"/>
      <c r="P145" s="141"/>
    </row>
    <row r="146" spans="1:16" x14ac:dyDescent="0.2">
      <c r="A146" s="129"/>
      <c r="B146" s="130"/>
      <c r="C146" s="140"/>
      <c r="D146" s="131"/>
      <c r="E146" s="129"/>
      <c r="F146" s="131"/>
      <c r="G146" s="130"/>
      <c r="H146" s="131"/>
      <c r="I146" s="132"/>
      <c r="J146" s="129"/>
      <c r="K146" s="140"/>
      <c r="L146" s="133"/>
      <c r="M146" s="140"/>
      <c r="N146" s="140"/>
      <c r="P146" s="141"/>
    </row>
    <row r="147" spans="1:16" x14ac:dyDescent="0.2">
      <c r="A147" s="129"/>
      <c r="B147" s="130"/>
      <c r="C147" s="140"/>
      <c r="D147" s="131"/>
      <c r="E147" s="129"/>
      <c r="F147" s="131"/>
      <c r="G147" s="130"/>
      <c r="H147" s="131"/>
      <c r="I147" s="132"/>
      <c r="J147" s="129"/>
      <c r="K147" s="140"/>
      <c r="L147" s="133"/>
      <c r="M147" s="140"/>
      <c r="N147" s="140"/>
      <c r="P147" s="141"/>
    </row>
    <row r="148" spans="1:16" x14ac:dyDescent="0.2">
      <c r="A148" s="129"/>
      <c r="B148" s="130"/>
      <c r="C148" s="140"/>
      <c r="D148" s="131"/>
      <c r="E148" s="129"/>
      <c r="F148" s="131"/>
      <c r="G148" s="130"/>
      <c r="H148" s="131"/>
      <c r="I148" s="132"/>
      <c r="J148" s="129"/>
      <c r="K148" s="140"/>
      <c r="L148" s="133"/>
      <c r="M148" s="140"/>
      <c r="N148" s="140"/>
      <c r="P148" s="141"/>
    </row>
    <row r="149" spans="1:16" x14ac:dyDescent="0.2">
      <c r="A149" s="129"/>
      <c r="B149" s="130"/>
      <c r="C149" s="140"/>
      <c r="D149" s="131"/>
      <c r="E149" s="129"/>
      <c r="F149" s="131"/>
      <c r="G149" s="130"/>
      <c r="H149" s="131"/>
      <c r="I149" s="132"/>
      <c r="J149" s="129"/>
      <c r="K149" s="140"/>
      <c r="L149" s="133"/>
      <c r="M149" s="140"/>
      <c r="N149" s="140"/>
      <c r="P149" s="141"/>
    </row>
    <row r="150" spans="1:16" x14ac:dyDescent="0.2">
      <c r="A150" s="129"/>
      <c r="B150" s="130"/>
      <c r="C150" s="140"/>
      <c r="D150" s="131"/>
      <c r="E150" s="129"/>
      <c r="F150" s="131"/>
      <c r="G150" s="130"/>
      <c r="H150" s="131"/>
      <c r="I150" s="132"/>
      <c r="J150" s="129"/>
      <c r="K150" s="140"/>
      <c r="L150" s="133"/>
      <c r="M150" s="140"/>
      <c r="N150" s="140"/>
      <c r="P150" s="141"/>
    </row>
    <row r="151" spans="1:16" x14ac:dyDescent="0.2">
      <c r="A151" s="129"/>
      <c r="B151" s="130"/>
      <c r="C151" s="140"/>
      <c r="D151" s="131"/>
      <c r="E151" s="129"/>
      <c r="F151" s="131"/>
      <c r="G151" s="130"/>
      <c r="H151" s="131"/>
      <c r="I151" s="132"/>
      <c r="J151" s="129"/>
      <c r="K151" s="140"/>
      <c r="L151" s="133"/>
      <c r="M151" s="140"/>
      <c r="N151" s="140"/>
      <c r="P151" s="141"/>
    </row>
    <row r="152" spans="1:16" x14ac:dyDescent="0.2">
      <c r="A152" s="129"/>
      <c r="B152" s="130"/>
      <c r="C152" s="140"/>
      <c r="D152" s="131"/>
      <c r="E152" s="129"/>
      <c r="F152" s="131"/>
      <c r="G152" s="130"/>
      <c r="H152" s="131"/>
      <c r="I152" s="132"/>
      <c r="J152" s="129"/>
      <c r="K152" s="140"/>
      <c r="L152" s="133"/>
      <c r="M152" s="140"/>
      <c r="N152" s="140"/>
      <c r="P152" s="141"/>
    </row>
    <row r="153" spans="1:16" x14ac:dyDescent="0.2">
      <c r="A153" s="129"/>
      <c r="B153" s="130"/>
      <c r="C153" s="140"/>
      <c r="D153" s="131"/>
      <c r="E153" s="129"/>
      <c r="F153" s="131"/>
      <c r="G153" s="130"/>
      <c r="H153" s="131"/>
      <c r="I153" s="132"/>
      <c r="J153" s="129"/>
      <c r="K153" s="140"/>
      <c r="L153" s="133"/>
      <c r="M153" s="140"/>
      <c r="N153" s="140"/>
      <c r="P153" s="141"/>
    </row>
    <row r="154" spans="1:16" x14ac:dyDescent="0.2">
      <c r="A154" s="129"/>
      <c r="B154" s="130"/>
      <c r="C154" s="140"/>
      <c r="D154" s="131"/>
      <c r="E154" s="129"/>
      <c r="F154" s="131"/>
      <c r="G154" s="130"/>
      <c r="H154" s="131"/>
      <c r="I154" s="132"/>
      <c r="J154" s="129"/>
      <c r="K154" s="140"/>
      <c r="L154" s="133"/>
      <c r="M154" s="140"/>
      <c r="N154" s="140"/>
      <c r="P154" s="141"/>
    </row>
    <row r="155" spans="1:16" x14ac:dyDescent="0.2">
      <c r="A155" s="129"/>
      <c r="B155" s="130"/>
      <c r="C155" s="140"/>
      <c r="D155" s="131"/>
      <c r="E155" s="129"/>
      <c r="F155" s="131"/>
      <c r="G155" s="130"/>
      <c r="H155" s="131"/>
      <c r="I155" s="132"/>
      <c r="J155" s="129"/>
      <c r="K155" s="140"/>
      <c r="L155" s="133"/>
      <c r="M155" s="140"/>
      <c r="N155" s="140"/>
      <c r="P155" s="141"/>
    </row>
    <row r="156" spans="1:16" x14ac:dyDescent="0.2">
      <c r="A156" s="129"/>
      <c r="B156" s="130"/>
      <c r="C156" s="140"/>
      <c r="D156" s="131"/>
      <c r="E156" s="129"/>
      <c r="F156" s="131"/>
      <c r="G156" s="130"/>
      <c r="H156" s="131"/>
      <c r="I156" s="132"/>
      <c r="J156" s="129"/>
      <c r="K156" s="140"/>
      <c r="L156" s="133"/>
      <c r="M156" s="140"/>
      <c r="N156" s="140"/>
      <c r="P156" s="141"/>
    </row>
    <row r="157" spans="1:16" x14ac:dyDescent="0.2">
      <c r="A157" s="129"/>
      <c r="B157" s="130"/>
      <c r="C157" s="140"/>
      <c r="D157" s="131"/>
      <c r="E157" s="129"/>
      <c r="F157" s="131"/>
      <c r="G157" s="130"/>
      <c r="H157" s="131"/>
      <c r="I157" s="132"/>
      <c r="J157" s="129"/>
      <c r="K157" s="140"/>
      <c r="L157" s="133"/>
      <c r="M157" s="140"/>
      <c r="N157" s="140"/>
      <c r="P157" s="141"/>
    </row>
    <row r="158" spans="1:16" x14ac:dyDescent="0.2">
      <c r="A158" s="129"/>
      <c r="B158" s="130"/>
      <c r="C158" s="140"/>
      <c r="D158" s="131"/>
      <c r="E158" s="129"/>
      <c r="F158" s="131"/>
      <c r="G158" s="130"/>
      <c r="H158" s="131"/>
      <c r="I158" s="132"/>
      <c r="J158" s="129"/>
      <c r="K158" s="140"/>
      <c r="L158" s="133"/>
      <c r="M158" s="140"/>
      <c r="N158" s="140"/>
      <c r="P158" s="141"/>
    </row>
    <row r="159" spans="1:16" x14ac:dyDescent="0.2">
      <c r="A159" s="129"/>
      <c r="B159" s="130"/>
      <c r="C159" s="140"/>
      <c r="D159" s="131"/>
      <c r="E159" s="129"/>
      <c r="F159" s="131"/>
      <c r="G159" s="130"/>
      <c r="H159" s="131"/>
      <c r="I159" s="132"/>
      <c r="J159" s="129"/>
      <c r="K159" s="140"/>
      <c r="L159" s="133"/>
      <c r="M159" s="140"/>
      <c r="N159" s="140"/>
      <c r="P159" s="141"/>
    </row>
    <row r="160" spans="1:16" x14ac:dyDescent="0.2">
      <c r="A160" s="129"/>
      <c r="B160" s="130"/>
      <c r="C160" s="140"/>
      <c r="D160" s="131"/>
      <c r="E160" s="129"/>
      <c r="F160" s="131"/>
      <c r="G160" s="130"/>
      <c r="H160" s="131"/>
      <c r="I160" s="132"/>
      <c r="J160" s="129"/>
      <c r="K160" s="140"/>
      <c r="L160" s="133"/>
      <c r="M160" s="140"/>
      <c r="N160" s="140"/>
      <c r="P160" s="141"/>
    </row>
    <row r="161" spans="1:16" x14ac:dyDescent="0.2">
      <c r="A161" s="129"/>
      <c r="B161" s="130"/>
      <c r="C161" s="140"/>
      <c r="D161" s="131"/>
      <c r="E161" s="129"/>
      <c r="F161" s="131"/>
      <c r="G161" s="130"/>
      <c r="H161" s="131"/>
      <c r="I161" s="132"/>
      <c r="J161" s="129"/>
      <c r="K161" s="140"/>
      <c r="L161" s="133"/>
      <c r="M161" s="140"/>
      <c r="N161" s="140"/>
      <c r="P161" s="141"/>
    </row>
    <row r="162" spans="1:16" x14ac:dyDescent="0.2">
      <c r="A162" s="129"/>
      <c r="B162" s="130"/>
      <c r="C162" s="140"/>
      <c r="D162" s="131"/>
      <c r="E162" s="129"/>
      <c r="F162" s="131"/>
      <c r="G162" s="130"/>
      <c r="H162" s="131"/>
      <c r="I162" s="132"/>
      <c r="J162" s="129"/>
      <c r="K162" s="140"/>
      <c r="L162" s="133"/>
      <c r="M162" s="140"/>
      <c r="N162" s="140"/>
      <c r="P162" s="141"/>
    </row>
    <row r="163" spans="1:16" x14ac:dyDescent="0.2">
      <c r="A163" s="129"/>
      <c r="B163" s="130"/>
      <c r="C163" s="140"/>
      <c r="D163" s="131"/>
      <c r="E163" s="129"/>
      <c r="F163" s="131"/>
      <c r="G163" s="130"/>
      <c r="H163" s="131"/>
      <c r="I163" s="132"/>
      <c r="J163" s="129"/>
      <c r="K163" s="140"/>
      <c r="L163" s="133"/>
      <c r="M163" s="140"/>
      <c r="N163" s="140"/>
      <c r="P163" s="141"/>
    </row>
    <row r="164" spans="1:16" x14ac:dyDescent="0.2">
      <c r="A164" s="129"/>
      <c r="B164" s="130"/>
      <c r="C164" s="140"/>
      <c r="D164" s="131"/>
      <c r="E164" s="129"/>
      <c r="F164" s="131"/>
      <c r="G164" s="130"/>
      <c r="H164" s="131"/>
      <c r="I164" s="132"/>
      <c r="J164" s="129"/>
      <c r="K164" s="140"/>
      <c r="L164" s="133"/>
      <c r="M164" s="140"/>
      <c r="N164" s="140"/>
      <c r="P164" s="141"/>
    </row>
    <row r="165" spans="1:16" x14ac:dyDescent="0.2">
      <c r="A165" s="129"/>
      <c r="B165" s="130"/>
      <c r="C165" s="140"/>
      <c r="D165" s="131"/>
      <c r="E165" s="129"/>
      <c r="F165" s="131"/>
      <c r="G165" s="130"/>
      <c r="H165" s="131"/>
      <c r="I165" s="132"/>
      <c r="J165" s="129"/>
      <c r="K165" s="140"/>
      <c r="L165" s="133"/>
      <c r="M165" s="140"/>
      <c r="N165" s="140"/>
      <c r="P165" s="141"/>
    </row>
    <row r="166" spans="1:16" x14ac:dyDescent="0.2">
      <c r="A166" s="129"/>
      <c r="B166" s="130"/>
      <c r="C166" s="140"/>
      <c r="D166" s="131"/>
      <c r="E166" s="129"/>
      <c r="F166" s="131"/>
      <c r="G166" s="130"/>
      <c r="H166" s="131"/>
      <c r="I166" s="132"/>
      <c r="J166" s="129"/>
      <c r="K166" s="140"/>
      <c r="L166" s="133"/>
      <c r="M166" s="140"/>
      <c r="N166" s="140"/>
      <c r="P166" s="141"/>
    </row>
    <row r="167" spans="1:16" x14ac:dyDescent="0.2">
      <c r="A167" s="129"/>
      <c r="B167" s="130"/>
      <c r="C167" s="140"/>
      <c r="D167" s="131"/>
      <c r="E167" s="129"/>
      <c r="F167" s="131"/>
      <c r="G167" s="130"/>
      <c r="H167" s="131"/>
      <c r="I167" s="132"/>
      <c r="J167" s="129"/>
      <c r="K167" s="140"/>
      <c r="L167" s="133"/>
      <c r="M167" s="140"/>
      <c r="N167" s="140"/>
      <c r="P167" s="141"/>
    </row>
    <row r="168" spans="1:16" x14ac:dyDescent="0.2">
      <c r="A168" s="129"/>
      <c r="B168" s="130"/>
      <c r="C168" s="140"/>
      <c r="D168" s="131"/>
      <c r="E168" s="129"/>
      <c r="F168" s="131"/>
      <c r="G168" s="130"/>
      <c r="H168" s="131"/>
      <c r="I168" s="132"/>
      <c r="J168" s="129"/>
      <c r="K168" s="140"/>
      <c r="L168" s="133"/>
      <c r="M168" s="140"/>
      <c r="N168" s="140"/>
      <c r="P168" s="141"/>
    </row>
    <row r="169" spans="1:16" x14ac:dyDescent="0.2">
      <c r="A169" s="129"/>
      <c r="B169" s="130"/>
      <c r="C169" s="140"/>
      <c r="D169" s="131"/>
      <c r="E169" s="129"/>
      <c r="F169" s="131"/>
      <c r="G169" s="130"/>
      <c r="H169" s="131"/>
      <c r="I169" s="132"/>
      <c r="J169" s="129"/>
      <c r="K169" s="140"/>
      <c r="L169" s="133"/>
      <c r="M169" s="140"/>
      <c r="N169" s="140"/>
      <c r="P169" s="141"/>
    </row>
    <row r="170" spans="1:16" x14ac:dyDescent="0.2">
      <c r="A170" s="129"/>
      <c r="B170" s="130"/>
      <c r="C170" s="140"/>
      <c r="D170" s="131"/>
      <c r="E170" s="129"/>
      <c r="F170" s="131"/>
      <c r="G170" s="130"/>
      <c r="H170" s="131"/>
      <c r="I170" s="132"/>
      <c r="J170" s="129"/>
      <c r="K170" s="140"/>
      <c r="L170" s="133"/>
      <c r="M170" s="140"/>
      <c r="N170" s="140"/>
      <c r="P170" s="141"/>
    </row>
    <row r="171" spans="1:16" x14ac:dyDescent="0.2">
      <c r="A171" s="129"/>
      <c r="B171" s="130"/>
      <c r="C171" s="140"/>
      <c r="D171" s="131"/>
      <c r="E171" s="129"/>
      <c r="F171" s="131"/>
      <c r="G171" s="130"/>
      <c r="H171" s="131"/>
      <c r="I171" s="132"/>
      <c r="J171" s="129"/>
      <c r="K171" s="140"/>
      <c r="L171" s="133"/>
      <c r="M171" s="140"/>
      <c r="N171" s="140"/>
      <c r="P171" s="141"/>
    </row>
    <row r="172" spans="1:16" x14ac:dyDescent="0.2">
      <c r="A172" s="129"/>
      <c r="B172" s="130"/>
      <c r="C172" s="140"/>
      <c r="D172" s="131"/>
      <c r="E172" s="129"/>
      <c r="F172" s="131"/>
      <c r="G172" s="130"/>
      <c r="H172" s="131"/>
      <c r="I172" s="132"/>
      <c r="J172" s="129"/>
      <c r="K172" s="140"/>
      <c r="L172" s="133"/>
      <c r="M172" s="140"/>
      <c r="N172" s="140"/>
      <c r="P172" s="141"/>
    </row>
    <row r="173" spans="1:16" x14ac:dyDescent="0.2">
      <c r="A173" s="129"/>
      <c r="B173" s="130"/>
      <c r="C173" s="140"/>
      <c r="D173" s="131"/>
      <c r="E173" s="129"/>
      <c r="F173" s="131"/>
      <c r="G173" s="130"/>
      <c r="H173" s="131"/>
      <c r="I173" s="132"/>
      <c r="J173" s="129"/>
      <c r="K173" s="140"/>
      <c r="L173" s="133"/>
      <c r="M173" s="140"/>
      <c r="N173" s="140"/>
      <c r="P173" s="141"/>
    </row>
    <row r="174" spans="1:16" x14ac:dyDescent="0.2">
      <c r="A174" s="129"/>
      <c r="B174" s="130"/>
      <c r="C174" s="140"/>
      <c r="D174" s="131"/>
      <c r="E174" s="129"/>
      <c r="F174" s="131"/>
      <c r="G174" s="130"/>
      <c r="H174" s="131"/>
      <c r="I174" s="132"/>
      <c r="J174" s="129"/>
      <c r="K174" s="140"/>
      <c r="L174" s="133"/>
      <c r="M174" s="140"/>
      <c r="N174" s="140"/>
      <c r="P174" s="141"/>
    </row>
    <row r="175" spans="1:16" x14ac:dyDescent="0.2">
      <c r="A175" s="129"/>
      <c r="B175" s="130"/>
      <c r="C175" s="140"/>
      <c r="D175" s="131"/>
      <c r="E175" s="129"/>
      <c r="F175" s="131"/>
      <c r="G175" s="130"/>
      <c r="H175" s="131"/>
      <c r="I175" s="132"/>
      <c r="J175" s="129"/>
      <c r="K175" s="140"/>
      <c r="L175" s="133"/>
      <c r="M175" s="140"/>
      <c r="N175" s="140"/>
      <c r="P175" s="141"/>
    </row>
    <row r="176" spans="1:16" x14ac:dyDescent="0.2">
      <c r="A176" s="129"/>
      <c r="B176" s="130"/>
      <c r="C176" s="140"/>
      <c r="D176" s="131"/>
      <c r="E176" s="129"/>
      <c r="F176" s="131"/>
      <c r="G176" s="130"/>
      <c r="H176" s="131"/>
      <c r="I176" s="132"/>
      <c r="J176" s="129"/>
      <c r="K176" s="140"/>
      <c r="L176" s="133"/>
      <c r="M176" s="140"/>
      <c r="N176" s="140"/>
      <c r="P176" s="141"/>
    </row>
    <row r="177" spans="1:16" x14ac:dyDescent="0.2">
      <c r="A177" s="129"/>
      <c r="B177" s="130"/>
      <c r="C177" s="140"/>
      <c r="D177" s="131"/>
      <c r="E177" s="129"/>
      <c r="F177" s="131"/>
      <c r="G177" s="130"/>
      <c r="H177" s="131"/>
      <c r="I177" s="132"/>
      <c r="J177" s="129"/>
      <c r="K177" s="140"/>
      <c r="L177" s="133"/>
      <c r="M177" s="140"/>
      <c r="N177" s="140"/>
      <c r="P177" s="141"/>
    </row>
    <row r="178" spans="1:16" x14ac:dyDescent="0.2">
      <c r="A178" s="129"/>
      <c r="B178" s="130"/>
      <c r="C178" s="140"/>
      <c r="D178" s="131"/>
      <c r="E178" s="129"/>
      <c r="F178" s="131"/>
      <c r="G178" s="130"/>
      <c r="H178" s="131"/>
      <c r="I178" s="132"/>
      <c r="J178" s="129"/>
      <c r="K178" s="140"/>
      <c r="L178" s="133"/>
      <c r="M178" s="140"/>
      <c r="N178" s="140"/>
      <c r="P178" s="141"/>
    </row>
    <row r="179" spans="1:16" x14ac:dyDescent="0.2">
      <c r="A179" s="129"/>
      <c r="B179" s="130"/>
      <c r="C179" s="140"/>
      <c r="D179" s="131"/>
      <c r="E179" s="129"/>
      <c r="F179" s="131"/>
      <c r="G179" s="130"/>
      <c r="H179" s="131"/>
      <c r="I179" s="132"/>
      <c r="J179" s="129"/>
      <c r="K179" s="140"/>
      <c r="L179" s="133"/>
      <c r="M179" s="140"/>
      <c r="N179" s="140"/>
      <c r="P179" s="141"/>
    </row>
    <row r="180" spans="1:16" x14ac:dyDescent="0.2">
      <c r="A180" s="129"/>
      <c r="B180" s="130"/>
      <c r="C180" s="140"/>
      <c r="D180" s="131"/>
      <c r="E180" s="129"/>
      <c r="F180" s="131"/>
      <c r="G180" s="130"/>
      <c r="H180" s="131"/>
      <c r="I180" s="132"/>
      <c r="J180" s="129"/>
      <c r="K180" s="140"/>
      <c r="L180" s="133"/>
      <c r="M180" s="140"/>
      <c r="N180" s="140"/>
      <c r="P180" s="141"/>
    </row>
    <row r="181" spans="1:16" x14ac:dyDescent="0.2">
      <c r="A181" s="129"/>
      <c r="B181" s="130"/>
      <c r="C181" s="140"/>
      <c r="D181" s="131"/>
      <c r="E181" s="129"/>
      <c r="F181" s="131"/>
      <c r="G181" s="130"/>
      <c r="H181" s="131"/>
      <c r="I181" s="132"/>
      <c r="J181" s="129"/>
      <c r="K181" s="140"/>
      <c r="L181" s="133"/>
      <c r="M181" s="140"/>
      <c r="N181" s="140"/>
      <c r="P181" s="141"/>
    </row>
    <row r="182" spans="1:16" x14ac:dyDescent="0.2">
      <c r="A182" s="129"/>
      <c r="B182" s="130"/>
      <c r="C182" s="140"/>
      <c r="D182" s="131"/>
      <c r="E182" s="129"/>
      <c r="F182" s="131"/>
      <c r="G182" s="130"/>
      <c r="H182" s="131"/>
      <c r="I182" s="132"/>
      <c r="J182" s="129"/>
      <c r="K182" s="140"/>
      <c r="L182" s="133"/>
      <c r="M182" s="140"/>
      <c r="N182" s="140"/>
      <c r="P182" s="141"/>
    </row>
    <row r="183" spans="1:16" x14ac:dyDescent="0.2">
      <c r="A183" s="129"/>
      <c r="B183" s="130"/>
      <c r="C183" s="140"/>
      <c r="D183" s="131"/>
      <c r="E183" s="129"/>
      <c r="F183" s="131"/>
      <c r="G183" s="130"/>
      <c r="H183" s="131"/>
      <c r="I183" s="132"/>
      <c r="J183" s="129"/>
      <c r="K183" s="140"/>
      <c r="L183" s="133"/>
      <c r="M183" s="140"/>
      <c r="N183" s="140"/>
      <c r="P183" s="141"/>
    </row>
    <row r="184" spans="1:16" x14ac:dyDescent="0.2">
      <c r="A184" s="129"/>
      <c r="B184" s="130"/>
      <c r="C184" s="140"/>
      <c r="D184" s="131"/>
      <c r="E184" s="129"/>
      <c r="F184" s="131"/>
      <c r="G184" s="130"/>
      <c r="H184" s="131"/>
      <c r="I184" s="132"/>
      <c r="J184" s="129"/>
      <c r="K184" s="140"/>
      <c r="L184" s="133"/>
      <c r="M184" s="140"/>
      <c r="N184" s="140"/>
      <c r="P184" s="141"/>
    </row>
    <row r="185" spans="1:16" x14ac:dyDescent="0.2">
      <c r="A185" s="129"/>
      <c r="B185" s="130"/>
      <c r="C185" s="140"/>
      <c r="D185" s="131"/>
      <c r="E185" s="129"/>
      <c r="F185" s="131"/>
      <c r="G185" s="130"/>
      <c r="H185" s="131"/>
      <c r="I185" s="132"/>
      <c r="J185" s="129"/>
      <c r="K185" s="140"/>
      <c r="L185" s="133"/>
      <c r="M185" s="140"/>
      <c r="N185" s="140"/>
      <c r="P185" s="141"/>
    </row>
    <row r="186" spans="1:16" x14ac:dyDescent="0.2">
      <c r="A186" s="129"/>
      <c r="B186" s="130"/>
      <c r="C186" s="140"/>
      <c r="D186" s="131"/>
      <c r="E186" s="129"/>
      <c r="F186" s="131"/>
      <c r="G186" s="130"/>
      <c r="H186" s="131"/>
      <c r="I186" s="132"/>
      <c r="J186" s="129"/>
      <c r="K186" s="140"/>
      <c r="L186" s="133"/>
      <c r="M186" s="140"/>
      <c r="N186" s="140"/>
      <c r="P186" s="141"/>
    </row>
    <row r="187" spans="1:16" x14ac:dyDescent="0.2">
      <c r="A187" s="129"/>
      <c r="B187" s="130"/>
      <c r="C187" s="140"/>
      <c r="D187" s="131"/>
      <c r="E187" s="129"/>
      <c r="F187" s="131"/>
      <c r="G187" s="130"/>
      <c r="H187" s="131"/>
      <c r="I187" s="132"/>
      <c r="J187" s="129"/>
      <c r="K187" s="140"/>
      <c r="L187" s="133"/>
      <c r="M187" s="140"/>
      <c r="N187" s="140"/>
      <c r="P187" s="141"/>
    </row>
    <row r="188" spans="1:16" x14ac:dyDescent="0.2">
      <c r="A188" s="129"/>
      <c r="B188" s="130"/>
      <c r="C188" s="140"/>
      <c r="D188" s="131"/>
      <c r="E188" s="129"/>
      <c r="F188" s="131"/>
      <c r="G188" s="130"/>
      <c r="H188" s="131"/>
      <c r="I188" s="132"/>
      <c r="J188" s="129"/>
      <c r="K188" s="140"/>
      <c r="L188" s="133"/>
      <c r="M188" s="140"/>
      <c r="N188" s="140"/>
      <c r="P188" s="141"/>
    </row>
    <row r="189" spans="1:16" x14ac:dyDescent="0.2">
      <c r="A189" s="129"/>
      <c r="B189" s="130"/>
      <c r="C189" s="140"/>
      <c r="D189" s="131"/>
      <c r="E189" s="129"/>
      <c r="F189" s="131"/>
      <c r="G189" s="130"/>
      <c r="H189" s="131"/>
      <c r="I189" s="132"/>
      <c r="J189" s="129"/>
      <c r="K189" s="140"/>
      <c r="L189" s="133"/>
      <c r="M189" s="140"/>
      <c r="N189" s="140"/>
      <c r="P189" s="141"/>
    </row>
    <row r="190" spans="1:16" x14ac:dyDescent="0.2">
      <c r="A190" s="129"/>
      <c r="B190" s="130"/>
      <c r="C190" s="140"/>
      <c r="D190" s="131"/>
      <c r="E190" s="129"/>
      <c r="F190" s="131"/>
      <c r="G190" s="130"/>
      <c r="H190" s="131"/>
      <c r="I190" s="132"/>
      <c r="J190" s="129"/>
      <c r="K190" s="140"/>
      <c r="L190" s="133"/>
      <c r="M190" s="140"/>
      <c r="N190" s="140"/>
      <c r="P190" s="141"/>
    </row>
    <row r="191" spans="1:16" x14ac:dyDescent="0.2">
      <c r="A191" s="129"/>
      <c r="B191" s="130"/>
      <c r="C191" s="140"/>
      <c r="D191" s="131"/>
      <c r="E191" s="129"/>
      <c r="F191" s="131"/>
      <c r="G191" s="130"/>
      <c r="H191" s="131"/>
      <c r="I191" s="132"/>
      <c r="J191" s="129"/>
      <c r="K191" s="140"/>
      <c r="L191" s="133"/>
      <c r="M191" s="140"/>
      <c r="N191" s="140"/>
      <c r="P191" s="141"/>
    </row>
    <row r="192" spans="1:16" x14ac:dyDescent="0.2">
      <c r="A192" s="129"/>
      <c r="B192" s="130"/>
      <c r="C192" s="140"/>
      <c r="D192" s="131"/>
      <c r="E192" s="129"/>
      <c r="F192" s="131"/>
      <c r="G192" s="130"/>
      <c r="H192" s="131"/>
      <c r="I192" s="132"/>
      <c r="J192" s="129"/>
      <c r="K192" s="140"/>
      <c r="L192" s="133"/>
      <c r="M192" s="140"/>
      <c r="N192" s="140"/>
      <c r="P192" s="141"/>
    </row>
    <row r="193" spans="1:16" x14ac:dyDescent="0.2">
      <c r="A193" s="129"/>
      <c r="B193" s="130"/>
      <c r="C193" s="140"/>
      <c r="D193" s="131"/>
      <c r="E193" s="129"/>
      <c r="F193" s="131"/>
      <c r="G193" s="130"/>
      <c r="H193" s="131"/>
      <c r="I193" s="132"/>
      <c r="J193" s="129"/>
      <c r="K193" s="140"/>
      <c r="L193" s="133"/>
      <c r="M193" s="140"/>
      <c r="N193" s="140"/>
      <c r="P193" s="141"/>
    </row>
    <row r="194" spans="1:16" x14ac:dyDescent="0.2">
      <c r="A194" s="129"/>
      <c r="B194" s="130"/>
      <c r="C194" s="140"/>
      <c r="D194" s="131"/>
      <c r="E194" s="129"/>
      <c r="F194" s="131"/>
      <c r="G194" s="130"/>
      <c r="H194" s="131"/>
      <c r="I194" s="132"/>
      <c r="J194" s="129"/>
      <c r="K194" s="140"/>
      <c r="L194" s="133"/>
      <c r="M194" s="140"/>
      <c r="N194" s="140"/>
      <c r="P194" s="141"/>
    </row>
    <row r="195" spans="1:16" x14ac:dyDescent="0.2">
      <c r="A195" s="129"/>
      <c r="B195" s="130"/>
      <c r="C195" s="140"/>
      <c r="D195" s="131"/>
      <c r="E195" s="129"/>
      <c r="F195" s="131"/>
      <c r="G195" s="130"/>
      <c r="H195" s="131"/>
      <c r="I195" s="132"/>
      <c r="J195" s="129"/>
      <c r="K195" s="140"/>
      <c r="L195" s="133"/>
      <c r="M195" s="140"/>
      <c r="N195" s="140"/>
      <c r="P195" s="141"/>
    </row>
    <row r="196" spans="1:16" x14ac:dyDescent="0.2">
      <c r="A196" s="129"/>
      <c r="B196" s="130"/>
      <c r="C196" s="140"/>
      <c r="D196" s="131"/>
      <c r="E196" s="129"/>
      <c r="F196" s="131"/>
      <c r="G196" s="130"/>
      <c r="H196" s="131"/>
      <c r="I196" s="132"/>
      <c r="J196" s="129"/>
      <c r="K196" s="140"/>
      <c r="L196" s="133"/>
      <c r="M196" s="140"/>
      <c r="N196" s="140"/>
      <c r="P196" s="141"/>
    </row>
    <row r="197" spans="1:16" x14ac:dyDescent="0.2">
      <c r="A197" s="129"/>
      <c r="B197" s="130"/>
      <c r="C197" s="140"/>
      <c r="D197" s="131"/>
      <c r="E197" s="129"/>
      <c r="F197" s="131"/>
      <c r="G197" s="130"/>
      <c r="H197" s="131"/>
      <c r="I197" s="132"/>
      <c r="J197" s="129"/>
      <c r="K197" s="140"/>
      <c r="L197" s="133"/>
      <c r="M197" s="140"/>
      <c r="N197" s="140"/>
      <c r="P197" s="141"/>
    </row>
    <row r="198" spans="1:16" x14ac:dyDescent="0.2">
      <c r="A198" s="129"/>
      <c r="B198" s="130"/>
      <c r="C198" s="140"/>
      <c r="D198" s="131"/>
      <c r="E198" s="129"/>
      <c r="F198" s="131"/>
      <c r="G198" s="130"/>
      <c r="H198" s="131"/>
      <c r="I198" s="132"/>
      <c r="J198" s="129"/>
      <c r="K198" s="140"/>
      <c r="L198" s="133"/>
      <c r="M198" s="140"/>
      <c r="N198" s="140"/>
      <c r="P198" s="141"/>
    </row>
    <row r="199" spans="1:16" x14ac:dyDescent="0.2">
      <c r="A199" s="129"/>
      <c r="B199" s="130"/>
      <c r="C199" s="140"/>
      <c r="D199" s="131"/>
      <c r="E199" s="129"/>
      <c r="F199" s="131"/>
      <c r="G199" s="130"/>
      <c r="H199" s="131"/>
      <c r="I199" s="132"/>
      <c r="J199" s="129"/>
      <c r="K199" s="140"/>
      <c r="L199" s="133"/>
      <c r="M199" s="140"/>
      <c r="N199" s="140"/>
      <c r="P199" s="141"/>
    </row>
    <row r="200" spans="1:16" x14ac:dyDescent="0.2">
      <c r="A200" s="129"/>
      <c r="B200" s="130"/>
      <c r="C200" s="140"/>
      <c r="D200" s="131"/>
      <c r="E200" s="129"/>
      <c r="F200" s="131"/>
      <c r="G200" s="130"/>
      <c r="H200" s="131"/>
      <c r="I200" s="132"/>
      <c r="J200" s="129"/>
      <c r="K200" s="140"/>
      <c r="L200" s="133"/>
      <c r="M200" s="140"/>
      <c r="N200" s="140"/>
      <c r="P200" s="141"/>
    </row>
    <row r="201" spans="1:16" x14ac:dyDescent="0.2">
      <c r="A201" s="129"/>
      <c r="B201" s="130"/>
      <c r="C201" s="140"/>
      <c r="D201" s="131"/>
      <c r="E201" s="129"/>
      <c r="F201" s="131"/>
      <c r="G201" s="130"/>
      <c r="H201" s="131"/>
      <c r="I201" s="132"/>
      <c r="J201" s="129"/>
      <c r="K201" s="140"/>
      <c r="L201" s="133"/>
      <c r="M201" s="140"/>
      <c r="N201" s="140"/>
      <c r="P201" s="141"/>
    </row>
    <row r="202" spans="1:16" x14ac:dyDescent="0.2">
      <c r="A202" s="129"/>
      <c r="B202" s="130"/>
      <c r="C202" s="140"/>
      <c r="D202" s="131"/>
      <c r="E202" s="129"/>
      <c r="F202" s="131"/>
      <c r="G202" s="130"/>
      <c r="H202" s="131"/>
      <c r="I202" s="132"/>
      <c r="J202" s="129"/>
      <c r="K202" s="140"/>
      <c r="L202" s="133"/>
      <c r="M202" s="140"/>
      <c r="N202" s="140"/>
      <c r="P202" s="141"/>
    </row>
    <row r="203" spans="1:16" x14ac:dyDescent="0.2">
      <c r="A203" s="129"/>
      <c r="B203" s="130"/>
      <c r="C203" s="140"/>
      <c r="D203" s="131"/>
      <c r="E203" s="129"/>
      <c r="F203" s="131"/>
      <c r="G203" s="130"/>
      <c r="H203" s="131"/>
      <c r="I203" s="132"/>
      <c r="J203" s="129"/>
      <c r="K203" s="140"/>
      <c r="L203" s="133"/>
      <c r="M203" s="140"/>
      <c r="N203" s="140"/>
      <c r="P203" s="141"/>
    </row>
    <row r="204" spans="1:16" x14ac:dyDescent="0.2">
      <c r="A204" s="129"/>
      <c r="B204" s="130"/>
      <c r="C204" s="140"/>
      <c r="D204" s="131"/>
      <c r="E204" s="129"/>
      <c r="F204" s="131"/>
      <c r="G204" s="130"/>
      <c r="H204" s="131"/>
      <c r="I204" s="132"/>
      <c r="J204" s="129"/>
      <c r="K204" s="140"/>
      <c r="L204" s="133"/>
      <c r="M204" s="140"/>
      <c r="N204" s="140"/>
      <c r="P204" s="141"/>
    </row>
    <row r="205" spans="1:16" x14ac:dyDescent="0.2">
      <c r="A205" s="129"/>
      <c r="B205" s="130"/>
      <c r="C205" s="140"/>
      <c r="D205" s="131"/>
      <c r="E205" s="129"/>
      <c r="F205" s="131"/>
      <c r="G205" s="130"/>
      <c r="H205" s="131"/>
      <c r="I205" s="132"/>
      <c r="J205" s="129"/>
      <c r="K205" s="140"/>
      <c r="L205" s="133"/>
      <c r="M205" s="140"/>
      <c r="N205" s="140"/>
      <c r="P205" s="141"/>
    </row>
    <row r="206" spans="1:16" x14ac:dyDescent="0.2">
      <c r="A206" s="129"/>
      <c r="B206" s="130"/>
      <c r="C206" s="140"/>
      <c r="D206" s="131"/>
      <c r="E206" s="129"/>
      <c r="F206" s="131"/>
      <c r="G206" s="130"/>
      <c r="H206" s="131"/>
      <c r="I206" s="132"/>
      <c r="J206" s="129"/>
      <c r="K206" s="140"/>
      <c r="L206" s="133"/>
      <c r="M206" s="140"/>
      <c r="N206" s="140"/>
      <c r="P206" s="141"/>
    </row>
    <row r="207" spans="1:16" x14ac:dyDescent="0.2">
      <c r="A207" s="129"/>
      <c r="B207" s="130"/>
      <c r="C207" s="140"/>
      <c r="D207" s="131"/>
      <c r="E207" s="129"/>
      <c r="F207" s="131"/>
      <c r="G207" s="130"/>
      <c r="H207" s="131"/>
      <c r="I207" s="132"/>
      <c r="J207" s="129"/>
      <c r="K207" s="140"/>
      <c r="L207" s="133"/>
      <c r="M207" s="140"/>
      <c r="N207" s="140"/>
      <c r="P207" s="141"/>
    </row>
    <row r="208" spans="1:16" x14ac:dyDescent="0.2">
      <c r="A208" s="129"/>
      <c r="B208" s="130"/>
      <c r="C208" s="140"/>
      <c r="D208" s="131"/>
      <c r="E208" s="129"/>
      <c r="F208" s="131"/>
      <c r="G208" s="130"/>
      <c r="H208" s="131"/>
      <c r="I208" s="132"/>
      <c r="J208" s="129"/>
      <c r="K208" s="140"/>
      <c r="L208" s="133"/>
      <c r="M208" s="140"/>
      <c r="N208" s="140"/>
      <c r="P208" s="141"/>
    </row>
    <row r="209" spans="1:16" x14ac:dyDescent="0.2">
      <c r="A209" s="129"/>
      <c r="B209" s="130"/>
      <c r="C209" s="140"/>
      <c r="D209" s="131"/>
      <c r="E209" s="129"/>
      <c r="F209" s="131"/>
      <c r="G209" s="130"/>
      <c r="H209" s="131"/>
      <c r="I209" s="132"/>
      <c r="J209" s="129"/>
      <c r="K209" s="140"/>
      <c r="L209" s="133"/>
      <c r="M209" s="140"/>
      <c r="N209" s="140"/>
      <c r="P209" s="141"/>
    </row>
    <row r="210" spans="1:16" x14ac:dyDescent="0.2">
      <c r="A210" s="129"/>
      <c r="B210" s="130"/>
      <c r="C210" s="140"/>
      <c r="D210" s="131"/>
      <c r="E210" s="129"/>
      <c r="F210" s="131"/>
      <c r="G210" s="130"/>
      <c r="H210" s="131"/>
      <c r="I210" s="132"/>
      <c r="J210" s="129"/>
      <c r="K210" s="140"/>
      <c r="L210" s="133"/>
      <c r="M210" s="140"/>
      <c r="N210" s="140"/>
      <c r="P210" s="141"/>
    </row>
    <row r="211" spans="1:16" x14ac:dyDescent="0.2">
      <c r="A211" s="129"/>
      <c r="B211" s="130"/>
      <c r="C211" s="140"/>
      <c r="D211" s="131"/>
      <c r="E211" s="129"/>
      <c r="F211" s="131"/>
      <c r="G211" s="130"/>
      <c r="H211" s="131"/>
      <c r="I211" s="132"/>
      <c r="J211" s="129"/>
      <c r="K211" s="140"/>
      <c r="L211" s="133"/>
      <c r="M211" s="140"/>
      <c r="N211" s="140"/>
      <c r="P211" s="141"/>
    </row>
    <row r="212" spans="1:16" x14ac:dyDescent="0.2">
      <c r="A212" s="129"/>
      <c r="B212" s="130"/>
      <c r="C212" s="140"/>
      <c r="D212" s="131"/>
      <c r="E212" s="129"/>
      <c r="F212" s="131"/>
      <c r="G212" s="130"/>
      <c r="H212" s="131"/>
      <c r="I212" s="132"/>
      <c r="J212" s="129"/>
      <c r="K212" s="140"/>
      <c r="L212" s="133"/>
      <c r="M212" s="140"/>
      <c r="N212" s="140"/>
      <c r="P212" s="141"/>
    </row>
    <row r="213" spans="1:16" x14ac:dyDescent="0.2">
      <c r="A213" s="129"/>
      <c r="B213" s="130"/>
      <c r="C213" s="140"/>
      <c r="D213" s="131"/>
      <c r="E213" s="129"/>
      <c r="F213" s="131"/>
      <c r="G213" s="130"/>
      <c r="H213" s="131"/>
      <c r="I213" s="132"/>
      <c r="J213" s="129"/>
      <c r="K213" s="140"/>
      <c r="L213" s="133"/>
      <c r="M213" s="140"/>
      <c r="N213" s="140"/>
      <c r="P213" s="141"/>
    </row>
    <row r="214" spans="1:16" x14ac:dyDescent="0.2">
      <c r="A214" s="129"/>
      <c r="B214" s="130"/>
      <c r="C214" s="140"/>
      <c r="D214" s="131"/>
      <c r="E214" s="129"/>
      <c r="F214" s="131"/>
      <c r="G214" s="130"/>
      <c r="H214" s="131"/>
      <c r="I214" s="132"/>
      <c r="J214" s="129"/>
      <c r="K214" s="140"/>
      <c r="L214" s="133"/>
      <c r="M214" s="140"/>
      <c r="N214" s="140"/>
      <c r="P214" s="141"/>
    </row>
    <row r="215" spans="1:16" x14ac:dyDescent="0.2">
      <c r="A215" s="129"/>
      <c r="B215" s="130"/>
      <c r="C215" s="140"/>
      <c r="D215" s="131"/>
      <c r="E215" s="129"/>
      <c r="F215" s="131"/>
      <c r="G215" s="130"/>
      <c r="H215" s="131"/>
      <c r="I215" s="132"/>
      <c r="J215" s="129"/>
      <c r="K215" s="140"/>
      <c r="L215" s="133"/>
      <c r="M215" s="140"/>
      <c r="N215" s="140"/>
      <c r="P215" s="141"/>
    </row>
    <row r="216" spans="1:16" x14ac:dyDescent="0.2">
      <c r="A216" s="129"/>
      <c r="B216" s="130"/>
      <c r="C216" s="140"/>
      <c r="D216" s="131"/>
      <c r="E216" s="129"/>
      <c r="F216" s="131"/>
      <c r="G216" s="130"/>
      <c r="H216" s="131"/>
      <c r="I216" s="132"/>
      <c r="J216" s="129"/>
      <c r="K216" s="140"/>
      <c r="L216" s="133"/>
      <c r="M216" s="140"/>
      <c r="N216" s="140"/>
      <c r="P216" s="141"/>
    </row>
    <row r="217" spans="1:16" x14ac:dyDescent="0.2">
      <c r="A217" s="129"/>
      <c r="B217" s="130"/>
      <c r="C217" s="140"/>
      <c r="D217" s="131"/>
      <c r="E217" s="129"/>
      <c r="F217" s="131"/>
      <c r="G217" s="130"/>
      <c r="H217" s="131"/>
      <c r="I217" s="132"/>
      <c r="J217" s="129"/>
      <c r="K217" s="140"/>
      <c r="L217" s="133"/>
      <c r="M217" s="140"/>
      <c r="N217" s="140"/>
      <c r="P217" s="141"/>
    </row>
    <row r="218" spans="1:16" x14ac:dyDescent="0.2">
      <c r="A218" s="129"/>
      <c r="B218" s="130"/>
      <c r="C218" s="140"/>
      <c r="D218" s="131"/>
      <c r="E218" s="129"/>
      <c r="F218" s="131"/>
      <c r="G218" s="130"/>
      <c r="H218" s="131"/>
      <c r="I218" s="132"/>
      <c r="J218" s="129"/>
      <c r="K218" s="140"/>
      <c r="L218" s="133"/>
      <c r="M218" s="140"/>
      <c r="N218" s="140"/>
      <c r="P218" s="141"/>
    </row>
    <row r="219" spans="1:16" x14ac:dyDescent="0.2">
      <c r="A219" s="129"/>
      <c r="B219" s="130"/>
      <c r="C219" s="140"/>
      <c r="D219" s="131"/>
      <c r="E219" s="129"/>
      <c r="F219" s="131"/>
      <c r="G219" s="130"/>
      <c r="H219" s="131"/>
      <c r="I219" s="132"/>
      <c r="J219" s="129"/>
      <c r="K219" s="140"/>
      <c r="L219" s="133"/>
      <c r="M219" s="140"/>
      <c r="N219" s="140"/>
      <c r="P219" s="141"/>
    </row>
    <row r="220" spans="1:16" x14ac:dyDescent="0.2">
      <c r="A220" s="129"/>
      <c r="B220" s="130"/>
      <c r="C220" s="140"/>
      <c r="D220" s="131"/>
      <c r="E220" s="129"/>
      <c r="F220" s="131"/>
      <c r="G220" s="130"/>
      <c r="H220" s="131"/>
      <c r="I220" s="132"/>
      <c r="J220" s="129"/>
      <c r="K220" s="140"/>
      <c r="L220" s="133"/>
      <c r="M220" s="140"/>
      <c r="N220" s="140"/>
      <c r="P220" s="141"/>
    </row>
    <row r="221" spans="1:16" x14ac:dyDescent="0.2">
      <c r="A221" s="129"/>
      <c r="B221" s="130"/>
      <c r="C221" s="140"/>
      <c r="D221" s="131"/>
      <c r="E221" s="129"/>
      <c r="F221" s="131"/>
      <c r="G221" s="130"/>
      <c r="H221" s="131"/>
      <c r="I221" s="132"/>
      <c r="J221" s="129"/>
      <c r="K221" s="140"/>
      <c r="L221" s="133"/>
      <c r="M221" s="140"/>
      <c r="N221" s="140"/>
      <c r="P221" s="141"/>
    </row>
    <row r="222" spans="1:16" x14ac:dyDescent="0.2">
      <c r="A222" s="129"/>
      <c r="B222" s="130"/>
      <c r="C222" s="140"/>
      <c r="D222" s="131"/>
      <c r="E222" s="129"/>
      <c r="F222" s="131"/>
      <c r="G222" s="130"/>
      <c r="H222" s="131"/>
      <c r="I222" s="132"/>
      <c r="J222" s="129"/>
      <c r="K222" s="140"/>
      <c r="L222" s="133"/>
      <c r="M222" s="140"/>
      <c r="N222" s="140"/>
      <c r="P222" s="141"/>
    </row>
    <row r="223" spans="1:16" x14ac:dyDescent="0.2">
      <c r="A223" s="129"/>
      <c r="B223" s="130"/>
      <c r="C223" s="140"/>
      <c r="D223" s="131"/>
      <c r="E223" s="129"/>
      <c r="F223" s="131"/>
      <c r="G223" s="130"/>
      <c r="H223" s="131"/>
      <c r="I223" s="132"/>
      <c r="J223" s="129"/>
      <c r="K223" s="140"/>
      <c r="L223" s="133"/>
      <c r="M223" s="140"/>
      <c r="N223" s="140"/>
      <c r="P223" s="141"/>
    </row>
    <row r="224" spans="1:16" x14ac:dyDescent="0.2">
      <c r="A224" s="129"/>
      <c r="B224" s="130"/>
      <c r="C224" s="140"/>
      <c r="D224" s="131"/>
      <c r="E224" s="129"/>
      <c r="F224" s="131"/>
      <c r="G224" s="130"/>
      <c r="H224" s="131"/>
      <c r="I224" s="132"/>
      <c r="J224" s="129"/>
      <c r="K224" s="140"/>
      <c r="L224" s="133"/>
      <c r="M224" s="140"/>
      <c r="N224" s="140"/>
      <c r="P224" s="141"/>
    </row>
    <row r="225" spans="1:16" x14ac:dyDescent="0.2">
      <c r="A225" s="129"/>
      <c r="B225" s="130"/>
      <c r="C225" s="140"/>
      <c r="D225" s="131"/>
      <c r="E225" s="129"/>
      <c r="F225" s="131"/>
      <c r="G225" s="130"/>
      <c r="H225" s="131"/>
      <c r="I225" s="132"/>
      <c r="J225" s="129"/>
      <c r="K225" s="140"/>
      <c r="L225" s="133"/>
      <c r="M225" s="140"/>
      <c r="N225" s="140"/>
      <c r="P225" s="141"/>
    </row>
    <row r="226" spans="1:16" x14ac:dyDescent="0.2">
      <c r="A226" s="129"/>
      <c r="B226" s="130"/>
      <c r="C226" s="140"/>
      <c r="D226" s="131"/>
      <c r="E226" s="129"/>
      <c r="F226" s="131"/>
      <c r="G226" s="130"/>
      <c r="H226" s="131"/>
      <c r="I226" s="132"/>
      <c r="J226" s="129"/>
      <c r="K226" s="140"/>
      <c r="L226" s="133"/>
      <c r="M226" s="140"/>
      <c r="N226" s="140"/>
      <c r="P226" s="141"/>
    </row>
    <row r="227" spans="1:16" x14ac:dyDescent="0.2">
      <c r="A227" s="129"/>
      <c r="B227" s="130"/>
      <c r="C227" s="140"/>
      <c r="D227" s="131"/>
      <c r="E227" s="129"/>
      <c r="F227" s="131"/>
      <c r="G227" s="130"/>
      <c r="H227" s="131"/>
      <c r="I227" s="132"/>
      <c r="J227" s="129"/>
      <c r="K227" s="140"/>
      <c r="L227" s="133"/>
      <c r="M227" s="140"/>
      <c r="N227" s="140"/>
      <c r="P227" s="141"/>
    </row>
    <row r="228" spans="1:16" x14ac:dyDescent="0.2">
      <c r="A228" s="129"/>
      <c r="B228" s="130"/>
      <c r="C228" s="140"/>
      <c r="D228" s="131"/>
      <c r="E228" s="129"/>
      <c r="F228" s="131"/>
      <c r="G228" s="130"/>
      <c r="H228" s="131"/>
      <c r="I228" s="132"/>
      <c r="J228" s="129"/>
      <c r="K228" s="140"/>
      <c r="L228" s="133"/>
      <c r="M228" s="140"/>
      <c r="N228" s="140"/>
      <c r="P228" s="141"/>
    </row>
    <row r="229" spans="1:16" x14ac:dyDescent="0.2">
      <c r="A229" s="129"/>
      <c r="B229" s="130"/>
      <c r="C229" s="140"/>
      <c r="D229" s="131"/>
      <c r="E229" s="129"/>
      <c r="F229" s="131"/>
      <c r="G229" s="130"/>
      <c r="H229" s="131"/>
      <c r="I229" s="132"/>
      <c r="J229" s="129"/>
      <c r="K229" s="140"/>
      <c r="L229" s="133"/>
      <c r="M229" s="140"/>
      <c r="N229" s="140"/>
      <c r="P229" s="141"/>
    </row>
    <row r="230" spans="1:16" x14ac:dyDescent="0.2">
      <c r="A230" s="129"/>
      <c r="B230" s="130"/>
      <c r="C230" s="140"/>
      <c r="D230" s="131"/>
      <c r="E230" s="129"/>
      <c r="F230" s="131"/>
      <c r="G230" s="130"/>
      <c r="H230" s="131"/>
      <c r="I230" s="132"/>
      <c r="J230" s="129"/>
      <c r="K230" s="140"/>
      <c r="L230" s="133"/>
      <c r="M230" s="140"/>
      <c r="N230" s="140"/>
      <c r="P230" s="141"/>
    </row>
    <row r="231" spans="1:16" x14ac:dyDescent="0.2">
      <c r="A231" s="129"/>
      <c r="B231" s="130"/>
      <c r="C231" s="140"/>
      <c r="D231" s="131"/>
      <c r="E231" s="129"/>
      <c r="F231" s="131"/>
      <c r="G231" s="130"/>
      <c r="H231" s="131"/>
      <c r="I231" s="132"/>
      <c r="J231" s="129"/>
      <c r="K231" s="140"/>
      <c r="L231" s="133"/>
      <c r="M231" s="140"/>
      <c r="N231" s="140"/>
      <c r="P231" s="141"/>
    </row>
    <row r="232" spans="1:16" x14ac:dyDescent="0.2">
      <c r="A232" s="129"/>
      <c r="B232" s="130"/>
      <c r="C232" s="140"/>
      <c r="D232" s="131"/>
      <c r="E232" s="129"/>
      <c r="F232" s="131"/>
      <c r="G232" s="130"/>
      <c r="H232" s="131"/>
      <c r="I232" s="132"/>
      <c r="J232" s="129"/>
      <c r="K232" s="140"/>
      <c r="L232" s="133"/>
      <c r="M232" s="140"/>
      <c r="N232" s="140"/>
      <c r="P232" s="141"/>
    </row>
    <row r="233" spans="1:16" x14ac:dyDescent="0.2">
      <c r="A233" s="129"/>
      <c r="B233" s="130"/>
      <c r="C233" s="140"/>
      <c r="D233" s="131"/>
      <c r="E233" s="129"/>
      <c r="F233" s="131"/>
      <c r="G233" s="130"/>
      <c r="H233" s="131"/>
      <c r="I233" s="132"/>
      <c r="J233" s="129"/>
      <c r="K233" s="140"/>
      <c r="L233" s="133"/>
      <c r="M233" s="140"/>
      <c r="N233" s="140"/>
      <c r="P233" s="141"/>
    </row>
    <row r="234" spans="1:16" x14ac:dyDescent="0.2">
      <c r="A234" s="129"/>
      <c r="B234" s="130"/>
      <c r="C234" s="140"/>
      <c r="D234" s="131"/>
      <c r="E234" s="129"/>
      <c r="F234" s="131"/>
      <c r="G234" s="130"/>
      <c r="H234" s="131"/>
      <c r="I234" s="132"/>
      <c r="J234" s="129"/>
      <c r="K234" s="140"/>
      <c r="L234" s="133"/>
      <c r="M234" s="140"/>
      <c r="N234" s="140"/>
      <c r="P234" s="141"/>
    </row>
    <row r="235" spans="1:16" x14ac:dyDescent="0.2">
      <c r="A235" s="129"/>
      <c r="B235" s="130"/>
      <c r="C235" s="140"/>
      <c r="D235" s="131"/>
      <c r="E235" s="129"/>
      <c r="F235" s="131"/>
      <c r="G235" s="130"/>
      <c r="H235" s="131"/>
      <c r="I235" s="132"/>
      <c r="J235" s="129"/>
      <c r="K235" s="140"/>
      <c r="L235" s="133"/>
      <c r="M235" s="140"/>
      <c r="N235" s="140"/>
      <c r="P235" s="141"/>
    </row>
    <row r="236" spans="1:16" x14ac:dyDescent="0.2">
      <c r="A236" s="129"/>
      <c r="B236" s="130"/>
      <c r="C236" s="140"/>
      <c r="D236" s="131"/>
      <c r="E236" s="129"/>
      <c r="F236" s="131"/>
      <c r="G236" s="130"/>
      <c r="H236" s="131"/>
      <c r="I236" s="132"/>
      <c r="J236" s="129"/>
      <c r="K236" s="140"/>
      <c r="L236" s="133"/>
      <c r="M236" s="140"/>
      <c r="N236" s="140"/>
      <c r="P236" s="141"/>
    </row>
    <row r="237" spans="1:16" x14ac:dyDescent="0.2">
      <c r="A237" s="129"/>
      <c r="B237" s="130"/>
      <c r="C237" s="140"/>
      <c r="D237" s="131"/>
      <c r="E237" s="129"/>
      <c r="F237" s="131"/>
      <c r="G237" s="130"/>
      <c r="H237" s="131"/>
      <c r="I237" s="132"/>
      <c r="J237" s="129"/>
      <c r="K237" s="140"/>
      <c r="L237" s="133"/>
      <c r="M237" s="140"/>
      <c r="N237" s="140"/>
      <c r="P237" s="141"/>
    </row>
    <row r="238" spans="1:16" x14ac:dyDescent="0.2">
      <c r="A238" s="129"/>
      <c r="B238" s="130"/>
      <c r="C238" s="140"/>
      <c r="D238" s="131"/>
      <c r="E238" s="129"/>
      <c r="F238" s="131"/>
      <c r="G238" s="130"/>
      <c r="H238" s="131"/>
      <c r="I238" s="132"/>
      <c r="J238" s="129"/>
      <c r="K238" s="140"/>
      <c r="L238" s="133"/>
      <c r="M238" s="140"/>
      <c r="N238" s="140"/>
      <c r="P238" s="141"/>
    </row>
    <row r="239" spans="1:16" x14ac:dyDescent="0.2">
      <c r="A239" s="129"/>
      <c r="B239" s="130"/>
      <c r="C239" s="140"/>
      <c r="D239" s="131"/>
      <c r="E239" s="129"/>
      <c r="F239" s="131"/>
      <c r="G239" s="130"/>
      <c r="H239" s="131"/>
      <c r="I239" s="132"/>
      <c r="J239" s="129"/>
      <c r="K239" s="140"/>
      <c r="L239" s="133"/>
      <c r="M239" s="140"/>
      <c r="N239" s="140"/>
      <c r="P239" s="141"/>
    </row>
    <row r="240" spans="1:16" x14ac:dyDescent="0.2">
      <c r="A240" s="129"/>
      <c r="B240" s="130"/>
      <c r="C240" s="140"/>
      <c r="D240" s="131"/>
      <c r="E240" s="129"/>
      <c r="F240" s="131"/>
      <c r="G240" s="130"/>
      <c r="H240" s="131"/>
      <c r="I240" s="132"/>
      <c r="J240" s="129"/>
      <c r="K240" s="140"/>
      <c r="L240" s="133"/>
      <c r="M240" s="140"/>
      <c r="N240" s="140"/>
      <c r="P240" s="141"/>
    </row>
    <row r="241" spans="1:16" x14ac:dyDescent="0.2">
      <c r="A241" s="129"/>
      <c r="B241" s="130"/>
      <c r="C241" s="140"/>
      <c r="D241" s="131"/>
      <c r="E241" s="129"/>
      <c r="F241" s="131"/>
      <c r="G241" s="130"/>
      <c r="H241" s="131"/>
      <c r="I241" s="132"/>
      <c r="J241" s="129"/>
      <c r="K241" s="140"/>
      <c r="L241" s="133"/>
      <c r="M241" s="140"/>
      <c r="N241" s="140"/>
      <c r="P241" s="141"/>
    </row>
    <row r="242" spans="1:16" x14ac:dyDescent="0.2">
      <c r="A242" s="129"/>
      <c r="B242" s="130"/>
      <c r="C242" s="140"/>
      <c r="D242" s="131"/>
      <c r="E242" s="129"/>
      <c r="F242" s="131"/>
      <c r="G242" s="130"/>
      <c r="H242" s="131"/>
      <c r="I242" s="132"/>
      <c r="J242" s="129"/>
      <c r="K242" s="140"/>
      <c r="L242" s="133"/>
      <c r="M242" s="140"/>
      <c r="N242" s="140"/>
      <c r="P242" s="141"/>
    </row>
    <row r="243" spans="1:16" x14ac:dyDescent="0.2">
      <c r="A243" s="129"/>
      <c r="B243" s="130"/>
      <c r="C243" s="140"/>
      <c r="D243" s="131"/>
      <c r="E243" s="129"/>
      <c r="F243" s="131"/>
      <c r="G243" s="130"/>
      <c r="H243" s="131"/>
      <c r="I243" s="132"/>
      <c r="J243" s="129"/>
      <c r="K243" s="140"/>
      <c r="L243" s="133"/>
      <c r="M243" s="140"/>
      <c r="N243" s="140"/>
      <c r="P243" s="141"/>
    </row>
    <row r="244" spans="1:16" x14ac:dyDescent="0.2">
      <c r="A244" s="129"/>
      <c r="B244" s="130"/>
      <c r="C244" s="140"/>
      <c r="D244" s="131"/>
      <c r="E244" s="129"/>
      <c r="F244" s="131"/>
      <c r="G244" s="130"/>
      <c r="H244" s="131"/>
      <c r="I244" s="132"/>
      <c r="J244" s="129"/>
      <c r="K244" s="140"/>
      <c r="L244" s="133"/>
      <c r="M244" s="140"/>
      <c r="N244" s="140"/>
      <c r="P244" s="141"/>
    </row>
    <row r="245" spans="1:16" x14ac:dyDescent="0.2">
      <c r="A245" s="129"/>
      <c r="B245" s="130"/>
      <c r="C245" s="140"/>
      <c r="D245" s="131"/>
      <c r="E245" s="129"/>
      <c r="F245" s="131"/>
      <c r="G245" s="130"/>
      <c r="H245" s="131"/>
      <c r="I245" s="132"/>
      <c r="J245" s="129"/>
      <c r="K245" s="140"/>
      <c r="L245" s="133"/>
      <c r="M245" s="140"/>
      <c r="N245" s="140"/>
      <c r="P245" s="141"/>
    </row>
    <row r="246" spans="1:16" x14ac:dyDescent="0.2">
      <c r="A246" s="129"/>
      <c r="B246" s="130"/>
      <c r="C246" s="140"/>
      <c r="D246" s="131"/>
      <c r="E246" s="129"/>
      <c r="F246" s="131"/>
      <c r="G246" s="130"/>
      <c r="H246" s="131"/>
      <c r="I246" s="132"/>
      <c r="J246" s="129"/>
      <c r="K246" s="140"/>
      <c r="L246" s="133"/>
      <c r="M246" s="140"/>
      <c r="N246" s="140"/>
      <c r="P246" s="141"/>
    </row>
    <row r="247" spans="1:16" x14ac:dyDescent="0.2">
      <c r="A247" s="129"/>
      <c r="B247" s="130"/>
      <c r="C247" s="140"/>
      <c r="D247" s="131"/>
      <c r="E247" s="129"/>
      <c r="F247" s="131"/>
      <c r="G247" s="130"/>
      <c r="H247" s="131"/>
      <c r="I247" s="132"/>
      <c r="J247" s="129"/>
      <c r="K247" s="140"/>
      <c r="L247" s="133"/>
      <c r="M247" s="140"/>
      <c r="N247" s="140"/>
      <c r="P247" s="141"/>
    </row>
    <row r="248" spans="1:16" x14ac:dyDescent="0.2">
      <c r="A248" s="129"/>
      <c r="B248" s="130"/>
      <c r="C248" s="140"/>
      <c r="D248" s="131"/>
      <c r="E248" s="129"/>
      <c r="F248" s="131"/>
      <c r="G248" s="130"/>
      <c r="H248" s="131"/>
      <c r="I248" s="132"/>
      <c r="J248" s="129"/>
      <c r="K248" s="140"/>
      <c r="L248" s="133"/>
      <c r="M248" s="140"/>
      <c r="N248" s="140"/>
      <c r="P248" s="141"/>
    </row>
    <row r="249" spans="1:16" x14ac:dyDescent="0.2">
      <c r="A249" s="129"/>
      <c r="B249" s="130"/>
      <c r="C249" s="140"/>
      <c r="D249" s="131"/>
      <c r="E249" s="129"/>
      <c r="F249" s="131"/>
      <c r="G249" s="130"/>
      <c r="H249" s="131"/>
      <c r="I249" s="132"/>
      <c r="J249" s="129"/>
      <c r="K249" s="140"/>
      <c r="L249" s="133"/>
      <c r="M249" s="140"/>
      <c r="N249" s="140"/>
      <c r="P249" s="141"/>
    </row>
    <row r="250" spans="1:16" x14ac:dyDescent="0.2">
      <c r="A250" s="129"/>
      <c r="B250" s="130"/>
      <c r="C250" s="140"/>
      <c r="D250" s="131"/>
      <c r="E250" s="129"/>
      <c r="F250" s="131"/>
      <c r="G250" s="130"/>
      <c r="H250" s="131"/>
      <c r="I250" s="132"/>
      <c r="J250" s="129"/>
      <c r="K250" s="140"/>
      <c r="L250" s="133"/>
      <c r="M250" s="140"/>
      <c r="N250" s="140"/>
      <c r="P250" s="141"/>
    </row>
    <row r="251" spans="1:16" x14ac:dyDescent="0.2">
      <c r="A251" s="129"/>
      <c r="B251" s="130"/>
      <c r="C251" s="140"/>
      <c r="D251" s="131"/>
      <c r="E251" s="129"/>
      <c r="F251" s="131"/>
      <c r="G251" s="130"/>
      <c r="H251" s="131"/>
      <c r="I251" s="132"/>
      <c r="J251" s="129"/>
      <c r="K251" s="140"/>
      <c r="L251" s="133"/>
      <c r="M251" s="140"/>
      <c r="N251" s="140"/>
      <c r="P251" s="141"/>
    </row>
    <row r="252" spans="1:16" x14ac:dyDescent="0.2">
      <c r="A252" s="129"/>
      <c r="B252" s="130"/>
      <c r="C252" s="140"/>
      <c r="D252" s="131"/>
      <c r="E252" s="129"/>
      <c r="F252" s="131"/>
      <c r="G252" s="130"/>
      <c r="H252" s="131"/>
      <c r="I252" s="132"/>
      <c r="J252" s="129"/>
      <c r="K252" s="140"/>
      <c r="L252" s="133"/>
      <c r="M252" s="140"/>
      <c r="N252" s="140"/>
      <c r="P252" s="141"/>
    </row>
    <row r="253" spans="1:16" x14ac:dyDescent="0.2">
      <c r="A253" s="129"/>
      <c r="B253" s="130"/>
      <c r="C253" s="140"/>
      <c r="D253" s="131"/>
      <c r="E253" s="129"/>
      <c r="F253" s="131"/>
      <c r="G253" s="130"/>
      <c r="H253" s="131"/>
      <c r="I253" s="132"/>
      <c r="J253" s="129"/>
      <c r="K253" s="140"/>
      <c r="L253" s="133"/>
      <c r="M253" s="140"/>
      <c r="N253" s="140"/>
      <c r="P253" s="141"/>
    </row>
    <row r="254" spans="1:16" x14ac:dyDescent="0.2">
      <c r="A254" s="129"/>
      <c r="B254" s="130"/>
      <c r="C254" s="140"/>
      <c r="D254" s="131"/>
      <c r="E254" s="129"/>
      <c r="F254" s="131"/>
      <c r="G254" s="130"/>
      <c r="H254" s="131"/>
      <c r="I254" s="132"/>
      <c r="J254" s="129"/>
      <c r="K254" s="140"/>
      <c r="L254" s="133"/>
      <c r="M254" s="140"/>
      <c r="N254" s="140"/>
      <c r="P254" s="141"/>
    </row>
    <row r="255" spans="1:16" x14ac:dyDescent="0.2">
      <c r="A255" s="129"/>
      <c r="B255" s="130"/>
      <c r="C255" s="140"/>
      <c r="D255" s="131"/>
      <c r="E255" s="129"/>
      <c r="F255" s="131"/>
      <c r="G255" s="130"/>
      <c r="H255" s="131"/>
      <c r="I255" s="132"/>
      <c r="J255" s="129"/>
      <c r="K255" s="140"/>
      <c r="L255" s="133"/>
      <c r="M255" s="140"/>
      <c r="N255" s="140"/>
      <c r="P255" s="141"/>
    </row>
    <row r="256" spans="1:16" x14ac:dyDescent="0.2">
      <c r="A256" s="129"/>
      <c r="B256" s="130"/>
      <c r="C256" s="140"/>
      <c r="D256" s="131"/>
      <c r="E256" s="129"/>
      <c r="F256" s="131"/>
      <c r="G256" s="130"/>
      <c r="H256" s="131"/>
      <c r="I256" s="132"/>
      <c r="J256" s="129"/>
      <c r="K256" s="140"/>
      <c r="L256" s="133"/>
      <c r="M256" s="140"/>
      <c r="N256" s="140"/>
      <c r="P256" s="141"/>
    </row>
    <row r="257" spans="1:16" x14ac:dyDescent="0.2">
      <c r="A257" s="129"/>
      <c r="B257" s="130"/>
      <c r="C257" s="140"/>
      <c r="D257" s="131"/>
      <c r="E257" s="129"/>
      <c r="F257" s="131"/>
      <c r="G257" s="130"/>
      <c r="H257" s="131"/>
      <c r="I257" s="132"/>
      <c r="J257" s="129"/>
      <c r="K257" s="140"/>
      <c r="L257" s="133"/>
      <c r="M257" s="140"/>
      <c r="N257" s="140"/>
      <c r="P257" s="141"/>
    </row>
    <row r="258" spans="1:16" x14ac:dyDescent="0.2">
      <c r="A258" s="129"/>
      <c r="B258" s="130"/>
      <c r="C258" s="140"/>
      <c r="D258" s="131"/>
      <c r="E258" s="129"/>
      <c r="F258" s="131"/>
      <c r="G258" s="130"/>
      <c r="H258" s="131"/>
      <c r="I258" s="132"/>
      <c r="J258" s="129"/>
      <c r="K258" s="140"/>
      <c r="L258" s="133"/>
      <c r="M258" s="140"/>
      <c r="N258" s="140"/>
      <c r="P258" s="141"/>
    </row>
    <row r="259" spans="1:16" x14ac:dyDescent="0.2">
      <c r="A259" s="129"/>
      <c r="B259" s="130"/>
      <c r="C259" s="140"/>
      <c r="D259" s="131"/>
      <c r="E259" s="129"/>
      <c r="F259" s="131"/>
      <c r="G259" s="130"/>
      <c r="H259" s="131"/>
      <c r="I259" s="132"/>
      <c r="J259" s="129"/>
      <c r="K259" s="140"/>
      <c r="L259" s="133"/>
      <c r="M259" s="140"/>
      <c r="N259" s="140"/>
      <c r="P259" s="141"/>
    </row>
    <row r="260" spans="1:16" x14ac:dyDescent="0.2">
      <c r="A260" s="129"/>
      <c r="B260" s="130"/>
      <c r="C260" s="140"/>
      <c r="D260" s="131"/>
      <c r="E260" s="129"/>
      <c r="F260" s="131"/>
      <c r="G260" s="130"/>
      <c r="H260" s="131"/>
      <c r="I260" s="132"/>
      <c r="J260" s="129"/>
      <c r="K260" s="140"/>
      <c r="L260" s="133"/>
      <c r="M260" s="140"/>
      <c r="N260" s="140"/>
      <c r="P260" s="141"/>
    </row>
    <row r="261" spans="1:16" x14ac:dyDescent="0.2">
      <c r="A261" s="129"/>
      <c r="B261" s="130"/>
      <c r="C261" s="140"/>
      <c r="D261" s="131"/>
      <c r="E261" s="129"/>
      <c r="F261" s="131"/>
      <c r="G261" s="130"/>
      <c r="H261" s="131"/>
      <c r="I261" s="132"/>
      <c r="J261" s="129"/>
      <c r="K261" s="140"/>
      <c r="L261" s="133"/>
      <c r="M261" s="140"/>
      <c r="N261" s="140"/>
      <c r="P261" s="141"/>
    </row>
    <row r="262" spans="1:16" x14ac:dyDescent="0.2">
      <c r="A262" s="129"/>
      <c r="B262" s="130"/>
      <c r="C262" s="140"/>
      <c r="D262" s="131"/>
      <c r="E262" s="129"/>
      <c r="F262" s="131"/>
      <c r="G262" s="130"/>
      <c r="H262" s="131"/>
      <c r="I262" s="132"/>
      <c r="J262" s="129"/>
      <c r="K262" s="140"/>
      <c r="L262" s="133"/>
      <c r="M262" s="140"/>
      <c r="N262" s="140"/>
      <c r="P262" s="141"/>
    </row>
    <row r="263" spans="1:16" x14ac:dyDescent="0.2">
      <c r="A263" s="129"/>
      <c r="B263" s="130"/>
      <c r="C263" s="140"/>
      <c r="D263" s="131"/>
      <c r="E263" s="129"/>
      <c r="F263" s="131"/>
      <c r="G263" s="130"/>
      <c r="H263" s="131"/>
      <c r="I263" s="132"/>
      <c r="J263" s="129"/>
      <c r="K263" s="140"/>
      <c r="L263" s="133"/>
      <c r="M263" s="140"/>
      <c r="N263" s="140"/>
      <c r="P263" s="141"/>
    </row>
    <row r="264" spans="1:16" x14ac:dyDescent="0.2">
      <c r="A264" s="129"/>
      <c r="B264" s="130"/>
      <c r="C264" s="140"/>
      <c r="D264" s="131"/>
      <c r="E264" s="129"/>
      <c r="F264" s="131"/>
      <c r="G264" s="130"/>
      <c r="H264" s="131"/>
      <c r="I264" s="132"/>
      <c r="J264" s="129"/>
      <c r="K264" s="140"/>
      <c r="L264" s="133"/>
      <c r="M264" s="140"/>
      <c r="N264" s="140"/>
      <c r="P264" s="141"/>
    </row>
    <row r="265" spans="1:16" x14ac:dyDescent="0.2">
      <c r="A265" s="129"/>
      <c r="B265" s="130"/>
      <c r="C265" s="140"/>
      <c r="D265" s="131"/>
      <c r="E265" s="129"/>
      <c r="F265" s="131"/>
      <c r="G265" s="130"/>
      <c r="H265" s="131"/>
      <c r="I265" s="132"/>
      <c r="J265" s="129"/>
      <c r="K265" s="140"/>
      <c r="L265" s="133"/>
      <c r="M265" s="140"/>
      <c r="N265" s="140"/>
      <c r="P265" s="141"/>
    </row>
    <row r="266" spans="1:16" x14ac:dyDescent="0.2">
      <c r="A266" s="129"/>
      <c r="B266" s="130"/>
      <c r="C266" s="140"/>
      <c r="D266" s="131"/>
      <c r="E266" s="129"/>
      <c r="F266" s="131"/>
      <c r="G266" s="130"/>
      <c r="H266" s="131"/>
      <c r="I266" s="132"/>
      <c r="J266" s="129"/>
      <c r="K266" s="140"/>
      <c r="L266" s="133"/>
      <c r="M266" s="140"/>
      <c r="N266" s="140"/>
      <c r="P266" s="141"/>
    </row>
    <row r="267" spans="1:16" x14ac:dyDescent="0.2">
      <c r="A267" s="129"/>
      <c r="B267" s="130"/>
      <c r="C267" s="140"/>
      <c r="D267" s="131"/>
      <c r="E267" s="129"/>
      <c r="F267" s="131"/>
      <c r="G267" s="130"/>
      <c r="H267" s="131"/>
      <c r="I267" s="132"/>
      <c r="J267" s="129"/>
      <c r="K267" s="140"/>
      <c r="L267" s="133"/>
      <c r="M267" s="140"/>
      <c r="N267" s="140"/>
      <c r="P267" s="141"/>
    </row>
    <row r="268" spans="1:16" x14ac:dyDescent="0.2">
      <c r="A268" s="129"/>
      <c r="B268" s="130"/>
      <c r="C268" s="140"/>
      <c r="D268" s="131"/>
      <c r="E268" s="129"/>
      <c r="F268" s="131"/>
      <c r="G268" s="130"/>
      <c r="H268" s="131"/>
      <c r="I268" s="132"/>
      <c r="J268" s="129"/>
      <c r="K268" s="140"/>
      <c r="L268" s="133"/>
      <c r="M268" s="140"/>
      <c r="N268" s="140"/>
      <c r="P268" s="141"/>
    </row>
    <row r="269" spans="1:16" x14ac:dyDescent="0.2">
      <c r="A269" s="129"/>
      <c r="B269" s="130"/>
      <c r="C269" s="140"/>
      <c r="D269" s="131"/>
      <c r="E269" s="129"/>
      <c r="F269" s="131"/>
      <c r="G269" s="130"/>
      <c r="H269" s="131"/>
      <c r="I269" s="132"/>
      <c r="J269" s="129"/>
      <c r="K269" s="140"/>
      <c r="L269" s="133"/>
      <c r="M269" s="140"/>
      <c r="N269" s="140"/>
      <c r="P269" s="141"/>
    </row>
    <row r="270" spans="1:16" x14ac:dyDescent="0.2">
      <c r="A270" s="129"/>
      <c r="B270" s="130"/>
      <c r="C270" s="140"/>
      <c r="D270" s="131"/>
      <c r="E270" s="129"/>
      <c r="F270" s="131"/>
      <c r="G270" s="130"/>
      <c r="H270" s="131"/>
      <c r="I270" s="132"/>
      <c r="J270" s="129"/>
      <c r="K270" s="140"/>
      <c r="L270" s="133"/>
      <c r="M270" s="140"/>
      <c r="N270" s="140"/>
      <c r="P270" s="141"/>
    </row>
    <row r="271" spans="1:16" x14ac:dyDescent="0.2">
      <c r="A271" s="129"/>
      <c r="B271" s="130"/>
      <c r="C271" s="140"/>
      <c r="D271" s="131"/>
      <c r="E271" s="129"/>
      <c r="F271" s="131"/>
      <c r="G271" s="130"/>
      <c r="H271" s="131"/>
      <c r="I271" s="132"/>
      <c r="J271" s="129"/>
      <c r="K271" s="140"/>
      <c r="L271" s="133"/>
      <c r="M271" s="140"/>
      <c r="N271" s="140"/>
      <c r="P271" s="141"/>
    </row>
    <row r="272" spans="1:16" x14ac:dyDescent="0.2">
      <c r="A272" s="129"/>
      <c r="B272" s="130"/>
      <c r="C272" s="140"/>
      <c r="D272" s="131"/>
      <c r="E272" s="129"/>
      <c r="F272" s="131"/>
      <c r="G272" s="130"/>
      <c r="H272" s="131"/>
      <c r="I272" s="132"/>
      <c r="J272" s="129"/>
      <c r="K272" s="140"/>
      <c r="L272" s="133"/>
      <c r="M272" s="140"/>
      <c r="N272" s="140"/>
      <c r="P272" s="141"/>
    </row>
    <row r="273" spans="1:16" x14ac:dyDescent="0.2">
      <c r="A273" s="129"/>
      <c r="B273" s="130"/>
      <c r="C273" s="140"/>
      <c r="D273" s="131"/>
      <c r="E273" s="129"/>
      <c r="F273" s="131"/>
      <c r="G273" s="130"/>
      <c r="H273" s="131"/>
      <c r="I273" s="132"/>
      <c r="J273" s="129"/>
      <c r="K273" s="140"/>
      <c r="L273" s="133"/>
      <c r="M273" s="140"/>
      <c r="N273" s="140"/>
      <c r="P273" s="141"/>
    </row>
    <row r="274" spans="1:16" x14ac:dyDescent="0.2">
      <c r="A274" s="129"/>
      <c r="B274" s="130"/>
      <c r="C274" s="140"/>
      <c r="D274" s="131"/>
      <c r="E274" s="129"/>
      <c r="F274" s="131"/>
      <c r="G274" s="130"/>
      <c r="H274" s="131"/>
      <c r="I274" s="132"/>
      <c r="J274" s="129"/>
      <c r="K274" s="140"/>
      <c r="L274" s="133"/>
      <c r="M274" s="140"/>
      <c r="N274" s="140"/>
      <c r="P274" s="141"/>
    </row>
    <row r="275" spans="1:16" x14ac:dyDescent="0.2">
      <c r="A275" s="129"/>
      <c r="B275" s="130"/>
      <c r="C275" s="140"/>
      <c r="D275" s="131"/>
      <c r="E275" s="129"/>
      <c r="F275" s="131"/>
      <c r="G275" s="130"/>
      <c r="H275" s="131"/>
      <c r="I275" s="132"/>
      <c r="J275" s="129"/>
      <c r="K275" s="140"/>
      <c r="L275" s="133"/>
      <c r="M275" s="140"/>
      <c r="N275" s="140"/>
      <c r="P275" s="141"/>
    </row>
    <row r="276" spans="1:16" x14ac:dyDescent="0.2">
      <c r="A276" s="129"/>
      <c r="B276" s="130"/>
      <c r="C276" s="140"/>
      <c r="D276" s="131"/>
      <c r="E276" s="129"/>
      <c r="F276" s="131"/>
      <c r="G276" s="130"/>
      <c r="H276" s="131"/>
      <c r="I276" s="132"/>
      <c r="J276" s="129"/>
      <c r="K276" s="140"/>
      <c r="L276" s="133"/>
      <c r="M276" s="140"/>
      <c r="N276" s="140"/>
      <c r="P276" s="141"/>
    </row>
    <row r="277" spans="1:16" x14ac:dyDescent="0.2">
      <c r="A277" s="129"/>
      <c r="B277" s="130"/>
      <c r="C277" s="140"/>
      <c r="D277" s="131"/>
      <c r="E277" s="129"/>
      <c r="F277" s="131"/>
      <c r="G277" s="130"/>
      <c r="H277" s="131"/>
      <c r="I277" s="132"/>
      <c r="J277" s="129"/>
      <c r="K277" s="140"/>
      <c r="L277" s="133"/>
      <c r="M277" s="140"/>
      <c r="N277" s="140"/>
      <c r="P277" s="141"/>
    </row>
    <row r="278" spans="1:16" x14ac:dyDescent="0.2">
      <c r="A278" s="129"/>
      <c r="B278" s="130"/>
      <c r="C278" s="140"/>
      <c r="D278" s="131"/>
      <c r="E278" s="129"/>
      <c r="F278" s="131"/>
      <c r="G278" s="130"/>
      <c r="H278" s="131"/>
      <c r="I278" s="132"/>
      <c r="J278" s="129"/>
      <c r="K278" s="140"/>
      <c r="L278" s="133"/>
      <c r="M278" s="140"/>
      <c r="N278" s="140"/>
      <c r="P278" s="141"/>
    </row>
    <row r="279" spans="1:16" x14ac:dyDescent="0.2">
      <c r="A279" s="129"/>
      <c r="B279" s="130"/>
      <c r="C279" s="140"/>
      <c r="D279" s="131"/>
      <c r="E279" s="129"/>
      <c r="F279" s="131"/>
      <c r="G279" s="130"/>
      <c r="H279" s="131"/>
      <c r="I279" s="132"/>
      <c r="J279" s="129"/>
      <c r="K279" s="140"/>
      <c r="L279" s="133"/>
      <c r="M279" s="140"/>
      <c r="N279" s="140"/>
      <c r="P279" s="141"/>
    </row>
    <row r="280" spans="1:16" x14ac:dyDescent="0.2">
      <c r="A280" s="129"/>
      <c r="B280" s="130"/>
      <c r="C280" s="140"/>
      <c r="D280" s="131"/>
      <c r="E280" s="129"/>
      <c r="F280" s="131"/>
      <c r="G280" s="130"/>
      <c r="H280" s="131"/>
      <c r="I280" s="132"/>
      <c r="J280" s="129"/>
      <c r="K280" s="140"/>
      <c r="L280" s="133"/>
      <c r="M280" s="140"/>
      <c r="N280" s="140"/>
      <c r="P280" s="141"/>
    </row>
    <row r="281" spans="1:16" x14ac:dyDescent="0.2">
      <c r="A281" s="129"/>
      <c r="B281" s="130"/>
      <c r="C281" s="140"/>
      <c r="D281" s="131"/>
      <c r="E281" s="129"/>
      <c r="F281" s="131"/>
      <c r="G281" s="130"/>
      <c r="H281" s="131"/>
      <c r="I281" s="132"/>
      <c r="J281" s="129"/>
      <c r="K281" s="140"/>
      <c r="L281" s="133"/>
      <c r="M281" s="140"/>
      <c r="N281" s="140"/>
      <c r="P281" s="141"/>
    </row>
    <row r="282" spans="1:16" x14ac:dyDescent="0.2">
      <c r="A282" s="129"/>
      <c r="B282" s="130"/>
      <c r="C282" s="140"/>
      <c r="D282" s="131"/>
      <c r="E282" s="129"/>
      <c r="F282" s="131"/>
      <c r="G282" s="130"/>
      <c r="H282" s="131"/>
      <c r="I282" s="132"/>
      <c r="J282" s="129"/>
      <c r="K282" s="140"/>
      <c r="L282" s="133"/>
      <c r="M282" s="140"/>
      <c r="N282" s="140"/>
      <c r="P282" s="141"/>
    </row>
    <row r="283" spans="1:16" x14ac:dyDescent="0.2">
      <c r="A283" s="129"/>
      <c r="B283" s="130"/>
      <c r="C283" s="140"/>
      <c r="D283" s="131"/>
      <c r="E283" s="129"/>
      <c r="F283" s="131"/>
      <c r="G283" s="130"/>
      <c r="H283" s="131"/>
      <c r="I283" s="132"/>
      <c r="J283" s="129"/>
      <c r="K283" s="140"/>
      <c r="L283" s="133"/>
      <c r="M283" s="140"/>
      <c r="N283" s="140"/>
      <c r="P283" s="141"/>
    </row>
    <row r="284" spans="1:16" x14ac:dyDescent="0.2">
      <c r="A284" s="129"/>
      <c r="B284" s="130"/>
      <c r="C284" s="140"/>
      <c r="D284" s="131"/>
      <c r="E284" s="129"/>
      <c r="F284" s="131"/>
      <c r="G284" s="130"/>
      <c r="H284" s="131"/>
      <c r="I284" s="132"/>
      <c r="J284" s="129"/>
      <c r="K284" s="140"/>
      <c r="L284" s="133"/>
      <c r="M284" s="140"/>
      <c r="N284" s="140"/>
      <c r="P284" s="141"/>
    </row>
    <row r="285" spans="1:16" x14ac:dyDescent="0.2">
      <c r="A285" s="129"/>
      <c r="B285" s="130"/>
      <c r="C285" s="140"/>
      <c r="D285" s="131"/>
      <c r="E285" s="129"/>
      <c r="F285" s="131"/>
      <c r="G285" s="130"/>
      <c r="H285" s="131"/>
      <c r="I285" s="132"/>
      <c r="J285" s="129"/>
      <c r="K285" s="140"/>
      <c r="L285" s="133"/>
      <c r="M285" s="140"/>
      <c r="N285" s="140"/>
      <c r="P285" s="141"/>
    </row>
    <row r="286" spans="1:16" x14ac:dyDescent="0.2">
      <c r="A286" s="129"/>
      <c r="B286" s="130"/>
      <c r="C286" s="140"/>
      <c r="D286" s="131"/>
      <c r="E286" s="129"/>
      <c r="F286" s="131"/>
      <c r="G286" s="130"/>
      <c r="H286" s="131"/>
      <c r="I286" s="132"/>
      <c r="J286" s="129"/>
      <c r="K286" s="140"/>
      <c r="L286" s="133"/>
      <c r="M286" s="140"/>
      <c r="N286" s="140"/>
      <c r="P286" s="141"/>
    </row>
    <row r="287" spans="1:16" x14ac:dyDescent="0.2">
      <c r="A287" s="129"/>
      <c r="B287" s="130"/>
      <c r="C287" s="140"/>
      <c r="D287" s="131"/>
      <c r="E287" s="129"/>
      <c r="F287" s="131"/>
      <c r="G287" s="130"/>
      <c r="H287" s="131"/>
      <c r="I287" s="132"/>
      <c r="J287" s="129"/>
      <c r="K287" s="140"/>
      <c r="L287" s="133"/>
      <c r="M287" s="140"/>
      <c r="N287" s="140"/>
      <c r="P287" s="141"/>
    </row>
    <row r="288" spans="1:16" x14ac:dyDescent="0.2">
      <c r="A288" s="129"/>
      <c r="B288" s="130"/>
      <c r="C288" s="140"/>
      <c r="D288" s="131"/>
      <c r="E288" s="129"/>
      <c r="F288" s="131"/>
      <c r="G288" s="130"/>
      <c r="H288" s="131"/>
      <c r="I288" s="132"/>
      <c r="J288" s="129"/>
      <c r="K288" s="140"/>
      <c r="L288" s="133"/>
      <c r="M288" s="140"/>
      <c r="N288" s="140"/>
      <c r="P288" s="141"/>
    </row>
    <row r="289" spans="1:16" x14ac:dyDescent="0.2">
      <c r="A289" s="129"/>
      <c r="B289" s="130"/>
      <c r="C289" s="140"/>
      <c r="D289" s="131"/>
      <c r="E289" s="129"/>
      <c r="F289" s="131"/>
      <c r="G289" s="130"/>
      <c r="H289" s="131"/>
      <c r="I289" s="132"/>
      <c r="J289" s="129"/>
      <c r="K289" s="140"/>
      <c r="L289" s="133"/>
      <c r="M289" s="140"/>
      <c r="N289" s="140"/>
      <c r="P289" s="141"/>
    </row>
    <row r="290" spans="1:16" x14ac:dyDescent="0.2">
      <c r="A290" s="129"/>
      <c r="B290" s="130"/>
      <c r="C290" s="140"/>
      <c r="D290" s="131"/>
      <c r="E290" s="129"/>
      <c r="F290" s="131"/>
      <c r="G290" s="130"/>
      <c r="H290" s="131"/>
      <c r="I290" s="132"/>
      <c r="J290" s="129"/>
      <c r="K290" s="140"/>
      <c r="L290" s="133"/>
      <c r="M290" s="140"/>
      <c r="N290" s="140"/>
      <c r="P290" s="141"/>
    </row>
    <row r="291" spans="1:16" x14ac:dyDescent="0.2">
      <c r="A291" s="129"/>
      <c r="B291" s="130"/>
      <c r="C291" s="140"/>
      <c r="D291" s="131"/>
      <c r="E291" s="129"/>
      <c r="F291" s="131"/>
      <c r="G291" s="130"/>
      <c r="H291" s="131"/>
      <c r="I291" s="132"/>
      <c r="J291" s="129"/>
      <c r="K291" s="140"/>
      <c r="L291" s="133"/>
      <c r="M291" s="140"/>
      <c r="N291" s="140"/>
      <c r="P291" s="141"/>
    </row>
    <row r="292" spans="1:16" x14ac:dyDescent="0.2">
      <c r="A292" s="129"/>
      <c r="B292" s="130"/>
      <c r="C292" s="140"/>
      <c r="D292" s="131"/>
      <c r="E292" s="129"/>
      <c r="F292" s="131"/>
      <c r="G292" s="130"/>
      <c r="H292" s="131"/>
      <c r="I292" s="132"/>
      <c r="J292" s="129"/>
      <c r="K292" s="140"/>
      <c r="L292" s="133"/>
      <c r="M292" s="140"/>
      <c r="N292" s="140"/>
      <c r="P292" s="141"/>
    </row>
    <row r="293" spans="1:16" x14ac:dyDescent="0.2">
      <c r="A293" s="129"/>
      <c r="B293" s="130"/>
      <c r="C293" s="140"/>
      <c r="D293" s="131"/>
      <c r="E293" s="129"/>
      <c r="F293" s="131"/>
      <c r="G293" s="130"/>
      <c r="H293" s="131"/>
      <c r="I293" s="132"/>
      <c r="J293" s="129"/>
      <c r="K293" s="140"/>
      <c r="L293" s="133"/>
      <c r="M293" s="140"/>
      <c r="N293" s="140"/>
      <c r="P293" s="141"/>
    </row>
    <row r="294" spans="1:16" x14ac:dyDescent="0.2">
      <c r="A294" s="129"/>
      <c r="B294" s="130"/>
      <c r="C294" s="140"/>
      <c r="D294" s="131"/>
      <c r="E294" s="129"/>
      <c r="F294" s="131"/>
      <c r="G294" s="130"/>
      <c r="H294" s="131"/>
      <c r="I294" s="132"/>
      <c r="J294" s="129"/>
      <c r="K294" s="140"/>
      <c r="L294" s="133"/>
      <c r="M294" s="140"/>
      <c r="N294" s="140"/>
      <c r="P294" s="141"/>
    </row>
    <row r="295" spans="1:16" x14ac:dyDescent="0.2">
      <c r="A295" s="129"/>
      <c r="B295" s="130"/>
      <c r="C295" s="140"/>
      <c r="D295" s="131"/>
      <c r="E295" s="129"/>
      <c r="F295" s="131"/>
      <c r="G295" s="130"/>
      <c r="H295" s="131"/>
      <c r="I295" s="132"/>
      <c r="J295" s="129"/>
      <c r="K295" s="140"/>
      <c r="L295" s="133"/>
      <c r="M295" s="140"/>
      <c r="N295" s="140"/>
      <c r="P295" s="141"/>
    </row>
    <row r="296" spans="1:16" x14ac:dyDescent="0.2">
      <c r="A296" s="129"/>
      <c r="B296" s="130"/>
      <c r="C296" s="140"/>
      <c r="D296" s="131"/>
      <c r="E296" s="129"/>
      <c r="F296" s="131"/>
      <c r="G296" s="130"/>
      <c r="H296" s="131"/>
      <c r="I296" s="132"/>
      <c r="J296" s="129"/>
      <c r="K296" s="140"/>
      <c r="L296" s="133"/>
      <c r="M296" s="140"/>
      <c r="N296" s="140"/>
      <c r="P296" s="141"/>
    </row>
    <row r="297" spans="1:16" x14ac:dyDescent="0.2">
      <c r="A297" s="129"/>
      <c r="B297" s="130"/>
      <c r="C297" s="140"/>
      <c r="D297" s="131"/>
      <c r="E297" s="129"/>
      <c r="F297" s="131"/>
      <c r="G297" s="130"/>
      <c r="H297" s="131"/>
      <c r="I297" s="132"/>
      <c r="J297" s="129"/>
      <c r="K297" s="140"/>
      <c r="L297" s="133"/>
      <c r="M297" s="140"/>
      <c r="N297" s="140"/>
      <c r="P297" s="141"/>
    </row>
    <row r="298" spans="1:16" x14ac:dyDescent="0.2">
      <c r="A298" s="129"/>
      <c r="B298" s="130"/>
      <c r="C298" s="140"/>
      <c r="D298" s="131"/>
      <c r="E298" s="129"/>
      <c r="F298" s="131"/>
      <c r="G298" s="130"/>
      <c r="H298" s="131"/>
      <c r="I298" s="132"/>
      <c r="J298" s="129"/>
      <c r="K298" s="140"/>
      <c r="L298" s="133"/>
      <c r="M298" s="140"/>
      <c r="N298" s="140"/>
      <c r="P298" s="141"/>
    </row>
    <row r="299" spans="1:16" x14ac:dyDescent="0.2">
      <c r="A299" s="129"/>
      <c r="B299" s="130"/>
      <c r="C299" s="140"/>
      <c r="D299" s="131"/>
      <c r="E299" s="129"/>
      <c r="F299" s="131"/>
      <c r="G299" s="130"/>
      <c r="H299" s="131"/>
      <c r="I299" s="132"/>
      <c r="J299" s="129"/>
      <c r="K299" s="140"/>
      <c r="L299" s="133"/>
      <c r="M299" s="140"/>
      <c r="N299" s="140"/>
      <c r="P299" s="141"/>
    </row>
    <row r="300" spans="1:16" x14ac:dyDescent="0.2">
      <c r="A300" s="129"/>
      <c r="B300" s="130"/>
      <c r="C300" s="140"/>
      <c r="D300" s="131"/>
      <c r="E300" s="129"/>
      <c r="F300" s="131"/>
      <c r="G300" s="130"/>
      <c r="H300" s="131"/>
      <c r="I300" s="132"/>
      <c r="J300" s="129"/>
      <c r="K300" s="140"/>
      <c r="L300" s="133"/>
      <c r="M300" s="140"/>
      <c r="N300" s="140"/>
      <c r="P300" s="141"/>
    </row>
    <row r="301" spans="1:16" x14ac:dyDescent="0.2">
      <c r="A301" s="129"/>
      <c r="B301" s="130"/>
      <c r="C301" s="140"/>
      <c r="D301" s="131"/>
      <c r="E301" s="129"/>
      <c r="F301" s="131"/>
      <c r="G301" s="130"/>
      <c r="H301" s="131"/>
      <c r="I301" s="132"/>
      <c r="J301" s="129"/>
      <c r="K301" s="140"/>
      <c r="L301" s="133"/>
      <c r="M301" s="140"/>
      <c r="N301" s="140"/>
      <c r="P301" s="141"/>
    </row>
    <row r="302" spans="1:16" x14ac:dyDescent="0.2">
      <c r="A302" s="129"/>
      <c r="B302" s="130"/>
      <c r="C302" s="140"/>
      <c r="D302" s="131"/>
      <c r="E302" s="129"/>
      <c r="F302" s="131"/>
      <c r="G302" s="130"/>
      <c r="H302" s="131"/>
      <c r="I302" s="132"/>
      <c r="J302" s="129"/>
      <c r="K302" s="140"/>
      <c r="L302" s="133"/>
      <c r="M302" s="140"/>
      <c r="N302" s="140"/>
      <c r="P302" s="141"/>
    </row>
    <row r="303" spans="1:16" x14ac:dyDescent="0.2">
      <c r="A303" s="129"/>
      <c r="B303" s="130"/>
      <c r="C303" s="140"/>
      <c r="D303" s="131"/>
      <c r="E303" s="129"/>
      <c r="F303" s="131"/>
      <c r="G303" s="130"/>
      <c r="H303" s="131"/>
      <c r="I303" s="132"/>
      <c r="J303" s="129"/>
      <c r="K303" s="140"/>
      <c r="L303" s="133"/>
      <c r="M303" s="140"/>
      <c r="N303" s="140"/>
      <c r="P303" s="141"/>
    </row>
    <row r="304" spans="1:16" x14ac:dyDescent="0.2">
      <c r="A304" s="129"/>
      <c r="B304" s="130"/>
      <c r="C304" s="140"/>
      <c r="D304" s="131"/>
      <c r="E304" s="129"/>
      <c r="F304" s="131"/>
      <c r="G304" s="130"/>
      <c r="H304" s="131"/>
      <c r="I304" s="132"/>
      <c r="J304" s="129"/>
      <c r="K304" s="140"/>
      <c r="L304" s="133"/>
      <c r="M304" s="140"/>
      <c r="N304" s="140"/>
      <c r="P304" s="141"/>
    </row>
    <row r="305" spans="1:16" x14ac:dyDescent="0.2">
      <c r="A305" s="129"/>
      <c r="B305" s="130"/>
      <c r="C305" s="140"/>
      <c r="D305" s="131"/>
      <c r="E305" s="129"/>
      <c r="F305" s="131"/>
      <c r="G305" s="130"/>
      <c r="H305" s="131"/>
      <c r="I305" s="132"/>
      <c r="J305" s="129"/>
      <c r="K305" s="140"/>
      <c r="L305" s="133"/>
      <c r="M305" s="140"/>
      <c r="N305" s="140"/>
      <c r="P305" s="141"/>
    </row>
    <row r="306" spans="1:16" x14ac:dyDescent="0.2">
      <c r="A306" s="129"/>
      <c r="B306" s="130"/>
      <c r="C306" s="140"/>
      <c r="D306" s="131"/>
      <c r="E306" s="129"/>
      <c r="F306" s="131"/>
      <c r="G306" s="130"/>
      <c r="H306" s="131"/>
      <c r="I306" s="132"/>
      <c r="J306" s="129"/>
      <c r="K306" s="140"/>
      <c r="L306" s="133"/>
      <c r="M306" s="140"/>
      <c r="N306" s="140"/>
      <c r="P306" s="141"/>
    </row>
    <row r="307" spans="1:16" x14ac:dyDescent="0.2">
      <c r="A307" s="129"/>
      <c r="B307" s="130"/>
      <c r="C307" s="140"/>
      <c r="D307" s="131"/>
      <c r="E307" s="129"/>
      <c r="F307" s="131"/>
      <c r="G307" s="130"/>
      <c r="H307" s="131"/>
      <c r="I307" s="132"/>
      <c r="J307" s="129"/>
      <c r="K307" s="140"/>
      <c r="L307" s="133"/>
      <c r="M307" s="140"/>
      <c r="N307" s="140"/>
      <c r="P307" s="141"/>
    </row>
    <row r="308" spans="1:16" x14ac:dyDescent="0.2">
      <c r="A308" s="129"/>
      <c r="B308" s="130"/>
      <c r="C308" s="140"/>
      <c r="D308" s="131"/>
      <c r="E308" s="129"/>
      <c r="F308" s="131"/>
      <c r="G308" s="130"/>
      <c r="H308" s="131"/>
      <c r="I308" s="132"/>
      <c r="J308" s="129"/>
      <c r="K308" s="140"/>
      <c r="L308" s="133"/>
      <c r="M308" s="140"/>
      <c r="N308" s="140"/>
      <c r="P308" s="141"/>
    </row>
    <row r="309" spans="1:16" x14ac:dyDescent="0.2">
      <c r="A309" s="129"/>
      <c r="B309" s="130"/>
      <c r="C309" s="140"/>
      <c r="D309" s="131"/>
      <c r="E309" s="129"/>
      <c r="F309" s="131"/>
      <c r="G309" s="130"/>
      <c r="H309" s="131"/>
      <c r="I309" s="132"/>
      <c r="J309" s="129"/>
      <c r="K309" s="140"/>
      <c r="L309" s="133"/>
      <c r="M309" s="140"/>
      <c r="N309" s="140"/>
      <c r="P309" s="141"/>
    </row>
    <row r="310" spans="1:16" x14ac:dyDescent="0.2">
      <c r="A310" s="129"/>
      <c r="B310" s="130"/>
      <c r="C310" s="140"/>
      <c r="D310" s="131"/>
      <c r="E310" s="129"/>
      <c r="F310" s="131"/>
      <c r="G310" s="130"/>
      <c r="H310" s="131"/>
      <c r="I310" s="132"/>
      <c r="J310" s="129"/>
      <c r="K310" s="140"/>
      <c r="L310" s="133"/>
      <c r="M310" s="140"/>
      <c r="N310" s="140"/>
      <c r="P310" s="141"/>
    </row>
    <row r="311" spans="1:16" x14ac:dyDescent="0.2">
      <c r="A311" s="129"/>
      <c r="B311" s="130"/>
      <c r="C311" s="140"/>
      <c r="D311" s="131"/>
      <c r="E311" s="129"/>
      <c r="F311" s="131"/>
      <c r="G311" s="130"/>
      <c r="H311" s="131"/>
      <c r="I311" s="132"/>
      <c r="J311" s="129"/>
      <c r="K311" s="140"/>
      <c r="L311" s="133"/>
      <c r="M311" s="140"/>
      <c r="N311" s="140"/>
      <c r="P311" s="141"/>
    </row>
    <row r="312" spans="1:16" x14ac:dyDescent="0.2">
      <c r="A312" s="129"/>
      <c r="B312" s="130"/>
      <c r="C312" s="140"/>
      <c r="D312" s="131"/>
      <c r="E312" s="129"/>
      <c r="F312" s="131"/>
      <c r="G312" s="130"/>
      <c r="H312" s="131"/>
      <c r="I312" s="132"/>
      <c r="J312" s="129"/>
      <c r="K312" s="140"/>
      <c r="L312" s="133"/>
      <c r="M312" s="140"/>
      <c r="N312" s="140"/>
      <c r="P312" s="141"/>
    </row>
    <row r="313" spans="1:16" x14ac:dyDescent="0.2">
      <c r="A313" s="129"/>
      <c r="B313" s="130"/>
      <c r="C313" s="140"/>
      <c r="D313" s="131"/>
      <c r="E313" s="129"/>
      <c r="F313" s="131"/>
      <c r="G313" s="130"/>
      <c r="H313" s="131"/>
      <c r="I313" s="132"/>
      <c r="J313" s="129"/>
      <c r="K313" s="140"/>
      <c r="L313" s="133"/>
      <c r="M313" s="140"/>
      <c r="N313" s="140"/>
      <c r="P313" s="141"/>
    </row>
    <row r="314" spans="1:16" x14ac:dyDescent="0.2">
      <c r="A314" s="129"/>
      <c r="B314" s="130"/>
      <c r="C314" s="140"/>
      <c r="D314" s="131"/>
      <c r="E314" s="129"/>
      <c r="F314" s="131"/>
      <c r="G314" s="130"/>
      <c r="H314" s="131"/>
      <c r="I314" s="132"/>
      <c r="J314" s="129"/>
      <c r="K314" s="140"/>
      <c r="L314" s="133"/>
      <c r="M314" s="140"/>
      <c r="N314" s="140"/>
      <c r="P314" s="141"/>
    </row>
    <row r="315" spans="1:16" x14ac:dyDescent="0.2">
      <c r="A315" s="129"/>
      <c r="B315" s="130"/>
      <c r="C315" s="140"/>
      <c r="D315" s="131"/>
      <c r="E315" s="129"/>
      <c r="F315" s="131"/>
      <c r="G315" s="130"/>
      <c r="H315" s="131"/>
      <c r="I315" s="132"/>
      <c r="J315" s="129"/>
      <c r="K315" s="140"/>
      <c r="L315" s="133"/>
      <c r="M315" s="140"/>
      <c r="N315" s="140"/>
      <c r="P315" s="141"/>
    </row>
    <row r="316" spans="1:16" x14ac:dyDescent="0.2">
      <c r="A316" s="129"/>
      <c r="B316" s="130"/>
      <c r="C316" s="140"/>
      <c r="D316" s="131"/>
      <c r="E316" s="129"/>
      <c r="F316" s="131"/>
      <c r="G316" s="130"/>
      <c r="H316" s="131"/>
      <c r="I316" s="132"/>
      <c r="J316" s="129"/>
      <c r="K316" s="140"/>
      <c r="L316" s="133"/>
      <c r="M316" s="140"/>
      <c r="N316" s="140"/>
      <c r="P316" s="141"/>
    </row>
    <row r="317" spans="1:16" x14ac:dyDescent="0.2">
      <c r="A317" s="129"/>
      <c r="B317" s="130"/>
      <c r="C317" s="140"/>
      <c r="D317" s="131"/>
      <c r="E317" s="129"/>
      <c r="F317" s="131"/>
      <c r="G317" s="130"/>
      <c r="H317" s="131"/>
      <c r="I317" s="132"/>
      <c r="J317" s="129"/>
      <c r="K317" s="140"/>
      <c r="L317" s="133"/>
      <c r="M317" s="140"/>
      <c r="N317" s="140"/>
      <c r="P317" s="141"/>
    </row>
    <row r="318" spans="1:16" x14ac:dyDescent="0.2">
      <c r="A318" s="129"/>
      <c r="B318" s="130"/>
      <c r="C318" s="140"/>
      <c r="D318" s="131"/>
      <c r="E318" s="129"/>
      <c r="F318" s="131"/>
      <c r="G318" s="130"/>
      <c r="H318" s="131"/>
      <c r="I318" s="132"/>
      <c r="J318" s="129"/>
      <c r="K318" s="140"/>
      <c r="L318" s="133"/>
      <c r="M318" s="140"/>
      <c r="N318" s="140"/>
      <c r="P318" s="141"/>
    </row>
    <row r="319" spans="1:16" x14ac:dyDescent="0.2">
      <c r="A319" s="129"/>
      <c r="B319" s="130"/>
      <c r="C319" s="140"/>
      <c r="D319" s="131"/>
      <c r="E319" s="129"/>
      <c r="F319" s="131"/>
      <c r="G319" s="130"/>
      <c r="H319" s="131"/>
      <c r="I319" s="132"/>
      <c r="J319" s="129"/>
      <c r="K319" s="140"/>
      <c r="L319" s="133"/>
      <c r="M319" s="140"/>
      <c r="N319" s="140"/>
      <c r="P319" s="141"/>
    </row>
    <row r="320" spans="1:16" x14ac:dyDescent="0.2">
      <c r="A320" s="129"/>
      <c r="B320" s="130"/>
      <c r="C320" s="140"/>
      <c r="D320" s="131"/>
      <c r="E320" s="129"/>
      <c r="F320" s="131"/>
      <c r="G320" s="130"/>
      <c r="H320" s="131"/>
      <c r="I320" s="132"/>
      <c r="J320" s="129"/>
      <c r="K320" s="140"/>
      <c r="L320" s="133"/>
      <c r="M320" s="140"/>
      <c r="N320" s="140"/>
      <c r="P320" s="141"/>
    </row>
    <row r="321" spans="1:16" x14ac:dyDescent="0.2">
      <c r="A321" s="129"/>
      <c r="B321" s="130"/>
      <c r="C321" s="140"/>
      <c r="D321" s="131"/>
      <c r="E321" s="129"/>
      <c r="F321" s="131"/>
      <c r="G321" s="130"/>
      <c r="H321" s="131"/>
      <c r="I321" s="132"/>
      <c r="J321" s="129"/>
      <c r="K321" s="140"/>
      <c r="L321" s="133"/>
      <c r="M321" s="140"/>
      <c r="N321" s="140"/>
      <c r="P321" s="141"/>
    </row>
    <row r="322" spans="1:16" x14ac:dyDescent="0.2">
      <c r="A322" s="129"/>
      <c r="B322" s="130"/>
      <c r="C322" s="140"/>
      <c r="D322" s="131"/>
      <c r="E322" s="129"/>
      <c r="F322" s="131"/>
      <c r="G322" s="130"/>
      <c r="H322" s="131"/>
      <c r="I322" s="132"/>
      <c r="J322" s="129"/>
      <c r="K322" s="140"/>
      <c r="L322" s="133"/>
      <c r="M322" s="140"/>
      <c r="N322" s="140"/>
      <c r="P322" s="141"/>
    </row>
    <row r="323" spans="1:16" x14ac:dyDescent="0.2">
      <c r="A323" s="129"/>
      <c r="B323" s="130"/>
      <c r="C323" s="140"/>
      <c r="D323" s="131"/>
      <c r="E323" s="129"/>
      <c r="F323" s="131"/>
      <c r="G323" s="130"/>
      <c r="H323" s="131"/>
      <c r="I323" s="132"/>
      <c r="J323" s="129"/>
      <c r="K323" s="140"/>
      <c r="L323" s="133"/>
      <c r="M323" s="140"/>
      <c r="N323" s="140"/>
      <c r="P323" s="141"/>
    </row>
    <row r="324" spans="1:16" x14ac:dyDescent="0.2">
      <c r="A324" s="129"/>
      <c r="B324" s="130"/>
      <c r="C324" s="140"/>
      <c r="D324" s="131"/>
      <c r="E324" s="129"/>
      <c r="F324" s="131"/>
      <c r="G324" s="130"/>
      <c r="H324" s="131"/>
      <c r="I324" s="132"/>
      <c r="J324" s="129"/>
      <c r="K324" s="140"/>
      <c r="L324" s="133"/>
      <c r="M324" s="140"/>
      <c r="N324" s="140"/>
      <c r="P324" s="141"/>
    </row>
    <row r="325" spans="1:16" x14ac:dyDescent="0.2">
      <c r="A325" s="129"/>
      <c r="B325" s="130"/>
      <c r="C325" s="140"/>
      <c r="D325" s="131"/>
      <c r="E325" s="129"/>
      <c r="F325" s="131"/>
      <c r="G325" s="130"/>
      <c r="H325" s="131"/>
      <c r="I325" s="132"/>
      <c r="J325" s="129"/>
      <c r="K325" s="140"/>
      <c r="L325" s="133"/>
      <c r="M325" s="140"/>
      <c r="N325" s="140"/>
      <c r="P325" s="141"/>
    </row>
    <row r="326" spans="1:16" x14ac:dyDescent="0.2">
      <c r="A326" s="129"/>
      <c r="B326" s="130"/>
      <c r="C326" s="140"/>
      <c r="D326" s="131"/>
      <c r="E326" s="129"/>
      <c r="F326" s="131"/>
      <c r="G326" s="130"/>
      <c r="H326" s="131"/>
      <c r="I326" s="132"/>
      <c r="J326" s="129"/>
      <c r="K326" s="140"/>
      <c r="L326" s="133"/>
      <c r="M326" s="140"/>
      <c r="N326" s="140"/>
      <c r="P326" s="141"/>
    </row>
    <row r="327" spans="1:16" x14ac:dyDescent="0.2">
      <c r="A327" s="129"/>
      <c r="B327" s="130"/>
      <c r="C327" s="140"/>
      <c r="D327" s="131"/>
      <c r="E327" s="129"/>
      <c r="F327" s="131"/>
      <c r="G327" s="130"/>
      <c r="H327" s="131"/>
      <c r="I327" s="132"/>
      <c r="J327" s="129"/>
      <c r="K327" s="140"/>
      <c r="L327" s="133"/>
      <c r="M327" s="140"/>
      <c r="N327" s="140"/>
      <c r="P327" s="141"/>
    </row>
    <row r="328" spans="1:16" x14ac:dyDescent="0.2">
      <c r="A328" s="129"/>
      <c r="B328" s="130"/>
      <c r="C328" s="140"/>
      <c r="D328" s="131"/>
      <c r="E328" s="129"/>
      <c r="F328" s="131"/>
      <c r="G328" s="130"/>
      <c r="H328" s="131"/>
      <c r="I328" s="132"/>
      <c r="J328" s="129"/>
      <c r="K328" s="140"/>
      <c r="L328" s="133"/>
      <c r="M328" s="140"/>
      <c r="N328" s="140"/>
      <c r="P328" s="141"/>
    </row>
    <row r="329" spans="1:16" x14ac:dyDescent="0.2">
      <c r="A329" s="129"/>
      <c r="B329" s="130"/>
      <c r="C329" s="140"/>
      <c r="D329" s="131"/>
      <c r="E329" s="129"/>
      <c r="F329" s="131"/>
      <c r="G329" s="130"/>
      <c r="H329" s="131"/>
      <c r="I329" s="132"/>
      <c r="J329" s="129"/>
      <c r="K329" s="140"/>
      <c r="L329" s="133"/>
      <c r="M329" s="140"/>
      <c r="N329" s="140"/>
      <c r="P329" s="141"/>
    </row>
    <row r="330" spans="1:16" x14ac:dyDescent="0.2">
      <c r="A330" s="129"/>
      <c r="B330" s="130"/>
      <c r="C330" s="140"/>
      <c r="D330" s="131"/>
      <c r="E330" s="129"/>
      <c r="F330" s="131"/>
      <c r="G330" s="130"/>
      <c r="H330" s="131"/>
      <c r="I330" s="132"/>
      <c r="J330" s="129"/>
      <c r="K330" s="140"/>
      <c r="L330" s="133"/>
      <c r="M330" s="140"/>
      <c r="N330" s="140"/>
      <c r="P330" s="141"/>
    </row>
    <row r="331" spans="1:16" x14ac:dyDescent="0.2">
      <c r="A331" s="129"/>
      <c r="B331" s="130"/>
      <c r="C331" s="140"/>
      <c r="D331" s="131"/>
      <c r="E331" s="129"/>
      <c r="F331" s="131"/>
      <c r="G331" s="130"/>
      <c r="H331" s="131"/>
      <c r="I331" s="132"/>
      <c r="J331" s="129"/>
      <c r="K331" s="140"/>
      <c r="L331" s="133"/>
      <c r="M331" s="140"/>
      <c r="N331" s="140"/>
      <c r="P331" s="141"/>
    </row>
    <row r="332" spans="1:16" x14ac:dyDescent="0.2">
      <c r="A332" s="129"/>
      <c r="B332" s="130"/>
      <c r="C332" s="140"/>
      <c r="D332" s="131"/>
      <c r="E332" s="129"/>
      <c r="F332" s="131"/>
      <c r="G332" s="130"/>
      <c r="H332" s="131"/>
      <c r="I332" s="132"/>
      <c r="J332" s="129"/>
      <c r="K332" s="140"/>
      <c r="L332" s="133"/>
      <c r="M332" s="140"/>
      <c r="N332" s="140"/>
      <c r="P332" s="141"/>
    </row>
    <row r="333" spans="1:16" x14ac:dyDescent="0.2">
      <c r="A333" s="129"/>
      <c r="B333" s="130"/>
      <c r="C333" s="140"/>
      <c r="D333" s="131"/>
      <c r="E333" s="129"/>
      <c r="F333" s="131"/>
      <c r="G333" s="130"/>
      <c r="H333" s="131"/>
      <c r="I333" s="132"/>
      <c r="J333" s="129"/>
      <c r="K333" s="140"/>
      <c r="L333" s="133"/>
      <c r="M333" s="140"/>
      <c r="N333" s="140"/>
      <c r="P333" s="141"/>
    </row>
    <row r="334" spans="1:16" x14ac:dyDescent="0.2">
      <c r="A334" s="129"/>
      <c r="B334" s="130"/>
      <c r="C334" s="140"/>
      <c r="D334" s="131"/>
      <c r="E334" s="129"/>
      <c r="F334" s="131"/>
      <c r="G334" s="130"/>
      <c r="H334" s="131"/>
      <c r="I334" s="132"/>
      <c r="J334" s="129"/>
      <c r="K334" s="140"/>
      <c r="L334" s="133"/>
      <c r="M334" s="140"/>
      <c r="N334" s="140"/>
      <c r="P334" s="141"/>
    </row>
    <row r="335" spans="1:16" x14ac:dyDescent="0.2">
      <c r="A335" s="129"/>
      <c r="B335" s="130"/>
      <c r="C335" s="140"/>
      <c r="D335" s="131"/>
      <c r="E335" s="129"/>
      <c r="F335" s="131"/>
      <c r="G335" s="130"/>
      <c r="H335" s="131"/>
      <c r="I335" s="132"/>
      <c r="J335" s="129"/>
      <c r="K335" s="140"/>
      <c r="L335" s="133"/>
      <c r="M335" s="140"/>
      <c r="N335" s="140"/>
      <c r="P335" s="141"/>
    </row>
    <row r="336" spans="1:16" x14ac:dyDescent="0.2">
      <c r="A336" s="129"/>
      <c r="B336" s="130"/>
      <c r="C336" s="140"/>
      <c r="D336" s="131"/>
      <c r="E336" s="129"/>
      <c r="F336" s="131"/>
      <c r="G336" s="130"/>
      <c r="H336" s="131"/>
      <c r="I336" s="132"/>
      <c r="J336" s="129"/>
      <c r="K336" s="140"/>
      <c r="L336" s="133"/>
      <c r="M336" s="140"/>
      <c r="N336" s="140"/>
      <c r="P336" s="141"/>
    </row>
    <row r="337" spans="1:16" x14ac:dyDescent="0.2">
      <c r="A337" s="129"/>
      <c r="B337" s="130"/>
      <c r="C337" s="140"/>
      <c r="D337" s="131"/>
      <c r="E337" s="129"/>
      <c r="F337" s="131"/>
      <c r="G337" s="130"/>
      <c r="H337" s="131"/>
      <c r="I337" s="132"/>
      <c r="J337" s="129"/>
      <c r="K337" s="140"/>
      <c r="L337" s="133"/>
      <c r="M337" s="140"/>
      <c r="N337" s="140"/>
      <c r="P337" s="141"/>
    </row>
    <row r="338" spans="1:16" x14ac:dyDescent="0.2">
      <c r="A338" s="129"/>
      <c r="B338" s="130"/>
      <c r="C338" s="140"/>
      <c r="D338" s="131"/>
      <c r="E338" s="129"/>
      <c r="F338" s="131"/>
      <c r="G338" s="130"/>
      <c r="H338" s="131"/>
      <c r="I338" s="132"/>
      <c r="J338" s="129"/>
      <c r="K338" s="140"/>
      <c r="L338" s="133"/>
      <c r="M338" s="140"/>
      <c r="N338" s="140"/>
      <c r="P338" s="141"/>
    </row>
    <row r="339" spans="1:16" x14ac:dyDescent="0.2">
      <c r="A339" s="129"/>
      <c r="B339" s="130"/>
      <c r="C339" s="140"/>
      <c r="D339" s="131"/>
      <c r="E339" s="129"/>
      <c r="F339" s="131"/>
      <c r="G339" s="130"/>
      <c r="H339" s="131"/>
      <c r="I339" s="132"/>
      <c r="J339" s="129"/>
      <c r="K339" s="140"/>
      <c r="L339" s="133"/>
      <c r="M339" s="140"/>
      <c r="N339" s="140"/>
      <c r="P339" s="141"/>
    </row>
    <row r="340" spans="1:16" x14ac:dyDescent="0.2">
      <c r="A340" s="129"/>
      <c r="B340" s="130"/>
      <c r="C340" s="140"/>
      <c r="D340" s="131"/>
      <c r="E340" s="129"/>
      <c r="F340" s="131"/>
      <c r="G340" s="130"/>
      <c r="H340" s="131"/>
      <c r="I340" s="132"/>
      <c r="J340" s="129"/>
      <c r="K340" s="140"/>
      <c r="L340" s="133"/>
      <c r="M340" s="140"/>
      <c r="N340" s="140"/>
      <c r="P340" s="141"/>
    </row>
    <row r="341" spans="1:16" x14ac:dyDescent="0.2">
      <c r="A341" s="129"/>
      <c r="B341" s="130"/>
      <c r="C341" s="140"/>
      <c r="D341" s="131"/>
      <c r="E341" s="129"/>
      <c r="F341" s="131"/>
      <c r="G341" s="130"/>
      <c r="H341" s="131"/>
      <c r="I341" s="132"/>
      <c r="J341" s="129"/>
      <c r="K341" s="140"/>
      <c r="L341" s="133"/>
      <c r="M341" s="140"/>
      <c r="N341" s="140"/>
      <c r="P341" s="141"/>
    </row>
    <row r="342" spans="1:16" x14ac:dyDescent="0.2">
      <c r="A342" s="129"/>
      <c r="B342" s="130"/>
      <c r="C342" s="140"/>
      <c r="D342" s="131"/>
      <c r="E342" s="129"/>
      <c r="F342" s="131"/>
      <c r="G342" s="130"/>
      <c r="H342" s="131"/>
      <c r="I342" s="132"/>
      <c r="J342" s="129"/>
      <c r="K342" s="140"/>
      <c r="L342" s="133"/>
      <c r="M342" s="140"/>
      <c r="N342" s="140"/>
      <c r="P342" s="141"/>
    </row>
    <row r="343" spans="1:16" x14ac:dyDescent="0.2">
      <c r="A343" s="129"/>
      <c r="B343" s="130"/>
      <c r="C343" s="140"/>
      <c r="D343" s="131"/>
      <c r="E343" s="129"/>
      <c r="F343" s="131"/>
      <c r="G343" s="130"/>
      <c r="H343" s="131"/>
      <c r="I343" s="132"/>
      <c r="J343" s="129"/>
      <c r="K343" s="140"/>
      <c r="L343" s="133"/>
      <c r="M343" s="140"/>
      <c r="N343" s="140"/>
      <c r="P343" s="141"/>
    </row>
    <row r="344" spans="1:16" x14ac:dyDescent="0.2">
      <c r="A344" s="129"/>
      <c r="B344" s="130"/>
      <c r="C344" s="140"/>
      <c r="D344" s="131"/>
      <c r="E344" s="129"/>
      <c r="F344" s="131"/>
      <c r="G344" s="130"/>
      <c r="H344" s="131"/>
      <c r="I344" s="132"/>
      <c r="J344" s="129"/>
      <c r="K344" s="140"/>
      <c r="L344" s="133"/>
      <c r="M344" s="140"/>
      <c r="N344" s="140"/>
      <c r="P344" s="141"/>
    </row>
    <row r="345" spans="1:16" x14ac:dyDescent="0.2">
      <c r="A345" s="129"/>
      <c r="B345" s="130"/>
      <c r="C345" s="140"/>
      <c r="D345" s="131"/>
      <c r="E345" s="129"/>
      <c r="F345" s="131"/>
      <c r="G345" s="130"/>
      <c r="H345" s="131"/>
      <c r="I345" s="132"/>
      <c r="J345" s="129"/>
      <c r="K345" s="140"/>
      <c r="L345" s="133"/>
      <c r="M345" s="140"/>
      <c r="N345" s="140"/>
      <c r="P345" s="141"/>
    </row>
    <row r="346" spans="1:16" x14ac:dyDescent="0.2">
      <c r="A346" s="129"/>
      <c r="B346" s="130"/>
      <c r="C346" s="140"/>
      <c r="D346" s="131"/>
      <c r="E346" s="129"/>
      <c r="F346" s="131"/>
      <c r="G346" s="130"/>
      <c r="H346" s="131"/>
      <c r="I346" s="132"/>
      <c r="J346" s="129"/>
      <c r="K346" s="140"/>
      <c r="L346" s="133"/>
      <c r="M346" s="140"/>
      <c r="N346" s="140"/>
      <c r="P346" s="141"/>
    </row>
    <row r="347" spans="1:16" x14ac:dyDescent="0.2">
      <c r="A347" s="129"/>
      <c r="B347" s="130"/>
      <c r="C347" s="140"/>
      <c r="D347" s="131"/>
      <c r="E347" s="129"/>
      <c r="F347" s="131"/>
      <c r="G347" s="130"/>
      <c r="H347" s="131"/>
      <c r="I347" s="132"/>
      <c r="J347" s="129"/>
      <c r="K347" s="140"/>
      <c r="L347" s="133"/>
      <c r="M347" s="140"/>
      <c r="N347" s="140"/>
      <c r="P347" s="141"/>
    </row>
    <row r="348" spans="1:16" x14ac:dyDescent="0.2">
      <c r="A348" s="129"/>
      <c r="B348" s="130"/>
      <c r="C348" s="140"/>
      <c r="D348" s="131"/>
      <c r="E348" s="129"/>
      <c r="F348" s="131"/>
      <c r="G348" s="130"/>
      <c r="H348" s="131"/>
      <c r="I348" s="132"/>
      <c r="J348" s="129"/>
      <c r="K348" s="140"/>
      <c r="L348" s="133"/>
      <c r="M348" s="140"/>
      <c r="N348" s="140"/>
      <c r="P348" s="141"/>
    </row>
    <row r="349" spans="1:16" x14ac:dyDescent="0.2">
      <c r="A349" s="129"/>
      <c r="B349" s="130"/>
      <c r="C349" s="140"/>
      <c r="D349" s="131"/>
      <c r="E349" s="129"/>
      <c r="F349" s="131"/>
      <c r="G349" s="130"/>
      <c r="H349" s="131"/>
      <c r="I349" s="132"/>
      <c r="J349" s="129"/>
      <c r="K349" s="140"/>
      <c r="L349" s="133"/>
      <c r="M349" s="140"/>
      <c r="N349" s="140"/>
      <c r="P349" s="141"/>
    </row>
    <row r="350" spans="1:16" x14ac:dyDescent="0.2">
      <c r="A350" s="129"/>
      <c r="B350" s="130"/>
      <c r="C350" s="140"/>
      <c r="D350" s="131"/>
      <c r="E350" s="129"/>
      <c r="F350" s="131"/>
      <c r="G350" s="130"/>
      <c r="H350" s="131"/>
      <c r="I350" s="132"/>
      <c r="J350" s="129"/>
      <c r="K350" s="140"/>
      <c r="L350" s="133"/>
      <c r="M350" s="140"/>
      <c r="N350" s="140"/>
      <c r="P350" s="141"/>
    </row>
    <row r="351" spans="1:16" x14ac:dyDescent="0.2">
      <c r="A351" s="129"/>
      <c r="B351" s="130"/>
      <c r="C351" s="140"/>
      <c r="D351" s="131"/>
      <c r="E351" s="129"/>
      <c r="F351" s="131"/>
      <c r="G351" s="130"/>
      <c r="H351" s="131"/>
      <c r="I351" s="132"/>
      <c r="J351" s="129"/>
      <c r="K351" s="140"/>
      <c r="L351" s="133"/>
      <c r="M351" s="140"/>
      <c r="N351" s="140"/>
      <c r="P351" s="141"/>
    </row>
    <row r="352" spans="1:16" x14ac:dyDescent="0.2">
      <c r="A352" s="129"/>
      <c r="B352" s="130"/>
      <c r="C352" s="140"/>
      <c r="D352" s="131"/>
      <c r="E352" s="129"/>
      <c r="F352" s="131"/>
      <c r="G352" s="130"/>
      <c r="H352" s="131"/>
      <c r="I352" s="132"/>
      <c r="J352" s="129"/>
      <c r="K352" s="140"/>
      <c r="L352" s="133"/>
      <c r="M352" s="140"/>
      <c r="N352" s="140"/>
      <c r="P352" s="141"/>
    </row>
    <row r="353" spans="1:16" x14ac:dyDescent="0.2">
      <c r="A353" s="129"/>
      <c r="B353" s="130"/>
      <c r="C353" s="140"/>
      <c r="D353" s="131"/>
      <c r="E353" s="129"/>
      <c r="F353" s="131"/>
      <c r="G353" s="130"/>
      <c r="H353" s="131"/>
      <c r="I353" s="132"/>
      <c r="J353" s="129"/>
      <c r="K353" s="140"/>
      <c r="L353" s="133"/>
      <c r="M353" s="140"/>
      <c r="N353" s="140"/>
      <c r="P353" s="141"/>
    </row>
    <row r="354" spans="1:16" x14ac:dyDescent="0.2">
      <c r="A354" s="129"/>
      <c r="B354" s="130"/>
      <c r="C354" s="140"/>
      <c r="D354" s="131"/>
      <c r="E354" s="129"/>
      <c r="F354" s="131"/>
      <c r="G354" s="130"/>
      <c r="H354" s="131"/>
      <c r="I354" s="132"/>
      <c r="J354" s="129"/>
      <c r="K354" s="140"/>
      <c r="L354" s="133"/>
      <c r="M354" s="140"/>
      <c r="N354" s="140"/>
      <c r="P354" s="141"/>
    </row>
    <row r="355" spans="1:16" x14ac:dyDescent="0.2">
      <c r="A355" s="129"/>
      <c r="B355" s="130"/>
      <c r="C355" s="140"/>
      <c r="D355" s="131"/>
      <c r="E355" s="129"/>
      <c r="F355" s="131"/>
      <c r="G355" s="130"/>
      <c r="H355" s="131"/>
      <c r="I355" s="132"/>
      <c r="J355" s="129"/>
      <c r="K355" s="140"/>
      <c r="L355" s="133"/>
      <c r="M355" s="140"/>
      <c r="N355" s="140"/>
      <c r="P355" s="141"/>
    </row>
    <row r="356" spans="1:16" x14ac:dyDescent="0.2">
      <c r="A356" s="129"/>
      <c r="B356" s="130"/>
      <c r="C356" s="140"/>
      <c r="D356" s="131"/>
      <c r="E356" s="129"/>
      <c r="F356" s="131"/>
      <c r="G356" s="130"/>
      <c r="H356" s="131"/>
      <c r="I356" s="132"/>
      <c r="J356" s="129"/>
      <c r="K356" s="140"/>
      <c r="L356" s="133"/>
      <c r="M356" s="140"/>
      <c r="N356" s="140"/>
      <c r="P356" s="141"/>
    </row>
    <row r="357" spans="1:16" x14ac:dyDescent="0.2">
      <c r="A357" s="129"/>
      <c r="B357" s="130"/>
      <c r="C357" s="140"/>
      <c r="D357" s="131"/>
      <c r="E357" s="129"/>
      <c r="F357" s="131"/>
      <c r="G357" s="130"/>
      <c r="H357" s="131"/>
      <c r="I357" s="132"/>
      <c r="J357" s="129"/>
      <c r="K357" s="140"/>
      <c r="L357" s="133"/>
      <c r="M357" s="140"/>
      <c r="N357" s="140"/>
      <c r="P357" s="141"/>
    </row>
    <row r="358" spans="1:16" x14ac:dyDescent="0.2">
      <c r="A358" s="129"/>
      <c r="B358" s="130"/>
      <c r="C358" s="140"/>
      <c r="D358" s="131"/>
      <c r="E358" s="129"/>
      <c r="F358" s="131"/>
      <c r="G358" s="130"/>
      <c r="H358" s="131"/>
      <c r="I358" s="132"/>
      <c r="J358" s="129"/>
      <c r="K358" s="140"/>
      <c r="L358" s="133"/>
      <c r="M358" s="140"/>
      <c r="N358" s="140"/>
      <c r="P358" s="141"/>
    </row>
    <row r="359" spans="1:16" x14ac:dyDescent="0.2">
      <c r="A359" s="129"/>
      <c r="B359" s="130"/>
      <c r="C359" s="140"/>
      <c r="D359" s="131"/>
      <c r="E359" s="129"/>
      <c r="F359" s="131"/>
      <c r="G359" s="130"/>
      <c r="H359" s="131"/>
      <c r="I359" s="132"/>
      <c r="J359" s="129"/>
      <c r="K359" s="140"/>
      <c r="L359" s="133"/>
      <c r="M359" s="140"/>
      <c r="N359" s="140"/>
      <c r="P359" s="141"/>
    </row>
    <row r="360" spans="1:16" x14ac:dyDescent="0.2">
      <c r="A360" s="129"/>
      <c r="B360" s="130"/>
      <c r="C360" s="140"/>
      <c r="D360" s="131"/>
      <c r="E360" s="129"/>
      <c r="F360" s="131"/>
      <c r="G360" s="130"/>
      <c r="H360" s="131"/>
      <c r="I360" s="132"/>
      <c r="J360" s="129"/>
      <c r="K360" s="140"/>
      <c r="L360" s="133"/>
      <c r="M360" s="140"/>
      <c r="N360" s="140"/>
      <c r="P360" s="141"/>
    </row>
    <row r="361" spans="1:16" x14ac:dyDescent="0.2">
      <c r="A361" s="129"/>
      <c r="B361" s="130"/>
      <c r="C361" s="140"/>
      <c r="D361" s="131"/>
      <c r="E361" s="129"/>
      <c r="F361" s="131"/>
      <c r="G361" s="130"/>
      <c r="H361" s="131"/>
      <c r="I361" s="132"/>
      <c r="J361" s="129"/>
      <c r="K361" s="140"/>
      <c r="L361" s="133"/>
      <c r="M361" s="140"/>
      <c r="N361" s="140"/>
      <c r="P361" s="141"/>
    </row>
    <row r="362" spans="1:16" x14ac:dyDescent="0.2">
      <c r="A362" s="129"/>
      <c r="B362" s="130"/>
      <c r="C362" s="140"/>
      <c r="D362" s="131"/>
      <c r="E362" s="129"/>
      <c r="F362" s="131"/>
      <c r="G362" s="130"/>
      <c r="H362" s="131"/>
      <c r="I362" s="132"/>
      <c r="J362" s="129"/>
      <c r="K362" s="140"/>
      <c r="L362" s="133"/>
      <c r="M362" s="140"/>
      <c r="N362" s="140"/>
      <c r="P362" s="141"/>
    </row>
    <row r="363" spans="1:16" x14ac:dyDescent="0.2">
      <c r="A363" s="129"/>
      <c r="B363" s="130"/>
      <c r="C363" s="140"/>
      <c r="D363" s="131"/>
      <c r="E363" s="129"/>
      <c r="F363" s="131"/>
      <c r="G363" s="130"/>
      <c r="H363" s="131"/>
      <c r="I363" s="132"/>
      <c r="J363" s="129"/>
      <c r="K363" s="140"/>
      <c r="L363" s="133"/>
      <c r="M363" s="140"/>
      <c r="N363" s="140"/>
      <c r="P363" s="141"/>
    </row>
    <row r="364" spans="1:16" x14ac:dyDescent="0.2">
      <c r="A364" s="129"/>
      <c r="B364" s="130"/>
      <c r="C364" s="140"/>
      <c r="D364" s="131"/>
      <c r="E364" s="129"/>
      <c r="F364" s="131"/>
      <c r="G364" s="130"/>
      <c r="H364" s="131"/>
      <c r="I364" s="132"/>
      <c r="J364" s="129"/>
      <c r="K364" s="140"/>
      <c r="L364" s="133"/>
      <c r="M364" s="140"/>
      <c r="N364" s="140"/>
      <c r="P364" s="141"/>
    </row>
    <row r="365" spans="1:16" x14ac:dyDescent="0.2">
      <c r="A365" s="129"/>
      <c r="B365" s="130"/>
      <c r="C365" s="140"/>
      <c r="D365" s="131"/>
      <c r="E365" s="129"/>
      <c r="F365" s="131"/>
      <c r="G365" s="130"/>
      <c r="H365" s="131"/>
      <c r="I365" s="132"/>
      <c r="J365" s="129"/>
      <c r="K365" s="140"/>
      <c r="L365" s="133"/>
      <c r="M365" s="140"/>
      <c r="N365" s="140"/>
      <c r="P365" s="141"/>
    </row>
    <row r="366" spans="1:16" x14ac:dyDescent="0.2">
      <c r="A366" s="129"/>
      <c r="B366" s="130"/>
      <c r="C366" s="140"/>
      <c r="D366" s="131"/>
      <c r="E366" s="129"/>
      <c r="F366" s="131"/>
      <c r="G366" s="130"/>
      <c r="H366" s="131"/>
      <c r="I366" s="132"/>
      <c r="J366" s="129"/>
      <c r="K366" s="140"/>
      <c r="L366" s="133"/>
      <c r="M366" s="140"/>
      <c r="N366" s="140"/>
      <c r="P366" s="141"/>
    </row>
    <row r="367" spans="1:16" x14ac:dyDescent="0.2">
      <c r="A367" s="129"/>
      <c r="B367" s="130"/>
      <c r="C367" s="140"/>
      <c r="D367" s="131"/>
      <c r="E367" s="129"/>
      <c r="F367" s="131"/>
      <c r="G367" s="130"/>
      <c r="H367" s="131"/>
      <c r="I367" s="132"/>
      <c r="J367" s="129"/>
      <c r="K367" s="140"/>
      <c r="L367" s="133"/>
      <c r="M367" s="140"/>
      <c r="N367" s="140"/>
      <c r="P367" s="141"/>
    </row>
    <row r="368" spans="1:16" x14ac:dyDescent="0.2">
      <c r="A368" s="129"/>
      <c r="B368" s="130"/>
      <c r="C368" s="140"/>
      <c r="D368" s="131"/>
      <c r="E368" s="129"/>
      <c r="F368" s="131"/>
      <c r="G368" s="130"/>
      <c r="H368" s="131"/>
      <c r="I368" s="132"/>
      <c r="J368" s="129"/>
      <c r="K368" s="140"/>
      <c r="L368" s="133"/>
      <c r="M368" s="140"/>
      <c r="N368" s="140"/>
      <c r="P368" s="141"/>
    </row>
    <row r="369" spans="1:16" x14ac:dyDescent="0.2">
      <c r="A369" s="129"/>
      <c r="B369" s="130"/>
      <c r="C369" s="140"/>
      <c r="D369" s="131"/>
      <c r="E369" s="129"/>
      <c r="F369" s="131"/>
      <c r="G369" s="130"/>
      <c r="H369" s="131"/>
      <c r="I369" s="132"/>
      <c r="J369" s="129"/>
      <c r="K369" s="140"/>
      <c r="L369" s="133"/>
      <c r="M369" s="140"/>
      <c r="N369" s="140"/>
      <c r="P369" s="141"/>
    </row>
    <row r="370" spans="1:16" x14ac:dyDescent="0.2">
      <c r="A370" s="129"/>
      <c r="B370" s="130"/>
      <c r="C370" s="140"/>
      <c r="D370" s="131"/>
      <c r="E370" s="129"/>
      <c r="F370" s="131"/>
      <c r="G370" s="130"/>
      <c r="H370" s="131"/>
      <c r="I370" s="132"/>
      <c r="J370" s="129"/>
      <c r="K370" s="140"/>
      <c r="L370" s="133"/>
      <c r="M370" s="140"/>
      <c r="N370" s="140"/>
      <c r="P370" s="141"/>
    </row>
    <row r="371" spans="1:16" x14ac:dyDescent="0.2">
      <c r="A371" s="129"/>
      <c r="B371" s="130"/>
      <c r="C371" s="140"/>
      <c r="D371" s="131"/>
      <c r="E371" s="129"/>
      <c r="F371" s="131"/>
      <c r="G371" s="130"/>
      <c r="H371" s="131"/>
      <c r="I371" s="132"/>
      <c r="J371" s="129"/>
      <c r="K371" s="140"/>
      <c r="L371" s="133"/>
      <c r="M371" s="140"/>
      <c r="N371" s="140"/>
      <c r="P371" s="141"/>
    </row>
    <row r="372" spans="1:16" x14ac:dyDescent="0.2">
      <c r="A372" s="129"/>
      <c r="B372" s="130"/>
      <c r="C372" s="140"/>
      <c r="D372" s="131"/>
      <c r="E372" s="129"/>
      <c r="F372" s="131"/>
      <c r="G372" s="130"/>
      <c r="H372" s="131"/>
      <c r="I372" s="132"/>
      <c r="J372" s="129"/>
      <c r="K372" s="140"/>
      <c r="L372" s="133"/>
      <c r="M372" s="140"/>
      <c r="N372" s="140"/>
      <c r="P372" s="141"/>
    </row>
    <row r="373" spans="1:16" x14ac:dyDescent="0.2">
      <c r="A373" s="129"/>
      <c r="B373" s="130"/>
      <c r="C373" s="140"/>
      <c r="D373" s="131"/>
      <c r="E373" s="129"/>
      <c r="F373" s="131"/>
      <c r="G373" s="130"/>
      <c r="H373" s="131"/>
      <c r="I373" s="132"/>
      <c r="J373" s="129"/>
      <c r="K373" s="140"/>
      <c r="L373" s="133"/>
      <c r="M373" s="140"/>
      <c r="N373" s="140"/>
      <c r="P373" s="141"/>
    </row>
    <row r="374" spans="1:16" x14ac:dyDescent="0.2">
      <c r="A374" s="129"/>
      <c r="B374" s="130"/>
      <c r="C374" s="140"/>
      <c r="D374" s="131"/>
      <c r="E374" s="129"/>
      <c r="F374" s="131"/>
      <c r="G374" s="130"/>
      <c r="H374" s="131"/>
      <c r="I374" s="132"/>
      <c r="J374" s="129"/>
      <c r="K374" s="140"/>
      <c r="L374" s="133"/>
      <c r="M374" s="140"/>
      <c r="N374" s="140"/>
      <c r="P374" s="141"/>
    </row>
    <row r="375" spans="1:16" x14ac:dyDescent="0.2">
      <c r="A375" s="129"/>
      <c r="B375" s="130"/>
      <c r="C375" s="140"/>
      <c r="D375" s="131"/>
      <c r="E375" s="129"/>
      <c r="F375" s="131"/>
      <c r="G375" s="130"/>
      <c r="H375" s="131"/>
      <c r="I375" s="132"/>
      <c r="J375" s="129"/>
      <c r="K375" s="140"/>
      <c r="L375" s="133"/>
      <c r="M375" s="140"/>
      <c r="N375" s="140"/>
      <c r="P375" s="141"/>
    </row>
    <row r="376" spans="1:16" x14ac:dyDescent="0.2">
      <c r="A376" s="129"/>
      <c r="B376" s="130"/>
      <c r="C376" s="140"/>
      <c r="D376" s="131"/>
      <c r="E376" s="129"/>
      <c r="F376" s="131"/>
      <c r="G376" s="130"/>
      <c r="H376" s="131"/>
      <c r="I376" s="132"/>
      <c r="J376" s="129"/>
      <c r="K376" s="140"/>
      <c r="L376" s="133"/>
      <c r="M376" s="140"/>
      <c r="N376" s="140"/>
      <c r="P376" s="141"/>
    </row>
    <row r="377" spans="1:16" x14ac:dyDescent="0.2">
      <c r="A377" s="129"/>
      <c r="B377" s="130"/>
      <c r="C377" s="140"/>
      <c r="D377" s="131"/>
      <c r="E377" s="129"/>
      <c r="F377" s="131"/>
      <c r="G377" s="130"/>
      <c r="H377" s="131"/>
      <c r="I377" s="132"/>
      <c r="J377" s="129"/>
      <c r="K377" s="140"/>
      <c r="L377" s="133"/>
      <c r="M377" s="140"/>
      <c r="N377" s="140"/>
      <c r="P377" s="141"/>
    </row>
    <row r="378" spans="1:16" x14ac:dyDescent="0.2">
      <c r="A378" s="129"/>
      <c r="B378" s="130"/>
      <c r="C378" s="140"/>
      <c r="D378" s="131"/>
      <c r="E378" s="129"/>
      <c r="F378" s="131"/>
      <c r="G378" s="130"/>
      <c r="H378" s="131"/>
      <c r="I378" s="132"/>
      <c r="J378" s="129"/>
      <c r="K378" s="140"/>
      <c r="L378" s="133"/>
      <c r="M378" s="140"/>
      <c r="N378" s="140"/>
      <c r="P378" s="141"/>
    </row>
    <row r="379" spans="1:16" x14ac:dyDescent="0.2">
      <c r="A379" s="129"/>
      <c r="B379" s="130"/>
      <c r="C379" s="140"/>
      <c r="D379" s="131"/>
      <c r="E379" s="129"/>
      <c r="F379" s="131"/>
      <c r="G379" s="130"/>
      <c r="H379" s="131"/>
      <c r="I379" s="132"/>
      <c r="J379" s="129"/>
      <c r="K379" s="140"/>
      <c r="L379" s="133"/>
      <c r="M379" s="140"/>
      <c r="N379" s="140"/>
      <c r="P379" s="141"/>
    </row>
    <row r="380" spans="1:16" x14ac:dyDescent="0.2">
      <c r="A380" s="129"/>
      <c r="B380" s="130"/>
      <c r="C380" s="140"/>
      <c r="D380" s="131"/>
      <c r="E380" s="129"/>
      <c r="F380" s="131"/>
      <c r="G380" s="130"/>
      <c r="H380" s="131"/>
      <c r="I380" s="132"/>
      <c r="J380" s="129"/>
      <c r="K380" s="140"/>
      <c r="L380" s="133"/>
      <c r="M380" s="140"/>
      <c r="N380" s="140"/>
      <c r="P380" s="141"/>
    </row>
    <row r="381" spans="1:16" x14ac:dyDescent="0.2">
      <c r="A381" s="129"/>
      <c r="B381" s="130"/>
      <c r="C381" s="140"/>
      <c r="D381" s="131"/>
      <c r="E381" s="129"/>
      <c r="F381" s="131"/>
      <c r="G381" s="130"/>
      <c r="H381" s="131"/>
      <c r="I381" s="132"/>
      <c r="J381" s="129"/>
      <c r="K381" s="140"/>
      <c r="L381" s="133"/>
      <c r="M381" s="140"/>
      <c r="N381" s="140"/>
      <c r="P381" s="141"/>
    </row>
    <row r="382" spans="1:16" x14ac:dyDescent="0.2">
      <c r="A382" s="129"/>
      <c r="B382" s="130"/>
      <c r="C382" s="140"/>
      <c r="D382" s="131"/>
      <c r="E382" s="129"/>
      <c r="F382" s="131"/>
      <c r="G382" s="130"/>
      <c r="H382" s="131"/>
      <c r="I382" s="132"/>
      <c r="J382" s="129"/>
      <c r="K382" s="140"/>
      <c r="L382" s="133"/>
      <c r="M382" s="140"/>
      <c r="N382" s="140"/>
      <c r="P382" s="141"/>
    </row>
    <row r="383" spans="1:16" x14ac:dyDescent="0.2">
      <c r="A383" s="129"/>
      <c r="B383" s="130"/>
      <c r="C383" s="140"/>
      <c r="D383" s="131"/>
      <c r="E383" s="129"/>
      <c r="F383" s="131"/>
      <c r="G383" s="130"/>
      <c r="H383" s="131"/>
      <c r="I383" s="132"/>
      <c r="J383" s="129"/>
      <c r="K383" s="140"/>
      <c r="L383" s="133"/>
      <c r="M383" s="140"/>
      <c r="N383" s="140"/>
      <c r="P383" s="141"/>
    </row>
    <row r="384" spans="1:16" x14ac:dyDescent="0.2">
      <c r="A384" s="129"/>
      <c r="B384" s="130"/>
      <c r="C384" s="140"/>
      <c r="D384" s="131"/>
      <c r="E384" s="129"/>
      <c r="F384" s="131"/>
      <c r="G384" s="130"/>
      <c r="H384" s="131"/>
      <c r="I384" s="132"/>
      <c r="J384" s="129"/>
      <c r="K384" s="140"/>
      <c r="L384" s="133"/>
      <c r="M384" s="140"/>
      <c r="N384" s="140"/>
      <c r="P384" s="141"/>
    </row>
    <row r="385" spans="1:16" x14ac:dyDescent="0.2">
      <c r="A385" s="129"/>
      <c r="B385" s="130"/>
      <c r="C385" s="140"/>
      <c r="D385" s="131"/>
      <c r="E385" s="129"/>
      <c r="F385" s="131"/>
      <c r="G385" s="130"/>
      <c r="H385" s="131"/>
      <c r="I385" s="132"/>
      <c r="J385" s="129"/>
      <c r="K385" s="140"/>
      <c r="L385" s="133"/>
      <c r="M385" s="140"/>
      <c r="N385" s="140"/>
      <c r="P385" s="141"/>
    </row>
    <row r="386" spans="1:16" x14ac:dyDescent="0.2">
      <c r="A386" s="129"/>
      <c r="B386" s="130"/>
      <c r="C386" s="140"/>
      <c r="D386" s="131"/>
      <c r="E386" s="129"/>
      <c r="F386" s="131"/>
      <c r="G386" s="130"/>
      <c r="H386" s="131"/>
      <c r="I386" s="132"/>
      <c r="J386" s="129"/>
      <c r="K386" s="140"/>
      <c r="L386" s="133"/>
      <c r="M386" s="140"/>
      <c r="N386" s="140"/>
      <c r="P386" s="141"/>
    </row>
    <row r="387" spans="1:16" x14ac:dyDescent="0.2">
      <c r="A387" s="129"/>
      <c r="B387" s="130"/>
      <c r="C387" s="140"/>
      <c r="D387" s="131"/>
      <c r="E387" s="129"/>
      <c r="F387" s="131"/>
      <c r="G387" s="130"/>
      <c r="H387" s="131"/>
      <c r="I387" s="132"/>
      <c r="J387" s="129"/>
      <c r="K387" s="140"/>
      <c r="L387" s="133"/>
      <c r="M387" s="140"/>
      <c r="N387" s="140"/>
      <c r="P387" s="141"/>
    </row>
    <row r="388" spans="1:16" x14ac:dyDescent="0.2">
      <c r="A388" s="129"/>
      <c r="B388" s="130"/>
      <c r="C388" s="140"/>
      <c r="D388" s="131"/>
      <c r="E388" s="129"/>
      <c r="F388" s="131"/>
      <c r="G388" s="130"/>
      <c r="H388" s="131"/>
      <c r="I388" s="132"/>
      <c r="J388" s="129"/>
      <c r="K388" s="140"/>
      <c r="L388" s="133"/>
      <c r="M388" s="140"/>
      <c r="N388" s="140"/>
      <c r="P388" s="141"/>
    </row>
    <row r="389" spans="1:16" x14ac:dyDescent="0.2">
      <c r="A389" s="129"/>
      <c r="B389" s="130"/>
      <c r="C389" s="140"/>
      <c r="D389" s="131"/>
      <c r="E389" s="129"/>
      <c r="F389" s="131"/>
      <c r="G389" s="130"/>
      <c r="H389" s="131"/>
      <c r="I389" s="132"/>
      <c r="J389" s="129"/>
      <c r="K389" s="140"/>
      <c r="L389" s="133"/>
      <c r="M389" s="140"/>
      <c r="N389" s="140"/>
      <c r="P389" s="141"/>
    </row>
    <row r="390" spans="1:16" x14ac:dyDescent="0.2">
      <c r="A390" s="129"/>
      <c r="B390" s="130"/>
      <c r="C390" s="140"/>
      <c r="D390" s="131"/>
      <c r="E390" s="129"/>
      <c r="F390" s="131"/>
      <c r="G390" s="130"/>
      <c r="H390" s="131"/>
      <c r="I390" s="132"/>
      <c r="J390" s="129"/>
      <c r="K390" s="140"/>
      <c r="L390" s="133"/>
      <c r="M390" s="140"/>
      <c r="N390" s="140"/>
      <c r="P390" s="141"/>
    </row>
    <row r="391" spans="1:16" x14ac:dyDescent="0.2">
      <c r="A391" s="129"/>
      <c r="B391" s="130"/>
      <c r="C391" s="140"/>
      <c r="D391" s="131"/>
      <c r="E391" s="129"/>
      <c r="F391" s="131"/>
      <c r="G391" s="130"/>
      <c r="H391" s="131"/>
      <c r="I391" s="132"/>
      <c r="J391" s="129"/>
      <c r="K391" s="140"/>
      <c r="L391" s="133"/>
      <c r="M391" s="140"/>
      <c r="N391" s="140"/>
      <c r="P391" s="141"/>
    </row>
    <row r="392" spans="1:16" x14ac:dyDescent="0.2">
      <c r="A392" s="129"/>
      <c r="B392" s="130"/>
      <c r="C392" s="140"/>
      <c r="D392" s="131"/>
      <c r="E392" s="129"/>
      <c r="F392" s="131"/>
      <c r="G392" s="130"/>
      <c r="H392" s="131"/>
      <c r="I392" s="132"/>
      <c r="J392" s="129"/>
      <c r="K392" s="140"/>
      <c r="L392" s="133"/>
      <c r="M392" s="140"/>
      <c r="N392" s="140"/>
      <c r="P392" s="141"/>
    </row>
    <row r="393" spans="1:16" x14ac:dyDescent="0.2">
      <c r="A393" s="129"/>
      <c r="B393" s="130"/>
      <c r="C393" s="140"/>
      <c r="D393" s="131"/>
      <c r="E393" s="129"/>
      <c r="F393" s="131"/>
      <c r="G393" s="130"/>
      <c r="H393" s="131"/>
      <c r="I393" s="132"/>
      <c r="J393" s="129"/>
      <c r="K393" s="140"/>
      <c r="L393" s="133"/>
      <c r="M393" s="140"/>
      <c r="N393" s="140"/>
      <c r="P393" s="141"/>
    </row>
    <row r="394" spans="1:16" x14ac:dyDescent="0.2">
      <c r="A394" s="129"/>
      <c r="B394" s="130"/>
      <c r="C394" s="140"/>
      <c r="D394" s="131"/>
      <c r="E394" s="129"/>
      <c r="F394" s="131"/>
      <c r="G394" s="130"/>
      <c r="H394" s="131"/>
      <c r="I394" s="132"/>
      <c r="J394" s="129"/>
      <c r="K394" s="140"/>
      <c r="L394" s="133"/>
      <c r="M394" s="140"/>
      <c r="N394" s="140"/>
      <c r="P394" s="141"/>
    </row>
    <row r="395" spans="1:16" x14ac:dyDescent="0.2">
      <c r="A395" s="129"/>
      <c r="B395" s="130"/>
      <c r="C395" s="140"/>
      <c r="D395" s="131"/>
      <c r="E395" s="129"/>
      <c r="F395" s="131"/>
      <c r="G395" s="130"/>
      <c r="H395" s="131"/>
      <c r="I395" s="132"/>
      <c r="J395" s="129"/>
      <c r="K395" s="140"/>
      <c r="L395" s="133"/>
      <c r="M395" s="140"/>
      <c r="N395" s="140"/>
      <c r="P395" s="141"/>
    </row>
    <row r="396" spans="1:16" x14ac:dyDescent="0.2">
      <c r="A396" s="129"/>
      <c r="B396" s="130"/>
      <c r="C396" s="140"/>
      <c r="D396" s="131"/>
      <c r="E396" s="129"/>
      <c r="F396" s="131"/>
      <c r="G396" s="130"/>
      <c r="H396" s="131"/>
      <c r="I396" s="132"/>
      <c r="J396" s="129"/>
      <c r="K396" s="140"/>
      <c r="L396" s="133"/>
      <c r="M396" s="140"/>
      <c r="N396" s="140"/>
      <c r="P396" s="141"/>
    </row>
    <row r="397" spans="1:16" x14ac:dyDescent="0.2">
      <c r="A397" s="129"/>
      <c r="B397" s="130"/>
      <c r="C397" s="140"/>
      <c r="D397" s="131"/>
      <c r="E397" s="129"/>
      <c r="F397" s="131"/>
      <c r="G397" s="130"/>
      <c r="H397" s="131"/>
      <c r="I397" s="132"/>
      <c r="J397" s="129"/>
      <c r="K397" s="140"/>
      <c r="L397" s="133"/>
      <c r="M397" s="140"/>
      <c r="N397" s="140"/>
      <c r="P397" s="141"/>
    </row>
    <row r="398" spans="1:16" x14ac:dyDescent="0.2">
      <c r="A398" s="129"/>
      <c r="B398" s="130"/>
      <c r="C398" s="140"/>
      <c r="D398" s="131"/>
      <c r="E398" s="129"/>
      <c r="F398" s="131"/>
      <c r="G398" s="130"/>
      <c r="H398" s="131"/>
      <c r="I398" s="132"/>
      <c r="J398" s="129"/>
      <c r="K398" s="140"/>
      <c r="L398" s="133"/>
      <c r="M398" s="140"/>
      <c r="N398" s="140"/>
      <c r="P398" s="141"/>
    </row>
    <row r="399" spans="1:16" x14ac:dyDescent="0.2">
      <c r="A399" s="129"/>
      <c r="B399" s="130"/>
      <c r="C399" s="140"/>
      <c r="D399" s="131"/>
      <c r="E399" s="129"/>
      <c r="F399" s="131"/>
      <c r="G399" s="130"/>
      <c r="H399" s="131"/>
      <c r="I399" s="132"/>
      <c r="J399" s="129"/>
      <c r="K399" s="140"/>
      <c r="L399" s="133"/>
      <c r="M399" s="140"/>
      <c r="N399" s="140"/>
      <c r="P399" s="141"/>
    </row>
    <row r="400" spans="1:16" x14ac:dyDescent="0.2">
      <c r="A400" s="129"/>
      <c r="B400" s="130"/>
      <c r="C400" s="140"/>
      <c r="D400" s="131"/>
      <c r="E400" s="129"/>
      <c r="F400" s="131"/>
      <c r="G400" s="130"/>
      <c r="H400" s="131"/>
      <c r="I400" s="132"/>
      <c r="J400" s="129"/>
      <c r="K400" s="140"/>
      <c r="L400" s="133"/>
      <c r="M400" s="140"/>
      <c r="N400" s="140"/>
      <c r="P400" s="141"/>
    </row>
    <row r="401" spans="1:16" x14ac:dyDescent="0.2">
      <c r="A401" s="129"/>
      <c r="B401" s="130"/>
      <c r="C401" s="140"/>
      <c r="D401" s="131"/>
      <c r="E401" s="129"/>
      <c r="F401" s="131"/>
      <c r="G401" s="130"/>
      <c r="H401" s="131"/>
      <c r="I401" s="132"/>
      <c r="J401" s="129"/>
      <c r="K401" s="140"/>
      <c r="L401" s="133"/>
      <c r="M401" s="140"/>
      <c r="N401" s="140"/>
      <c r="P401" s="141"/>
    </row>
    <row r="402" spans="1:16" x14ac:dyDescent="0.2">
      <c r="A402" s="129"/>
      <c r="B402" s="130"/>
      <c r="C402" s="140"/>
      <c r="D402" s="131"/>
      <c r="E402" s="129"/>
      <c r="F402" s="131"/>
      <c r="G402" s="130"/>
      <c r="H402" s="131"/>
      <c r="I402" s="132"/>
      <c r="J402" s="129"/>
      <c r="K402" s="140"/>
      <c r="L402" s="133"/>
      <c r="M402" s="140"/>
      <c r="N402" s="140"/>
      <c r="P402" s="141"/>
    </row>
    <row r="403" spans="1:16" x14ac:dyDescent="0.2">
      <c r="A403" s="129"/>
      <c r="B403" s="130"/>
      <c r="C403" s="140"/>
      <c r="D403" s="131"/>
      <c r="E403" s="129"/>
      <c r="F403" s="131"/>
      <c r="G403" s="130"/>
      <c r="H403" s="131"/>
      <c r="I403" s="132"/>
      <c r="J403" s="129"/>
      <c r="K403" s="140"/>
      <c r="L403" s="133"/>
      <c r="M403" s="140"/>
      <c r="N403" s="140"/>
      <c r="P403" s="141"/>
    </row>
    <row r="404" spans="1:16" x14ac:dyDescent="0.2">
      <c r="A404" s="129"/>
      <c r="B404" s="130"/>
      <c r="C404" s="140"/>
      <c r="D404" s="131"/>
      <c r="E404" s="129"/>
      <c r="F404" s="131"/>
      <c r="G404" s="130"/>
      <c r="H404" s="131"/>
      <c r="I404" s="132"/>
      <c r="J404" s="129"/>
      <c r="K404" s="140"/>
      <c r="L404" s="133"/>
      <c r="M404" s="140"/>
      <c r="N404" s="140"/>
      <c r="P404" s="141"/>
    </row>
    <row r="405" spans="1:16" x14ac:dyDescent="0.2">
      <c r="A405" s="129"/>
      <c r="B405" s="130"/>
      <c r="C405" s="140"/>
      <c r="D405" s="131"/>
      <c r="E405" s="129"/>
      <c r="F405" s="131"/>
      <c r="G405" s="130"/>
      <c r="H405" s="131"/>
      <c r="I405" s="132"/>
      <c r="J405" s="129"/>
      <c r="K405" s="140"/>
      <c r="L405" s="133"/>
      <c r="M405" s="140"/>
      <c r="N405" s="140"/>
      <c r="P405" s="141"/>
    </row>
    <row r="406" spans="1:16" x14ac:dyDescent="0.2">
      <c r="A406" s="129"/>
      <c r="B406" s="130"/>
      <c r="C406" s="140"/>
      <c r="D406" s="131"/>
      <c r="E406" s="129"/>
      <c r="F406" s="131"/>
      <c r="G406" s="130"/>
      <c r="H406" s="131"/>
      <c r="I406" s="132"/>
      <c r="J406" s="129"/>
      <c r="K406" s="140"/>
      <c r="L406" s="133"/>
      <c r="M406" s="140"/>
      <c r="N406" s="140"/>
      <c r="P406" s="141"/>
    </row>
    <row r="407" spans="1:16" x14ac:dyDescent="0.2">
      <c r="A407" s="129"/>
      <c r="B407" s="130"/>
      <c r="C407" s="140"/>
      <c r="D407" s="131"/>
      <c r="E407" s="129"/>
      <c r="F407" s="131"/>
      <c r="G407" s="130"/>
      <c r="H407" s="131"/>
      <c r="I407" s="132"/>
      <c r="J407" s="129"/>
      <c r="K407" s="140"/>
      <c r="L407" s="133"/>
      <c r="M407" s="140"/>
      <c r="N407" s="140"/>
      <c r="P407" s="141"/>
    </row>
    <row r="408" spans="1:16" x14ac:dyDescent="0.2">
      <c r="A408" s="129"/>
      <c r="B408" s="130"/>
      <c r="C408" s="140"/>
      <c r="D408" s="131"/>
      <c r="E408" s="129"/>
      <c r="F408" s="131"/>
      <c r="G408" s="130"/>
      <c r="H408" s="131"/>
      <c r="I408" s="132"/>
      <c r="J408" s="129"/>
      <c r="K408" s="140"/>
      <c r="L408" s="133"/>
      <c r="M408" s="140"/>
      <c r="N408" s="140"/>
      <c r="P408" s="141"/>
    </row>
    <row r="409" spans="1:16" x14ac:dyDescent="0.2">
      <c r="A409" s="129"/>
      <c r="B409" s="130"/>
      <c r="C409" s="140"/>
      <c r="D409" s="131"/>
      <c r="E409" s="129"/>
      <c r="F409" s="131"/>
      <c r="G409" s="130"/>
      <c r="H409" s="131"/>
      <c r="I409" s="132"/>
      <c r="J409" s="129"/>
      <c r="K409" s="140"/>
      <c r="L409" s="133"/>
      <c r="M409" s="140"/>
      <c r="N409" s="140"/>
      <c r="P409" s="141"/>
    </row>
    <row r="410" spans="1:16" x14ac:dyDescent="0.2">
      <c r="A410" s="129"/>
      <c r="B410" s="130"/>
      <c r="C410" s="140"/>
      <c r="D410" s="131"/>
      <c r="E410" s="129"/>
      <c r="F410" s="131"/>
      <c r="G410" s="130"/>
      <c r="H410" s="131"/>
      <c r="I410" s="132"/>
      <c r="J410" s="129"/>
      <c r="K410" s="140"/>
      <c r="L410" s="133"/>
      <c r="M410" s="140"/>
      <c r="N410" s="140"/>
      <c r="P410" s="141"/>
    </row>
    <row r="411" spans="1:16" x14ac:dyDescent="0.2">
      <c r="A411" s="129"/>
      <c r="B411" s="130"/>
      <c r="C411" s="140"/>
      <c r="D411" s="131"/>
      <c r="E411" s="129"/>
      <c r="F411" s="131"/>
      <c r="G411" s="130"/>
      <c r="H411" s="131"/>
      <c r="I411" s="132"/>
      <c r="J411" s="129"/>
      <c r="K411" s="140"/>
      <c r="L411" s="133"/>
      <c r="M411" s="140"/>
      <c r="N411" s="140"/>
      <c r="P411" s="141"/>
    </row>
    <row r="412" spans="1:16" x14ac:dyDescent="0.2">
      <c r="A412" s="129"/>
      <c r="B412" s="130"/>
      <c r="C412" s="140"/>
      <c r="D412" s="131"/>
      <c r="E412" s="129"/>
      <c r="F412" s="131"/>
      <c r="G412" s="130"/>
      <c r="H412" s="131"/>
      <c r="I412" s="132"/>
      <c r="J412" s="129"/>
      <c r="K412" s="140"/>
      <c r="L412" s="133"/>
      <c r="M412" s="140"/>
      <c r="N412" s="140"/>
      <c r="P412" s="141"/>
    </row>
    <row r="413" spans="1:16" x14ac:dyDescent="0.2">
      <c r="A413" s="129"/>
      <c r="B413" s="130"/>
      <c r="C413" s="140"/>
      <c r="D413" s="131"/>
      <c r="E413" s="129"/>
      <c r="F413" s="131"/>
      <c r="G413" s="130"/>
      <c r="H413" s="131"/>
      <c r="I413" s="132"/>
      <c r="J413" s="129"/>
      <c r="K413" s="140"/>
      <c r="L413" s="133"/>
      <c r="M413" s="140"/>
      <c r="N413" s="140"/>
      <c r="P413" s="141"/>
    </row>
    <row r="414" spans="1:16" x14ac:dyDescent="0.2">
      <c r="A414" s="129"/>
      <c r="B414" s="130"/>
      <c r="C414" s="140"/>
      <c r="D414" s="131"/>
      <c r="E414" s="129"/>
      <c r="F414" s="131"/>
      <c r="G414" s="130"/>
      <c r="H414" s="131"/>
      <c r="I414" s="132"/>
      <c r="J414" s="129"/>
      <c r="K414" s="140"/>
      <c r="L414" s="133"/>
      <c r="M414" s="140"/>
      <c r="N414" s="140"/>
      <c r="P414" s="141"/>
    </row>
    <row r="415" spans="1:16" x14ac:dyDescent="0.2">
      <c r="A415" s="129"/>
      <c r="B415" s="130"/>
      <c r="C415" s="140"/>
      <c r="D415" s="131"/>
      <c r="E415" s="129"/>
      <c r="F415" s="131"/>
      <c r="G415" s="130"/>
      <c r="H415" s="131"/>
      <c r="I415" s="132"/>
      <c r="J415" s="129"/>
      <c r="K415" s="140"/>
      <c r="L415" s="133"/>
      <c r="M415" s="140"/>
      <c r="N415" s="140"/>
      <c r="P415" s="141"/>
    </row>
    <row r="416" spans="1:16" x14ac:dyDescent="0.2">
      <c r="A416" s="129"/>
      <c r="B416" s="130"/>
      <c r="C416" s="140"/>
      <c r="D416" s="131"/>
      <c r="E416" s="129"/>
      <c r="F416" s="131"/>
      <c r="G416" s="130"/>
      <c r="H416" s="131"/>
      <c r="I416" s="132"/>
      <c r="J416" s="129"/>
      <c r="K416" s="140"/>
      <c r="L416" s="133"/>
      <c r="M416" s="140"/>
      <c r="N416" s="140"/>
      <c r="P416" s="141"/>
    </row>
    <row r="417" spans="1:16" x14ac:dyDescent="0.2">
      <c r="A417" s="129"/>
      <c r="B417" s="130"/>
      <c r="C417" s="140"/>
      <c r="D417" s="131"/>
      <c r="E417" s="129"/>
      <c r="F417" s="131"/>
      <c r="G417" s="130"/>
      <c r="H417" s="131"/>
      <c r="I417" s="132"/>
      <c r="J417" s="129"/>
      <c r="K417" s="140"/>
      <c r="L417" s="133"/>
      <c r="M417" s="140"/>
      <c r="N417" s="140"/>
      <c r="P417" s="141"/>
    </row>
    <row r="418" spans="1:16" x14ac:dyDescent="0.2">
      <c r="A418" s="129"/>
      <c r="B418" s="130"/>
      <c r="C418" s="140"/>
      <c r="D418" s="131"/>
      <c r="E418" s="129"/>
      <c r="F418" s="131"/>
      <c r="G418" s="130"/>
      <c r="H418" s="131"/>
      <c r="I418" s="132"/>
      <c r="J418" s="129"/>
      <c r="K418" s="140"/>
      <c r="L418" s="133"/>
      <c r="M418" s="140"/>
      <c r="N418" s="140"/>
      <c r="P418" s="141"/>
    </row>
    <row r="419" spans="1:16" x14ac:dyDescent="0.2">
      <c r="A419" s="129"/>
      <c r="B419" s="130"/>
      <c r="C419" s="140"/>
      <c r="D419" s="131"/>
      <c r="E419" s="129"/>
      <c r="F419" s="131"/>
      <c r="G419" s="130"/>
      <c r="H419" s="131"/>
      <c r="I419" s="132"/>
      <c r="J419" s="129"/>
      <c r="K419" s="140"/>
      <c r="L419" s="133"/>
      <c r="M419" s="140"/>
      <c r="N419" s="140"/>
      <c r="P419" s="141"/>
    </row>
    <row r="420" spans="1:16" x14ac:dyDescent="0.2">
      <c r="A420" s="129"/>
      <c r="B420" s="130"/>
      <c r="C420" s="140"/>
      <c r="D420" s="131"/>
      <c r="E420" s="129"/>
      <c r="F420" s="131"/>
      <c r="G420" s="130"/>
      <c r="H420" s="131"/>
      <c r="I420" s="132"/>
      <c r="J420" s="129"/>
      <c r="K420" s="140"/>
      <c r="L420" s="133"/>
      <c r="M420" s="140"/>
      <c r="N420" s="140"/>
      <c r="P420" s="141"/>
    </row>
    <row r="421" spans="1:16" x14ac:dyDescent="0.2">
      <c r="A421" s="129"/>
      <c r="B421" s="130"/>
      <c r="C421" s="140"/>
      <c r="D421" s="131"/>
      <c r="E421" s="129"/>
      <c r="F421" s="131"/>
      <c r="G421" s="130"/>
      <c r="H421" s="131"/>
      <c r="I421" s="132"/>
      <c r="J421" s="129"/>
      <c r="K421" s="140"/>
      <c r="L421" s="133"/>
      <c r="M421" s="140"/>
      <c r="N421" s="140"/>
      <c r="P421" s="141"/>
    </row>
    <row r="422" spans="1:16" x14ac:dyDescent="0.2">
      <c r="A422" s="129"/>
      <c r="B422" s="130"/>
      <c r="C422" s="140"/>
      <c r="D422" s="131"/>
      <c r="E422" s="129"/>
      <c r="F422" s="131"/>
      <c r="G422" s="130"/>
      <c r="H422" s="131"/>
      <c r="I422" s="132"/>
      <c r="J422" s="129"/>
      <c r="K422" s="140"/>
      <c r="L422" s="133"/>
      <c r="M422" s="140"/>
      <c r="N422" s="140"/>
      <c r="P422" s="141"/>
    </row>
    <row r="423" spans="1:16" x14ac:dyDescent="0.2">
      <c r="A423" s="129"/>
      <c r="B423" s="130"/>
      <c r="C423" s="140"/>
      <c r="D423" s="131"/>
      <c r="E423" s="129"/>
      <c r="F423" s="131"/>
      <c r="G423" s="130"/>
      <c r="H423" s="131"/>
      <c r="I423" s="132"/>
      <c r="J423" s="129"/>
      <c r="K423" s="140"/>
      <c r="L423" s="133"/>
      <c r="M423" s="140"/>
      <c r="N423" s="140"/>
      <c r="P423" s="141"/>
    </row>
    <row r="424" spans="1:16" x14ac:dyDescent="0.2">
      <c r="A424" s="129"/>
      <c r="B424" s="130"/>
      <c r="C424" s="140"/>
      <c r="D424" s="131"/>
      <c r="E424" s="129"/>
      <c r="F424" s="131"/>
      <c r="G424" s="130"/>
      <c r="H424" s="131"/>
      <c r="I424" s="132"/>
      <c r="J424" s="129"/>
      <c r="K424" s="140"/>
      <c r="L424" s="133"/>
      <c r="M424" s="140"/>
      <c r="N424" s="140"/>
      <c r="P424" s="141"/>
    </row>
    <row r="425" spans="1:16" x14ac:dyDescent="0.2">
      <c r="A425" s="129"/>
      <c r="B425" s="130"/>
      <c r="C425" s="140"/>
      <c r="D425" s="131"/>
      <c r="E425" s="129"/>
      <c r="F425" s="131"/>
      <c r="G425" s="130"/>
      <c r="H425" s="131"/>
      <c r="I425" s="132"/>
      <c r="J425" s="129"/>
      <c r="K425" s="140"/>
      <c r="L425" s="133"/>
      <c r="M425" s="140"/>
      <c r="N425" s="140"/>
      <c r="P425" s="141"/>
    </row>
    <row r="426" spans="1:16" x14ac:dyDescent="0.2">
      <c r="A426" s="129"/>
      <c r="B426" s="130"/>
      <c r="C426" s="140"/>
      <c r="D426" s="131"/>
      <c r="E426" s="129"/>
      <c r="F426" s="131"/>
      <c r="G426" s="130"/>
      <c r="H426" s="131"/>
      <c r="I426" s="132"/>
      <c r="J426" s="129"/>
      <c r="K426" s="140"/>
      <c r="L426" s="133"/>
      <c r="M426" s="140"/>
      <c r="N426" s="140"/>
      <c r="P426" s="141"/>
    </row>
    <row r="427" spans="1:16" x14ac:dyDescent="0.2">
      <c r="A427" s="129"/>
      <c r="B427" s="130"/>
      <c r="C427" s="140"/>
      <c r="D427" s="131"/>
      <c r="E427" s="129"/>
      <c r="F427" s="131"/>
      <c r="G427" s="130"/>
      <c r="H427" s="131"/>
      <c r="I427" s="132"/>
      <c r="J427" s="129"/>
      <c r="K427" s="140"/>
      <c r="L427" s="133"/>
      <c r="M427" s="140"/>
      <c r="N427" s="140"/>
      <c r="P427" s="141"/>
    </row>
    <row r="428" spans="1:16" x14ac:dyDescent="0.2">
      <c r="A428" s="129"/>
      <c r="B428" s="130"/>
      <c r="C428" s="140"/>
      <c r="D428" s="131"/>
      <c r="E428" s="129"/>
      <c r="F428" s="131"/>
      <c r="G428" s="130"/>
      <c r="H428" s="131"/>
      <c r="I428" s="132"/>
      <c r="J428" s="129"/>
      <c r="K428" s="140"/>
      <c r="L428" s="133"/>
      <c r="M428" s="140"/>
      <c r="N428" s="140"/>
      <c r="P428" s="141"/>
    </row>
    <row r="429" spans="1:16" x14ac:dyDescent="0.2">
      <c r="A429" s="129"/>
      <c r="B429" s="130"/>
      <c r="C429" s="140"/>
      <c r="D429" s="131"/>
      <c r="E429" s="129"/>
      <c r="F429" s="131"/>
      <c r="G429" s="130"/>
      <c r="H429" s="131"/>
      <c r="I429" s="132"/>
      <c r="J429" s="129"/>
      <c r="K429" s="140"/>
      <c r="L429" s="133"/>
      <c r="M429" s="140"/>
      <c r="N429" s="140"/>
      <c r="P429" s="141"/>
    </row>
    <row r="430" spans="1:16" x14ac:dyDescent="0.2">
      <c r="A430" s="129"/>
      <c r="B430" s="130"/>
      <c r="C430" s="140"/>
      <c r="D430" s="131"/>
      <c r="E430" s="129"/>
      <c r="F430" s="131"/>
      <c r="G430" s="130"/>
      <c r="H430" s="131"/>
      <c r="I430" s="132"/>
      <c r="J430" s="129"/>
      <c r="K430" s="140"/>
      <c r="L430" s="133"/>
      <c r="M430" s="140"/>
      <c r="N430" s="140"/>
      <c r="P430" s="141"/>
    </row>
    <row r="431" spans="1:16" x14ac:dyDescent="0.2">
      <c r="A431" s="129"/>
      <c r="B431" s="130"/>
      <c r="C431" s="140"/>
      <c r="D431" s="131"/>
      <c r="E431" s="129"/>
      <c r="F431" s="131"/>
      <c r="G431" s="130"/>
      <c r="H431" s="131"/>
      <c r="I431" s="132"/>
      <c r="J431" s="129"/>
      <c r="K431" s="140"/>
      <c r="L431" s="133"/>
      <c r="M431" s="140"/>
      <c r="N431" s="140"/>
      <c r="P431" s="141"/>
    </row>
    <row r="432" spans="1:16" x14ac:dyDescent="0.2">
      <c r="A432" s="129"/>
      <c r="B432" s="130"/>
      <c r="C432" s="140"/>
      <c r="D432" s="131"/>
      <c r="E432" s="129"/>
      <c r="F432" s="131"/>
      <c r="G432" s="130"/>
      <c r="H432" s="131"/>
      <c r="I432" s="132"/>
      <c r="J432" s="129"/>
      <c r="K432" s="140"/>
      <c r="L432" s="133"/>
      <c r="M432" s="140"/>
      <c r="N432" s="140"/>
      <c r="P432" s="141"/>
    </row>
    <row r="433" spans="1:16" x14ac:dyDescent="0.2">
      <c r="A433" s="129"/>
      <c r="B433" s="130"/>
      <c r="C433" s="140"/>
      <c r="D433" s="131"/>
      <c r="E433" s="129"/>
      <c r="F433" s="131"/>
      <c r="G433" s="130"/>
      <c r="H433" s="131"/>
      <c r="I433" s="132"/>
      <c r="J433" s="129"/>
      <c r="K433" s="140"/>
      <c r="L433" s="133"/>
      <c r="M433" s="140"/>
      <c r="N433" s="140"/>
      <c r="P433" s="141"/>
    </row>
    <row r="434" spans="1:16" x14ac:dyDescent="0.2">
      <c r="A434" s="129"/>
      <c r="B434" s="130"/>
      <c r="C434" s="140"/>
      <c r="D434" s="131"/>
      <c r="E434" s="129"/>
      <c r="F434" s="131"/>
      <c r="G434" s="130"/>
      <c r="H434" s="131"/>
      <c r="I434" s="132"/>
      <c r="J434" s="129"/>
      <c r="K434" s="140"/>
      <c r="L434" s="133"/>
      <c r="M434" s="140"/>
      <c r="N434" s="140"/>
      <c r="P434" s="141"/>
    </row>
    <row r="435" spans="1:16" x14ac:dyDescent="0.2">
      <c r="A435" s="129"/>
      <c r="B435" s="130"/>
      <c r="C435" s="140"/>
      <c r="D435" s="131"/>
      <c r="E435" s="129"/>
      <c r="F435" s="131"/>
      <c r="G435" s="130"/>
      <c r="H435" s="131"/>
      <c r="I435" s="132"/>
      <c r="J435" s="129"/>
      <c r="K435" s="140"/>
      <c r="L435" s="133"/>
      <c r="M435" s="140"/>
      <c r="N435" s="140"/>
      <c r="P435" s="141"/>
    </row>
    <row r="436" spans="1:16" x14ac:dyDescent="0.2">
      <c r="A436" s="129"/>
      <c r="B436" s="130"/>
      <c r="C436" s="140"/>
      <c r="D436" s="131"/>
      <c r="E436" s="129"/>
      <c r="F436" s="131"/>
      <c r="G436" s="130"/>
      <c r="H436" s="131"/>
      <c r="I436" s="132"/>
      <c r="J436" s="129"/>
      <c r="K436" s="140"/>
      <c r="L436" s="133"/>
      <c r="M436" s="140"/>
      <c r="N436" s="140"/>
      <c r="P436" s="141"/>
    </row>
    <row r="437" spans="1:16" x14ac:dyDescent="0.2">
      <c r="A437" s="129"/>
      <c r="B437" s="130"/>
      <c r="C437" s="140"/>
      <c r="D437" s="131"/>
      <c r="E437" s="129"/>
      <c r="F437" s="131"/>
      <c r="G437" s="130"/>
      <c r="H437" s="131"/>
      <c r="I437" s="132"/>
      <c r="J437" s="129"/>
      <c r="K437" s="140"/>
      <c r="L437" s="133"/>
      <c r="M437" s="140"/>
      <c r="N437" s="140"/>
      <c r="P437" s="141"/>
    </row>
    <row r="438" spans="1:16" x14ac:dyDescent="0.2">
      <c r="A438" s="129"/>
      <c r="B438" s="130"/>
      <c r="C438" s="140"/>
      <c r="D438" s="131"/>
      <c r="E438" s="129"/>
      <c r="F438" s="131"/>
      <c r="G438" s="130"/>
      <c r="H438" s="131"/>
      <c r="I438" s="132"/>
      <c r="J438" s="129"/>
      <c r="K438" s="140"/>
      <c r="L438" s="133"/>
      <c r="M438" s="140"/>
      <c r="N438" s="140"/>
      <c r="P438" s="141"/>
    </row>
    <row r="439" spans="1:16" x14ac:dyDescent="0.2">
      <c r="A439" s="129"/>
      <c r="B439" s="130"/>
      <c r="C439" s="140"/>
      <c r="D439" s="131"/>
      <c r="E439" s="129"/>
      <c r="F439" s="131"/>
      <c r="G439" s="130"/>
      <c r="H439" s="131"/>
      <c r="I439" s="132"/>
      <c r="J439" s="129"/>
      <c r="K439" s="140"/>
      <c r="L439" s="133"/>
      <c r="M439" s="140"/>
      <c r="N439" s="140"/>
      <c r="P439" s="141"/>
    </row>
    <row r="440" spans="1:16" x14ac:dyDescent="0.2">
      <c r="A440" s="129"/>
      <c r="B440" s="130"/>
      <c r="C440" s="140"/>
      <c r="D440" s="131"/>
      <c r="E440" s="129"/>
      <c r="F440" s="131"/>
      <c r="G440" s="130"/>
      <c r="H440" s="131"/>
      <c r="I440" s="132"/>
      <c r="J440" s="129"/>
      <c r="K440" s="140"/>
      <c r="L440" s="133"/>
      <c r="M440" s="140"/>
      <c r="N440" s="140"/>
      <c r="P440" s="141"/>
    </row>
    <row r="441" spans="1:16" x14ac:dyDescent="0.2">
      <c r="A441" s="129"/>
      <c r="B441" s="130"/>
      <c r="C441" s="140"/>
      <c r="D441" s="131"/>
      <c r="E441" s="129"/>
      <c r="F441" s="131"/>
      <c r="G441" s="130"/>
      <c r="H441" s="131"/>
      <c r="I441" s="132"/>
      <c r="J441" s="129"/>
      <c r="K441" s="140"/>
      <c r="L441" s="133"/>
      <c r="M441" s="140"/>
      <c r="N441" s="140"/>
      <c r="P441" s="141"/>
    </row>
    <row r="442" spans="1:16" x14ac:dyDescent="0.2">
      <c r="A442" s="129"/>
      <c r="B442" s="130"/>
      <c r="C442" s="140"/>
      <c r="D442" s="131"/>
      <c r="E442" s="129"/>
      <c r="F442" s="131"/>
      <c r="G442" s="130"/>
      <c r="H442" s="131"/>
      <c r="I442" s="132"/>
      <c r="J442" s="129"/>
      <c r="K442" s="140"/>
      <c r="L442" s="133"/>
      <c r="M442" s="140"/>
      <c r="N442" s="140"/>
      <c r="P442" s="141"/>
    </row>
    <row r="443" spans="1:16" x14ac:dyDescent="0.2">
      <c r="A443" s="129"/>
      <c r="B443" s="130"/>
      <c r="C443" s="140"/>
      <c r="D443" s="131"/>
      <c r="E443" s="129"/>
      <c r="F443" s="131"/>
      <c r="G443" s="130"/>
      <c r="H443" s="131"/>
      <c r="I443" s="132"/>
      <c r="J443" s="129"/>
      <c r="K443" s="140"/>
      <c r="L443" s="133"/>
      <c r="M443" s="140"/>
      <c r="N443" s="140"/>
      <c r="P443" s="141"/>
    </row>
    <row r="444" spans="1:16" x14ac:dyDescent="0.2">
      <c r="A444" s="129"/>
      <c r="B444" s="130"/>
      <c r="C444" s="140"/>
      <c r="D444" s="131"/>
      <c r="E444" s="129"/>
      <c r="F444" s="131"/>
      <c r="G444" s="130"/>
      <c r="H444" s="131"/>
      <c r="I444" s="132"/>
      <c r="J444" s="129"/>
      <c r="K444" s="140"/>
      <c r="L444" s="133"/>
      <c r="M444" s="140"/>
      <c r="N444" s="140"/>
      <c r="P444" s="141"/>
    </row>
    <row r="445" spans="1:16" x14ac:dyDescent="0.2">
      <c r="A445" s="129"/>
      <c r="B445" s="130"/>
      <c r="C445" s="140"/>
      <c r="D445" s="131"/>
      <c r="E445" s="129"/>
      <c r="F445" s="131"/>
      <c r="G445" s="130"/>
      <c r="H445" s="131"/>
      <c r="I445" s="132"/>
      <c r="J445" s="129"/>
      <c r="K445" s="140"/>
      <c r="L445" s="133"/>
      <c r="M445" s="140"/>
      <c r="N445" s="140"/>
      <c r="P445" s="141"/>
    </row>
    <row r="446" spans="1:16" x14ac:dyDescent="0.2">
      <c r="A446" s="129"/>
      <c r="B446" s="130"/>
      <c r="C446" s="140"/>
      <c r="D446" s="131"/>
      <c r="E446" s="129"/>
      <c r="F446" s="131"/>
      <c r="G446" s="130"/>
      <c r="H446" s="131"/>
      <c r="I446" s="132"/>
      <c r="J446" s="129"/>
      <c r="K446" s="140"/>
      <c r="L446" s="133"/>
      <c r="M446" s="140"/>
      <c r="N446" s="140"/>
      <c r="P446" s="141"/>
    </row>
    <row r="447" spans="1:16" x14ac:dyDescent="0.2">
      <c r="A447" s="129"/>
      <c r="B447" s="130"/>
      <c r="C447" s="140"/>
      <c r="D447" s="131"/>
      <c r="E447" s="129"/>
      <c r="F447" s="131"/>
      <c r="G447" s="130"/>
      <c r="H447" s="131"/>
      <c r="I447" s="132"/>
      <c r="J447" s="129"/>
      <c r="K447" s="140"/>
      <c r="L447" s="133"/>
      <c r="M447" s="140"/>
      <c r="N447" s="140"/>
      <c r="P447" s="141"/>
    </row>
    <row r="448" spans="1:16" x14ac:dyDescent="0.2">
      <c r="A448" s="129"/>
      <c r="B448" s="130"/>
      <c r="C448" s="140"/>
      <c r="D448" s="131"/>
      <c r="E448" s="129"/>
      <c r="F448" s="131"/>
      <c r="G448" s="130"/>
      <c r="H448" s="131"/>
      <c r="I448" s="132"/>
      <c r="J448" s="129"/>
      <c r="K448" s="140"/>
      <c r="L448" s="133"/>
      <c r="M448" s="140"/>
      <c r="N448" s="140"/>
      <c r="P448" s="141"/>
    </row>
    <row r="449" spans="1:16" x14ac:dyDescent="0.2">
      <c r="A449" s="129"/>
      <c r="B449" s="130"/>
      <c r="C449" s="140"/>
      <c r="D449" s="131"/>
      <c r="E449" s="129"/>
      <c r="F449" s="131"/>
      <c r="G449" s="130"/>
      <c r="H449" s="131"/>
      <c r="I449" s="132"/>
      <c r="J449" s="129"/>
      <c r="K449" s="140"/>
      <c r="L449" s="133"/>
      <c r="M449" s="140"/>
      <c r="N449" s="140"/>
      <c r="P449" s="141"/>
    </row>
    <row r="450" spans="1:16" x14ac:dyDescent="0.2">
      <c r="A450" s="129"/>
      <c r="B450" s="130"/>
      <c r="C450" s="140"/>
      <c r="D450" s="131"/>
      <c r="E450" s="129"/>
      <c r="F450" s="131"/>
      <c r="G450" s="130"/>
      <c r="H450" s="131"/>
      <c r="I450" s="132"/>
      <c r="J450" s="129"/>
      <c r="K450" s="140"/>
      <c r="L450" s="133"/>
      <c r="M450" s="140"/>
      <c r="N450" s="140"/>
      <c r="P450" s="141"/>
    </row>
    <row r="451" spans="1:16" x14ac:dyDescent="0.2">
      <c r="A451" s="129"/>
      <c r="B451" s="130"/>
      <c r="C451" s="140"/>
      <c r="D451" s="131"/>
      <c r="E451" s="129"/>
      <c r="F451" s="131"/>
      <c r="G451" s="130"/>
      <c r="H451" s="131"/>
      <c r="I451" s="132"/>
      <c r="J451" s="129"/>
      <c r="K451" s="140"/>
      <c r="L451" s="133"/>
      <c r="M451" s="140"/>
      <c r="N451" s="140"/>
      <c r="P451" s="141"/>
    </row>
    <row r="452" spans="1:16" x14ac:dyDescent="0.2">
      <c r="A452" s="129"/>
      <c r="B452" s="130"/>
      <c r="C452" s="140"/>
      <c r="D452" s="131"/>
      <c r="E452" s="129"/>
      <c r="F452" s="131"/>
      <c r="G452" s="130"/>
      <c r="H452" s="131"/>
      <c r="I452" s="132"/>
      <c r="J452" s="129"/>
      <c r="K452" s="140"/>
      <c r="L452" s="133"/>
      <c r="M452" s="140"/>
      <c r="N452" s="140"/>
      <c r="P452" s="141"/>
    </row>
    <row r="453" spans="1:16" x14ac:dyDescent="0.2">
      <c r="A453" s="129"/>
      <c r="B453" s="130"/>
      <c r="C453" s="140"/>
      <c r="D453" s="131"/>
      <c r="E453" s="129"/>
      <c r="F453" s="131"/>
      <c r="G453" s="130"/>
      <c r="H453" s="131"/>
      <c r="I453" s="132"/>
      <c r="J453" s="129"/>
      <c r="K453" s="140"/>
      <c r="L453" s="133"/>
      <c r="M453" s="140"/>
      <c r="N453" s="140"/>
      <c r="P453" s="141"/>
    </row>
    <row r="454" spans="1:16" x14ac:dyDescent="0.2">
      <c r="A454" s="129"/>
      <c r="B454" s="130"/>
      <c r="C454" s="140"/>
      <c r="D454" s="131"/>
      <c r="E454" s="129"/>
      <c r="F454" s="131"/>
      <c r="G454" s="130"/>
      <c r="H454" s="131"/>
      <c r="I454" s="132"/>
      <c r="J454" s="129"/>
      <c r="K454" s="140"/>
      <c r="L454" s="133"/>
      <c r="M454" s="140"/>
      <c r="N454" s="140"/>
      <c r="P454" s="141"/>
    </row>
    <row r="455" spans="1:16" x14ac:dyDescent="0.2">
      <c r="A455" s="129"/>
      <c r="B455" s="130"/>
      <c r="C455" s="140"/>
      <c r="D455" s="131"/>
      <c r="E455" s="129"/>
      <c r="F455" s="131"/>
      <c r="G455" s="130"/>
      <c r="H455" s="131"/>
      <c r="I455" s="132"/>
      <c r="J455" s="129"/>
      <c r="K455" s="140"/>
      <c r="L455" s="133"/>
      <c r="M455" s="140"/>
      <c r="N455" s="140"/>
      <c r="P455" s="141"/>
    </row>
    <row r="456" spans="1:16" x14ac:dyDescent="0.2">
      <c r="A456" s="129"/>
      <c r="B456" s="130"/>
      <c r="C456" s="140"/>
      <c r="D456" s="131"/>
      <c r="E456" s="129"/>
      <c r="F456" s="131"/>
      <c r="G456" s="130"/>
      <c r="H456" s="131"/>
      <c r="I456" s="132"/>
      <c r="J456" s="129"/>
      <c r="K456" s="140"/>
      <c r="L456" s="133"/>
      <c r="M456" s="140"/>
      <c r="N456" s="140"/>
      <c r="P456" s="141"/>
    </row>
    <row r="457" spans="1:16" x14ac:dyDescent="0.2">
      <c r="A457" s="129"/>
      <c r="B457" s="130"/>
      <c r="C457" s="140"/>
      <c r="D457" s="131"/>
      <c r="E457" s="129"/>
      <c r="F457" s="131"/>
      <c r="G457" s="130"/>
      <c r="H457" s="131"/>
      <c r="I457" s="132"/>
      <c r="J457" s="129"/>
      <c r="K457" s="140"/>
      <c r="L457" s="133"/>
      <c r="M457" s="140"/>
      <c r="N457" s="140"/>
      <c r="P457" s="141"/>
    </row>
    <row r="458" spans="1:16" x14ac:dyDescent="0.2">
      <c r="A458" s="129"/>
      <c r="B458" s="130"/>
      <c r="C458" s="140"/>
      <c r="D458" s="131"/>
      <c r="E458" s="129"/>
      <c r="F458" s="131"/>
      <c r="G458" s="130"/>
      <c r="H458" s="131"/>
      <c r="I458" s="132"/>
      <c r="J458" s="129"/>
      <c r="K458" s="140"/>
      <c r="L458" s="133"/>
      <c r="M458" s="140"/>
      <c r="N458" s="140"/>
      <c r="P458" s="141"/>
    </row>
    <row r="459" spans="1:16" x14ac:dyDescent="0.2">
      <c r="A459" s="129"/>
      <c r="B459" s="130"/>
      <c r="C459" s="140"/>
      <c r="D459" s="131"/>
      <c r="E459" s="129"/>
      <c r="F459" s="131"/>
      <c r="G459" s="130"/>
      <c r="H459" s="131"/>
      <c r="I459" s="132"/>
      <c r="J459" s="129"/>
      <c r="K459" s="140"/>
      <c r="L459" s="133"/>
      <c r="M459" s="140"/>
      <c r="N459" s="140"/>
      <c r="P459" s="141"/>
    </row>
    <row r="460" spans="1:16" x14ac:dyDescent="0.2">
      <c r="A460" s="129"/>
      <c r="B460" s="130"/>
      <c r="C460" s="140"/>
      <c r="D460" s="131"/>
      <c r="E460" s="129"/>
      <c r="F460" s="131"/>
      <c r="G460" s="130"/>
      <c r="H460" s="131"/>
      <c r="I460" s="132"/>
      <c r="J460" s="129"/>
      <c r="K460" s="140"/>
      <c r="L460" s="133"/>
      <c r="M460" s="140"/>
      <c r="N460" s="140"/>
      <c r="P460" s="141"/>
    </row>
    <row r="461" spans="1:16" x14ac:dyDescent="0.2">
      <c r="A461" s="129"/>
      <c r="B461" s="130"/>
      <c r="C461" s="140"/>
      <c r="D461" s="131"/>
      <c r="E461" s="129"/>
      <c r="F461" s="131"/>
      <c r="G461" s="130"/>
      <c r="H461" s="131"/>
      <c r="I461" s="132"/>
      <c r="J461" s="129"/>
      <c r="K461" s="140"/>
      <c r="L461" s="133"/>
      <c r="M461" s="140"/>
      <c r="N461" s="140"/>
      <c r="P461" s="141"/>
    </row>
    <row r="462" spans="1:16" x14ac:dyDescent="0.2">
      <c r="A462" s="129"/>
      <c r="B462" s="130"/>
      <c r="C462" s="140"/>
      <c r="D462" s="131"/>
      <c r="E462" s="129"/>
      <c r="F462" s="131"/>
      <c r="G462" s="130"/>
      <c r="H462" s="131"/>
      <c r="I462" s="132"/>
      <c r="J462" s="129"/>
      <c r="K462" s="140"/>
      <c r="L462" s="133"/>
      <c r="M462" s="140"/>
      <c r="N462" s="140"/>
      <c r="P462" s="141"/>
    </row>
    <row r="463" spans="1:16" x14ac:dyDescent="0.2">
      <c r="A463" s="129"/>
      <c r="B463" s="130"/>
      <c r="C463" s="140"/>
      <c r="D463" s="131"/>
      <c r="E463" s="129"/>
      <c r="F463" s="131"/>
      <c r="G463" s="130"/>
      <c r="H463" s="131"/>
      <c r="I463" s="132"/>
      <c r="J463" s="129"/>
      <c r="K463" s="140"/>
      <c r="L463" s="133"/>
      <c r="M463" s="140"/>
      <c r="N463" s="140"/>
      <c r="P463" s="141"/>
    </row>
    <row r="464" spans="1:16" x14ac:dyDescent="0.2">
      <c r="A464" s="129"/>
      <c r="B464" s="130"/>
      <c r="C464" s="140"/>
      <c r="D464" s="131"/>
      <c r="E464" s="129"/>
      <c r="F464" s="131"/>
      <c r="G464" s="130"/>
      <c r="H464" s="131"/>
      <c r="I464" s="132"/>
      <c r="J464" s="129"/>
      <c r="K464" s="140"/>
      <c r="L464" s="133"/>
      <c r="M464" s="140"/>
      <c r="N464" s="140"/>
      <c r="P464" s="141"/>
    </row>
    <row r="465" spans="1:16" x14ac:dyDescent="0.2">
      <c r="A465" s="129"/>
      <c r="B465" s="130"/>
      <c r="C465" s="140"/>
      <c r="D465" s="131"/>
      <c r="E465" s="129"/>
      <c r="F465" s="131"/>
      <c r="G465" s="130"/>
      <c r="H465" s="131"/>
      <c r="I465" s="132"/>
      <c r="J465" s="129"/>
      <c r="K465" s="140"/>
      <c r="L465" s="133"/>
      <c r="M465" s="140"/>
      <c r="N465" s="140"/>
      <c r="P465" s="141"/>
    </row>
    <row r="466" spans="1:16" x14ac:dyDescent="0.2">
      <c r="A466" s="129"/>
      <c r="B466" s="130"/>
      <c r="C466" s="140"/>
      <c r="D466" s="131"/>
      <c r="E466" s="129"/>
      <c r="F466" s="131"/>
      <c r="G466" s="130"/>
      <c r="H466" s="131"/>
      <c r="I466" s="132"/>
      <c r="J466" s="129"/>
      <c r="K466" s="140"/>
      <c r="L466" s="133"/>
      <c r="M466" s="140"/>
      <c r="N466" s="140"/>
      <c r="P466" s="141"/>
    </row>
    <row r="467" spans="1:16" x14ac:dyDescent="0.2">
      <c r="A467" s="129"/>
      <c r="B467" s="130"/>
      <c r="C467" s="140"/>
      <c r="D467" s="131"/>
      <c r="E467" s="129"/>
      <c r="F467" s="131"/>
      <c r="G467" s="130"/>
      <c r="H467" s="131"/>
      <c r="I467" s="132"/>
      <c r="J467" s="129"/>
      <c r="K467" s="140"/>
      <c r="L467" s="133"/>
      <c r="M467" s="140"/>
      <c r="N467" s="140"/>
      <c r="P467" s="141"/>
    </row>
    <row r="468" spans="1:16" x14ac:dyDescent="0.2">
      <c r="A468" s="129"/>
      <c r="B468" s="130"/>
      <c r="C468" s="140"/>
      <c r="D468" s="131"/>
      <c r="E468" s="129"/>
      <c r="F468" s="131"/>
      <c r="G468" s="130"/>
      <c r="H468" s="131"/>
      <c r="I468" s="132"/>
      <c r="J468" s="129"/>
      <c r="K468" s="140"/>
      <c r="L468" s="133"/>
      <c r="M468" s="140"/>
      <c r="N468" s="140"/>
      <c r="P468" s="141"/>
    </row>
    <row r="469" spans="1:16" x14ac:dyDescent="0.2">
      <c r="A469" s="129"/>
      <c r="B469" s="130"/>
      <c r="C469" s="140"/>
      <c r="D469" s="131"/>
      <c r="E469" s="129"/>
      <c r="F469" s="131"/>
      <c r="G469" s="130"/>
      <c r="H469" s="131"/>
      <c r="I469" s="132"/>
      <c r="J469" s="129"/>
      <c r="K469" s="140"/>
      <c r="L469" s="133"/>
      <c r="M469" s="140"/>
      <c r="N469" s="140"/>
      <c r="P469" s="141"/>
    </row>
    <row r="470" spans="1:16" x14ac:dyDescent="0.2">
      <c r="A470" s="129"/>
      <c r="B470" s="130"/>
      <c r="C470" s="140"/>
      <c r="D470" s="131"/>
      <c r="E470" s="129"/>
      <c r="F470" s="131"/>
      <c r="G470" s="130"/>
      <c r="H470" s="131"/>
      <c r="I470" s="132"/>
      <c r="J470" s="129"/>
      <c r="K470" s="140"/>
      <c r="L470" s="133"/>
      <c r="M470" s="140"/>
      <c r="N470" s="140"/>
      <c r="P470" s="141"/>
    </row>
    <row r="471" spans="1:16" x14ac:dyDescent="0.2">
      <c r="A471" s="129"/>
      <c r="B471" s="130"/>
      <c r="C471" s="140"/>
      <c r="D471" s="131"/>
      <c r="E471" s="129"/>
      <c r="F471" s="131"/>
      <c r="G471" s="130"/>
      <c r="H471" s="131"/>
      <c r="I471" s="132"/>
      <c r="J471" s="129"/>
      <c r="K471" s="140"/>
      <c r="L471" s="133"/>
      <c r="M471" s="140"/>
      <c r="N471" s="140"/>
      <c r="P471" s="141"/>
    </row>
    <row r="472" spans="1:16" x14ac:dyDescent="0.2">
      <c r="A472" s="129"/>
      <c r="B472" s="130"/>
      <c r="C472" s="140"/>
      <c r="D472" s="131"/>
      <c r="E472" s="129"/>
      <c r="F472" s="131"/>
      <c r="G472" s="130"/>
      <c r="H472" s="131"/>
      <c r="I472" s="132"/>
      <c r="J472" s="129"/>
      <c r="K472" s="140"/>
      <c r="L472" s="133"/>
      <c r="M472" s="140"/>
      <c r="N472" s="140"/>
      <c r="P472" s="141"/>
    </row>
    <row r="473" spans="1:16" x14ac:dyDescent="0.2">
      <c r="A473" s="129"/>
      <c r="B473" s="130"/>
      <c r="C473" s="140"/>
      <c r="D473" s="131"/>
      <c r="E473" s="129"/>
      <c r="F473" s="131"/>
      <c r="G473" s="130"/>
      <c r="H473" s="131"/>
      <c r="I473" s="132"/>
      <c r="J473" s="129"/>
      <c r="K473" s="140"/>
      <c r="L473" s="133"/>
      <c r="M473" s="140"/>
      <c r="N473" s="140"/>
      <c r="P473" s="141"/>
    </row>
    <row r="474" spans="1:16" x14ac:dyDescent="0.2">
      <c r="A474" s="129"/>
      <c r="B474" s="130"/>
      <c r="C474" s="140"/>
      <c r="D474" s="131"/>
      <c r="E474" s="129"/>
      <c r="F474" s="131"/>
      <c r="G474" s="130"/>
      <c r="H474" s="131"/>
      <c r="I474" s="132"/>
      <c r="J474" s="129"/>
      <c r="K474" s="140"/>
      <c r="L474" s="133"/>
      <c r="M474" s="140"/>
      <c r="N474" s="140"/>
      <c r="P474" s="141"/>
    </row>
    <row r="475" spans="1:16" x14ac:dyDescent="0.2">
      <c r="A475" s="129"/>
      <c r="B475" s="130"/>
      <c r="C475" s="140"/>
      <c r="D475" s="131"/>
      <c r="E475" s="129"/>
      <c r="F475" s="131"/>
      <c r="G475" s="130"/>
      <c r="H475" s="131"/>
      <c r="I475" s="132"/>
      <c r="J475" s="129"/>
      <c r="K475" s="140"/>
      <c r="L475" s="133"/>
      <c r="M475" s="140"/>
      <c r="N475" s="140"/>
      <c r="P475" s="141"/>
    </row>
    <row r="476" spans="1:16" x14ac:dyDescent="0.2">
      <c r="A476" s="129"/>
      <c r="B476" s="130"/>
      <c r="C476" s="140"/>
      <c r="D476" s="131"/>
      <c r="E476" s="129"/>
      <c r="F476" s="131"/>
      <c r="G476" s="130"/>
      <c r="H476" s="131"/>
      <c r="I476" s="132"/>
      <c r="J476" s="129"/>
      <c r="K476" s="140"/>
      <c r="L476" s="133"/>
      <c r="M476" s="140"/>
      <c r="N476" s="140"/>
      <c r="P476" s="141"/>
    </row>
    <row r="477" spans="1:16" x14ac:dyDescent="0.2">
      <c r="A477" s="129"/>
      <c r="B477" s="130"/>
      <c r="C477" s="140"/>
      <c r="D477" s="131"/>
      <c r="E477" s="129"/>
      <c r="F477" s="131"/>
      <c r="G477" s="130"/>
      <c r="H477" s="131"/>
      <c r="I477" s="132"/>
      <c r="J477" s="129"/>
      <c r="K477" s="140"/>
      <c r="L477" s="133"/>
      <c r="M477" s="140"/>
      <c r="N477" s="140"/>
      <c r="P477" s="141"/>
    </row>
    <row r="478" spans="1:16" x14ac:dyDescent="0.2">
      <c r="A478" s="129"/>
      <c r="B478" s="130"/>
      <c r="C478" s="140"/>
      <c r="D478" s="131"/>
      <c r="E478" s="129"/>
      <c r="F478" s="131"/>
      <c r="G478" s="130"/>
      <c r="H478" s="131"/>
      <c r="I478" s="132"/>
      <c r="J478" s="129"/>
      <c r="K478" s="140"/>
      <c r="L478" s="133"/>
      <c r="M478" s="140"/>
      <c r="N478" s="140"/>
      <c r="P478" s="141"/>
    </row>
    <row r="479" spans="1:16" x14ac:dyDescent="0.2">
      <c r="A479" s="129"/>
      <c r="B479" s="130"/>
      <c r="C479" s="140"/>
      <c r="D479" s="131"/>
      <c r="E479" s="129"/>
      <c r="F479" s="131"/>
      <c r="G479" s="130"/>
      <c r="H479" s="131"/>
      <c r="I479" s="132"/>
      <c r="J479" s="129"/>
      <c r="K479" s="140"/>
      <c r="L479" s="133"/>
      <c r="M479" s="140"/>
      <c r="N479" s="140"/>
      <c r="P479" s="141"/>
    </row>
    <row r="480" spans="1:16" x14ac:dyDescent="0.2">
      <c r="A480" s="129"/>
      <c r="B480" s="130"/>
      <c r="C480" s="140"/>
      <c r="D480" s="131"/>
      <c r="E480" s="129"/>
      <c r="F480" s="131"/>
      <c r="G480" s="130"/>
      <c r="H480" s="131"/>
      <c r="I480" s="132"/>
      <c r="J480" s="129"/>
      <c r="K480" s="140"/>
      <c r="L480" s="133"/>
      <c r="M480" s="140"/>
      <c r="N480" s="140"/>
      <c r="P480" s="141"/>
    </row>
    <row r="481" spans="1:16" x14ac:dyDescent="0.2">
      <c r="A481" s="129"/>
      <c r="B481" s="130"/>
      <c r="C481" s="140"/>
      <c r="D481" s="131"/>
      <c r="E481" s="129"/>
      <c r="F481" s="131"/>
      <c r="G481" s="130"/>
      <c r="H481" s="131"/>
      <c r="I481" s="132"/>
      <c r="J481" s="129"/>
      <c r="K481" s="140"/>
      <c r="L481" s="133"/>
      <c r="M481" s="140"/>
      <c r="N481" s="140"/>
      <c r="P481" s="141"/>
    </row>
    <row r="482" spans="1:16" x14ac:dyDescent="0.2">
      <c r="A482" s="129"/>
      <c r="B482" s="130"/>
      <c r="C482" s="140"/>
      <c r="D482" s="131"/>
      <c r="E482" s="129"/>
      <c r="F482" s="131"/>
      <c r="G482" s="130"/>
      <c r="H482" s="131"/>
      <c r="I482" s="132"/>
      <c r="J482" s="129"/>
      <c r="K482" s="140"/>
      <c r="L482" s="133"/>
      <c r="M482" s="140"/>
      <c r="N482" s="140"/>
      <c r="P482" s="141"/>
    </row>
    <row r="483" spans="1:16" x14ac:dyDescent="0.2">
      <c r="A483" s="129"/>
      <c r="B483" s="130"/>
      <c r="C483" s="140"/>
      <c r="D483" s="131"/>
      <c r="E483" s="129"/>
      <c r="F483" s="131"/>
      <c r="G483" s="130"/>
      <c r="H483" s="131"/>
      <c r="I483" s="132"/>
      <c r="J483" s="129"/>
      <c r="K483" s="140"/>
      <c r="L483" s="133"/>
      <c r="M483" s="140"/>
      <c r="N483" s="140"/>
      <c r="P483" s="141"/>
    </row>
    <row r="484" spans="1:16" x14ac:dyDescent="0.2">
      <c r="A484" s="129"/>
      <c r="B484" s="130"/>
      <c r="C484" s="140"/>
      <c r="D484" s="131"/>
      <c r="E484" s="129"/>
      <c r="F484" s="131"/>
      <c r="G484" s="130"/>
      <c r="H484" s="131"/>
      <c r="I484" s="132"/>
      <c r="J484" s="129"/>
      <c r="K484" s="140"/>
      <c r="L484" s="133"/>
      <c r="M484" s="140"/>
      <c r="N484" s="140"/>
      <c r="P484" s="141"/>
    </row>
    <row r="485" spans="1:16" x14ac:dyDescent="0.2">
      <c r="A485" s="129"/>
      <c r="B485" s="130"/>
      <c r="C485" s="140"/>
      <c r="D485" s="131"/>
      <c r="E485" s="129"/>
      <c r="F485" s="131"/>
      <c r="G485" s="130"/>
      <c r="H485" s="131"/>
      <c r="I485" s="132"/>
      <c r="J485" s="129"/>
      <c r="K485" s="140"/>
      <c r="L485" s="133"/>
      <c r="M485" s="140"/>
      <c r="N485" s="140"/>
      <c r="P485" s="141"/>
    </row>
    <row r="486" spans="1:16" x14ac:dyDescent="0.2">
      <c r="A486" s="129"/>
      <c r="B486" s="130"/>
      <c r="C486" s="140"/>
      <c r="D486" s="131"/>
      <c r="E486" s="129"/>
      <c r="F486" s="131"/>
      <c r="G486" s="130"/>
      <c r="H486" s="131"/>
      <c r="I486" s="132"/>
      <c r="J486" s="129"/>
      <c r="K486" s="140"/>
      <c r="L486" s="133"/>
      <c r="M486" s="140"/>
      <c r="N486" s="140"/>
      <c r="P486" s="141"/>
    </row>
    <row r="487" spans="1:16" x14ac:dyDescent="0.2">
      <c r="A487" s="129"/>
      <c r="B487" s="130"/>
      <c r="C487" s="140"/>
      <c r="D487" s="131"/>
      <c r="E487" s="129"/>
      <c r="F487" s="131"/>
      <c r="G487" s="130"/>
      <c r="H487" s="131"/>
      <c r="I487" s="132"/>
      <c r="J487" s="129"/>
      <c r="K487" s="140"/>
      <c r="L487" s="133"/>
      <c r="M487" s="140"/>
      <c r="N487" s="140"/>
      <c r="P487" s="141"/>
    </row>
    <row r="488" spans="1:16" x14ac:dyDescent="0.2">
      <c r="A488" s="129"/>
      <c r="B488" s="130"/>
      <c r="C488" s="140"/>
      <c r="D488" s="131"/>
      <c r="E488" s="129"/>
      <c r="F488" s="131"/>
      <c r="G488" s="130"/>
      <c r="H488" s="131"/>
      <c r="I488" s="132"/>
      <c r="J488" s="129"/>
      <c r="K488" s="140"/>
      <c r="L488" s="133"/>
      <c r="M488" s="140"/>
      <c r="N488" s="140"/>
      <c r="P488" s="141"/>
    </row>
    <row r="489" spans="1:16" x14ac:dyDescent="0.2">
      <c r="A489" s="129"/>
      <c r="B489" s="130"/>
      <c r="C489" s="140"/>
      <c r="D489" s="131"/>
      <c r="E489" s="129"/>
      <c r="F489" s="131"/>
      <c r="G489" s="130"/>
      <c r="H489" s="131"/>
      <c r="I489" s="132"/>
      <c r="J489" s="129"/>
      <c r="K489" s="140"/>
      <c r="L489" s="133"/>
      <c r="M489" s="140"/>
      <c r="N489" s="140"/>
      <c r="P489" s="141"/>
    </row>
    <row r="490" spans="1:16" x14ac:dyDescent="0.2">
      <c r="A490" s="129"/>
      <c r="B490" s="130"/>
      <c r="C490" s="140"/>
      <c r="D490" s="131"/>
      <c r="E490" s="129"/>
      <c r="F490" s="131"/>
      <c r="G490" s="130"/>
      <c r="H490" s="131"/>
      <c r="I490" s="132"/>
      <c r="J490" s="129"/>
      <c r="K490" s="140"/>
      <c r="L490" s="133"/>
      <c r="M490" s="140"/>
      <c r="N490" s="140"/>
      <c r="P490" s="141"/>
    </row>
    <row r="491" spans="1:16" x14ac:dyDescent="0.2">
      <c r="A491" s="129"/>
      <c r="B491" s="130"/>
      <c r="C491" s="140"/>
      <c r="D491" s="131"/>
      <c r="E491" s="129"/>
      <c r="F491" s="131"/>
      <c r="G491" s="130"/>
      <c r="H491" s="131"/>
      <c r="I491" s="132"/>
      <c r="J491" s="129"/>
      <c r="K491" s="140"/>
      <c r="L491" s="133"/>
      <c r="M491" s="140"/>
      <c r="N491" s="140"/>
      <c r="P491" s="141"/>
    </row>
    <row r="492" spans="1:16" x14ac:dyDescent="0.2">
      <c r="A492" s="129"/>
      <c r="B492" s="130"/>
      <c r="C492" s="140"/>
      <c r="D492" s="131"/>
      <c r="E492" s="129"/>
      <c r="F492" s="131"/>
      <c r="G492" s="130"/>
      <c r="H492" s="131"/>
      <c r="I492" s="132"/>
      <c r="J492" s="129"/>
      <c r="K492" s="140"/>
      <c r="L492" s="133"/>
      <c r="M492" s="140"/>
      <c r="N492" s="140"/>
      <c r="P492" s="141"/>
    </row>
    <row r="493" spans="1:16" x14ac:dyDescent="0.2">
      <c r="A493" s="129"/>
      <c r="B493" s="130"/>
      <c r="C493" s="140"/>
      <c r="D493" s="131"/>
      <c r="E493" s="129"/>
      <c r="F493" s="131"/>
      <c r="G493" s="130"/>
      <c r="H493" s="131"/>
      <c r="I493" s="132"/>
      <c r="J493" s="129"/>
      <c r="K493" s="140"/>
      <c r="L493" s="133"/>
      <c r="M493" s="140"/>
      <c r="N493" s="140"/>
      <c r="P493" s="141"/>
    </row>
    <row r="494" spans="1:16" x14ac:dyDescent="0.2">
      <c r="A494" s="129"/>
      <c r="B494" s="130"/>
      <c r="C494" s="140"/>
      <c r="D494" s="131"/>
      <c r="E494" s="129"/>
      <c r="F494" s="131"/>
      <c r="G494" s="130"/>
      <c r="H494" s="131"/>
      <c r="I494" s="132"/>
      <c r="J494" s="129"/>
      <c r="K494" s="140"/>
      <c r="L494" s="133"/>
      <c r="M494" s="140"/>
      <c r="N494" s="140"/>
      <c r="P494" s="141"/>
    </row>
    <row r="495" spans="1:16" x14ac:dyDescent="0.2">
      <c r="A495" s="129"/>
      <c r="B495" s="130"/>
      <c r="C495" s="140"/>
      <c r="D495" s="131"/>
      <c r="E495" s="129"/>
      <c r="F495" s="131"/>
      <c r="G495" s="130"/>
      <c r="H495" s="131"/>
      <c r="I495" s="132"/>
      <c r="J495" s="129"/>
      <c r="K495" s="140"/>
      <c r="L495" s="133"/>
      <c r="M495" s="140"/>
      <c r="N495" s="140"/>
      <c r="P495" s="141"/>
    </row>
    <row r="496" spans="1:16" x14ac:dyDescent="0.2">
      <c r="A496" s="129"/>
      <c r="B496" s="130"/>
      <c r="C496" s="140"/>
      <c r="D496" s="131"/>
      <c r="E496" s="129"/>
      <c r="F496" s="131"/>
      <c r="G496" s="130"/>
      <c r="H496" s="131"/>
      <c r="I496" s="132"/>
      <c r="J496" s="129"/>
      <c r="K496" s="140"/>
      <c r="L496" s="133"/>
      <c r="M496" s="140"/>
      <c r="N496" s="140"/>
      <c r="P496" s="141"/>
    </row>
    <row r="497" spans="1:16" x14ac:dyDescent="0.2">
      <c r="A497" s="129"/>
      <c r="B497" s="130"/>
      <c r="C497" s="140"/>
      <c r="D497" s="131"/>
      <c r="E497" s="129"/>
      <c r="F497" s="131"/>
      <c r="G497" s="130"/>
      <c r="H497" s="131"/>
      <c r="I497" s="132"/>
      <c r="J497" s="129"/>
      <c r="K497" s="140"/>
      <c r="L497" s="133"/>
      <c r="M497" s="140"/>
      <c r="N497" s="140"/>
      <c r="P497" s="141"/>
    </row>
    <row r="498" spans="1:16" x14ac:dyDescent="0.2">
      <c r="A498" s="129"/>
      <c r="B498" s="130"/>
      <c r="C498" s="140"/>
      <c r="D498" s="131"/>
      <c r="E498" s="129"/>
      <c r="F498" s="131"/>
      <c r="G498" s="130"/>
      <c r="H498" s="131"/>
      <c r="I498" s="132"/>
      <c r="J498" s="129"/>
      <c r="K498" s="140"/>
      <c r="L498" s="133"/>
      <c r="M498" s="140"/>
      <c r="N498" s="140"/>
      <c r="P498" s="141"/>
    </row>
    <row r="499" spans="1:16" x14ac:dyDescent="0.2">
      <c r="A499" s="129"/>
      <c r="B499" s="130"/>
      <c r="C499" s="140"/>
      <c r="D499" s="131"/>
      <c r="E499" s="129"/>
      <c r="F499" s="131"/>
      <c r="G499" s="130"/>
      <c r="H499" s="131"/>
      <c r="I499" s="132"/>
      <c r="J499" s="129"/>
      <c r="K499" s="140"/>
      <c r="L499" s="133"/>
      <c r="M499" s="140"/>
      <c r="N499" s="140"/>
      <c r="P499" s="141"/>
    </row>
    <row r="500" spans="1:16" x14ac:dyDescent="0.2">
      <c r="A500" s="129"/>
      <c r="B500" s="130"/>
      <c r="C500" s="140"/>
      <c r="D500" s="131"/>
      <c r="E500" s="129"/>
      <c r="F500" s="131"/>
      <c r="G500" s="130"/>
      <c r="H500" s="131"/>
      <c r="I500" s="132"/>
      <c r="J500" s="129"/>
      <c r="K500" s="140"/>
      <c r="L500" s="133"/>
      <c r="M500" s="140"/>
      <c r="N500" s="140"/>
      <c r="P500" s="141"/>
    </row>
    <row r="501" spans="1:16" x14ac:dyDescent="0.2">
      <c r="A501" s="129"/>
      <c r="B501" s="130"/>
      <c r="C501" s="140"/>
      <c r="D501" s="131"/>
      <c r="E501" s="129"/>
      <c r="F501" s="131"/>
      <c r="G501" s="130"/>
      <c r="H501" s="131"/>
      <c r="I501" s="132"/>
      <c r="J501" s="129"/>
      <c r="K501" s="140"/>
      <c r="L501" s="133"/>
      <c r="M501" s="140"/>
      <c r="N501" s="140"/>
      <c r="P501" s="141"/>
    </row>
    <row r="502" spans="1:16" x14ac:dyDescent="0.2">
      <c r="A502" s="129"/>
      <c r="B502" s="130"/>
      <c r="C502" s="140"/>
      <c r="D502" s="131"/>
      <c r="E502" s="129"/>
      <c r="F502" s="131"/>
      <c r="G502" s="130"/>
      <c r="H502" s="131"/>
      <c r="I502" s="132"/>
      <c r="J502" s="129"/>
      <c r="K502" s="140"/>
      <c r="L502" s="133"/>
      <c r="M502" s="140"/>
      <c r="N502" s="140"/>
      <c r="P502" s="141"/>
    </row>
    <row r="503" spans="1:16" x14ac:dyDescent="0.2">
      <c r="A503" s="129"/>
      <c r="B503" s="130"/>
      <c r="C503" s="140"/>
      <c r="D503" s="131"/>
      <c r="E503" s="129"/>
      <c r="F503" s="131"/>
      <c r="G503" s="130"/>
      <c r="H503" s="131"/>
      <c r="I503" s="132"/>
      <c r="J503" s="129"/>
      <c r="K503" s="140"/>
      <c r="L503" s="133"/>
      <c r="M503" s="140"/>
      <c r="N503" s="140"/>
      <c r="P503" s="141"/>
    </row>
    <row r="504" spans="1:16" x14ac:dyDescent="0.2">
      <c r="A504" s="129"/>
      <c r="B504" s="130"/>
      <c r="C504" s="140"/>
      <c r="D504" s="131"/>
      <c r="E504" s="129"/>
      <c r="F504" s="131"/>
      <c r="G504" s="130"/>
      <c r="H504" s="131"/>
      <c r="I504" s="132"/>
      <c r="J504" s="129"/>
      <c r="K504" s="140"/>
      <c r="L504" s="133"/>
      <c r="M504" s="140"/>
      <c r="N504" s="140"/>
      <c r="P504" s="141"/>
    </row>
    <row r="505" spans="1:16" x14ac:dyDescent="0.2">
      <c r="A505" s="129"/>
      <c r="B505" s="130"/>
      <c r="C505" s="140"/>
      <c r="D505" s="131"/>
      <c r="E505" s="129"/>
      <c r="F505" s="131"/>
      <c r="G505" s="130"/>
      <c r="H505" s="131"/>
      <c r="I505" s="132"/>
      <c r="J505" s="129"/>
      <c r="K505" s="140"/>
      <c r="L505" s="133"/>
      <c r="M505" s="140"/>
      <c r="N505" s="140"/>
      <c r="P505" s="141"/>
    </row>
    <row r="506" spans="1:16" x14ac:dyDescent="0.2">
      <c r="A506" s="129"/>
      <c r="B506" s="130"/>
      <c r="C506" s="140"/>
      <c r="D506" s="131"/>
      <c r="E506" s="129"/>
      <c r="F506" s="131"/>
      <c r="G506" s="130"/>
      <c r="H506" s="131"/>
      <c r="I506" s="132"/>
      <c r="J506" s="129"/>
      <c r="K506" s="140"/>
      <c r="L506" s="133"/>
      <c r="M506" s="140"/>
      <c r="N506" s="140"/>
      <c r="P506" s="141"/>
    </row>
    <row r="507" spans="1:16" x14ac:dyDescent="0.2">
      <c r="A507" s="129"/>
      <c r="B507" s="130"/>
      <c r="C507" s="140"/>
      <c r="D507" s="131"/>
      <c r="E507" s="129"/>
      <c r="F507" s="131"/>
      <c r="G507" s="130"/>
      <c r="H507" s="131"/>
      <c r="I507" s="132"/>
      <c r="J507" s="129"/>
      <c r="K507" s="140"/>
      <c r="L507" s="133"/>
      <c r="M507" s="140"/>
      <c r="N507" s="140"/>
      <c r="P507" s="141"/>
    </row>
    <row r="508" spans="1:16" x14ac:dyDescent="0.2">
      <c r="A508" s="129"/>
      <c r="B508" s="130"/>
      <c r="C508" s="140"/>
      <c r="D508" s="131"/>
      <c r="E508" s="129"/>
      <c r="F508" s="131"/>
      <c r="G508" s="130"/>
      <c r="H508" s="131"/>
      <c r="I508" s="132"/>
      <c r="J508" s="129"/>
      <c r="K508" s="140"/>
      <c r="L508" s="133"/>
      <c r="M508" s="140"/>
      <c r="N508" s="140"/>
      <c r="P508" s="141"/>
    </row>
    <row r="509" spans="1:16" x14ac:dyDescent="0.2">
      <c r="A509" s="129"/>
      <c r="B509" s="130"/>
      <c r="C509" s="140"/>
      <c r="D509" s="131"/>
      <c r="E509" s="129"/>
      <c r="F509" s="131"/>
      <c r="G509" s="130"/>
      <c r="H509" s="131"/>
      <c r="I509" s="132"/>
      <c r="J509" s="129"/>
      <c r="K509" s="140"/>
      <c r="L509" s="133"/>
      <c r="M509" s="140"/>
      <c r="N509" s="140"/>
      <c r="P509" s="141"/>
    </row>
    <row r="510" spans="1:16" x14ac:dyDescent="0.2">
      <c r="A510" s="129"/>
      <c r="B510" s="130"/>
      <c r="C510" s="140"/>
      <c r="D510" s="131"/>
      <c r="E510" s="129"/>
      <c r="F510" s="131"/>
      <c r="G510" s="130"/>
      <c r="H510" s="131"/>
      <c r="I510" s="132"/>
      <c r="J510" s="129"/>
      <c r="K510" s="140"/>
      <c r="L510" s="133"/>
      <c r="M510" s="140"/>
      <c r="N510" s="140"/>
      <c r="P510" s="141"/>
    </row>
    <row r="511" spans="1:16" x14ac:dyDescent="0.2">
      <c r="A511" s="129"/>
      <c r="B511" s="130"/>
      <c r="C511" s="140"/>
      <c r="D511" s="131"/>
      <c r="E511" s="129"/>
      <c r="F511" s="131"/>
      <c r="G511" s="130"/>
      <c r="H511" s="131"/>
      <c r="I511" s="132"/>
      <c r="J511" s="129"/>
      <c r="K511" s="140"/>
      <c r="L511" s="133"/>
      <c r="M511" s="140"/>
      <c r="N511" s="140"/>
      <c r="P511" s="141"/>
    </row>
    <row r="512" spans="1:16" x14ac:dyDescent="0.2">
      <c r="A512" s="129"/>
      <c r="B512" s="130"/>
      <c r="C512" s="140"/>
      <c r="D512" s="131"/>
      <c r="E512" s="129"/>
      <c r="F512" s="131"/>
      <c r="G512" s="130"/>
      <c r="H512" s="131"/>
      <c r="I512" s="132"/>
      <c r="J512" s="129"/>
      <c r="K512" s="140"/>
      <c r="L512" s="133"/>
      <c r="M512" s="140"/>
      <c r="N512" s="140"/>
      <c r="P512" s="141"/>
    </row>
    <row r="513" spans="1:16" x14ac:dyDescent="0.2">
      <c r="A513" s="129"/>
      <c r="B513" s="130"/>
      <c r="C513" s="140"/>
      <c r="D513" s="131"/>
      <c r="E513" s="129"/>
      <c r="F513" s="131"/>
      <c r="G513" s="130"/>
      <c r="H513" s="131"/>
      <c r="I513" s="132"/>
      <c r="J513" s="129"/>
      <c r="K513" s="140"/>
      <c r="L513" s="133"/>
      <c r="M513" s="140"/>
      <c r="N513" s="140"/>
      <c r="P513" s="141"/>
    </row>
    <row r="514" spans="1:16" x14ac:dyDescent="0.2">
      <c r="A514" s="129"/>
      <c r="B514" s="130"/>
      <c r="C514" s="140"/>
      <c r="D514" s="131"/>
      <c r="E514" s="129"/>
      <c r="F514" s="131"/>
      <c r="G514" s="130"/>
      <c r="H514" s="131"/>
      <c r="I514" s="132"/>
      <c r="J514" s="129"/>
      <c r="K514" s="140"/>
      <c r="L514" s="133"/>
      <c r="M514" s="140"/>
      <c r="N514" s="140"/>
      <c r="P514" s="141"/>
    </row>
    <row r="515" spans="1:16" x14ac:dyDescent="0.2">
      <c r="A515" s="129"/>
      <c r="B515" s="130"/>
      <c r="C515" s="140"/>
      <c r="D515" s="131"/>
      <c r="E515" s="129"/>
      <c r="F515" s="131"/>
      <c r="G515" s="130"/>
      <c r="H515" s="131"/>
      <c r="I515" s="132"/>
      <c r="J515" s="129"/>
      <c r="K515" s="140"/>
      <c r="L515" s="133"/>
      <c r="M515" s="140"/>
      <c r="N515" s="140"/>
      <c r="P515" s="141"/>
    </row>
    <row r="516" spans="1:16" x14ac:dyDescent="0.2">
      <c r="A516" s="129"/>
      <c r="B516" s="130"/>
      <c r="C516" s="140"/>
      <c r="D516" s="131"/>
      <c r="E516" s="129"/>
      <c r="F516" s="131"/>
      <c r="G516" s="130"/>
      <c r="H516" s="131"/>
      <c r="I516" s="132"/>
      <c r="J516" s="129"/>
      <c r="K516" s="140"/>
      <c r="L516" s="133"/>
      <c r="M516" s="140"/>
      <c r="N516" s="140"/>
      <c r="P516" s="141"/>
    </row>
    <row r="517" spans="1:16" x14ac:dyDescent="0.2">
      <c r="A517" s="129"/>
      <c r="B517" s="130"/>
      <c r="C517" s="140"/>
      <c r="D517" s="131"/>
      <c r="E517" s="129"/>
      <c r="F517" s="131"/>
      <c r="G517" s="130"/>
      <c r="H517" s="131"/>
      <c r="I517" s="132"/>
      <c r="J517" s="129"/>
      <c r="K517" s="140"/>
      <c r="L517" s="133"/>
      <c r="M517" s="140"/>
      <c r="N517" s="140"/>
      <c r="P517" s="141"/>
    </row>
    <row r="518" spans="1:16" x14ac:dyDescent="0.2">
      <c r="A518" s="129"/>
      <c r="B518" s="130"/>
      <c r="C518" s="140"/>
      <c r="D518" s="131"/>
      <c r="E518" s="129"/>
      <c r="F518" s="131"/>
      <c r="G518" s="130"/>
      <c r="H518" s="131"/>
      <c r="I518" s="132"/>
      <c r="J518" s="129"/>
      <c r="K518" s="140"/>
      <c r="L518" s="133"/>
      <c r="M518" s="140"/>
      <c r="N518" s="140"/>
      <c r="P518" s="141"/>
    </row>
    <row r="519" spans="1:16" x14ac:dyDescent="0.2">
      <c r="A519" s="129"/>
      <c r="B519" s="130"/>
      <c r="C519" s="140"/>
      <c r="D519" s="131"/>
      <c r="E519" s="129"/>
      <c r="F519" s="131"/>
      <c r="G519" s="130"/>
      <c r="H519" s="131"/>
      <c r="I519" s="132"/>
      <c r="J519" s="129"/>
      <c r="K519" s="140"/>
      <c r="L519" s="133"/>
      <c r="M519" s="140"/>
      <c r="N519" s="140"/>
      <c r="P519" s="141"/>
    </row>
    <row r="520" spans="1:16" x14ac:dyDescent="0.2">
      <c r="A520" s="129"/>
      <c r="B520" s="130"/>
      <c r="C520" s="140"/>
      <c r="D520" s="131"/>
      <c r="E520" s="129"/>
      <c r="F520" s="131"/>
      <c r="G520" s="130"/>
      <c r="H520" s="131"/>
      <c r="I520" s="132"/>
      <c r="J520" s="129"/>
      <c r="K520" s="140"/>
      <c r="L520" s="133"/>
      <c r="M520" s="140"/>
      <c r="N520" s="140"/>
      <c r="P520" s="141"/>
    </row>
    <row r="521" spans="1:16" x14ac:dyDescent="0.2">
      <c r="A521" s="129"/>
      <c r="B521" s="130"/>
      <c r="C521" s="140"/>
      <c r="D521" s="131"/>
      <c r="E521" s="129"/>
      <c r="F521" s="131"/>
      <c r="G521" s="130"/>
      <c r="H521" s="131"/>
      <c r="I521" s="132"/>
      <c r="J521" s="129"/>
      <c r="K521" s="140"/>
      <c r="L521" s="133"/>
      <c r="M521" s="140"/>
      <c r="N521" s="140"/>
      <c r="P521" s="141"/>
    </row>
    <row r="522" spans="1:16" x14ac:dyDescent="0.2">
      <c r="A522" s="129"/>
      <c r="B522" s="130"/>
      <c r="C522" s="140"/>
      <c r="D522" s="131"/>
      <c r="E522" s="129"/>
      <c r="F522" s="131"/>
      <c r="G522" s="130"/>
      <c r="H522" s="131"/>
      <c r="I522" s="132"/>
      <c r="J522" s="129"/>
      <c r="K522" s="140"/>
      <c r="L522" s="133"/>
      <c r="M522" s="140"/>
      <c r="N522" s="140"/>
      <c r="P522" s="141"/>
    </row>
    <row r="523" spans="1:16" x14ac:dyDescent="0.2">
      <c r="A523" s="129"/>
      <c r="B523" s="130"/>
      <c r="C523" s="140"/>
      <c r="D523" s="131"/>
      <c r="E523" s="129"/>
      <c r="F523" s="131"/>
      <c r="G523" s="130"/>
      <c r="H523" s="131"/>
      <c r="I523" s="132"/>
      <c r="J523" s="129"/>
      <c r="K523" s="140"/>
      <c r="L523" s="133"/>
      <c r="M523" s="140"/>
      <c r="N523" s="140"/>
      <c r="P523" s="141"/>
    </row>
    <row r="524" spans="1:16" x14ac:dyDescent="0.2">
      <c r="A524" s="129"/>
      <c r="B524" s="130"/>
      <c r="C524" s="140"/>
      <c r="D524" s="131"/>
      <c r="E524" s="129"/>
      <c r="F524" s="131"/>
      <c r="G524" s="130"/>
      <c r="H524" s="131"/>
      <c r="I524" s="132"/>
      <c r="J524" s="129"/>
      <c r="K524" s="140"/>
      <c r="L524" s="133"/>
      <c r="M524" s="140"/>
      <c r="N524" s="140"/>
      <c r="P524" s="141"/>
    </row>
    <row r="525" spans="1:16" x14ac:dyDescent="0.2">
      <c r="A525" s="129"/>
      <c r="B525" s="130"/>
      <c r="C525" s="140"/>
      <c r="D525" s="131"/>
      <c r="E525" s="129"/>
      <c r="F525" s="131"/>
      <c r="G525" s="130"/>
      <c r="H525" s="131"/>
      <c r="I525" s="132"/>
      <c r="J525" s="129"/>
      <c r="K525" s="140"/>
      <c r="L525" s="133"/>
      <c r="M525" s="140"/>
      <c r="N525" s="140"/>
      <c r="P525" s="141"/>
    </row>
    <row r="526" spans="1:16" x14ac:dyDescent="0.2">
      <c r="A526" s="129"/>
      <c r="B526" s="130"/>
      <c r="C526" s="140"/>
      <c r="D526" s="131"/>
      <c r="E526" s="129"/>
      <c r="F526" s="131"/>
      <c r="G526" s="130"/>
      <c r="H526" s="131"/>
      <c r="I526" s="132"/>
      <c r="J526" s="129"/>
      <c r="K526" s="140"/>
      <c r="L526" s="133"/>
      <c r="M526" s="140"/>
      <c r="N526" s="140"/>
      <c r="P526" s="141"/>
    </row>
    <row r="527" spans="1:16" x14ac:dyDescent="0.2">
      <c r="A527" s="129"/>
      <c r="B527" s="130"/>
      <c r="C527" s="140"/>
      <c r="D527" s="131"/>
      <c r="E527" s="129"/>
      <c r="F527" s="131"/>
      <c r="G527" s="130"/>
      <c r="H527" s="131"/>
      <c r="I527" s="132"/>
      <c r="J527" s="129"/>
      <c r="K527" s="140"/>
      <c r="L527" s="133"/>
      <c r="M527" s="140"/>
      <c r="N527" s="140"/>
      <c r="P527" s="141"/>
    </row>
    <row r="528" spans="1:16" x14ac:dyDescent="0.2">
      <c r="A528" s="129"/>
      <c r="B528" s="130"/>
      <c r="C528" s="140"/>
      <c r="D528" s="131"/>
      <c r="E528" s="129"/>
      <c r="F528" s="131"/>
      <c r="G528" s="130"/>
      <c r="H528" s="131"/>
      <c r="I528" s="132"/>
      <c r="J528" s="129"/>
      <c r="K528" s="140"/>
      <c r="L528" s="133"/>
      <c r="M528" s="140"/>
      <c r="N528" s="140"/>
      <c r="P528" s="141"/>
    </row>
    <row r="529" spans="1:16" x14ac:dyDescent="0.2">
      <c r="A529" s="129"/>
      <c r="B529" s="130"/>
      <c r="C529" s="140"/>
      <c r="D529" s="131"/>
      <c r="E529" s="129"/>
      <c r="F529" s="131"/>
      <c r="G529" s="130"/>
      <c r="H529" s="131"/>
      <c r="I529" s="132"/>
      <c r="J529" s="129"/>
      <c r="K529" s="140"/>
      <c r="L529" s="133"/>
      <c r="M529" s="140"/>
      <c r="N529" s="140"/>
      <c r="P529" s="141"/>
    </row>
    <row r="530" spans="1:16" x14ac:dyDescent="0.2">
      <c r="A530" s="129"/>
      <c r="B530" s="130"/>
      <c r="C530" s="140"/>
      <c r="D530" s="131"/>
      <c r="E530" s="129"/>
      <c r="F530" s="131"/>
      <c r="G530" s="130"/>
      <c r="H530" s="131"/>
      <c r="I530" s="132"/>
      <c r="J530" s="129"/>
      <c r="K530" s="140"/>
      <c r="L530" s="133"/>
      <c r="M530" s="140"/>
      <c r="N530" s="140"/>
      <c r="P530" s="141"/>
    </row>
    <row r="531" spans="1:16" x14ac:dyDescent="0.2">
      <c r="A531" s="129"/>
      <c r="B531" s="130"/>
      <c r="C531" s="140"/>
      <c r="D531" s="131"/>
      <c r="E531" s="129"/>
      <c r="F531" s="131"/>
      <c r="G531" s="130"/>
      <c r="H531" s="131"/>
      <c r="I531" s="132"/>
      <c r="J531" s="129"/>
      <c r="K531" s="140"/>
      <c r="L531" s="133"/>
      <c r="M531" s="140"/>
      <c r="N531" s="140"/>
      <c r="P531" s="141"/>
    </row>
    <row r="532" spans="1:16" x14ac:dyDescent="0.2">
      <c r="A532" s="129"/>
      <c r="B532" s="130"/>
      <c r="C532" s="140"/>
      <c r="D532" s="131"/>
      <c r="E532" s="129"/>
      <c r="F532" s="131"/>
      <c r="G532" s="130"/>
      <c r="H532" s="131"/>
      <c r="I532" s="132"/>
      <c r="J532" s="129"/>
      <c r="K532" s="140"/>
      <c r="L532" s="133"/>
      <c r="M532" s="140"/>
      <c r="N532" s="140"/>
      <c r="P532" s="141"/>
    </row>
    <row r="533" spans="1:16" x14ac:dyDescent="0.2">
      <c r="A533" s="129"/>
      <c r="B533" s="130"/>
      <c r="C533" s="140"/>
      <c r="D533" s="131"/>
      <c r="E533" s="129"/>
      <c r="F533" s="131"/>
      <c r="G533" s="130"/>
      <c r="H533" s="131"/>
      <c r="I533" s="132"/>
      <c r="J533" s="129"/>
      <c r="K533" s="140"/>
      <c r="L533" s="133"/>
      <c r="M533" s="140"/>
      <c r="N533" s="140"/>
      <c r="P533" s="141"/>
    </row>
    <row r="534" spans="1:16" x14ac:dyDescent="0.2">
      <c r="A534" s="129"/>
      <c r="B534" s="130"/>
      <c r="C534" s="140"/>
      <c r="D534" s="131"/>
      <c r="E534" s="129"/>
      <c r="F534" s="131"/>
      <c r="G534" s="130"/>
      <c r="H534" s="131"/>
      <c r="I534" s="132"/>
      <c r="J534" s="129"/>
      <c r="K534" s="140"/>
      <c r="L534" s="133"/>
      <c r="M534" s="140"/>
      <c r="N534" s="140"/>
      <c r="P534" s="141"/>
    </row>
    <row r="535" spans="1:16" x14ac:dyDescent="0.2">
      <c r="A535" s="129"/>
      <c r="B535" s="130"/>
      <c r="C535" s="140"/>
      <c r="D535" s="131"/>
      <c r="E535" s="129"/>
      <c r="F535" s="131"/>
      <c r="G535" s="130"/>
      <c r="H535" s="131"/>
      <c r="I535" s="132"/>
      <c r="J535" s="129"/>
      <c r="K535" s="140"/>
      <c r="L535" s="133"/>
      <c r="M535" s="140"/>
      <c r="N535" s="140"/>
      <c r="P535" s="141"/>
    </row>
    <row r="536" spans="1:16" x14ac:dyDescent="0.2">
      <c r="A536" s="129"/>
      <c r="B536" s="130"/>
      <c r="C536" s="140"/>
      <c r="D536" s="131"/>
      <c r="E536" s="129"/>
      <c r="F536" s="131"/>
      <c r="G536" s="130"/>
      <c r="H536" s="131"/>
      <c r="I536" s="132"/>
      <c r="J536" s="129"/>
      <c r="K536" s="140"/>
      <c r="L536" s="133"/>
      <c r="M536" s="140"/>
      <c r="N536" s="140"/>
      <c r="P536" s="141"/>
    </row>
    <row r="537" spans="1:16" x14ac:dyDescent="0.2">
      <c r="A537" s="129"/>
      <c r="B537" s="130"/>
      <c r="C537" s="140"/>
      <c r="D537" s="131"/>
      <c r="E537" s="129"/>
      <c r="F537" s="131"/>
      <c r="G537" s="130"/>
      <c r="H537" s="131"/>
      <c r="I537" s="132"/>
      <c r="J537" s="129"/>
      <c r="K537" s="140"/>
      <c r="L537" s="133"/>
      <c r="M537" s="140"/>
      <c r="N537" s="140"/>
      <c r="P537" s="141"/>
    </row>
    <row r="538" spans="1:16" x14ac:dyDescent="0.2">
      <c r="A538" s="129"/>
      <c r="B538" s="130"/>
      <c r="C538" s="140"/>
      <c r="D538" s="131"/>
      <c r="E538" s="129"/>
      <c r="F538" s="131"/>
      <c r="G538" s="130"/>
      <c r="H538" s="131"/>
      <c r="I538" s="132"/>
      <c r="J538" s="129"/>
      <c r="K538" s="140"/>
      <c r="L538" s="133"/>
      <c r="M538" s="140"/>
      <c r="N538" s="140"/>
      <c r="P538" s="141"/>
    </row>
    <row r="539" spans="1:16" x14ac:dyDescent="0.2">
      <c r="A539" s="129"/>
      <c r="B539" s="130"/>
      <c r="C539" s="140"/>
      <c r="D539" s="131"/>
      <c r="E539" s="129"/>
      <c r="F539" s="131"/>
      <c r="G539" s="130"/>
      <c r="H539" s="131"/>
      <c r="I539" s="132"/>
      <c r="J539" s="129"/>
      <c r="K539" s="140"/>
      <c r="L539" s="133"/>
      <c r="M539" s="140"/>
      <c r="N539" s="140"/>
      <c r="P539" s="141"/>
    </row>
    <row r="540" spans="1:16" x14ac:dyDescent="0.2">
      <c r="A540" s="129"/>
      <c r="B540" s="130"/>
      <c r="C540" s="140"/>
      <c r="D540" s="131"/>
      <c r="E540" s="129"/>
      <c r="F540" s="131"/>
      <c r="G540" s="130"/>
      <c r="H540" s="131"/>
      <c r="I540" s="132"/>
      <c r="J540" s="129"/>
      <c r="K540" s="140"/>
      <c r="L540" s="133"/>
      <c r="M540" s="140"/>
      <c r="N540" s="140"/>
      <c r="P540" s="141"/>
    </row>
    <row r="541" spans="1:16" x14ac:dyDescent="0.2">
      <c r="A541" s="129"/>
      <c r="B541" s="130"/>
      <c r="C541" s="140"/>
      <c r="D541" s="131"/>
      <c r="E541" s="129"/>
      <c r="F541" s="131"/>
      <c r="G541" s="130"/>
      <c r="H541" s="131"/>
      <c r="I541" s="132"/>
      <c r="J541" s="129"/>
      <c r="K541" s="140"/>
      <c r="L541" s="133"/>
      <c r="M541" s="140"/>
      <c r="N541" s="140"/>
      <c r="P541" s="141"/>
    </row>
    <row r="542" spans="1:16" x14ac:dyDescent="0.2">
      <c r="A542" s="129"/>
      <c r="B542" s="130"/>
      <c r="C542" s="140"/>
      <c r="D542" s="131"/>
      <c r="E542" s="129"/>
      <c r="F542" s="131"/>
      <c r="G542" s="130"/>
      <c r="H542" s="131"/>
      <c r="I542" s="132"/>
      <c r="J542" s="129"/>
      <c r="K542" s="140"/>
      <c r="L542" s="133"/>
      <c r="M542" s="140"/>
      <c r="N542" s="140"/>
      <c r="P542" s="141"/>
    </row>
    <row r="543" spans="1:16" x14ac:dyDescent="0.2">
      <c r="A543" s="129"/>
      <c r="B543" s="130"/>
      <c r="C543" s="140"/>
      <c r="D543" s="131"/>
      <c r="E543" s="129"/>
      <c r="F543" s="131"/>
      <c r="G543" s="130"/>
      <c r="H543" s="131"/>
      <c r="I543" s="132"/>
      <c r="J543" s="129"/>
      <c r="K543" s="140"/>
      <c r="L543" s="133"/>
      <c r="M543" s="140"/>
      <c r="N543" s="140"/>
      <c r="P543" s="141"/>
    </row>
    <row r="544" spans="1:16" x14ac:dyDescent="0.2">
      <c r="A544" s="129"/>
      <c r="B544" s="130"/>
      <c r="C544" s="140"/>
      <c r="D544" s="131"/>
      <c r="E544" s="129"/>
      <c r="F544" s="131"/>
      <c r="G544" s="130"/>
      <c r="H544" s="131"/>
      <c r="I544" s="132"/>
      <c r="J544" s="129"/>
      <c r="K544" s="140"/>
      <c r="L544" s="133"/>
      <c r="M544" s="140"/>
      <c r="N544" s="140"/>
      <c r="P544" s="141"/>
    </row>
    <row r="545" spans="1:16" x14ac:dyDescent="0.2">
      <c r="A545" s="129"/>
      <c r="B545" s="130"/>
      <c r="C545" s="140"/>
      <c r="D545" s="131"/>
      <c r="E545" s="129"/>
      <c r="F545" s="131"/>
      <c r="G545" s="130"/>
      <c r="H545" s="131"/>
      <c r="I545" s="132"/>
      <c r="J545" s="129"/>
      <c r="K545" s="140"/>
      <c r="L545" s="133"/>
      <c r="M545" s="140"/>
      <c r="N545" s="140"/>
      <c r="P545" s="141"/>
    </row>
    <row r="546" spans="1:16" x14ac:dyDescent="0.2">
      <c r="A546" s="129"/>
      <c r="B546" s="130"/>
      <c r="C546" s="140"/>
      <c r="D546" s="131"/>
      <c r="E546" s="129"/>
      <c r="F546" s="131"/>
      <c r="G546" s="130"/>
      <c r="H546" s="131"/>
      <c r="I546" s="132"/>
      <c r="J546" s="129"/>
      <c r="K546" s="140"/>
      <c r="L546" s="133"/>
      <c r="M546" s="140"/>
      <c r="N546" s="140"/>
      <c r="P546" s="141"/>
    </row>
    <row r="547" spans="1:16" x14ac:dyDescent="0.2">
      <c r="A547" s="129"/>
      <c r="B547" s="130"/>
      <c r="C547" s="140"/>
      <c r="D547" s="131"/>
      <c r="E547" s="129"/>
      <c r="F547" s="131"/>
      <c r="G547" s="130"/>
      <c r="H547" s="131"/>
      <c r="I547" s="132"/>
      <c r="J547" s="129"/>
      <c r="K547" s="140"/>
      <c r="L547" s="133"/>
      <c r="M547" s="140"/>
      <c r="N547" s="140"/>
      <c r="P547" s="141"/>
    </row>
    <row r="548" spans="1:16" x14ac:dyDescent="0.2">
      <c r="A548" s="129"/>
      <c r="B548" s="130"/>
      <c r="C548" s="140"/>
      <c r="D548" s="131"/>
      <c r="E548" s="129"/>
      <c r="F548" s="131"/>
      <c r="G548" s="130"/>
      <c r="H548" s="131"/>
      <c r="I548" s="132"/>
      <c r="J548" s="129"/>
      <c r="K548" s="140"/>
      <c r="L548" s="133"/>
      <c r="M548" s="140"/>
      <c r="N548" s="140"/>
      <c r="P548" s="141"/>
    </row>
    <row r="549" spans="1:16" x14ac:dyDescent="0.2">
      <c r="A549" s="129"/>
      <c r="B549" s="130"/>
      <c r="C549" s="140"/>
      <c r="D549" s="131"/>
      <c r="E549" s="129"/>
      <c r="F549" s="131"/>
      <c r="G549" s="130"/>
      <c r="H549" s="131"/>
      <c r="I549" s="132"/>
      <c r="J549" s="129"/>
      <c r="K549" s="140"/>
      <c r="L549" s="133"/>
      <c r="M549" s="140"/>
      <c r="N549" s="140"/>
      <c r="P549" s="141"/>
    </row>
    <row r="550" spans="1:16" x14ac:dyDescent="0.2">
      <c r="A550" s="129"/>
      <c r="B550" s="130"/>
      <c r="C550" s="140"/>
      <c r="D550" s="131"/>
      <c r="E550" s="129"/>
      <c r="F550" s="131"/>
      <c r="G550" s="130"/>
      <c r="H550" s="131"/>
      <c r="I550" s="132"/>
      <c r="J550" s="129"/>
      <c r="K550" s="140"/>
      <c r="L550" s="133"/>
      <c r="M550" s="140"/>
      <c r="N550" s="140"/>
      <c r="P550" s="141"/>
    </row>
    <row r="551" spans="1:16" x14ac:dyDescent="0.2">
      <c r="A551" s="129"/>
      <c r="B551" s="130"/>
      <c r="C551" s="140"/>
      <c r="D551" s="131"/>
      <c r="E551" s="129"/>
      <c r="F551" s="131"/>
      <c r="G551" s="130"/>
      <c r="H551" s="131"/>
      <c r="I551" s="132"/>
      <c r="J551" s="129"/>
      <c r="K551" s="140"/>
      <c r="L551" s="133"/>
      <c r="M551" s="140"/>
      <c r="N551" s="140"/>
      <c r="P551" s="141"/>
    </row>
    <row r="552" spans="1:16" x14ac:dyDescent="0.2">
      <c r="A552" s="129"/>
      <c r="B552" s="130"/>
      <c r="C552" s="140"/>
      <c r="D552" s="131"/>
      <c r="E552" s="129"/>
      <c r="F552" s="131"/>
      <c r="G552" s="130"/>
      <c r="H552" s="131"/>
      <c r="I552" s="132"/>
      <c r="J552" s="129"/>
      <c r="K552" s="140"/>
      <c r="L552" s="133"/>
      <c r="M552" s="140"/>
      <c r="N552" s="140"/>
      <c r="P552" s="141"/>
    </row>
    <row r="553" spans="1:16" x14ac:dyDescent="0.2">
      <c r="A553" s="129"/>
      <c r="B553" s="130"/>
      <c r="C553" s="140"/>
      <c r="D553" s="131"/>
      <c r="E553" s="129"/>
      <c r="F553" s="131"/>
      <c r="G553" s="130"/>
      <c r="H553" s="131"/>
      <c r="I553" s="132"/>
      <c r="J553" s="129"/>
      <c r="K553" s="140"/>
      <c r="L553" s="133"/>
      <c r="M553" s="140"/>
      <c r="N553" s="140"/>
      <c r="P553" s="141"/>
    </row>
    <row r="554" spans="1:16" x14ac:dyDescent="0.2">
      <c r="A554" s="129"/>
      <c r="B554" s="130"/>
      <c r="C554" s="140"/>
      <c r="D554" s="131"/>
      <c r="E554" s="129"/>
      <c r="F554" s="131"/>
      <c r="G554" s="130"/>
      <c r="H554" s="131"/>
      <c r="I554" s="132"/>
      <c r="J554" s="129"/>
      <c r="K554" s="140"/>
      <c r="L554" s="133"/>
      <c r="M554" s="140"/>
      <c r="N554" s="140"/>
      <c r="P554" s="141"/>
    </row>
    <row r="555" spans="1:16" x14ac:dyDescent="0.2">
      <c r="A555" s="129"/>
      <c r="B555" s="130"/>
      <c r="C555" s="140"/>
      <c r="D555" s="131"/>
      <c r="E555" s="129"/>
      <c r="F555" s="131"/>
      <c r="G555" s="130"/>
      <c r="H555" s="131"/>
      <c r="I555" s="132"/>
      <c r="J555" s="129"/>
      <c r="K555" s="140"/>
      <c r="L555" s="133"/>
      <c r="M555" s="140"/>
      <c r="N555" s="140"/>
      <c r="P555" s="141"/>
    </row>
    <row r="556" spans="1:16" x14ac:dyDescent="0.2">
      <c r="A556" s="129"/>
      <c r="B556" s="130"/>
      <c r="C556" s="140"/>
      <c r="D556" s="131"/>
      <c r="E556" s="129"/>
      <c r="F556" s="131"/>
      <c r="G556" s="130"/>
      <c r="H556" s="131"/>
      <c r="I556" s="132"/>
      <c r="J556" s="129"/>
      <c r="K556" s="140"/>
      <c r="L556" s="133"/>
      <c r="M556" s="140"/>
      <c r="N556" s="140"/>
      <c r="P556" s="141"/>
    </row>
    <row r="557" spans="1:16" x14ac:dyDescent="0.2">
      <c r="A557" s="129"/>
      <c r="B557" s="130"/>
      <c r="C557" s="140"/>
      <c r="D557" s="131"/>
      <c r="E557" s="129"/>
      <c r="F557" s="131"/>
      <c r="G557" s="130"/>
      <c r="H557" s="131"/>
      <c r="I557" s="132"/>
      <c r="J557" s="129"/>
      <c r="K557" s="140"/>
      <c r="L557" s="133"/>
      <c r="M557" s="140"/>
      <c r="N557" s="140"/>
      <c r="P557" s="141"/>
    </row>
    <row r="558" spans="1:16" x14ac:dyDescent="0.2">
      <c r="A558" s="129"/>
      <c r="B558" s="130"/>
      <c r="C558" s="140"/>
      <c r="D558" s="131"/>
      <c r="E558" s="129"/>
      <c r="F558" s="131"/>
      <c r="G558" s="130"/>
      <c r="H558" s="131"/>
      <c r="I558" s="132"/>
      <c r="J558" s="129"/>
      <c r="K558" s="140"/>
      <c r="L558" s="133"/>
      <c r="M558" s="140"/>
      <c r="N558" s="140"/>
      <c r="P558" s="141"/>
    </row>
    <row r="559" spans="1:16" x14ac:dyDescent="0.2">
      <c r="A559" s="129"/>
      <c r="B559" s="130"/>
      <c r="C559" s="140"/>
      <c r="D559" s="131"/>
      <c r="E559" s="129"/>
      <c r="F559" s="131"/>
      <c r="G559" s="130"/>
      <c r="H559" s="131"/>
      <c r="I559" s="132"/>
      <c r="J559" s="129"/>
      <c r="K559" s="140"/>
      <c r="L559" s="133"/>
      <c r="M559" s="140"/>
      <c r="N559" s="140"/>
      <c r="P559" s="141"/>
    </row>
    <row r="560" spans="1:16" x14ac:dyDescent="0.2">
      <c r="A560" s="129"/>
      <c r="B560" s="130"/>
      <c r="C560" s="140"/>
      <c r="D560" s="131"/>
      <c r="E560" s="129"/>
      <c r="F560" s="131"/>
      <c r="G560" s="130"/>
      <c r="H560" s="131"/>
      <c r="I560" s="132"/>
      <c r="J560" s="129"/>
      <c r="K560" s="140"/>
      <c r="L560" s="133"/>
      <c r="M560" s="140"/>
      <c r="N560" s="140"/>
      <c r="P560" s="141"/>
    </row>
    <row r="561" spans="1:16" x14ac:dyDescent="0.2">
      <c r="A561" s="129"/>
      <c r="B561" s="130"/>
      <c r="C561" s="140"/>
      <c r="D561" s="131"/>
      <c r="E561" s="129"/>
      <c r="F561" s="131"/>
      <c r="G561" s="130"/>
      <c r="H561" s="131"/>
      <c r="I561" s="132"/>
      <c r="J561" s="129"/>
      <c r="K561" s="140"/>
      <c r="L561" s="133"/>
      <c r="M561" s="140"/>
      <c r="N561" s="140"/>
      <c r="P561" s="141"/>
    </row>
    <row r="562" spans="1:16" x14ac:dyDescent="0.2">
      <c r="A562" s="129"/>
      <c r="B562" s="130"/>
      <c r="C562" s="140"/>
      <c r="D562" s="131"/>
      <c r="E562" s="129"/>
      <c r="F562" s="131"/>
      <c r="G562" s="130"/>
      <c r="H562" s="131"/>
      <c r="I562" s="132"/>
      <c r="J562" s="129"/>
      <c r="K562" s="140"/>
      <c r="L562" s="133"/>
      <c r="M562" s="140"/>
      <c r="N562" s="140"/>
      <c r="P562" s="141"/>
    </row>
    <row r="563" spans="1:16" x14ac:dyDescent="0.2">
      <c r="A563" s="129"/>
      <c r="B563" s="130"/>
      <c r="C563" s="140"/>
      <c r="D563" s="131"/>
      <c r="E563" s="129"/>
      <c r="F563" s="131"/>
      <c r="G563" s="130"/>
      <c r="H563" s="131"/>
      <c r="I563" s="132"/>
      <c r="J563" s="129"/>
      <c r="K563" s="140"/>
      <c r="L563" s="133"/>
      <c r="M563" s="140"/>
      <c r="N563" s="140"/>
      <c r="P563" s="141"/>
    </row>
    <row r="564" spans="1:16" x14ac:dyDescent="0.2">
      <c r="A564" s="129"/>
      <c r="B564" s="130"/>
      <c r="C564" s="140"/>
      <c r="D564" s="131"/>
      <c r="E564" s="129"/>
      <c r="F564" s="131"/>
      <c r="G564" s="130"/>
      <c r="H564" s="131"/>
      <c r="I564" s="132"/>
      <c r="J564" s="129"/>
      <c r="K564" s="140"/>
      <c r="L564" s="133"/>
      <c r="M564" s="140"/>
      <c r="N564" s="140"/>
      <c r="P564" s="141"/>
    </row>
    <row r="565" spans="1:16" x14ac:dyDescent="0.2">
      <c r="A565" s="129"/>
      <c r="B565" s="130"/>
      <c r="C565" s="140"/>
      <c r="D565" s="131"/>
      <c r="E565" s="129"/>
      <c r="F565" s="131"/>
      <c r="G565" s="130"/>
      <c r="H565" s="131"/>
      <c r="I565" s="132"/>
      <c r="J565" s="129"/>
      <c r="K565" s="140"/>
      <c r="L565" s="133"/>
      <c r="M565" s="140"/>
      <c r="N565" s="140"/>
      <c r="P565" s="141"/>
    </row>
    <row r="566" spans="1:16" x14ac:dyDescent="0.2">
      <c r="A566" s="129"/>
      <c r="B566" s="130"/>
      <c r="C566" s="140"/>
      <c r="D566" s="131"/>
      <c r="E566" s="129"/>
      <c r="F566" s="131"/>
      <c r="G566" s="130"/>
      <c r="H566" s="131"/>
      <c r="I566" s="132"/>
      <c r="J566" s="129"/>
      <c r="K566" s="140"/>
      <c r="L566" s="133"/>
      <c r="M566" s="140"/>
      <c r="N566" s="140"/>
      <c r="P566" s="141"/>
    </row>
    <row r="567" spans="1:16" x14ac:dyDescent="0.2">
      <c r="A567" s="129"/>
      <c r="B567" s="130"/>
      <c r="C567" s="140"/>
      <c r="D567" s="131"/>
      <c r="E567" s="129"/>
      <c r="F567" s="131"/>
      <c r="G567" s="130"/>
      <c r="H567" s="131"/>
      <c r="I567" s="132"/>
      <c r="J567" s="129"/>
      <c r="K567" s="140"/>
      <c r="L567" s="133"/>
      <c r="M567" s="140"/>
      <c r="N567" s="140"/>
      <c r="P567" s="141"/>
    </row>
    <row r="568" spans="1:16" x14ac:dyDescent="0.2">
      <c r="A568" s="129"/>
      <c r="B568" s="130"/>
      <c r="C568" s="140"/>
      <c r="D568" s="131"/>
      <c r="E568" s="129"/>
      <c r="F568" s="131"/>
      <c r="G568" s="130"/>
      <c r="H568" s="131"/>
      <c r="I568" s="132"/>
      <c r="J568" s="129"/>
      <c r="K568" s="140"/>
      <c r="L568" s="133"/>
      <c r="M568" s="140"/>
      <c r="N568" s="140"/>
      <c r="P568" s="141"/>
    </row>
    <row r="569" spans="1:16" x14ac:dyDescent="0.2">
      <c r="A569" s="129"/>
      <c r="B569" s="130"/>
      <c r="C569" s="140"/>
      <c r="D569" s="131"/>
      <c r="E569" s="129"/>
      <c r="F569" s="131"/>
      <c r="G569" s="130"/>
      <c r="H569" s="131"/>
      <c r="I569" s="132"/>
      <c r="J569" s="129"/>
      <c r="K569" s="140"/>
      <c r="L569" s="133"/>
      <c r="M569" s="140"/>
      <c r="N569" s="140"/>
      <c r="P569" s="141"/>
    </row>
    <row r="570" spans="1:16" x14ac:dyDescent="0.2">
      <c r="A570" s="129"/>
      <c r="B570" s="130"/>
      <c r="C570" s="140"/>
      <c r="D570" s="131"/>
      <c r="E570" s="129"/>
      <c r="F570" s="131"/>
      <c r="G570" s="130"/>
      <c r="H570" s="131"/>
      <c r="I570" s="132"/>
      <c r="J570" s="129"/>
      <c r="K570" s="140"/>
      <c r="L570" s="133"/>
      <c r="M570" s="140"/>
      <c r="N570" s="140"/>
      <c r="P570" s="141"/>
    </row>
    <row r="571" spans="1:16" x14ac:dyDescent="0.2">
      <c r="A571" s="129"/>
      <c r="B571" s="130"/>
      <c r="C571" s="140"/>
      <c r="D571" s="131"/>
      <c r="E571" s="129"/>
      <c r="F571" s="131"/>
      <c r="G571" s="130"/>
      <c r="H571" s="131"/>
      <c r="I571" s="132"/>
      <c r="J571" s="129"/>
      <c r="K571" s="140"/>
      <c r="L571" s="133"/>
      <c r="M571" s="140"/>
      <c r="N571" s="140"/>
      <c r="P571" s="141"/>
    </row>
    <row r="572" spans="1:16" x14ac:dyDescent="0.2">
      <c r="A572" s="129"/>
      <c r="B572" s="130"/>
      <c r="C572" s="140"/>
      <c r="D572" s="131"/>
      <c r="E572" s="129"/>
      <c r="F572" s="131"/>
      <c r="G572" s="130"/>
      <c r="H572" s="131"/>
      <c r="I572" s="132"/>
      <c r="J572" s="129"/>
      <c r="K572" s="140"/>
      <c r="L572" s="133"/>
      <c r="M572" s="140"/>
      <c r="N572" s="140"/>
      <c r="P572" s="141"/>
    </row>
    <row r="573" spans="1:16" x14ac:dyDescent="0.2">
      <c r="A573" s="129"/>
      <c r="B573" s="130"/>
      <c r="C573" s="140"/>
      <c r="D573" s="131"/>
      <c r="E573" s="129"/>
      <c r="F573" s="131"/>
      <c r="G573" s="130"/>
      <c r="H573" s="131"/>
      <c r="I573" s="132"/>
      <c r="J573" s="129"/>
      <c r="K573" s="140"/>
      <c r="L573" s="133"/>
      <c r="M573" s="140"/>
      <c r="N573" s="140"/>
      <c r="P573" s="141"/>
    </row>
    <row r="574" spans="1:16" x14ac:dyDescent="0.2">
      <c r="A574" s="129"/>
      <c r="B574" s="130"/>
      <c r="C574" s="140"/>
      <c r="D574" s="131"/>
      <c r="E574" s="129"/>
      <c r="F574" s="131"/>
      <c r="G574" s="130"/>
      <c r="H574" s="131"/>
      <c r="I574" s="132"/>
      <c r="J574" s="129"/>
      <c r="K574" s="140"/>
      <c r="L574" s="133"/>
      <c r="M574" s="140"/>
      <c r="N574" s="140"/>
      <c r="P574" s="141"/>
    </row>
    <row r="575" spans="1:16" x14ac:dyDescent="0.2">
      <c r="A575" s="129"/>
      <c r="B575" s="130"/>
      <c r="C575" s="140"/>
      <c r="D575" s="131"/>
      <c r="E575" s="129"/>
      <c r="F575" s="131"/>
      <c r="G575" s="130"/>
      <c r="H575" s="131"/>
      <c r="I575" s="132"/>
      <c r="J575" s="129"/>
      <c r="K575" s="140"/>
      <c r="L575" s="133"/>
      <c r="M575" s="140"/>
      <c r="N575" s="140"/>
      <c r="P575" s="141"/>
    </row>
    <row r="576" spans="1:16" x14ac:dyDescent="0.2">
      <c r="A576" s="129"/>
      <c r="B576" s="130"/>
      <c r="C576" s="140"/>
      <c r="D576" s="131"/>
      <c r="E576" s="129"/>
      <c r="F576" s="131"/>
      <c r="G576" s="130"/>
      <c r="H576" s="131"/>
      <c r="I576" s="132"/>
      <c r="J576" s="129"/>
      <c r="K576" s="140"/>
      <c r="L576" s="133"/>
      <c r="M576" s="140"/>
      <c r="N576" s="140"/>
      <c r="P576" s="141"/>
    </row>
    <row r="577" spans="1:16" x14ac:dyDescent="0.2">
      <c r="A577" s="129"/>
      <c r="B577" s="130"/>
      <c r="C577" s="140"/>
      <c r="D577" s="131"/>
      <c r="E577" s="129"/>
      <c r="F577" s="131"/>
      <c r="G577" s="130"/>
      <c r="H577" s="131"/>
      <c r="I577" s="132"/>
      <c r="J577" s="129"/>
      <c r="K577" s="140"/>
      <c r="L577" s="133"/>
      <c r="M577" s="140"/>
      <c r="N577" s="140"/>
      <c r="P577" s="141"/>
    </row>
    <row r="578" spans="1:16" x14ac:dyDescent="0.2">
      <c r="A578" s="129"/>
      <c r="B578" s="130"/>
      <c r="C578" s="140"/>
      <c r="D578" s="131"/>
      <c r="E578" s="129"/>
      <c r="F578" s="131"/>
      <c r="G578" s="130"/>
      <c r="H578" s="131"/>
      <c r="I578" s="132"/>
      <c r="J578" s="129"/>
      <c r="K578" s="140"/>
      <c r="L578" s="133"/>
      <c r="M578" s="140"/>
      <c r="N578" s="140"/>
      <c r="P578" s="141"/>
    </row>
    <row r="579" spans="1:16" x14ac:dyDescent="0.2">
      <c r="A579" s="129"/>
      <c r="B579" s="130"/>
      <c r="C579" s="140"/>
      <c r="D579" s="131"/>
      <c r="E579" s="129"/>
      <c r="F579" s="131"/>
      <c r="G579" s="130"/>
      <c r="H579" s="131"/>
      <c r="I579" s="132"/>
      <c r="J579" s="129"/>
      <c r="K579" s="140"/>
      <c r="L579" s="133"/>
      <c r="M579" s="140"/>
      <c r="N579" s="140"/>
      <c r="P579" s="141"/>
    </row>
    <row r="580" spans="1:16" x14ac:dyDescent="0.2">
      <c r="A580" s="129"/>
      <c r="B580" s="130"/>
      <c r="C580" s="140"/>
      <c r="D580" s="131"/>
      <c r="E580" s="129"/>
      <c r="F580" s="131"/>
      <c r="G580" s="130"/>
      <c r="H580" s="131"/>
      <c r="I580" s="132"/>
      <c r="J580" s="129"/>
      <c r="K580" s="140"/>
      <c r="L580" s="133"/>
      <c r="M580" s="140"/>
      <c r="N580" s="140"/>
      <c r="P580" s="141"/>
    </row>
    <row r="581" spans="1:16" x14ac:dyDescent="0.2">
      <c r="A581" s="129"/>
      <c r="B581" s="130"/>
      <c r="C581" s="140"/>
      <c r="D581" s="131"/>
      <c r="E581" s="129"/>
      <c r="F581" s="131"/>
      <c r="G581" s="130"/>
      <c r="H581" s="131"/>
      <c r="I581" s="132"/>
      <c r="J581" s="129"/>
      <c r="K581" s="140"/>
      <c r="L581" s="133"/>
      <c r="M581" s="140"/>
      <c r="N581" s="140"/>
      <c r="P581" s="141"/>
    </row>
    <row r="582" spans="1:16" x14ac:dyDescent="0.2">
      <c r="A582" s="129"/>
      <c r="B582" s="130"/>
      <c r="C582" s="140"/>
      <c r="D582" s="131"/>
      <c r="E582" s="129"/>
      <c r="F582" s="131"/>
      <c r="G582" s="130"/>
      <c r="H582" s="131"/>
      <c r="I582" s="132"/>
      <c r="J582" s="129"/>
      <c r="K582" s="140"/>
      <c r="L582" s="133"/>
      <c r="M582" s="140"/>
      <c r="N582" s="140"/>
      <c r="P582" s="141"/>
    </row>
    <row r="583" spans="1:16" x14ac:dyDescent="0.2">
      <c r="A583" s="129"/>
      <c r="B583" s="130"/>
      <c r="C583" s="140"/>
      <c r="D583" s="131"/>
      <c r="E583" s="129"/>
      <c r="F583" s="131"/>
      <c r="G583" s="130"/>
      <c r="H583" s="131"/>
      <c r="I583" s="132"/>
      <c r="J583" s="129"/>
      <c r="K583" s="140"/>
      <c r="L583" s="133"/>
      <c r="M583" s="140"/>
      <c r="N583" s="140"/>
      <c r="P583" s="141"/>
    </row>
    <row r="584" spans="1:16" x14ac:dyDescent="0.2">
      <c r="A584" s="129"/>
      <c r="B584" s="130"/>
      <c r="C584" s="140"/>
      <c r="D584" s="131"/>
      <c r="E584" s="129"/>
      <c r="F584" s="131"/>
      <c r="G584" s="130"/>
      <c r="H584" s="131"/>
      <c r="I584" s="132"/>
      <c r="J584" s="129"/>
      <c r="K584" s="140"/>
      <c r="L584" s="133"/>
      <c r="M584" s="140"/>
      <c r="N584" s="140"/>
      <c r="P584" s="141"/>
    </row>
    <row r="585" spans="1:16" x14ac:dyDescent="0.2">
      <c r="A585" s="129"/>
      <c r="B585" s="130"/>
      <c r="C585" s="140"/>
      <c r="D585" s="131"/>
      <c r="E585" s="129"/>
      <c r="F585" s="131"/>
      <c r="G585" s="130"/>
      <c r="H585" s="131"/>
      <c r="I585" s="132"/>
      <c r="J585" s="129"/>
      <c r="K585" s="140"/>
      <c r="L585" s="133"/>
      <c r="M585" s="140"/>
      <c r="N585" s="140"/>
      <c r="P585" s="141"/>
    </row>
    <row r="586" spans="1:16" x14ac:dyDescent="0.2">
      <c r="A586" s="129"/>
      <c r="B586" s="130"/>
      <c r="C586" s="140"/>
      <c r="D586" s="131"/>
      <c r="E586" s="129"/>
      <c r="F586" s="131"/>
      <c r="G586" s="130"/>
      <c r="H586" s="131"/>
      <c r="I586" s="132"/>
      <c r="J586" s="129"/>
      <c r="K586" s="140"/>
      <c r="L586" s="133"/>
      <c r="M586" s="140"/>
      <c r="N586" s="140"/>
      <c r="P586" s="141"/>
    </row>
    <row r="587" spans="1:16" x14ac:dyDescent="0.2">
      <c r="A587" s="129"/>
      <c r="B587" s="130"/>
      <c r="C587" s="140"/>
      <c r="D587" s="131"/>
      <c r="E587" s="129"/>
      <c r="F587" s="131"/>
      <c r="G587" s="130"/>
      <c r="H587" s="131"/>
      <c r="I587" s="132"/>
      <c r="J587" s="129"/>
      <c r="K587" s="140"/>
      <c r="L587" s="133"/>
      <c r="M587" s="140"/>
      <c r="N587" s="140"/>
      <c r="P587" s="141"/>
    </row>
    <row r="588" spans="1:16" x14ac:dyDescent="0.2">
      <c r="A588" s="129"/>
      <c r="B588" s="130"/>
      <c r="C588" s="140"/>
      <c r="D588" s="131"/>
      <c r="E588" s="129"/>
      <c r="F588" s="131"/>
      <c r="G588" s="130"/>
      <c r="H588" s="131"/>
      <c r="I588" s="132"/>
      <c r="J588" s="129"/>
      <c r="K588" s="140"/>
      <c r="L588" s="133"/>
      <c r="M588" s="140"/>
      <c r="N588" s="140"/>
      <c r="P588" s="141"/>
    </row>
    <row r="589" spans="1:16" x14ac:dyDescent="0.2">
      <c r="A589" s="129"/>
      <c r="B589" s="130"/>
      <c r="C589" s="140"/>
      <c r="D589" s="131"/>
      <c r="E589" s="129"/>
      <c r="F589" s="131"/>
      <c r="G589" s="130"/>
      <c r="H589" s="131"/>
      <c r="I589" s="132"/>
      <c r="J589" s="129"/>
      <c r="K589" s="140"/>
      <c r="L589" s="133"/>
      <c r="M589" s="140"/>
      <c r="N589" s="140"/>
      <c r="P589" s="141"/>
    </row>
    <row r="590" spans="1:16" x14ac:dyDescent="0.2">
      <c r="A590" s="129"/>
      <c r="B590" s="130"/>
      <c r="C590" s="140"/>
      <c r="D590" s="131"/>
      <c r="E590" s="129"/>
      <c r="F590" s="131"/>
      <c r="G590" s="130"/>
      <c r="H590" s="131"/>
      <c r="I590" s="132"/>
      <c r="J590" s="129"/>
      <c r="K590" s="140"/>
      <c r="L590" s="133"/>
      <c r="M590" s="140"/>
      <c r="N590" s="140"/>
      <c r="P590" s="141"/>
    </row>
    <row r="591" spans="1:16" x14ac:dyDescent="0.2">
      <c r="A591" s="129"/>
      <c r="B591" s="130"/>
      <c r="C591" s="140"/>
      <c r="D591" s="131"/>
      <c r="E591" s="129"/>
      <c r="F591" s="131"/>
      <c r="G591" s="130"/>
      <c r="H591" s="131"/>
      <c r="I591" s="132"/>
      <c r="J591" s="129"/>
      <c r="K591" s="140"/>
      <c r="L591" s="133"/>
      <c r="M591" s="140"/>
      <c r="N591" s="140"/>
      <c r="P591" s="141"/>
    </row>
    <row r="592" spans="1:16" x14ac:dyDescent="0.2">
      <c r="A592" s="129"/>
      <c r="B592" s="130"/>
      <c r="C592" s="140"/>
      <c r="D592" s="131"/>
      <c r="E592" s="129"/>
      <c r="F592" s="131"/>
      <c r="G592" s="130"/>
      <c r="H592" s="131"/>
      <c r="I592" s="132"/>
      <c r="J592" s="129"/>
      <c r="K592" s="140"/>
      <c r="L592" s="133"/>
      <c r="M592" s="140"/>
      <c r="N592" s="140"/>
      <c r="P592" s="141"/>
    </row>
    <row r="593" spans="1:16" x14ac:dyDescent="0.2">
      <c r="A593" s="129"/>
      <c r="B593" s="130"/>
      <c r="C593" s="140"/>
      <c r="D593" s="131"/>
      <c r="E593" s="129"/>
      <c r="F593" s="131"/>
      <c r="G593" s="130"/>
      <c r="H593" s="131"/>
      <c r="I593" s="132"/>
      <c r="J593" s="129"/>
      <c r="K593" s="140"/>
      <c r="L593" s="133"/>
      <c r="M593" s="140"/>
      <c r="N593" s="140"/>
      <c r="P593" s="141"/>
    </row>
    <row r="594" spans="1:16" x14ac:dyDescent="0.2">
      <c r="A594" s="129"/>
      <c r="B594" s="130"/>
      <c r="C594" s="140"/>
      <c r="D594" s="131"/>
      <c r="E594" s="129"/>
      <c r="F594" s="131"/>
      <c r="G594" s="130"/>
      <c r="H594" s="131"/>
      <c r="I594" s="132"/>
      <c r="J594" s="129"/>
      <c r="K594" s="140"/>
      <c r="L594" s="133"/>
      <c r="M594" s="140"/>
      <c r="N594" s="140"/>
      <c r="P594" s="141"/>
    </row>
    <row r="595" spans="1:16" x14ac:dyDescent="0.2">
      <c r="A595" s="129"/>
      <c r="B595" s="130"/>
      <c r="C595" s="140"/>
      <c r="D595" s="131"/>
      <c r="E595" s="129"/>
      <c r="F595" s="131"/>
      <c r="G595" s="130"/>
      <c r="H595" s="131"/>
      <c r="I595" s="132"/>
      <c r="J595" s="129"/>
      <c r="K595" s="140"/>
      <c r="L595" s="133"/>
      <c r="M595" s="140"/>
      <c r="N595" s="140"/>
      <c r="P595" s="141"/>
    </row>
    <row r="596" spans="1:16" x14ac:dyDescent="0.2">
      <c r="A596" s="129"/>
      <c r="B596" s="130"/>
      <c r="C596" s="140"/>
      <c r="D596" s="131"/>
      <c r="E596" s="129"/>
      <c r="F596" s="131"/>
      <c r="G596" s="130"/>
      <c r="H596" s="131"/>
      <c r="I596" s="132"/>
      <c r="J596" s="129"/>
      <c r="K596" s="140"/>
      <c r="L596" s="133"/>
      <c r="M596" s="140"/>
      <c r="N596" s="140"/>
      <c r="P596" s="141"/>
    </row>
    <row r="597" spans="1:16" x14ac:dyDescent="0.2">
      <c r="A597" s="129"/>
      <c r="B597" s="130"/>
      <c r="C597" s="140"/>
      <c r="D597" s="131"/>
      <c r="E597" s="129"/>
      <c r="F597" s="131"/>
      <c r="G597" s="130"/>
      <c r="H597" s="131"/>
      <c r="I597" s="132"/>
      <c r="J597" s="129"/>
      <c r="K597" s="140"/>
      <c r="L597" s="133"/>
      <c r="M597" s="140"/>
      <c r="N597" s="140"/>
      <c r="P597" s="141"/>
    </row>
    <row r="598" spans="1:16" x14ac:dyDescent="0.2">
      <c r="A598" s="129"/>
      <c r="B598" s="130"/>
      <c r="C598" s="140"/>
      <c r="D598" s="131"/>
      <c r="E598" s="129"/>
      <c r="F598" s="131"/>
      <c r="G598" s="130"/>
      <c r="H598" s="131"/>
      <c r="I598" s="132"/>
      <c r="J598" s="129"/>
      <c r="K598" s="140"/>
      <c r="L598" s="133"/>
      <c r="M598" s="140"/>
      <c r="N598" s="140"/>
      <c r="P598" s="141"/>
    </row>
    <row r="599" spans="1:16" x14ac:dyDescent="0.2">
      <c r="A599" s="129"/>
      <c r="B599" s="130"/>
      <c r="C599" s="140"/>
      <c r="D599" s="131"/>
      <c r="E599" s="129"/>
      <c r="F599" s="131"/>
      <c r="G599" s="130"/>
      <c r="H599" s="131"/>
      <c r="I599" s="132"/>
      <c r="J599" s="129"/>
      <c r="K599" s="140"/>
      <c r="L599" s="133"/>
      <c r="M599" s="140"/>
      <c r="N599" s="140"/>
      <c r="P599" s="141"/>
    </row>
    <row r="600" spans="1:16" x14ac:dyDescent="0.2">
      <c r="A600" s="129"/>
      <c r="B600" s="130"/>
      <c r="C600" s="140"/>
      <c r="D600" s="131"/>
      <c r="E600" s="129"/>
      <c r="F600" s="131"/>
      <c r="G600" s="130"/>
      <c r="H600" s="131"/>
      <c r="I600" s="132"/>
      <c r="J600" s="129"/>
      <c r="K600" s="140"/>
      <c r="L600" s="133"/>
      <c r="M600" s="140"/>
      <c r="N600" s="140"/>
      <c r="P600" s="141"/>
    </row>
    <row r="601" spans="1:16" x14ac:dyDescent="0.2">
      <c r="A601" s="129"/>
      <c r="B601" s="130"/>
      <c r="C601" s="140"/>
      <c r="D601" s="131"/>
      <c r="E601" s="129"/>
      <c r="F601" s="131"/>
      <c r="G601" s="130"/>
      <c r="H601" s="131"/>
      <c r="I601" s="132"/>
      <c r="J601" s="129"/>
      <c r="K601" s="140"/>
      <c r="L601" s="133"/>
      <c r="M601" s="140"/>
      <c r="N601" s="140"/>
      <c r="P601" s="141"/>
    </row>
    <row r="602" spans="1:16" x14ac:dyDescent="0.2">
      <c r="A602" s="129"/>
      <c r="B602" s="130"/>
      <c r="C602" s="140"/>
      <c r="D602" s="131"/>
      <c r="E602" s="129"/>
      <c r="F602" s="131"/>
      <c r="G602" s="130"/>
      <c r="H602" s="131"/>
      <c r="I602" s="132"/>
      <c r="J602" s="129"/>
      <c r="K602" s="140"/>
      <c r="L602" s="133"/>
      <c r="M602" s="140"/>
      <c r="N602" s="140"/>
      <c r="P602" s="141"/>
    </row>
    <row r="603" spans="1:16" x14ac:dyDescent="0.2">
      <c r="A603" s="129"/>
      <c r="B603" s="130"/>
      <c r="C603" s="140"/>
      <c r="D603" s="131"/>
      <c r="E603" s="129"/>
      <c r="F603" s="131"/>
      <c r="G603" s="130"/>
      <c r="H603" s="131"/>
      <c r="I603" s="132"/>
      <c r="J603" s="129"/>
      <c r="K603" s="140"/>
      <c r="L603" s="133"/>
      <c r="M603" s="140"/>
      <c r="N603" s="140"/>
      <c r="P603" s="141"/>
    </row>
    <row r="604" spans="1:16" x14ac:dyDescent="0.2">
      <c r="A604" s="129"/>
      <c r="B604" s="130"/>
      <c r="C604" s="140"/>
      <c r="D604" s="131"/>
      <c r="E604" s="129"/>
      <c r="F604" s="131"/>
      <c r="G604" s="130"/>
      <c r="H604" s="131"/>
      <c r="I604" s="132"/>
      <c r="J604" s="129"/>
      <c r="K604" s="140"/>
      <c r="L604" s="133"/>
      <c r="M604" s="140"/>
      <c r="N604" s="140"/>
      <c r="P604" s="141"/>
    </row>
    <row r="605" spans="1:16" x14ac:dyDescent="0.2">
      <c r="A605" s="129"/>
      <c r="B605" s="130"/>
      <c r="C605" s="140"/>
      <c r="D605" s="131"/>
      <c r="E605" s="129"/>
      <c r="F605" s="131"/>
      <c r="G605" s="130"/>
      <c r="H605" s="131"/>
      <c r="I605" s="132"/>
      <c r="J605" s="129"/>
      <c r="K605" s="140"/>
      <c r="L605" s="133"/>
      <c r="M605" s="140"/>
      <c r="N605" s="140"/>
      <c r="P605" s="141"/>
    </row>
    <row r="606" spans="1:16" x14ac:dyDescent="0.2">
      <c r="A606" s="129"/>
      <c r="B606" s="130"/>
      <c r="C606" s="140"/>
      <c r="D606" s="131"/>
      <c r="E606" s="129"/>
      <c r="F606" s="131"/>
      <c r="G606" s="130"/>
      <c r="H606" s="131"/>
      <c r="I606" s="132"/>
      <c r="J606" s="129"/>
      <c r="K606" s="140"/>
      <c r="L606" s="133"/>
      <c r="M606" s="140"/>
      <c r="N606" s="140"/>
      <c r="P606" s="141"/>
    </row>
    <row r="607" spans="1:16" x14ac:dyDescent="0.2">
      <c r="A607" s="129"/>
      <c r="B607" s="130"/>
      <c r="C607" s="140"/>
      <c r="D607" s="131"/>
      <c r="E607" s="129"/>
      <c r="F607" s="131"/>
      <c r="G607" s="130"/>
      <c r="H607" s="131"/>
      <c r="I607" s="132"/>
      <c r="J607" s="129"/>
      <c r="K607" s="140"/>
      <c r="L607" s="133"/>
      <c r="M607" s="140"/>
      <c r="N607" s="140"/>
      <c r="P607" s="141"/>
    </row>
    <row r="608" spans="1:16" x14ac:dyDescent="0.2">
      <c r="A608" s="129"/>
      <c r="B608" s="130"/>
      <c r="C608" s="140"/>
      <c r="D608" s="131"/>
      <c r="E608" s="129"/>
      <c r="F608" s="131"/>
      <c r="G608" s="130"/>
      <c r="H608" s="131"/>
      <c r="I608" s="132"/>
      <c r="J608" s="129"/>
      <c r="K608" s="140"/>
      <c r="L608" s="133"/>
      <c r="M608" s="140"/>
      <c r="N608" s="140"/>
      <c r="P608" s="141"/>
    </row>
    <row r="609" spans="1:16" x14ac:dyDescent="0.2">
      <c r="A609" s="129"/>
      <c r="B609" s="130"/>
      <c r="C609" s="140"/>
      <c r="D609" s="131"/>
      <c r="E609" s="129"/>
      <c r="F609" s="131"/>
      <c r="G609" s="130"/>
      <c r="H609" s="131"/>
      <c r="I609" s="132"/>
      <c r="J609" s="129"/>
      <c r="K609" s="140"/>
      <c r="L609" s="133"/>
      <c r="M609" s="140"/>
      <c r="N609" s="140"/>
      <c r="P609" s="141"/>
    </row>
    <row r="610" spans="1:16" x14ac:dyDescent="0.2">
      <c r="A610" s="129"/>
      <c r="B610" s="130"/>
      <c r="C610" s="140"/>
      <c r="D610" s="131"/>
      <c r="E610" s="129"/>
      <c r="F610" s="131"/>
      <c r="G610" s="130"/>
      <c r="H610" s="131"/>
      <c r="I610" s="132"/>
      <c r="J610" s="129"/>
      <c r="K610" s="140"/>
      <c r="L610" s="133"/>
      <c r="M610" s="140"/>
      <c r="N610" s="140"/>
      <c r="P610" s="141"/>
    </row>
    <row r="611" spans="1:16" x14ac:dyDescent="0.2">
      <c r="A611" s="129"/>
      <c r="B611" s="130"/>
      <c r="C611" s="140"/>
      <c r="D611" s="131"/>
      <c r="E611" s="129"/>
      <c r="F611" s="131"/>
      <c r="G611" s="130"/>
      <c r="H611" s="131"/>
      <c r="I611" s="132"/>
      <c r="J611" s="129"/>
      <c r="K611" s="140"/>
      <c r="L611" s="133"/>
      <c r="M611" s="140"/>
      <c r="N611" s="140"/>
      <c r="P611" s="141"/>
    </row>
    <row r="612" spans="1:16" x14ac:dyDescent="0.2">
      <c r="A612" s="129"/>
      <c r="B612" s="130"/>
      <c r="C612" s="140"/>
      <c r="D612" s="131"/>
      <c r="E612" s="129"/>
      <c r="F612" s="131"/>
      <c r="G612" s="130"/>
      <c r="H612" s="131"/>
      <c r="I612" s="132"/>
      <c r="J612" s="129"/>
      <c r="K612" s="140"/>
      <c r="L612" s="133"/>
      <c r="M612" s="140"/>
      <c r="N612" s="140"/>
      <c r="P612" s="141"/>
    </row>
    <row r="613" spans="1:16" x14ac:dyDescent="0.2">
      <c r="A613" s="129"/>
      <c r="B613" s="130"/>
      <c r="C613" s="140"/>
      <c r="D613" s="131"/>
      <c r="E613" s="129"/>
      <c r="F613" s="131"/>
      <c r="G613" s="130"/>
      <c r="H613" s="131"/>
      <c r="I613" s="132"/>
      <c r="J613" s="129"/>
      <c r="K613" s="140"/>
      <c r="L613" s="133"/>
      <c r="M613" s="140"/>
      <c r="N613" s="140"/>
      <c r="P613" s="141"/>
    </row>
    <row r="614" spans="1:16" x14ac:dyDescent="0.2">
      <c r="A614" s="129"/>
      <c r="B614" s="130"/>
      <c r="C614" s="140"/>
      <c r="D614" s="131"/>
      <c r="E614" s="129"/>
      <c r="F614" s="131"/>
      <c r="G614" s="130"/>
      <c r="H614" s="131"/>
      <c r="I614" s="132"/>
      <c r="J614" s="129"/>
      <c r="K614" s="140"/>
      <c r="L614" s="133"/>
      <c r="M614" s="140"/>
      <c r="N614" s="140"/>
      <c r="P614" s="141"/>
    </row>
    <row r="615" spans="1:16" x14ac:dyDescent="0.2">
      <c r="A615" s="129"/>
      <c r="B615" s="130"/>
      <c r="C615" s="140"/>
      <c r="D615" s="131"/>
      <c r="E615" s="129"/>
      <c r="F615" s="131"/>
      <c r="G615" s="130"/>
      <c r="H615" s="131"/>
      <c r="I615" s="132"/>
      <c r="J615" s="129"/>
      <c r="K615" s="140"/>
      <c r="L615" s="133"/>
      <c r="M615" s="140"/>
      <c r="N615" s="140"/>
      <c r="P615" s="141"/>
    </row>
    <row r="616" spans="1:16" x14ac:dyDescent="0.2">
      <c r="A616" s="129"/>
      <c r="B616" s="130"/>
      <c r="C616" s="140"/>
      <c r="D616" s="131"/>
      <c r="E616" s="129"/>
      <c r="F616" s="131"/>
      <c r="G616" s="130"/>
      <c r="H616" s="131"/>
      <c r="I616" s="132"/>
      <c r="J616" s="129"/>
      <c r="K616" s="140"/>
      <c r="L616" s="133"/>
      <c r="M616" s="140"/>
      <c r="N616" s="140"/>
      <c r="P616" s="141"/>
    </row>
    <row r="617" spans="1:16" x14ac:dyDescent="0.2">
      <c r="A617" s="129"/>
      <c r="B617" s="130"/>
      <c r="C617" s="140"/>
      <c r="D617" s="131"/>
      <c r="E617" s="129"/>
      <c r="F617" s="131"/>
      <c r="G617" s="130"/>
      <c r="H617" s="131"/>
      <c r="I617" s="132"/>
      <c r="J617" s="129"/>
      <c r="K617" s="140"/>
      <c r="L617" s="133"/>
      <c r="M617" s="140"/>
      <c r="N617" s="140"/>
      <c r="P617" s="141"/>
    </row>
    <row r="618" spans="1:16" x14ac:dyDescent="0.2">
      <c r="A618" s="129"/>
      <c r="B618" s="130"/>
      <c r="C618" s="140"/>
      <c r="D618" s="131"/>
      <c r="E618" s="129"/>
      <c r="F618" s="131"/>
      <c r="G618" s="130"/>
      <c r="H618" s="131"/>
      <c r="I618" s="132"/>
      <c r="J618" s="129"/>
      <c r="K618" s="140"/>
      <c r="L618" s="133"/>
      <c r="M618" s="140"/>
      <c r="N618" s="140"/>
      <c r="P618" s="141"/>
    </row>
    <row r="619" spans="1:16" x14ac:dyDescent="0.2">
      <c r="A619" s="129"/>
      <c r="B619" s="130"/>
      <c r="C619" s="140"/>
      <c r="D619" s="131"/>
      <c r="E619" s="129"/>
      <c r="F619" s="131"/>
      <c r="G619" s="130"/>
      <c r="H619" s="131"/>
      <c r="I619" s="132"/>
      <c r="J619" s="129"/>
      <c r="K619" s="140"/>
      <c r="L619" s="133"/>
      <c r="M619" s="140"/>
      <c r="N619" s="140"/>
      <c r="P619" s="141"/>
    </row>
    <row r="620" spans="1:16" x14ac:dyDescent="0.2">
      <c r="A620" s="129"/>
      <c r="B620" s="130"/>
      <c r="C620" s="140"/>
      <c r="D620" s="131"/>
      <c r="E620" s="129"/>
      <c r="F620" s="131"/>
      <c r="G620" s="130"/>
      <c r="H620" s="131"/>
      <c r="I620" s="132"/>
      <c r="J620" s="129"/>
      <c r="K620" s="140"/>
      <c r="L620" s="133"/>
      <c r="M620" s="140"/>
      <c r="N620" s="140"/>
      <c r="P620" s="141"/>
    </row>
    <row r="621" spans="1:16" x14ac:dyDescent="0.2">
      <c r="A621" s="129"/>
      <c r="B621" s="130"/>
      <c r="C621" s="140"/>
      <c r="D621" s="131"/>
      <c r="E621" s="129"/>
      <c r="F621" s="131"/>
      <c r="G621" s="130"/>
      <c r="H621" s="131"/>
      <c r="I621" s="132"/>
      <c r="J621" s="129"/>
      <c r="K621" s="140"/>
      <c r="L621" s="133"/>
      <c r="M621" s="140"/>
      <c r="N621" s="140"/>
      <c r="P621" s="141"/>
    </row>
    <row r="622" spans="1:16" x14ac:dyDescent="0.2">
      <c r="A622" s="129"/>
      <c r="B622" s="130"/>
      <c r="C622" s="140"/>
      <c r="D622" s="131"/>
      <c r="E622" s="129"/>
      <c r="F622" s="131"/>
      <c r="G622" s="130"/>
      <c r="H622" s="131"/>
      <c r="I622" s="132"/>
      <c r="J622" s="129"/>
      <c r="K622" s="140"/>
      <c r="L622" s="133"/>
      <c r="M622" s="140"/>
      <c r="N622" s="140"/>
      <c r="P622" s="141"/>
    </row>
    <row r="623" spans="1:16" x14ac:dyDescent="0.2">
      <c r="A623" s="129"/>
      <c r="B623" s="130"/>
      <c r="C623" s="140"/>
      <c r="D623" s="131"/>
      <c r="E623" s="129"/>
      <c r="F623" s="131"/>
      <c r="G623" s="130"/>
      <c r="H623" s="131"/>
      <c r="I623" s="132"/>
      <c r="J623" s="129"/>
      <c r="K623" s="140"/>
      <c r="L623" s="133"/>
      <c r="M623" s="140"/>
      <c r="N623" s="140"/>
      <c r="P623" s="141"/>
    </row>
    <row r="624" spans="1:16" x14ac:dyDescent="0.2">
      <c r="A624" s="129"/>
      <c r="B624" s="130"/>
      <c r="C624" s="140"/>
      <c r="D624" s="131"/>
      <c r="E624" s="129"/>
      <c r="F624" s="131"/>
      <c r="G624" s="130"/>
      <c r="H624" s="131"/>
      <c r="I624" s="132"/>
      <c r="J624" s="129"/>
      <c r="K624" s="140"/>
      <c r="L624" s="133"/>
      <c r="M624" s="140"/>
      <c r="N624" s="140"/>
      <c r="P624" s="141"/>
    </row>
    <row r="625" spans="1:16" x14ac:dyDescent="0.2">
      <c r="A625" s="129"/>
      <c r="B625" s="130"/>
      <c r="C625" s="140"/>
      <c r="D625" s="131"/>
      <c r="E625" s="129"/>
      <c r="F625" s="131"/>
      <c r="G625" s="130"/>
      <c r="H625" s="131"/>
      <c r="I625" s="132"/>
      <c r="J625" s="129"/>
      <c r="K625" s="140"/>
      <c r="L625" s="133"/>
      <c r="M625" s="140"/>
      <c r="N625" s="140"/>
      <c r="P625" s="141"/>
    </row>
    <row r="626" spans="1:16" x14ac:dyDescent="0.2">
      <c r="A626" s="129"/>
      <c r="B626" s="130"/>
      <c r="C626" s="140"/>
      <c r="D626" s="131"/>
      <c r="E626" s="129"/>
      <c r="F626" s="131"/>
      <c r="G626" s="130"/>
      <c r="H626" s="131"/>
      <c r="I626" s="132"/>
      <c r="J626" s="129"/>
      <c r="K626" s="140"/>
      <c r="L626" s="133"/>
      <c r="M626" s="140"/>
      <c r="N626" s="140"/>
      <c r="P626" s="141"/>
    </row>
    <row r="627" spans="1:16" x14ac:dyDescent="0.2">
      <c r="A627" s="129"/>
      <c r="B627" s="130"/>
      <c r="C627" s="140"/>
      <c r="D627" s="131"/>
      <c r="E627" s="129"/>
      <c r="F627" s="131"/>
      <c r="G627" s="130"/>
      <c r="H627" s="131"/>
      <c r="I627" s="132"/>
      <c r="J627" s="129"/>
      <c r="K627" s="140"/>
      <c r="L627" s="133"/>
      <c r="M627" s="140"/>
      <c r="N627" s="140"/>
      <c r="P627" s="141"/>
    </row>
    <row r="628" spans="1:16" x14ac:dyDescent="0.2">
      <c r="A628" s="129"/>
      <c r="B628" s="130"/>
      <c r="C628" s="140"/>
      <c r="D628" s="131"/>
      <c r="E628" s="129"/>
      <c r="F628" s="131"/>
      <c r="G628" s="130"/>
      <c r="H628" s="131"/>
      <c r="I628" s="132"/>
      <c r="J628" s="129"/>
      <c r="K628" s="140"/>
      <c r="L628" s="133"/>
      <c r="M628" s="140"/>
      <c r="N628" s="140"/>
      <c r="P628" s="141"/>
    </row>
    <row r="629" spans="1:16" x14ac:dyDescent="0.2">
      <c r="A629" s="129"/>
      <c r="B629" s="130"/>
      <c r="C629" s="140"/>
      <c r="D629" s="131"/>
      <c r="E629" s="129"/>
      <c r="F629" s="131"/>
      <c r="G629" s="130"/>
      <c r="H629" s="131"/>
      <c r="I629" s="132"/>
      <c r="J629" s="129"/>
      <c r="K629" s="140"/>
      <c r="L629" s="133"/>
      <c r="M629" s="140"/>
      <c r="N629" s="140"/>
      <c r="P629" s="141"/>
    </row>
    <row r="630" spans="1:16" x14ac:dyDescent="0.2">
      <c r="A630" s="129"/>
      <c r="B630" s="130"/>
      <c r="C630" s="140"/>
      <c r="D630" s="131"/>
      <c r="E630" s="129"/>
      <c r="F630" s="131"/>
      <c r="G630" s="130"/>
      <c r="H630" s="131"/>
      <c r="I630" s="132"/>
      <c r="J630" s="129"/>
      <c r="K630" s="140"/>
      <c r="L630" s="133"/>
      <c r="M630" s="140"/>
      <c r="N630" s="140"/>
      <c r="P630" s="141"/>
    </row>
    <row r="631" spans="1:16" x14ac:dyDescent="0.2">
      <c r="A631" s="129"/>
      <c r="B631" s="130"/>
      <c r="C631" s="140"/>
      <c r="D631" s="131"/>
      <c r="E631" s="129"/>
      <c r="F631" s="131"/>
      <c r="G631" s="130"/>
      <c r="H631" s="131"/>
      <c r="I631" s="132"/>
      <c r="J631" s="129"/>
      <c r="K631" s="140"/>
      <c r="L631" s="133"/>
      <c r="M631" s="140"/>
      <c r="N631" s="140"/>
      <c r="P631" s="141"/>
    </row>
    <row r="632" spans="1:16" x14ac:dyDescent="0.2">
      <c r="A632" s="129"/>
      <c r="B632" s="130"/>
      <c r="C632" s="140"/>
      <c r="D632" s="131"/>
      <c r="E632" s="129"/>
      <c r="F632" s="131"/>
      <c r="G632" s="130"/>
      <c r="H632" s="131"/>
      <c r="I632" s="132"/>
      <c r="J632" s="129"/>
      <c r="K632" s="140"/>
      <c r="L632" s="133"/>
      <c r="M632" s="140"/>
      <c r="N632" s="140"/>
      <c r="P632" s="141"/>
    </row>
    <row r="633" spans="1:16" x14ac:dyDescent="0.2">
      <c r="A633" s="129"/>
      <c r="B633" s="130"/>
      <c r="C633" s="140"/>
      <c r="D633" s="131"/>
      <c r="E633" s="129"/>
      <c r="F633" s="131"/>
      <c r="G633" s="130"/>
      <c r="H633" s="131"/>
      <c r="I633" s="132"/>
      <c r="J633" s="129"/>
      <c r="K633" s="140"/>
      <c r="L633" s="133"/>
      <c r="M633" s="140"/>
      <c r="N633" s="140"/>
      <c r="P633" s="141"/>
    </row>
    <row r="634" spans="1:16" x14ac:dyDescent="0.2">
      <c r="A634" s="129"/>
      <c r="B634" s="130"/>
      <c r="C634" s="140"/>
      <c r="D634" s="131"/>
      <c r="E634" s="129"/>
      <c r="F634" s="131"/>
      <c r="G634" s="130"/>
      <c r="H634" s="131"/>
      <c r="I634" s="132"/>
      <c r="J634" s="129"/>
      <c r="K634" s="140"/>
      <c r="L634" s="133"/>
      <c r="M634" s="140"/>
      <c r="N634" s="140"/>
      <c r="P634" s="141"/>
    </row>
    <row r="635" spans="1:16" x14ac:dyDescent="0.2">
      <c r="A635" s="129"/>
      <c r="B635" s="130"/>
      <c r="C635" s="140"/>
      <c r="D635" s="131"/>
      <c r="E635" s="129"/>
      <c r="F635" s="131"/>
      <c r="G635" s="130"/>
      <c r="H635" s="131"/>
      <c r="I635" s="132"/>
      <c r="J635" s="129"/>
      <c r="K635" s="140"/>
      <c r="L635" s="133"/>
      <c r="M635" s="140"/>
      <c r="N635" s="140"/>
      <c r="P635" s="141"/>
    </row>
    <row r="636" spans="1:16" x14ac:dyDescent="0.2">
      <c r="A636" s="129"/>
      <c r="B636" s="130"/>
      <c r="C636" s="140"/>
      <c r="D636" s="131"/>
      <c r="E636" s="129"/>
      <c r="F636" s="131"/>
      <c r="G636" s="130"/>
      <c r="H636" s="131"/>
      <c r="I636" s="132"/>
      <c r="J636" s="129"/>
      <c r="K636" s="140"/>
      <c r="L636" s="133"/>
      <c r="M636" s="140"/>
      <c r="N636" s="140"/>
      <c r="P636" s="141"/>
    </row>
    <row r="637" spans="1:16" x14ac:dyDescent="0.2">
      <c r="A637" s="129"/>
      <c r="B637" s="130"/>
      <c r="C637" s="140"/>
      <c r="D637" s="131"/>
      <c r="E637" s="129"/>
      <c r="F637" s="131"/>
      <c r="G637" s="130"/>
      <c r="H637" s="131"/>
      <c r="I637" s="132"/>
      <c r="J637" s="129"/>
      <c r="K637" s="140"/>
      <c r="L637" s="133"/>
      <c r="M637" s="140"/>
      <c r="N637" s="140"/>
      <c r="P637" s="141"/>
    </row>
    <row r="638" spans="1:16" x14ac:dyDescent="0.2">
      <c r="A638" s="129"/>
      <c r="B638" s="130"/>
      <c r="C638" s="140"/>
      <c r="D638" s="131"/>
      <c r="E638" s="129"/>
      <c r="F638" s="131"/>
      <c r="G638" s="130"/>
      <c r="H638" s="131"/>
      <c r="I638" s="132"/>
      <c r="J638" s="129"/>
      <c r="K638" s="140"/>
      <c r="L638" s="133"/>
      <c r="M638" s="140"/>
      <c r="N638" s="140"/>
      <c r="P638" s="141"/>
    </row>
    <row r="639" spans="1:16" x14ac:dyDescent="0.2">
      <c r="A639" s="129"/>
      <c r="B639" s="130"/>
      <c r="C639" s="140"/>
      <c r="D639" s="131"/>
      <c r="E639" s="129"/>
      <c r="F639" s="131"/>
      <c r="G639" s="130"/>
      <c r="H639" s="131"/>
      <c r="I639" s="132"/>
      <c r="J639" s="129"/>
      <c r="K639" s="140"/>
      <c r="L639" s="133"/>
      <c r="M639" s="140"/>
      <c r="N639" s="140"/>
      <c r="P639" s="141"/>
    </row>
    <row r="640" spans="1:16" x14ac:dyDescent="0.2">
      <c r="A640" s="129"/>
      <c r="B640" s="130"/>
      <c r="C640" s="140"/>
      <c r="D640" s="131"/>
      <c r="E640" s="129"/>
      <c r="F640" s="131"/>
      <c r="G640" s="130"/>
      <c r="H640" s="131"/>
      <c r="I640" s="132"/>
      <c r="J640" s="129"/>
      <c r="K640" s="140"/>
      <c r="L640" s="133"/>
      <c r="M640" s="140"/>
      <c r="N640" s="140"/>
      <c r="P640" s="141"/>
    </row>
    <row r="641" spans="1:16" x14ac:dyDescent="0.2">
      <c r="A641" s="129"/>
      <c r="B641" s="130"/>
      <c r="C641" s="140"/>
      <c r="D641" s="131"/>
      <c r="E641" s="129"/>
      <c r="F641" s="131"/>
      <c r="G641" s="130"/>
      <c r="H641" s="131"/>
      <c r="I641" s="132"/>
      <c r="J641" s="129"/>
      <c r="K641" s="140"/>
      <c r="L641" s="133"/>
      <c r="M641" s="140"/>
      <c r="N641" s="140"/>
      <c r="P641" s="141"/>
    </row>
    <row r="642" spans="1:16" x14ac:dyDescent="0.2">
      <c r="A642" s="129"/>
      <c r="B642" s="130"/>
      <c r="C642" s="140"/>
      <c r="D642" s="131"/>
      <c r="E642" s="129"/>
      <c r="F642" s="131"/>
      <c r="G642" s="130"/>
      <c r="H642" s="131"/>
      <c r="I642" s="132"/>
      <c r="J642" s="129"/>
      <c r="K642" s="140"/>
      <c r="L642" s="133"/>
      <c r="M642" s="140"/>
      <c r="N642" s="140"/>
      <c r="P642" s="141"/>
    </row>
    <row r="643" spans="1:16" x14ac:dyDescent="0.2">
      <c r="A643" s="129"/>
      <c r="B643" s="130"/>
      <c r="C643" s="140"/>
      <c r="D643" s="131"/>
      <c r="E643" s="129"/>
      <c r="F643" s="131"/>
      <c r="G643" s="130"/>
      <c r="H643" s="131"/>
      <c r="I643" s="132"/>
      <c r="J643" s="129"/>
      <c r="K643" s="140"/>
      <c r="L643" s="133"/>
      <c r="M643" s="140"/>
      <c r="N643" s="140"/>
      <c r="P643" s="141"/>
    </row>
    <row r="644" spans="1:16" x14ac:dyDescent="0.2">
      <c r="A644" s="129"/>
      <c r="B644" s="130"/>
      <c r="C644" s="140"/>
      <c r="D644" s="131"/>
      <c r="E644" s="129"/>
      <c r="F644" s="131"/>
      <c r="G644" s="130"/>
      <c r="H644" s="131"/>
      <c r="I644" s="132"/>
      <c r="J644" s="129"/>
      <c r="K644" s="140"/>
      <c r="L644" s="133"/>
      <c r="M644" s="140"/>
      <c r="N644" s="140"/>
      <c r="P644" s="141"/>
    </row>
    <row r="645" spans="1:16" x14ac:dyDescent="0.2">
      <c r="A645" s="129"/>
      <c r="B645" s="130"/>
      <c r="C645" s="140"/>
      <c r="D645" s="131"/>
      <c r="E645" s="129"/>
      <c r="F645" s="131"/>
      <c r="G645" s="130"/>
      <c r="H645" s="131"/>
      <c r="I645" s="132"/>
      <c r="J645" s="129"/>
      <c r="K645" s="140"/>
      <c r="L645" s="133"/>
      <c r="M645" s="140"/>
      <c r="N645" s="140"/>
      <c r="P645" s="141"/>
    </row>
    <row r="646" spans="1:16" x14ac:dyDescent="0.2">
      <c r="A646" s="129"/>
      <c r="B646" s="130"/>
      <c r="C646" s="140"/>
      <c r="D646" s="131"/>
      <c r="E646" s="129"/>
      <c r="F646" s="131"/>
      <c r="G646" s="130"/>
      <c r="H646" s="131"/>
      <c r="I646" s="132"/>
      <c r="J646" s="129"/>
      <c r="K646" s="140"/>
      <c r="L646" s="133"/>
      <c r="M646" s="140"/>
      <c r="N646" s="140"/>
      <c r="P646" s="141"/>
    </row>
    <row r="647" spans="1:16" x14ac:dyDescent="0.2">
      <c r="A647" s="129"/>
      <c r="B647" s="130"/>
      <c r="C647" s="140"/>
      <c r="D647" s="131"/>
      <c r="E647" s="129"/>
      <c r="F647" s="131"/>
      <c r="G647" s="130"/>
      <c r="H647" s="131"/>
      <c r="I647" s="132"/>
      <c r="J647" s="129"/>
      <c r="K647" s="140"/>
      <c r="L647" s="133"/>
      <c r="M647" s="140"/>
      <c r="N647" s="140"/>
      <c r="P647" s="141"/>
    </row>
    <row r="648" spans="1:16" x14ac:dyDescent="0.2">
      <c r="A648" s="129"/>
      <c r="B648" s="130"/>
      <c r="C648" s="140"/>
      <c r="D648" s="131"/>
      <c r="E648" s="129"/>
      <c r="F648" s="131"/>
      <c r="G648" s="130"/>
      <c r="H648" s="131"/>
      <c r="I648" s="132"/>
      <c r="J648" s="129"/>
      <c r="K648" s="140"/>
      <c r="L648" s="133"/>
      <c r="M648" s="140"/>
      <c r="N648" s="140"/>
      <c r="P648" s="141"/>
    </row>
    <row r="649" spans="1:16" x14ac:dyDescent="0.2">
      <c r="A649" s="129"/>
      <c r="B649" s="130"/>
      <c r="C649" s="140"/>
      <c r="D649" s="131"/>
      <c r="E649" s="129"/>
      <c r="F649" s="131"/>
      <c r="G649" s="130"/>
      <c r="H649" s="131"/>
      <c r="I649" s="132"/>
      <c r="J649" s="129"/>
      <c r="K649" s="140"/>
      <c r="L649" s="133"/>
      <c r="M649" s="140"/>
      <c r="N649" s="140"/>
      <c r="P649" s="141"/>
    </row>
    <row r="650" spans="1:16" x14ac:dyDescent="0.2">
      <c r="A650" s="129"/>
      <c r="B650" s="130"/>
      <c r="C650" s="140"/>
      <c r="D650" s="131"/>
      <c r="E650" s="129"/>
      <c r="F650" s="131"/>
      <c r="G650" s="130"/>
      <c r="H650" s="131"/>
      <c r="I650" s="132"/>
      <c r="J650" s="129"/>
      <c r="K650" s="140"/>
      <c r="L650" s="133"/>
      <c r="M650" s="140"/>
      <c r="N650" s="140"/>
      <c r="P650" s="141"/>
    </row>
    <row r="651" spans="1:16" x14ac:dyDescent="0.2">
      <c r="A651" s="129"/>
      <c r="B651" s="130"/>
      <c r="C651" s="140"/>
      <c r="D651" s="131"/>
      <c r="E651" s="129"/>
      <c r="F651" s="131"/>
      <c r="G651" s="130"/>
      <c r="H651" s="131"/>
      <c r="I651" s="132"/>
      <c r="J651" s="129"/>
      <c r="K651" s="140"/>
      <c r="L651" s="133"/>
      <c r="M651" s="140"/>
      <c r="N651" s="140"/>
      <c r="P651" s="141"/>
    </row>
    <row r="652" spans="1:16" x14ac:dyDescent="0.2">
      <c r="A652" s="129"/>
      <c r="B652" s="130"/>
      <c r="C652" s="140"/>
      <c r="D652" s="131"/>
      <c r="E652" s="129"/>
      <c r="F652" s="131"/>
      <c r="G652" s="130"/>
      <c r="H652" s="131"/>
      <c r="I652" s="132"/>
      <c r="J652" s="129"/>
      <c r="K652" s="140"/>
      <c r="L652" s="133"/>
      <c r="M652" s="140"/>
      <c r="N652" s="140"/>
      <c r="P652" s="141"/>
    </row>
    <row r="653" spans="1:16" x14ac:dyDescent="0.2">
      <c r="A653" s="129"/>
      <c r="B653" s="130"/>
      <c r="C653" s="140"/>
      <c r="D653" s="131"/>
      <c r="E653" s="129"/>
      <c r="F653" s="131"/>
      <c r="G653" s="130"/>
      <c r="H653" s="131"/>
      <c r="I653" s="132"/>
      <c r="J653" s="129"/>
      <c r="K653" s="140"/>
      <c r="L653" s="133"/>
      <c r="M653" s="140"/>
      <c r="N653" s="140"/>
      <c r="P653" s="141"/>
    </row>
    <row r="654" spans="1:16" x14ac:dyDescent="0.2">
      <c r="A654" s="129"/>
      <c r="B654" s="130"/>
      <c r="C654" s="140"/>
      <c r="D654" s="131"/>
      <c r="E654" s="129"/>
      <c r="F654" s="131"/>
      <c r="G654" s="130"/>
      <c r="H654" s="131"/>
      <c r="I654" s="132"/>
      <c r="J654" s="129"/>
      <c r="K654" s="140"/>
      <c r="L654" s="133"/>
      <c r="M654" s="140"/>
      <c r="N654" s="140"/>
      <c r="P654" s="141"/>
    </row>
    <row r="655" spans="1:16" x14ac:dyDescent="0.2">
      <c r="A655" s="129"/>
      <c r="B655" s="130"/>
      <c r="C655" s="140"/>
      <c r="D655" s="131"/>
      <c r="E655" s="129"/>
      <c r="F655" s="131"/>
      <c r="G655" s="130"/>
      <c r="H655" s="131"/>
      <c r="I655" s="132"/>
      <c r="J655" s="129"/>
      <c r="K655" s="140"/>
      <c r="L655" s="133"/>
      <c r="M655" s="140"/>
      <c r="N655" s="140"/>
      <c r="P655" s="141"/>
    </row>
    <row r="656" spans="1:16" x14ac:dyDescent="0.2">
      <c r="A656" s="129"/>
      <c r="B656" s="130"/>
      <c r="C656" s="140"/>
      <c r="D656" s="131"/>
      <c r="E656" s="129"/>
      <c r="F656" s="131"/>
      <c r="G656" s="130"/>
      <c r="H656" s="131"/>
      <c r="I656" s="132"/>
      <c r="J656" s="129"/>
      <c r="K656" s="140"/>
      <c r="L656" s="133"/>
      <c r="M656" s="140"/>
      <c r="N656" s="140"/>
      <c r="P656" s="141"/>
    </row>
    <row r="657" spans="1:16" x14ac:dyDescent="0.2">
      <c r="A657" s="129"/>
      <c r="B657" s="130"/>
      <c r="C657" s="140"/>
      <c r="D657" s="131"/>
      <c r="E657" s="129"/>
      <c r="F657" s="131"/>
      <c r="G657" s="130"/>
      <c r="H657" s="131"/>
      <c r="I657" s="132"/>
      <c r="J657" s="129"/>
      <c r="K657" s="140"/>
      <c r="L657" s="133"/>
      <c r="M657" s="140"/>
      <c r="N657" s="140"/>
      <c r="P657" s="141"/>
    </row>
    <row r="658" spans="1:16" x14ac:dyDescent="0.2">
      <c r="A658" s="129"/>
      <c r="B658" s="130"/>
      <c r="C658" s="140"/>
      <c r="D658" s="131"/>
      <c r="E658" s="129"/>
      <c r="F658" s="131"/>
      <c r="G658" s="130"/>
      <c r="H658" s="131"/>
      <c r="I658" s="132"/>
      <c r="J658" s="129"/>
      <c r="K658" s="140"/>
      <c r="L658" s="133"/>
      <c r="M658" s="140"/>
      <c r="N658" s="140"/>
      <c r="P658" s="141"/>
    </row>
    <row r="659" spans="1:16" x14ac:dyDescent="0.2">
      <c r="A659" s="129"/>
      <c r="B659" s="130"/>
      <c r="C659" s="140"/>
      <c r="D659" s="131"/>
      <c r="E659" s="129"/>
      <c r="F659" s="131"/>
      <c r="G659" s="130"/>
      <c r="H659" s="131"/>
      <c r="I659" s="132"/>
      <c r="J659" s="129"/>
      <c r="K659" s="140"/>
      <c r="L659" s="133"/>
      <c r="M659" s="140"/>
      <c r="N659" s="140"/>
      <c r="P659" s="141"/>
    </row>
    <row r="660" spans="1:16" x14ac:dyDescent="0.2">
      <c r="A660" s="129"/>
      <c r="B660" s="130"/>
      <c r="C660" s="140"/>
      <c r="D660" s="131"/>
      <c r="E660" s="129"/>
      <c r="F660" s="131"/>
      <c r="G660" s="130"/>
      <c r="H660" s="131"/>
      <c r="I660" s="132"/>
      <c r="J660" s="129"/>
      <c r="K660" s="140"/>
      <c r="L660" s="133"/>
      <c r="M660" s="140"/>
      <c r="N660" s="140"/>
      <c r="P660" s="141"/>
    </row>
    <row r="661" spans="1:16" x14ac:dyDescent="0.2">
      <c r="A661" s="129"/>
      <c r="B661" s="130"/>
      <c r="C661" s="140"/>
      <c r="D661" s="131"/>
      <c r="E661" s="129"/>
      <c r="F661" s="131"/>
      <c r="G661" s="130"/>
      <c r="H661" s="131"/>
      <c r="I661" s="132"/>
      <c r="J661" s="129"/>
      <c r="K661" s="140"/>
      <c r="L661" s="133"/>
      <c r="M661" s="140"/>
      <c r="N661" s="140"/>
      <c r="P661" s="141"/>
    </row>
    <row r="662" spans="1:16" x14ac:dyDescent="0.2">
      <c r="A662" s="129"/>
      <c r="B662" s="130"/>
      <c r="C662" s="140"/>
      <c r="D662" s="131"/>
      <c r="E662" s="129"/>
      <c r="F662" s="131"/>
      <c r="G662" s="130"/>
      <c r="H662" s="131"/>
      <c r="I662" s="132"/>
      <c r="J662" s="129"/>
      <c r="K662" s="140"/>
      <c r="L662" s="133"/>
      <c r="M662" s="140"/>
      <c r="N662" s="140"/>
      <c r="P662" s="141"/>
    </row>
    <row r="663" spans="1:16" x14ac:dyDescent="0.2">
      <c r="A663" s="129"/>
      <c r="B663" s="130"/>
      <c r="C663" s="140"/>
      <c r="D663" s="131"/>
      <c r="E663" s="129"/>
      <c r="F663" s="131"/>
      <c r="G663" s="130"/>
      <c r="H663" s="131"/>
      <c r="I663" s="132"/>
      <c r="J663" s="129"/>
      <c r="K663" s="140"/>
      <c r="L663" s="133"/>
      <c r="M663" s="140"/>
      <c r="N663" s="140"/>
      <c r="P663" s="141"/>
    </row>
    <row r="664" spans="1:16" x14ac:dyDescent="0.2">
      <c r="A664" s="129"/>
      <c r="B664" s="130"/>
      <c r="C664" s="140"/>
      <c r="D664" s="131"/>
      <c r="E664" s="129"/>
      <c r="F664" s="131"/>
      <c r="G664" s="130"/>
      <c r="H664" s="131"/>
      <c r="I664" s="132"/>
      <c r="J664" s="129"/>
      <c r="K664" s="140"/>
      <c r="L664" s="133"/>
      <c r="M664" s="140"/>
      <c r="N664" s="140"/>
      <c r="P664" s="141"/>
    </row>
    <row r="665" spans="1:16" x14ac:dyDescent="0.2">
      <c r="A665" s="129"/>
      <c r="B665" s="130"/>
      <c r="C665" s="140"/>
      <c r="D665" s="131"/>
      <c r="E665" s="129"/>
      <c r="F665" s="131"/>
      <c r="G665" s="130"/>
      <c r="H665" s="131"/>
      <c r="I665" s="132"/>
      <c r="J665" s="129"/>
      <c r="K665" s="140"/>
      <c r="L665" s="133"/>
      <c r="M665" s="140"/>
      <c r="N665" s="140"/>
      <c r="P665" s="141"/>
    </row>
    <row r="666" spans="1:16" x14ac:dyDescent="0.2">
      <c r="A666" s="129"/>
      <c r="B666" s="130"/>
      <c r="C666" s="140"/>
      <c r="D666" s="131"/>
      <c r="E666" s="129"/>
      <c r="F666" s="131"/>
      <c r="G666" s="130"/>
      <c r="H666" s="131"/>
      <c r="I666" s="132"/>
      <c r="J666" s="129"/>
      <c r="K666" s="140"/>
      <c r="L666" s="133"/>
      <c r="M666" s="140"/>
      <c r="N666" s="140"/>
      <c r="P666" s="141"/>
    </row>
    <row r="667" spans="1:16" x14ac:dyDescent="0.2">
      <c r="A667" s="129"/>
      <c r="B667" s="130"/>
      <c r="C667" s="140"/>
      <c r="D667" s="131"/>
      <c r="E667" s="129"/>
      <c r="F667" s="131"/>
      <c r="G667" s="130"/>
      <c r="H667" s="131"/>
      <c r="I667" s="132"/>
      <c r="J667" s="129"/>
      <c r="K667" s="140"/>
      <c r="L667" s="133"/>
      <c r="M667" s="140"/>
      <c r="N667" s="140"/>
      <c r="P667" s="141"/>
    </row>
    <row r="668" spans="1:16" x14ac:dyDescent="0.2">
      <c r="A668" s="129"/>
      <c r="B668" s="130"/>
      <c r="C668" s="140"/>
      <c r="D668" s="131"/>
      <c r="E668" s="129"/>
      <c r="F668" s="131"/>
      <c r="G668" s="130"/>
      <c r="H668" s="131"/>
      <c r="I668" s="132"/>
      <c r="J668" s="129"/>
      <c r="K668" s="140"/>
      <c r="L668" s="133"/>
      <c r="M668" s="140"/>
      <c r="N668" s="140"/>
      <c r="P668" s="141"/>
    </row>
    <row r="669" spans="1:16" x14ac:dyDescent="0.2">
      <c r="A669" s="129"/>
      <c r="B669" s="130"/>
      <c r="C669" s="140"/>
      <c r="D669" s="131"/>
      <c r="E669" s="129"/>
      <c r="F669" s="131"/>
      <c r="G669" s="130"/>
      <c r="H669" s="131"/>
      <c r="I669" s="132"/>
      <c r="J669" s="129"/>
      <c r="K669" s="140"/>
      <c r="L669" s="133"/>
      <c r="M669" s="140"/>
      <c r="N669" s="140"/>
      <c r="P669" s="141"/>
    </row>
    <row r="670" spans="1:16" x14ac:dyDescent="0.2">
      <c r="A670" s="129"/>
      <c r="B670" s="130"/>
      <c r="C670" s="140"/>
      <c r="D670" s="131"/>
      <c r="E670" s="129"/>
      <c r="F670" s="131"/>
      <c r="G670" s="130"/>
      <c r="H670" s="131"/>
      <c r="I670" s="132"/>
      <c r="J670" s="129"/>
      <c r="K670" s="140"/>
      <c r="L670" s="133"/>
      <c r="M670" s="140"/>
      <c r="N670" s="140"/>
      <c r="P670" s="141"/>
    </row>
    <row r="671" spans="1:16" x14ac:dyDescent="0.2">
      <c r="A671" s="129"/>
      <c r="B671" s="130"/>
      <c r="C671" s="140"/>
      <c r="D671" s="131"/>
      <c r="E671" s="129"/>
      <c r="F671" s="131"/>
      <c r="G671" s="130"/>
      <c r="H671" s="131"/>
      <c r="I671" s="132"/>
      <c r="J671" s="129"/>
      <c r="K671" s="140"/>
      <c r="L671" s="133"/>
      <c r="M671" s="140"/>
      <c r="N671" s="140"/>
      <c r="P671" s="141"/>
    </row>
    <row r="672" spans="1:16" x14ac:dyDescent="0.2">
      <c r="A672" s="129"/>
      <c r="B672" s="130"/>
      <c r="C672" s="140"/>
      <c r="D672" s="131"/>
      <c r="E672" s="129"/>
      <c r="F672" s="131"/>
      <c r="G672" s="130"/>
      <c r="H672" s="131"/>
      <c r="I672" s="132"/>
      <c r="J672" s="129"/>
      <c r="K672" s="140"/>
      <c r="L672" s="133"/>
      <c r="M672" s="140"/>
      <c r="N672" s="140"/>
      <c r="P672" s="141"/>
    </row>
    <row r="673" spans="1:16" x14ac:dyDescent="0.2">
      <c r="A673" s="129"/>
      <c r="B673" s="130"/>
      <c r="C673" s="140"/>
      <c r="D673" s="131"/>
      <c r="E673" s="129"/>
      <c r="F673" s="131"/>
      <c r="G673" s="130"/>
      <c r="H673" s="131"/>
      <c r="I673" s="132"/>
      <c r="J673" s="129"/>
      <c r="K673" s="140"/>
      <c r="L673" s="133"/>
      <c r="M673" s="140"/>
      <c r="N673" s="140"/>
      <c r="P673" s="141"/>
    </row>
    <row r="674" spans="1:16" x14ac:dyDescent="0.2">
      <c r="A674" s="129"/>
      <c r="B674" s="130"/>
      <c r="C674" s="140"/>
      <c r="D674" s="131"/>
      <c r="E674" s="129"/>
      <c r="F674" s="131"/>
      <c r="G674" s="130"/>
      <c r="H674" s="131"/>
      <c r="I674" s="132"/>
      <c r="J674" s="129"/>
      <c r="K674" s="140"/>
      <c r="L674" s="133"/>
      <c r="M674" s="140"/>
      <c r="N674" s="140"/>
      <c r="P674" s="141"/>
    </row>
    <row r="675" spans="1:16" x14ac:dyDescent="0.2">
      <c r="A675" s="129"/>
      <c r="B675" s="130"/>
      <c r="C675" s="140"/>
      <c r="D675" s="131"/>
      <c r="E675" s="129"/>
      <c r="F675" s="131"/>
      <c r="G675" s="130"/>
      <c r="H675" s="131"/>
      <c r="I675" s="132"/>
      <c r="J675" s="129"/>
      <c r="K675" s="140"/>
      <c r="L675" s="133"/>
      <c r="M675" s="140"/>
      <c r="N675" s="140"/>
      <c r="P675" s="141"/>
    </row>
    <row r="676" spans="1:16" x14ac:dyDescent="0.2">
      <c r="A676" s="129"/>
      <c r="B676" s="130"/>
      <c r="C676" s="140"/>
      <c r="D676" s="131"/>
      <c r="E676" s="129"/>
      <c r="F676" s="131"/>
      <c r="G676" s="130"/>
      <c r="H676" s="131"/>
      <c r="I676" s="132"/>
      <c r="J676" s="129"/>
      <c r="K676" s="140"/>
      <c r="L676" s="133"/>
      <c r="M676" s="140"/>
      <c r="N676" s="140"/>
      <c r="P676" s="141"/>
    </row>
    <row r="677" spans="1:16" x14ac:dyDescent="0.2">
      <c r="A677" s="129"/>
      <c r="B677" s="130"/>
      <c r="C677" s="140"/>
      <c r="D677" s="131"/>
      <c r="E677" s="129"/>
      <c r="F677" s="131"/>
      <c r="G677" s="130"/>
      <c r="H677" s="131"/>
      <c r="I677" s="132"/>
      <c r="J677" s="129"/>
      <c r="K677" s="140"/>
      <c r="L677" s="133"/>
      <c r="M677" s="140"/>
      <c r="N677" s="140"/>
      <c r="P677" s="141"/>
    </row>
    <row r="678" spans="1:16" x14ac:dyDescent="0.2">
      <c r="A678" s="129"/>
      <c r="B678" s="130"/>
      <c r="C678" s="140"/>
      <c r="D678" s="131"/>
      <c r="E678" s="129"/>
      <c r="F678" s="131"/>
      <c r="G678" s="130"/>
      <c r="H678" s="131"/>
      <c r="I678" s="132"/>
      <c r="J678" s="129"/>
      <c r="K678" s="140"/>
      <c r="L678" s="133"/>
      <c r="M678" s="140"/>
      <c r="N678" s="140"/>
      <c r="P678" s="141"/>
    </row>
    <row r="679" spans="1:16" x14ac:dyDescent="0.2">
      <c r="A679" s="129"/>
      <c r="B679" s="130"/>
      <c r="C679" s="140"/>
      <c r="D679" s="131"/>
      <c r="E679" s="129"/>
      <c r="F679" s="131"/>
      <c r="G679" s="130"/>
      <c r="H679" s="131"/>
      <c r="I679" s="132"/>
      <c r="J679" s="129"/>
      <c r="K679" s="140"/>
      <c r="L679" s="133"/>
      <c r="M679" s="140"/>
      <c r="N679" s="140"/>
      <c r="P679" s="141"/>
    </row>
    <row r="680" spans="1:16" x14ac:dyDescent="0.2">
      <c r="A680" s="129"/>
      <c r="B680" s="130"/>
      <c r="C680" s="140"/>
      <c r="D680" s="131"/>
      <c r="E680" s="129"/>
      <c r="F680" s="131"/>
      <c r="G680" s="130"/>
      <c r="H680" s="131"/>
      <c r="I680" s="132"/>
      <c r="J680" s="129"/>
      <c r="K680" s="140"/>
      <c r="L680" s="133"/>
      <c r="M680" s="140"/>
      <c r="N680" s="140"/>
      <c r="P680" s="141"/>
    </row>
    <row r="681" spans="1:16" x14ac:dyDescent="0.2">
      <c r="A681" s="129"/>
      <c r="B681" s="130"/>
      <c r="C681" s="140"/>
      <c r="D681" s="131"/>
      <c r="E681" s="129"/>
      <c r="F681" s="131"/>
      <c r="G681" s="130"/>
      <c r="H681" s="131"/>
      <c r="I681" s="132"/>
      <c r="J681" s="129"/>
      <c r="K681" s="140"/>
      <c r="L681" s="133"/>
      <c r="M681" s="140"/>
      <c r="N681" s="140"/>
      <c r="P681" s="141"/>
    </row>
    <row r="682" spans="1:16" x14ac:dyDescent="0.2">
      <c r="A682" s="129"/>
      <c r="B682" s="130"/>
      <c r="C682" s="140"/>
      <c r="D682" s="131"/>
      <c r="E682" s="129"/>
      <c r="F682" s="131"/>
      <c r="G682" s="130"/>
      <c r="H682" s="131"/>
      <c r="I682" s="132"/>
      <c r="J682" s="129"/>
      <c r="K682" s="140"/>
      <c r="L682" s="133"/>
      <c r="M682" s="140"/>
      <c r="N682" s="140"/>
      <c r="P682" s="141"/>
    </row>
    <row r="683" spans="1:16" x14ac:dyDescent="0.2">
      <c r="A683" s="129"/>
      <c r="B683" s="130"/>
      <c r="C683" s="140"/>
      <c r="D683" s="131"/>
      <c r="E683" s="129"/>
      <c r="F683" s="131"/>
      <c r="G683" s="130"/>
      <c r="H683" s="131"/>
      <c r="I683" s="132"/>
      <c r="J683" s="129"/>
      <c r="K683" s="140"/>
      <c r="L683" s="133"/>
      <c r="M683" s="140"/>
      <c r="N683" s="140"/>
      <c r="P683" s="141"/>
    </row>
    <row r="684" spans="1:16" x14ac:dyDescent="0.2">
      <c r="A684" s="129"/>
      <c r="B684" s="130"/>
      <c r="C684" s="140"/>
      <c r="D684" s="131"/>
      <c r="E684" s="129"/>
      <c r="F684" s="131"/>
      <c r="G684" s="130"/>
      <c r="H684" s="131"/>
      <c r="I684" s="132"/>
      <c r="J684" s="129"/>
      <c r="K684" s="140"/>
      <c r="L684" s="133"/>
      <c r="M684" s="140"/>
      <c r="N684" s="140"/>
      <c r="P684" s="141"/>
    </row>
    <row r="685" spans="1:16" x14ac:dyDescent="0.2">
      <c r="A685" s="129"/>
      <c r="B685" s="130"/>
      <c r="C685" s="140"/>
      <c r="D685" s="131"/>
      <c r="E685" s="129"/>
      <c r="F685" s="131"/>
      <c r="G685" s="130"/>
      <c r="H685" s="131"/>
      <c r="I685" s="132"/>
      <c r="J685" s="129"/>
      <c r="K685" s="140"/>
      <c r="L685" s="133"/>
      <c r="M685" s="140"/>
      <c r="N685" s="140"/>
      <c r="P685" s="141"/>
    </row>
    <row r="686" spans="1:16" x14ac:dyDescent="0.2">
      <c r="A686" s="129"/>
      <c r="B686" s="130"/>
      <c r="C686" s="140"/>
      <c r="D686" s="131"/>
      <c r="E686" s="129"/>
      <c r="F686" s="131"/>
      <c r="G686" s="130"/>
      <c r="H686" s="131"/>
      <c r="I686" s="132"/>
      <c r="J686" s="129"/>
      <c r="K686" s="140"/>
      <c r="L686" s="133"/>
      <c r="M686" s="140"/>
      <c r="N686" s="140"/>
      <c r="P686" s="141"/>
    </row>
    <row r="687" spans="1:16" x14ac:dyDescent="0.2">
      <c r="A687" s="129"/>
      <c r="B687" s="130"/>
      <c r="C687" s="140"/>
      <c r="D687" s="131"/>
      <c r="E687" s="129"/>
      <c r="F687" s="131"/>
      <c r="G687" s="130"/>
      <c r="H687" s="131"/>
      <c r="I687" s="132"/>
      <c r="J687" s="129"/>
      <c r="K687" s="140"/>
      <c r="L687" s="133"/>
      <c r="M687" s="140"/>
      <c r="N687" s="140"/>
      <c r="P687" s="141"/>
    </row>
    <row r="688" spans="1:16" x14ac:dyDescent="0.2">
      <c r="A688" s="129"/>
      <c r="B688" s="130"/>
      <c r="C688" s="140"/>
      <c r="D688" s="131"/>
      <c r="E688" s="129"/>
      <c r="F688" s="131"/>
      <c r="G688" s="130"/>
      <c r="H688" s="131"/>
      <c r="I688" s="132"/>
      <c r="J688" s="129"/>
      <c r="K688" s="140"/>
      <c r="L688" s="133"/>
      <c r="M688" s="140"/>
      <c r="N688" s="140"/>
      <c r="P688" s="141"/>
    </row>
    <row r="689" spans="1:16" x14ac:dyDescent="0.2">
      <c r="A689" s="129"/>
      <c r="B689" s="130"/>
      <c r="C689" s="140"/>
      <c r="D689" s="131"/>
      <c r="E689" s="129"/>
      <c r="F689" s="131"/>
      <c r="G689" s="130"/>
      <c r="H689" s="131"/>
      <c r="I689" s="132"/>
      <c r="J689" s="129"/>
      <c r="K689" s="140"/>
      <c r="L689" s="133"/>
      <c r="M689" s="140"/>
      <c r="N689" s="140"/>
      <c r="P689" s="141"/>
    </row>
    <row r="690" spans="1:16" x14ac:dyDescent="0.2">
      <c r="A690" s="129"/>
      <c r="B690" s="130"/>
      <c r="C690" s="140"/>
      <c r="D690" s="131"/>
      <c r="E690" s="129"/>
      <c r="F690" s="131"/>
      <c r="G690" s="130"/>
      <c r="H690" s="131"/>
      <c r="I690" s="132"/>
      <c r="J690" s="129"/>
      <c r="K690" s="140"/>
      <c r="L690" s="133"/>
      <c r="M690" s="140"/>
      <c r="N690" s="140"/>
      <c r="P690" s="141"/>
    </row>
    <row r="691" spans="1:16" x14ac:dyDescent="0.2">
      <c r="A691" s="129"/>
      <c r="B691" s="130"/>
      <c r="C691" s="140"/>
      <c r="D691" s="131"/>
      <c r="E691" s="129"/>
      <c r="F691" s="131"/>
      <c r="G691" s="130"/>
      <c r="H691" s="131"/>
      <c r="I691" s="132"/>
      <c r="J691" s="129"/>
      <c r="K691" s="140"/>
      <c r="L691" s="133"/>
      <c r="M691" s="140"/>
      <c r="N691" s="140"/>
      <c r="P691" s="141"/>
    </row>
    <row r="692" spans="1:16" x14ac:dyDescent="0.2">
      <c r="A692" s="129"/>
      <c r="B692" s="130"/>
      <c r="C692" s="140"/>
      <c r="D692" s="131"/>
      <c r="E692" s="129"/>
      <c r="F692" s="131"/>
      <c r="G692" s="130"/>
      <c r="H692" s="131"/>
      <c r="I692" s="132"/>
      <c r="J692" s="129"/>
      <c r="K692" s="140"/>
      <c r="L692" s="133"/>
      <c r="M692" s="140"/>
      <c r="N692" s="140"/>
      <c r="P692" s="141"/>
    </row>
    <row r="693" spans="1:16" x14ac:dyDescent="0.2">
      <c r="A693" s="129"/>
      <c r="B693" s="130"/>
      <c r="C693" s="140"/>
      <c r="D693" s="131"/>
      <c r="E693" s="129"/>
      <c r="F693" s="131"/>
      <c r="G693" s="130"/>
      <c r="H693" s="131"/>
      <c r="I693" s="132"/>
      <c r="J693" s="129"/>
      <c r="K693" s="140"/>
      <c r="L693" s="133"/>
      <c r="M693" s="140"/>
      <c r="N693" s="140"/>
      <c r="P693" s="141"/>
    </row>
    <row r="694" spans="1:16" x14ac:dyDescent="0.2">
      <c r="A694" s="129"/>
      <c r="B694" s="130"/>
      <c r="C694" s="140"/>
      <c r="D694" s="131"/>
      <c r="E694" s="129"/>
      <c r="F694" s="131"/>
      <c r="G694" s="130"/>
      <c r="H694" s="131"/>
      <c r="I694" s="132"/>
      <c r="J694" s="129"/>
      <c r="K694" s="140"/>
      <c r="L694" s="133"/>
      <c r="M694" s="140"/>
      <c r="N694" s="140"/>
      <c r="P694" s="141"/>
    </row>
    <row r="695" spans="1:16" x14ac:dyDescent="0.2">
      <c r="A695" s="129"/>
      <c r="B695" s="130"/>
      <c r="C695" s="140"/>
      <c r="D695" s="131"/>
      <c r="E695" s="129"/>
      <c r="F695" s="131"/>
      <c r="G695" s="130"/>
      <c r="H695" s="131"/>
      <c r="I695" s="132"/>
      <c r="J695" s="129"/>
      <c r="K695" s="140"/>
      <c r="L695" s="133"/>
      <c r="M695" s="140"/>
      <c r="N695" s="140"/>
      <c r="P695" s="141"/>
    </row>
    <row r="696" spans="1:16" x14ac:dyDescent="0.2">
      <c r="A696" s="129"/>
      <c r="B696" s="130"/>
      <c r="C696" s="140"/>
      <c r="D696" s="131"/>
      <c r="E696" s="129"/>
      <c r="F696" s="131"/>
      <c r="G696" s="130"/>
      <c r="H696" s="131"/>
      <c r="I696" s="132"/>
      <c r="J696" s="129"/>
      <c r="K696" s="140"/>
      <c r="L696" s="133"/>
      <c r="M696" s="140"/>
      <c r="N696" s="140"/>
      <c r="P696" s="141"/>
    </row>
    <row r="697" spans="1:16" x14ac:dyDescent="0.2">
      <c r="A697" s="129"/>
      <c r="B697" s="130"/>
      <c r="C697" s="140"/>
      <c r="D697" s="131"/>
      <c r="E697" s="129"/>
      <c r="F697" s="131"/>
      <c r="G697" s="130"/>
      <c r="H697" s="131"/>
      <c r="I697" s="132"/>
      <c r="J697" s="129"/>
      <c r="K697" s="140"/>
      <c r="L697" s="133"/>
      <c r="M697" s="140"/>
      <c r="N697" s="140"/>
      <c r="P697" s="141"/>
    </row>
    <row r="698" spans="1:16" x14ac:dyDescent="0.2">
      <c r="A698" s="129"/>
      <c r="B698" s="130"/>
      <c r="C698" s="140"/>
      <c r="D698" s="131"/>
      <c r="E698" s="129"/>
      <c r="F698" s="131"/>
      <c r="G698" s="130"/>
      <c r="H698" s="131"/>
      <c r="I698" s="132"/>
      <c r="J698" s="129"/>
      <c r="K698" s="140"/>
      <c r="L698" s="133"/>
      <c r="M698" s="140"/>
      <c r="N698" s="140"/>
      <c r="P698" s="141"/>
    </row>
    <row r="699" spans="1:16" x14ac:dyDescent="0.2">
      <c r="A699" s="129"/>
      <c r="B699" s="130"/>
      <c r="C699" s="140"/>
      <c r="D699" s="131"/>
      <c r="E699" s="129"/>
      <c r="F699" s="131"/>
      <c r="G699" s="130"/>
      <c r="H699" s="131"/>
      <c r="I699" s="132"/>
      <c r="J699" s="129"/>
      <c r="K699" s="140"/>
      <c r="L699" s="133"/>
      <c r="M699" s="140"/>
      <c r="N699" s="140"/>
      <c r="P699" s="141"/>
    </row>
    <row r="700" spans="1:16" x14ac:dyDescent="0.2">
      <c r="A700" s="129"/>
      <c r="B700" s="130"/>
      <c r="C700" s="140"/>
      <c r="D700" s="131"/>
      <c r="E700" s="129"/>
      <c r="F700" s="131"/>
      <c r="G700" s="130"/>
      <c r="H700" s="131"/>
      <c r="I700" s="132"/>
      <c r="J700" s="129"/>
      <c r="K700" s="140"/>
      <c r="L700" s="133"/>
      <c r="M700" s="140"/>
      <c r="N700" s="140"/>
      <c r="P700" s="141"/>
    </row>
    <row r="701" spans="1:16" x14ac:dyDescent="0.2">
      <c r="A701" s="129"/>
      <c r="B701" s="130"/>
      <c r="C701" s="140"/>
      <c r="D701" s="131"/>
      <c r="E701" s="129"/>
      <c r="F701" s="131"/>
      <c r="G701" s="130"/>
      <c r="H701" s="131"/>
      <c r="I701" s="132"/>
      <c r="J701" s="129"/>
      <c r="K701" s="140"/>
      <c r="L701" s="133"/>
      <c r="M701" s="140"/>
      <c r="N701" s="140"/>
      <c r="P701" s="141"/>
    </row>
    <row r="702" spans="1:16" x14ac:dyDescent="0.2">
      <c r="A702" s="129"/>
      <c r="B702" s="130"/>
      <c r="C702" s="140"/>
      <c r="D702" s="131"/>
      <c r="E702" s="129"/>
      <c r="F702" s="131"/>
      <c r="G702" s="130"/>
      <c r="H702" s="131"/>
      <c r="I702" s="132"/>
      <c r="J702" s="129"/>
      <c r="K702" s="140"/>
      <c r="L702" s="133"/>
      <c r="M702" s="140"/>
      <c r="N702" s="140"/>
      <c r="P702" s="141"/>
    </row>
    <row r="703" spans="1:16" x14ac:dyDescent="0.2">
      <c r="A703" s="129"/>
      <c r="B703" s="130"/>
      <c r="C703" s="140"/>
      <c r="D703" s="131"/>
      <c r="E703" s="129"/>
      <c r="F703" s="131"/>
      <c r="G703" s="130"/>
      <c r="H703" s="131"/>
      <c r="I703" s="132"/>
      <c r="J703" s="129"/>
      <c r="K703" s="140"/>
      <c r="L703" s="133"/>
      <c r="M703" s="140"/>
      <c r="N703" s="140"/>
      <c r="P703" s="141"/>
    </row>
    <row r="704" spans="1:16" x14ac:dyDescent="0.2">
      <c r="A704" s="129"/>
      <c r="B704" s="130"/>
      <c r="C704" s="140"/>
      <c r="D704" s="131"/>
      <c r="E704" s="129"/>
      <c r="F704" s="131"/>
      <c r="G704" s="130"/>
      <c r="H704" s="131"/>
      <c r="I704" s="132"/>
      <c r="J704" s="129"/>
      <c r="K704" s="140"/>
      <c r="L704" s="133"/>
      <c r="M704" s="140"/>
      <c r="N704" s="140"/>
      <c r="P704" s="141"/>
    </row>
    <row r="705" spans="1:16" x14ac:dyDescent="0.2">
      <c r="A705" s="129"/>
      <c r="B705" s="130"/>
      <c r="C705" s="140"/>
      <c r="D705" s="131"/>
      <c r="E705" s="129"/>
      <c r="F705" s="131"/>
      <c r="G705" s="130"/>
      <c r="H705" s="131"/>
      <c r="I705" s="132"/>
      <c r="J705" s="129"/>
      <c r="K705" s="140"/>
      <c r="L705" s="133"/>
      <c r="M705" s="140"/>
      <c r="N705" s="140"/>
      <c r="P705" s="141"/>
    </row>
    <row r="706" spans="1:16" x14ac:dyDescent="0.2">
      <c r="A706" s="129"/>
      <c r="B706" s="130"/>
      <c r="C706" s="140"/>
      <c r="D706" s="131"/>
      <c r="E706" s="129"/>
      <c r="F706" s="131"/>
      <c r="G706" s="130"/>
      <c r="H706" s="131"/>
      <c r="I706" s="132"/>
      <c r="J706" s="129"/>
      <c r="K706" s="140"/>
      <c r="L706" s="133"/>
      <c r="M706" s="140"/>
      <c r="N706" s="140"/>
      <c r="P706" s="141"/>
    </row>
    <row r="707" spans="1:16" x14ac:dyDescent="0.2">
      <c r="A707" s="129"/>
      <c r="B707" s="130"/>
      <c r="C707" s="140"/>
      <c r="D707" s="131"/>
      <c r="E707" s="129"/>
      <c r="F707" s="131"/>
      <c r="G707" s="130"/>
      <c r="H707" s="131"/>
      <c r="I707" s="132"/>
      <c r="J707" s="129"/>
      <c r="K707" s="140"/>
      <c r="L707" s="133"/>
      <c r="M707" s="140"/>
      <c r="N707" s="140"/>
      <c r="P707" s="141"/>
    </row>
    <row r="708" spans="1:16" x14ac:dyDescent="0.2">
      <c r="A708" s="129"/>
      <c r="B708" s="130"/>
      <c r="C708" s="140"/>
      <c r="D708" s="131"/>
      <c r="E708" s="129"/>
      <c r="F708" s="131"/>
      <c r="G708" s="130"/>
      <c r="H708" s="131"/>
      <c r="I708" s="132"/>
      <c r="J708" s="129"/>
      <c r="K708" s="140"/>
      <c r="L708" s="133"/>
      <c r="M708" s="140"/>
      <c r="N708" s="140"/>
      <c r="P708" s="141"/>
    </row>
    <row r="709" spans="1:16" x14ac:dyDescent="0.2">
      <c r="A709" s="129"/>
      <c r="B709" s="130"/>
      <c r="C709" s="140"/>
      <c r="D709" s="131"/>
      <c r="E709" s="129"/>
      <c r="F709" s="131"/>
      <c r="G709" s="130"/>
      <c r="H709" s="131"/>
      <c r="I709" s="132"/>
      <c r="J709" s="129"/>
      <c r="K709" s="140"/>
      <c r="L709" s="133"/>
      <c r="M709" s="140"/>
      <c r="N709" s="140"/>
      <c r="P709" s="141"/>
    </row>
    <row r="710" spans="1:16" x14ac:dyDescent="0.2">
      <c r="A710" s="129"/>
      <c r="B710" s="130"/>
      <c r="C710" s="140"/>
      <c r="D710" s="131"/>
      <c r="E710" s="129"/>
      <c r="F710" s="131"/>
      <c r="G710" s="130"/>
      <c r="H710" s="131"/>
      <c r="I710" s="132"/>
      <c r="J710" s="129"/>
      <c r="K710" s="140"/>
      <c r="L710" s="133"/>
      <c r="M710" s="140"/>
      <c r="N710" s="140"/>
      <c r="P710" s="141"/>
    </row>
    <row r="711" spans="1:16" x14ac:dyDescent="0.2">
      <c r="A711" s="129"/>
      <c r="B711" s="130"/>
      <c r="C711" s="140"/>
      <c r="D711" s="131"/>
      <c r="E711" s="129"/>
      <c r="F711" s="131"/>
      <c r="G711" s="130"/>
      <c r="H711" s="131"/>
      <c r="I711" s="132"/>
      <c r="J711" s="129"/>
      <c r="K711" s="140"/>
      <c r="L711" s="133"/>
      <c r="M711" s="140"/>
      <c r="N711" s="140"/>
      <c r="P711" s="141"/>
    </row>
    <row r="712" spans="1:16" x14ac:dyDescent="0.2">
      <c r="A712" s="129"/>
      <c r="B712" s="130"/>
      <c r="C712" s="140"/>
      <c r="D712" s="131"/>
      <c r="E712" s="129"/>
      <c r="F712" s="131"/>
      <c r="G712" s="130"/>
      <c r="H712" s="131"/>
      <c r="I712" s="132"/>
      <c r="J712" s="129"/>
      <c r="K712" s="140"/>
      <c r="L712" s="133"/>
      <c r="M712" s="140"/>
      <c r="N712" s="140"/>
      <c r="P712" s="141"/>
    </row>
    <row r="713" spans="1:16" x14ac:dyDescent="0.2">
      <c r="A713" s="129"/>
      <c r="B713" s="130"/>
      <c r="C713" s="140"/>
      <c r="D713" s="131"/>
      <c r="E713" s="129"/>
      <c r="F713" s="131"/>
      <c r="G713" s="130"/>
      <c r="H713" s="131"/>
      <c r="I713" s="132"/>
      <c r="J713" s="129"/>
      <c r="K713" s="140"/>
      <c r="L713" s="133"/>
      <c r="M713" s="140"/>
      <c r="N713" s="140"/>
      <c r="P713" s="141"/>
    </row>
    <row r="714" spans="1:16" x14ac:dyDescent="0.2">
      <c r="A714" s="129"/>
      <c r="B714" s="130"/>
      <c r="C714" s="140"/>
      <c r="D714" s="131"/>
      <c r="E714" s="129"/>
      <c r="F714" s="131"/>
      <c r="G714" s="130"/>
      <c r="H714" s="131"/>
      <c r="I714" s="132"/>
      <c r="J714" s="129"/>
      <c r="K714" s="140"/>
      <c r="L714" s="133"/>
      <c r="M714" s="140"/>
      <c r="N714" s="140"/>
      <c r="P714" s="141"/>
    </row>
    <row r="715" spans="1:16" x14ac:dyDescent="0.2">
      <c r="A715" s="129"/>
      <c r="B715" s="130"/>
      <c r="C715" s="140"/>
      <c r="D715" s="131"/>
      <c r="E715" s="129"/>
      <c r="F715" s="131"/>
      <c r="G715" s="130"/>
      <c r="H715" s="131"/>
      <c r="I715" s="132"/>
      <c r="J715" s="129"/>
      <c r="K715" s="140"/>
      <c r="L715" s="133"/>
      <c r="M715" s="140"/>
      <c r="N715" s="140"/>
      <c r="P715" s="141"/>
    </row>
    <row r="716" spans="1:16" x14ac:dyDescent="0.2">
      <c r="A716" s="129"/>
      <c r="B716" s="130"/>
      <c r="C716" s="140"/>
      <c r="D716" s="131"/>
      <c r="E716" s="129"/>
      <c r="F716" s="131"/>
      <c r="G716" s="130"/>
      <c r="H716" s="131"/>
      <c r="I716" s="132"/>
      <c r="J716" s="129"/>
      <c r="K716" s="140"/>
      <c r="L716" s="133"/>
      <c r="M716" s="140"/>
      <c r="N716" s="140"/>
      <c r="P716" s="141"/>
    </row>
    <row r="717" spans="1:16" x14ac:dyDescent="0.2">
      <c r="A717" s="129"/>
      <c r="B717" s="130"/>
      <c r="C717" s="140"/>
      <c r="D717" s="131"/>
      <c r="E717" s="129"/>
      <c r="F717" s="131"/>
      <c r="G717" s="130"/>
      <c r="H717" s="131"/>
      <c r="I717" s="132"/>
      <c r="J717" s="129"/>
      <c r="K717" s="140"/>
      <c r="L717" s="133"/>
      <c r="M717" s="140"/>
      <c r="N717" s="140"/>
      <c r="P717" s="141"/>
    </row>
    <row r="718" spans="1:16" x14ac:dyDescent="0.2">
      <c r="A718" s="129"/>
      <c r="B718" s="130"/>
      <c r="C718" s="140"/>
      <c r="D718" s="131"/>
      <c r="E718" s="129"/>
      <c r="F718" s="131"/>
      <c r="G718" s="130"/>
      <c r="H718" s="131"/>
      <c r="I718" s="132"/>
      <c r="J718" s="129"/>
      <c r="K718" s="140"/>
      <c r="L718" s="133"/>
      <c r="M718" s="140"/>
      <c r="N718" s="140"/>
      <c r="P718" s="141"/>
    </row>
    <row r="719" spans="1:16" x14ac:dyDescent="0.2">
      <c r="A719" s="129"/>
      <c r="B719" s="130"/>
      <c r="C719" s="140"/>
      <c r="D719" s="131"/>
      <c r="E719" s="129"/>
      <c r="F719" s="131"/>
      <c r="G719" s="130"/>
      <c r="H719" s="131"/>
      <c r="I719" s="132"/>
      <c r="J719" s="129"/>
      <c r="K719" s="140"/>
      <c r="L719" s="133"/>
      <c r="M719" s="140"/>
      <c r="N719" s="140"/>
      <c r="P719" s="141"/>
    </row>
    <row r="720" spans="1:16" x14ac:dyDescent="0.2">
      <c r="A720" s="129"/>
      <c r="B720" s="130"/>
      <c r="C720" s="140"/>
      <c r="D720" s="131"/>
      <c r="E720" s="129"/>
      <c r="F720" s="131"/>
      <c r="G720" s="130"/>
      <c r="H720" s="131"/>
      <c r="I720" s="132"/>
      <c r="J720" s="129"/>
      <c r="K720" s="140"/>
      <c r="L720" s="133"/>
      <c r="M720" s="140"/>
      <c r="N720" s="140"/>
      <c r="P720" s="141"/>
    </row>
    <row r="721" spans="1:16" x14ac:dyDescent="0.2">
      <c r="A721" s="129"/>
      <c r="B721" s="130"/>
      <c r="C721" s="140"/>
      <c r="D721" s="131"/>
      <c r="E721" s="129"/>
      <c r="F721" s="131"/>
      <c r="G721" s="130"/>
      <c r="H721" s="131"/>
      <c r="I721" s="132"/>
      <c r="J721" s="129"/>
      <c r="K721" s="140"/>
      <c r="L721" s="133"/>
      <c r="M721" s="140"/>
      <c r="N721" s="140"/>
      <c r="P721" s="141"/>
    </row>
    <row r="722" spans="1:16" x14ac:dyDescent="0.2">
      <c r="A722" s="129"/>
      <c r="B722" s="130"/>
      <c r="C722" s="140"/>
      <c r="D722" s="131"/>
      <c r="E722" s="129"/>
      <c r="F722" s="131"/>
      <c r="G722" s="130"/>
      <c r="H722" s="131"/>
      <c r="I722" s="132"/>
      <c r="J722" s="129"/>
      <c r="K722" s="140"/>
      <c r="L722" s="133"/>
      <c r="M722" s="140"/>
      <c r="N722" s="140"/>
      <c r="P722" s="141"/>
    </row>
    <row r="723" spans="1:16" x14ac:dyDescent="0.2">
      <c r="A723" s="129"/>
      <c r="B723" s="130"/>
      <c r="C723" s="140"/>
      <c r="D723" s="131"/>
      <c r="E723" s="129"/>
      <c r="F723" s="131"/>
      <c r="G723" s="130"/>
      <c r="H723" s="131"/>
      <c r="I723" s="132"/>
      <c r="J723" s="129"/>
      <c r="K723" s="140"/>
      <c r="L723" s="133"/>
      <c r="M723" s="140"/>
      <c r="N723" s="140"/>
      <c r="P723" s="141"/>
    </row>
    <row r="724" spans="1:16" x14ac:dyDescent="0.2">
      <c r="A724" s="129"/>
      <c r="B724" s="130"/>
      <c r="C724" s="140"/>
      <c r="D724" s="131"/>
      <c r="E724" s="129"/>
      <c r="F724" s="131"/>
      <c r="G724" s="130"/>
      <c r="H724" s="131"/>
      <c r="I724" s="132"/>
      <c r="J724" s="129"/>
      <c r="K724" s="140"/>
      <c r="L724" s="133"/>
      <c r="M724" s="140"/>
      <c r="N724" s="140"/>
      <c r="P724" s="141"/>
    </row>
    <row r="725" spans="1:16" x14ac:dyDescent="0.2">
      <c r="A725" s="129"/>
      <c r="B725" s="130"/>
      <c r="C725" s="140"/>
      <c r="D725" s="131"/>
      <c r="E725" s="129"/>
      <c r="F725" s="131"/>
      <c r="G725" s="130"/>
      <c r="H725" s="131"/>
      <c r="I725" s="132"/>
      <c r="J725" s="129"/>
      <c r="K725" s="140"/>
      <c r="L725" s="133"/>
      <c r="M725" s="140"/>
      <c r="N725" s="140"/>
      <c r="P725" s="141"/>
    </row>
    <row r="726" spans="1:16" x14ac:dyDescent="0.2">
      <c r="A726" s="129"/>
      <c r="B726" s="130"/>
      <c r="C726" s="140"/>
      <c r="D726" s="131"/>
      <c r="E726" s="129"/>
      <c r="F726" s="131"/>
      <c r="G726" s="130"/>
      <c r="H726" s="131"/>
      <c r="I726" s="132"/>
      <c r="J726" s="129"/>
      <c r="K726" s="140"/>
      <c r="L726" s="133"/>
      <c r="M726" s="140"/>
      <c r="N726" s="140"/>
      <c r="P726" s="141"/>
    </row>
    <row r="727" spans="1:16" x14ac:dyDescent="0.2">
      <c r="A727" s="129"/>
      <c r="B727" s="130"/>
      <c r="C727" s="140"/>
      <c r="D727" s="131"/>
      <c r="E727" s="129"/>
      <c r="F727" s="131"/>
      <c r="G727" s="130"/>
      <c r="H727" s="131"/>
      <c r="I727" s="132"/>
      <c r="J727" s="129"/>
      <c r="K727" s="140"/>
      <c r="L727" s="133"/>
      <c r="M727" s="140"/>
      <c r="N727" s="140"/>
      <c r="P727" s="141"/>
    </row>
    <row r="728" spans="1:16" x14ac:dyDescent="0.2">
      <c r="A728" s="129"/>
      <c r="B728" s="130"/>
      <c r="C728" s="140"/>
      <c r="D728" s="131"/>
      <c r="E728" s="129"/>
      <c r="F728" s="131"/>
      <c r="G728" s="130"/>
      <c r="H728" s="131"/>
      <c r="I728" s="132"/>
      <c r="J728" s="129"/>
      <c r="K728" s="140"/>
      <c r="L728" s="133"/>
      <c r="M728" s="140"/>
      <c r="N728" s="140"/>
      <c r="P728" s="141"/>
    </row>
    <row r="729" spans="1:16" x14ac:dyDescent="0.2">
      <c r="A729" s="129"/>
      <c r="B729" s="130"/>
      <c r="C729" s="140"/>
      <c r="D729" s="131"/>
      <c r="E729" s="129"/>
      <c r="F729" s="131"/>
      <c r="G729" s="130"/>
      <c r="H729" s="131"/>
      <c r="I729" s="132"/>
      <c r="J729" s="129"/>
      <c r="K729" s="140"/>
      <c r="L729" s="133"/>
      <c r="M729" s="140"/>
      <c r="N729" s="140"/>
      <c r="P729" s="141"/>
    </row>
    <row r="730" spans="1:16" x14ac:dyDescent="0.2">
      <c r="A730" s="129"/>
      <c r="B730" s="130"/>
      <c r="C730" s="140"/>
      <c r="D730" s="131"/>
      <c r="E730" s="129"/>
      <c r="F730" s="131"/>
      <c r="G730" s="130"/>
      <c r="H730" s="131"/>
      <c r="I730" s="132"/>
      <c r="J730" s="129"/>
      <c r="K730" s="140"/>
      <c r="L730" s="133"/>
      <c r="M730" s="140"/>
      <c r="N730" s="140"/>
      <c r="P730" s="141"/>
    </row>
    <row r="731" spans="1:16" x14ac:dyDescent="0.2">
      <c r="A731" s="129"/>
      <c r="B731" s="130"/>
      <c r="C731" s="140"/>
      <c r="D731" s="131"/>
      <c r="E731" s="129"/>
      <c r="F731" s="131"/>
      <c r="G731" s="130"/>
      <c r="H731" s="131"/>
      <c r="I731" s="132"/>
      <c r="J731" s="129"/>
      <c r="K731" s="140"/>
      <c r="L731" s="133"/>
      <c r="M731" s="140"/>
      <c r="N731" s="140"/>
      <c r="P731" s="141"/>
    </row>
    <row r="732" spans="1:16" x14ac:dyDescent="0.2">
      <c r="A732" s="129"/>
      <c r="B732" s="130"/>
      <c r="C732" s="140"/>
      <c r="D732" s="131"/>
      <c r="E732" s="129"/>
      <c r="F732" s="131"/>
      <c r="G732" s="130"/>
      <c r="H732" s="131"/>
      <c r="I732" s="132"/>
      <c r="J732" s="129"/>
      <c r="K732" s="140"/>
      <c r="L732" s="133"/>
      <c r="M732" s="140"/>
      <c r="N732" s="140"/>
      <c r="P732" s="141"/>
    </row>
    <row r="733" spans="1:16" x14ac:dyDescent="0.2">
      <c r="A733" s="129"/>
      <c r="B733" s="130"/>
      <c r="C733" s="140"/>
      <c r="D733" s="131"/>
      <c r="E733" s="129"/>
      <c r="F733" s="131"/>
      <c r="G733" s="130"/>
      <c r="H733" s="131"/>
      <c r="I733" s="132"/>
      <c r="J733" s="129"/>
      <c r="K733" s="140"/>
      <c r="L733" s="133"/>
      <c r="M733" s="140"/>
      <c r="N733" s="140"/>
      <c r="P733" s="141"/>
    </row>
    <row r="734" spans="1:16" x14ac:dyDescent="0.2">
      <c r="A734" s="129"/>
      <c r="B734" s="130"/>
      <c r="C734" s="140"/>
      <c r="D734" s="131"/>
      <c r="E734" s="129"/>
      <c r="F734" s="131"/>
      <c r="G734" s="130"/>
      <c r="H734" s="131"/>
      <c r="I734" s="132"/>
      <c r="J734" s="129"/>
      <c r="K734" s="140"/>
      <c r="L734" s="133"/>
      <c r="M734" s="140"/>
      <c r="N734" s="140"/>
      <c r="P734" s="141"/>
    </row>
    <row r="735" spans="1:16" x14ac:dyDescent="0.2">
      <c r="A735" s="129"/>
      <c r="B735" s="130"/>
      <c r="C735" s="140"/>
      <c r="D735" s="131"/>
      <c r="E735" s="129"/>
      <c r="F735" s="131"/>
      <c r="G735" s="130"/>
      <c r="H735" s="131"/>
      <c r="I735" s="132"/>
      <c r="J735" s="129"/>
      <c r="K735" s="140"/>
      <c r="L735" s="133"/>
      <c r="M735" s="140"/>
      <c r="N735" s="140"/>
      <c r="P735" s="141"/>
    </row>
    <row r="736" spans="1:16" x14ac:dyDescent="0.2">
      <c r="A736" s="129"/>
      <c r="B736" s="130"/>
      <c r="C736" s="140"/>
      <c r="D736" s="131"/>
      <c r="E736" s="129"/>
      <c r="F736" s="131"/>
      <c r="G736" s="130"/>
      <c r="H736" s="131"/>
      <c r="I736" s="132"/>
      <c r="J736" s="129"/>
      <c r="K736" s="140"/>
      <c r="L736" s="133"/>
      <c r="M736" s="140"/>
      <c r="N736" s="140"/>
      <c r="P736" s="141"/>
    </row>
    <row r="737" spans="1:16" x14ac:dyDescent="0.2">
      <c r="A737" s="129"/>
      <c r="B737" s="130"/>
      <c r="C737" s="140"/>
      <c r="D737" s="131"/>
      <c r="E737" s="129"/>
      <c r="F737" s="131"/>
      <c r="G737" s="130"/>
      <c r="H737" s="131"/>
      <c r="I737" s="132"/>
      <c r="J737" s="129"/>
      <c r="K737" s="140"/>
      <c r="L737" s="133"/>
      <c r="M737" s="140"/>
      <c r="N737" s="140"/>
      <c r="P737" s="141"/>
    </row>
    <row r="738" spans="1:16" x14ac:dyDescent="0.2">
      <c r="A738" s="129"/>
      <c r="B738" s="130"/>
      <c r="C738" s="140"/>
      <c r="D738" s="131"/>
      <c r="E738" s="129"/>
      <c r="F738" s="131"/>
      <c r="G738" s="130"/>
      <c r="H738" s="131"/>
      <c r="I738" s="132"/>
      <c r="J738" s="129"/>
      <c r="K738" s="140"/>
      <c r="L738" s="133"/>
      <c r="M738" s="140"/>
      <c r="N738" s="140"/>
      <c r="P738" s="141"/>
    </row>
    <row r="739" spans="1:16" x14ac:dyDescent="0.2">
      <c r="A739" s="129"/>
      <c r="B739" s="130"/>
      <c r="C739" s="140"/>
      <c r="D739" s="131"/>
      <c r="E739" s="129"/>
      <c r="F739" s="131"/>
      <c r="G739" s="130"/>
      <c r="H739" s="131"/>
      <c r="I739" s="132"/>
      <c r="J739" s="129"/>
      <c r="K739" s="140"/>
      <c r="L739" s="133"/>
      <c r="M739" s="140"/>
      <c r="N739" s="140"/>
      <c r="P739" s="141"/>
    </row>
    <row r="740" spans="1:16" x14ac:dyDescent="0.2">
      <c r="A740" s="129"/>
      <c r="B740" s="130"/>
      <c r="C740" s="140"/>
      <c r="D740" s="131"/>
      <c r="E740" s="129"/>
      <c r="F740" s="131"/>
      <c r="G740" s="130"/>
      <c r="H740" s="131"/>
      <c r="I740" s="132"/>
      <c r="J740" s="129"/>
      <c r="K740" s="140"/>
      <c r="L740" s="133"/>
      <c r="M740" s="140"/>
      <c r="N740" s="140"/>
      <c r="P740" s="141"/>
    </row>
    <row r="741" spans="1:16" x14ac:dyDescent="0.2">
      <c r="A741" s="129"/>
      <c r="B741" s="130"/>
      <c r="C741" s="140"/>
      <c r="D741" s="131"/>
      <c r="E741" s="129"/>
      <c r="F741" s="131"/>
      <c r="G741" s="130"/>
      <c r="H741" s="131"/>
      <c r="I741" s="132"/>
      <c r="J741" s="129"/>
      <c r="K741" s="140"/>
      <c r="L741" s="133"/>
      <c r="M741" s="140"/>
      <c r="N741" s="140"/>
      <c r="P741" s="141"/>
    </row>
    <row r="742" spans="1:16" x14ac:dyDescent="0.2">
      <c r="A742" s="129"/>
      <c r="B742" s="130"/>
      <c r="C742" s="140"/>
      <c r="D742" s="131"/>
      <c r="E742" s="129"/>
      <c r="F742" s="131"/>
      <c r="G742" s="130"/>
      <c r="H742" s="131"/>
      <c r="I742" s="132"/>
      <c r="J742" s="129"/>
      <c r="K742" s="140"/>
      <c r="L742" s="133"/>
      <c r="M742" s="140"/>
      <c r="N742" s="140"/>
      <c r="P742" s="141"/>
    </row>
    <row r="743" spans="1:16" x14ac:dyDescent="0.2">
      <c r="A743" s="129"/>
      <c r="B743" s="130"/>
      <c r="C743" s="140"/>
      <c r="D743" s="131"/>
      <c r="E743" s="129"/>
      <c r="F743" s="131"/>
      <c r="G743" s="130"/>
      <c r="H743" s="131"/>
      <c r="I743" s="132"/>
      <c r="J743" s="129"/>
      <c r="K743" s="140"/>
      <c r="L743" s="133"/>
      <c r="M743" s="140"/>
      <c r="N743" s="140"/>
      <c r="P743" s="141"/>
    </row>
    <row r="744" spans="1:16" x14ac:dyDescent="0.2">
      <c r="A744" s="129"/>
      <c r="B744" s="130"/>
      <c r="C744" s="140"/>
      <c r="D744" s="131"/>
      <c r="E744" s="129"/>
      <c r="F744" s="131"/>
      <c r="G744" s="130"/>
      <c r="H744" s="131"/>
      <c r="I744" s="132"/>
      <c r="J744" s="129"/>
      <c r="K744" s="140"/>
      <c r="L744" s="133"/>
      <c r="M744" s="140"/>
      <c r="N744" s="140"/>
      <c r="P744" s="141"/>
    </row>
    <row r="745" spans="1:16" x14ac:dyDescent="0.2">
      <c r="A745" s="129"/>
      <c r="B745" s="130"/>
      <c r="C745" s="140"/>
      <c r="D745" s="131"/>
      <c r="E745" s="129"/>
      <c r="F745" s="131"/>
      <c r="G745" s="130"/>
      <c r="H745" s="131"/>
      <c r="I745" s="132"/>
      <c r="J745" s="129"/>
      <c r="K745" s="140"/>
      <c r="L745" s="133"/>
      <c r="M745" s="140"/>
      <c r="N745" s="140"/>
      <c r="P745" s="141"/>
    </row>
    <row r="746" spans="1:16" x14ac:dyDescent="0.2">
      <c r="A746" s="129"/>
      <c r="B746" s="130"/>
      <c r="C746" s="140"/>
      <c r="D746" s="131"/>
      <c r="E746" s="129"/>
      <c r="F746" s="131"/>
      <c r="G746" s="130"/>
      <c r="H746" s="131"/>
      <c r="I746" s="132"/>
      <c r="J746" s="129"/>
      <c r="K746" s="140"/>
      <c r="L746" s="133"/>
      <c r="M746" s="140"/>
      <c r="N746" s="140"/>
      <c r="P746" s="141"/>
    </row>
    <row r="747" spans="1:16" x14ac:dyDescent="0.2">
      <c r="A747" s="129"/>
      <c r="B747" s="130"/>
      <c r="C747" s="140"/>
      <c r="D747" s="131"/>
      <c r="E747" s="129"/>
      <c r="F747" s="131"/>
      <c r="G747" s="130"/>
      <c r="H747" s="131"/>
      <c r="I747" s="132"/>
      <c r="J747" s="129"/>
      <c r="K747" s="140"/>
      <c r="L747" s="133"/>
      <c r="M747" s="140"/>
      <c r="N747" s="140"/>
      <c r="P747" s="141"/>
    </row>
    <row r="748" spans="1:16" x14ac:dyDescent="0.2">
      <c r="A748" s="129"/>
      <c r="B748" s="130"/>
      <c r="C748" s="140"/>
      <c r="D748" s="131"/>
      <c r="E748" s="129"/>
      <c r="F748" s="131"/>
      <c r="G748" s="130"/>
      <c r="H748" s="131"/>
      <c r="I748" s="132"/>
      <c r="J748" s="129"/>
      <c r="K748" s="140"/>
      <c r="L748" s="133"/>
      <c r="M748" s="140"/>
      <c r="N748" s="140"/>
      <c r="P748" s="141"/>
    </row>
    <row r="749" spans="1:16" x14ac:dyDescent="0.2">
      <c r="A749" s="129"/>
      <c r="B749" s="130"/>
      <c r="C749" s="140"/>
      <c r="D749" s="131"/>
      <c r="E749" s="129"/>
      <c r="F749" s="131"/>
      <c r="G749" s="130"/>
      <c r="H749" s="131"/>
      <c r="I749" s="132"/>
      <c r="J749" s="129"/>
      <c r="K749" s="140"/>
      <c r="L749" s="133"/>
      <c r="M749" s="140"/>
      <c r="N749" s="140"/>
      <c r="P749" s="141"/>
    </row>
    <row r="750" spans="1:16" x14ac:dyDescent="0.2">
      <c r="A750" s="129"/>
      <c r="B750" s="130"/>
      <c r="C750" s="140"/>
      <c r="D750" s="131"/>
      <c r="E750" s="129"/>
      <c r="F750" s="131"/>
      <c r="G750" s="130"/>
      <c r="H750" s="131"/>
      <c r="I750" s="132"/>
      <c r="J750" s="129"/>
      <c r="K750" s="140"/>
      <c r="L750" s="133"/>
      <c r="M750" s="140"/>
      <c r="N750" s="140"/>
      <c r="P750" s="141"/>
    </row>
    <row r="751" spans="1:16" x14ac:dyDescent="0.2">
      <c r="A751" s="129"/>
      <c r="B751" s="130"/>
      <c r="C751" s="140"/>
      <c r="D751" s="131"/>
      <c r="E751" s="129"/>
      <c r="F751" s="131"/>
      <c r="G751" s="130"/>
      <c r="H751" s="131"/>
      <c r="I751" s="132"/>
      <c r="J751" s="129"/>
      <c r="K751" s="140"/>
      <c r="L751" s="133"/>
      <c r="M751" s="140"/>
      <c r="N751" s="140"/>
      <c r="P751" s="141"/>
    </row>
    <row r="752" spans="1:16" x14ac:dyDescent="0.2">
      <c r="A752" s="129"/>
      <c r="B752" s="130"/>
      <c r="C752" s="140"/>
      <c r="D752" s="131"/>
      <c r="E752" s="129"/>
      <c r="F752" s="131"/>
      <c r="G752" s="130"/>
      <c r="H752" s="131"/>
      <c r="I752" s="132"/>
      <c r="J752" s="129"/>
      <c r="K752" s="140"/>
      <c r="L752" s="133"/>
      <c r="M752" s="140"/>
      <c r="N752" s="140"/>
      <c r="P752" s="141"/>
    </row>
    <row r="753" spans="1:16" x14ac:dyDescent="0.2">
      <c r="A753" s="129"/>
      <c r="B753" s="130"/>
      <c r="C753" s="140"/>
      <c r="D753" s="131"/>
      <c r="E753" s="129"/>
      <c r="F753" s="131"/>
      <c r="G753" s="130"/>
      <c r="H753" s="131"/>
      <c r="I753" s="132"/>
      <c r="J753" s="129"/>
      <c r="K753" s="140"/>
      <c r="L753" s="133"/>
      <c r="M753" s="140"/>
      <c r="N753" s="140"/>
      <c r="P753" s="141"/>
    </row>
    <row r="754" spans="1:16" x14ac:dyDescent="0.2">
      <c r="A754" s="129"/>
      <c r="B754" s="130"/>
      <c r="C754" s="140"/>
      <c r="D754" s="131"/>
      <c r="E754" s="129"/>
      <c r="F754" s="131"/>
      <c r="G754" s="130"/>
      <c r="H754" s="131"/>
      <c r="I754" s="132"/>
      <c r="J754" s="129"/>
      <c r="K754" s="140"/>
      <c r="L754" s="133"/>
      <c r="M754" s="140"/>
      <c r="N754" s="140"/>
      <c r="P754" s="141"/>
    </row>
    <row r="755" spans="1:16" x14ac:dyDescent="0.2">
      <c r="A755" s="129"/>
      <c r="B755" s="130"/>
      <c r="C755" s="140"/>
      <c r="D755" s="131"/>
      <c r="E755" s="129"/>
      <c r="F755" s="131"/>
      <c r="G755" s="130"/>
      <c r="H755" s="131"/>
      <c r="I755" s="132"/>
      <c r="J755" s="129"/>
      <c r="K755" s="140"/>
      <c r="L755" s="133"/>
      <c r="M755" s="140"/>
      <c r="N755" s="140"/>
      <c r="P755" s="141"/>
    </row>
    <row r="756" spans="1:16" x14ac:dyDescent="0.2">
      <c r="A756" s="129"/>
      <c r="B756" s="130"/>
      <c r="C756" s="140"/>
      <c r="D756" s="131"/>
      <c r="E756" s="129"/>
      <c r="F756" s="131"/>
      <c r="G756" s="130"/>
      <c r="H756" s="131"/>
      <c r="I756" s="132"/>
      <c r="J756" s="129"/>
      <c r="K756" s="140"/>
      <c r="L756" s="133"/>
      <c r="M756" s="140"/>
      <c r="N756" s="140"/>
      <c r="P756" s="141"/>
    </row>
    <row r="757" spans="1:16" x14ac:dyDescent="0.2">
      <c r="A757" s="129"/>
      <c r="B757" s="130"/>
      <c r="C757" s="140"/>
      <c r="D757" s="131"/>
      <c r="E757" s="129"/>
      <c r="F757" s="131"/>
      <c r="G757" s="130"/>
      <c r="H757" s="131"/>
      <c r="I757" s="132"/>
      <c r="J757" s="129"/>
      <c r="K757" s="140"/>
      <c r="L757" s="133"/>
      <c r="M757" s="140"/>
      <c r="N757" s="140"/>
      <c r="P757" s="141"/>
    </row>
    <row r="758" spans="1:16" x14ac:dyDescent="0.2">
      <c r="A758" s="129"/>
      <c r="B758" s="130"/>
      <c r="C758" s="140"/>
      <c r="D758" s="131"/>
      <c r="E758" s="129"/>
      <c r="F758" s="131"/>
      <c r="G758" s="130"/>
      <c r="H758" s="131"/>
      <c r="I758" s="132"/>
      <c r="J758" s="129"/>
      <c r="K758" s="140"/>
      <c r="L758" s="133"/>
      <c r="M758" s="140"/>
      <c r="N758" s="140"/>
      <c r="P758" s="141"/>
    </row>
    <row r="759" spans="1:16" x14ac:dyDescent="0.2">
      <c r="A759" s="129"/>
      <c r="B759" s="130"/>
      <c r="C759" s="140"/>
      <c r="D759" s="131"/>
      <c r="E759" s="129"/>
      <c r="F759" s="131"/>
      <c r="G759" s="130"/>
      <c r="H759" s="131"/>
      <c r="I759" s="132"/>
      <c r="J759" s="129"/>
      <c r="K759" s="140"/>
      <c r="L759" s="133"/>
      <c r="M759" s="140"/>
      <c r="N759" s="140"/>
      <c r="P759" s="141"/>
    </row>
    <row r="760" spans="1:16" x14ac:dyDescent="0.2">
      <c r="A760" s="129"/>
      <c r="B760" s="130"/>
      <c r="C760" s="140"/>
      <c r="D760" s="131"/>
      <c r="E760" s="129"/>
      <c r="F760" s="131"/>
      <c r="G760" s="130"/>
      <c r="H760" s="131"/>
      <c r="I760" s="132"/>
      <c r="J760" s="129"/>
      <c r="K760" s="140"/>
      <c r="L760" s="133"/>
      <c r="M760" s="140"/>
      <c r="N760" s="140"/>
      <c r="P760" s="141"/>
    </row>
    <row r="761" spans="1:16" x14ac:dyDescent="0.2">
      <c r="A761" s="129"/>
      <c r="B761" s="130"/>
      <c r="C761" s="140"/>
      <c r="D761" s="131"/>
      <c r="E761" s="129"/>
      <c r="F761" s="131"/>
      <c r="G761" s="130"/>
      <c r="H761" s="131"/>
      <c r="I761" s="132"/>
      <c r="J761" s="129"/>
      <c r="K761" s="140"/>
      <c r="L761" s="133"/>
      <c r="M761" s="140"/>
      <c r="N761" s="140"/>
      <c r="P761" s="141"/>
    </row>
    <row r="762" spans="1:16" x14ac:dyDescent="0.2">
      <c r="A762" s="129"/>
      <c r="B762" s="130"/>
      <c r="C762" s="140"/>
      <c r="D762" s="131"/>
      <c r="E762" s="129"/>
      <c r="F762" s="131"/>
      <c r="G762" s="130"/>
      <c r="H762" s="131"/>
      <c r="I762" s="132"/>
      <c r="J762" s="129"/>
      <c r="K762" s="140"/>
      <c r="L762" s="133"/>
      <c r="M762" s="140"/>
      <c r="N762" s="140"/>
      <c r="P762" s="141"/>
    </row>
    <row r="763" spans="1:16" x14ac:dyDescent="0.2">
      <c r="A763" s="129"/>
      <c r="B763" s="130"/>
      <c r="C763" s="140"/>
      <c r="D763" s="131"/>
      <c r="E763" s="129"/>
      <c r="F763" s="131"/>
      <c r="G763" s="130"/>
      <c r="H763" s="131"/>
      <c r="I763" s="132"/>
      <c r="J763" s="129"/>
      <c r="K763" s="140"/>
      <c r="L763" s="133"/>
      <c r="M763" s="140"/>
      <c r="N763" s="140"/>
      <c r="P763" s="141"/>
    </row>
    <row r="764" spans="1:16" x14ac:dyDescent="0.2">
      <c r="A764" s="129"/>
      <c r="B764" s="130"/>
      <c r="C764" s="140"/>
      <c r="D764" s="131"/>
      <c r="E764" s="129"/>
      <c r="F764" s="131"/>
      <c r="G764" s="130"/>
      <c r="H764" s="131"/>
      <c r="I764" s="132"/>
      <c r="J764" s="129"/>
      <c r="K764" s="140"/>
      <c r="L764" s="133"/>
      <c r="M764" s="140"/>
      <c r="N764" s="140"/>
      <c r="P764" s="141"/>
    </row>
    <row r="765" spans="1:16" x14ac:dyDescent="0.2">
      <c r="A765" s="129"/>
      <c r="B765" s="130"/>
      <c r="C765" s="140"/>
      <c r="D765" s="131"/>
      <c r="E765" s="129"/>
      <c r="F765" s="131"/>
      <c r="G765" s="130"/>
      <c r="H765" s="131"/>
      <c r="I765" s="132"/>
      <c r="J765" s="129"/>
      <c r="K765" s="140"/>
      <c r="L765" s="133"/>
      <c r="M765" s="140"/>
      <c r="N765" s="140"/>
      <c r="P765" s="141"/>
    </row>
    <row r="766" spans="1:16" x14ac:dyDescent="0.2">
      <c r="A766" s="129"/>
      <c r="B766" s="130"/>
      <c r="C766" s="140"/>
      <c r="D766" s="131"/>
      <c r="E766" s="129"/>
      <c r="F766" s="131"/>
      <c r="G766" s="130"/>
      <c r="H766" s="131"/>
      <c r="I766" s="132"/>
      <c r="J766" s="129"/>
      <c r="K766" s="140"/>
      <c r="L766" s="133"/>
      <c r="M766" s="140"/>
      <c r="N766" s="140"/>
      <c r="P766" s="141"/>
    </row>
    <row r="767" spans="1:16" x14ac:dyDescent="0.2">
      <c r="A767" s="129"/>
      <c r="B767" s="130"/>
      <c r="C767" s="140"/>
      <c r="D767" s="131"/>
      <c r="E767" s="129"/>
      <c r="F767" s="131"/>
      <c r="G767" s="130"/>
      <c r="H767" s="131"/>
      <c r="I767" s="132"/>
      <c r="J767" s="129"/>
      <c r="K767" s="140"/>
      <c r="L767" s="133"/>
      <c r="M767" s="140"/>
      <c r="N767" s="140"/>
      <c r="P767" s="141"/>
    </row>
    <row r="768" spans="1:16" x14ac:dyDescent="0.2">
      <c r="A768" s="129"/>
      <c r="B768" s="130"/>
      <c r="C768" s="140"/>
      <c r="D768" s="131"/>
      <c r="E768" s="129"/>
      <c r="F768" s="131"/>
      <c r="G768" s="130"/>
      <c r="H768" s="131"/>
      <c r="I768" s="132"/>
      <c r="J768" s="129"/>
      <c r="K768" s="140"/>
      <c r="L768" s="133"/>
      <c r="M768" s="140"/>
      <c r="N768" s="140"/>
      <c r="P768" s="141"/>
    </row>
    <row r="769" spans="1:16" x14ac:dyDescent="0.2">
      <c r="A769" s="129"/>
      <c r="B769" s="130"/>
      <c r="C769" s="140"/>
      <c r="D769" s="131"/>
      <c r="E769" s="129"/>
      <c r="F769" s="131"/>
      <c r="G769" s="130"/>
      <c r="H769" s="131"/>
      <c r="I769" s="132"/>
      <c r="J769" s="129"/>
      <c r="K769" s="140"/>
      <c r="L769" s="133"/>
      <c r="M769" s="140"/>
      <c r="N769" s="140"/>
      <c r="P769" s="141"/>
    </row>
    <row r="770" spans="1:16" x14ac:dyDescent="0.2">
      <c r="A770" s="129"/>
      <c r="B770" s="130"/>
      <c r="C770" s="140"/>
      <c r="D770" s="131"/>
      <c r="E770" s="129"/>
      <c r="F770" s="131"/>
      <c r="G770" s="130"/>
      <c r="H770" s="131"/>
      <c r="I770" s="132"/>
      <c r="J770" s="129"/>
      <c r="K770" s="140"/>
      <c r="L770" s="133"/>
      <c r="M770" s="140"/>
      <c r="N770" s="140"/>
      <c r="P770" s="141"/>
    </row>
    <row r="771" spans="1:16" x14ac:dyDescent="0.2">
      <c r="A771" s="129"/>
      <c r="B771" s="130"/>
      <c r="C771" s="140"/>
      <c r="D771" s="131"/>
      <c r="E771" s="129"/>
      <c r="F771" s="131"/>
      <c r="G771" s="130"/>
      <c r="H771" s="131"/>
      <c r="I771" s="132"/>
      <c r="J771" s="129"/>
      <c r="K771" s="140"/>
      <c r="L771" s="133"/>
      <c r="M771" s="140"/>
      <c r="N771" s="140"/>
      <c r="P771" s="141"/>
    </row>
    <row r="772" spans="1:16" x14ac:dyDescent="0.2">
      <c r="A772" s="129"/>
      <c r="B772" s="130"/>
      <c r="C772" s="140"/>
      <c r="D772" s="131"/>
      <c r="E772" s="129"/>
      <c r="F772" s="131"/>
      <c r="G772" s="130"/>
      <c r="H772" s="131"/>
      <c r="I772" s="132"/>
      <c r="J772" s="129"/>
      <c r="K772" s="140"/>
      <c r="L772" s="133"/>
      <c r="M772" s="140"/>
      <c r="N772" s="140"/>
      <c r="P772" s="141"/>
    </row>
    <row r="773" spans="1:16" x14ac:dyDescent="0.2">
      <c r="A773" s="129"/>
      <c r="B773" s="130"/>
      <c r="C773" s="140"/>
      <c r="D773" s="131"/>
      <c r="E773" s="129"/>
      <c r="F773" s="131"/>
      <c r="G773" s="130"/>
      <c r="H773" s="131"/>
      <c r="I773" s="132"/>
      <c r="J773" s="129"/>
      <c r="K773" s="140"/>
      <c r="L773" s="133"/>
      <c r="M773" s="140"/>
      <c r="N773" s="140"/>
      <c r="P773" s="141"/>
    </row>
    <row r="774" spans="1:16" x14ac:dyDescent="0.2">
      <c r="A774" s="129"/>
      <c r="B774" s="130"/>
      <c r="C774" s="140"/>
      <c r="D774" s="131"/>
      <c r="E774" s="129"/>
      <c r="F774" s="131"/>
      <c r="G774" s="130"/>
      <c r="H774" s="131"/>
      <c r="I774" s="132"/>
      <c r="J774" s="129"/>
      <c r="K774" s="140"/>
      <c r="L774" s="133"/>
      <c r="M774" s="140"/>
      <c r="N774" s="140"/>
      <c r="P774" s="141"/>
    </row>
    <row r="775" spans="1:16" x14ac:dyDescent="0.2">
      <c r="A775" s="129"/>
      <c r="B775" s="130"/>
      <c r="C775" s="140"/>
      <c r="D775" s="131"/>
      <c r="E775" s="129"/>
      <c r="F775" s="131"/>
      <c r="G775" s="130"/>
      <c r="H775" s="131"/>
      <c r="I775" s="132"/>
      <c r="J775" s="129"/>
      <c r="K775" s="140"/>
      <c r="L775" s="133"/>
      <c r="M775" s="140"/>
      <c r="N775" s="140"/>
      <c r="P775" s="141"/>
    </row>
    <row r="776" spans="1:16" x14ac:dyDescent="0.2">
      <c r="A776" s="129"/>
      <c r="B776" s="130"/>
      <c r="C776" s="140"/>
      <c r="D776" s="131"/>
      <c r="E776" s="129"/>
      <c r="F776" s="131"/>
      <c r="G776" s="130"/>
      <c r="H776" s="131"/>
      <c r="I776" s="132"/>
      <c r="J776" s="129"/>
      <c r="K776" s="140"/>
      <c r="L776" s="133"/>
      <c r="M776" s="140"/>
      <c r="N776" s="140"/>
      <c r="P776" s="141"/>
    </row>
    <row r="777" spans="1:16" x14ac:dyDescent="0.2">
      <c r="A777" s="129"/>
      <c r="B777" s="130"/>
      <c r="C777" s="140"/>
      <c r="D777" s="131"/>
      <c r="E777" s="129"/>
      <c r="F777" s="131"/>
      <c r="G777" s="130"/>
      <c r="H777" s="131"/>
      <c r="I777" s="132"/>
      <c r="J777" s="129"/>
      <c r="K777" s="140"/>
      <c r="L777" s="133"/>
      <c r="M777" s="140"/>
      <c r="N777" s="140"/>
      <c r="P777" s="141"/>
    </row>
    <row r="778" spans="1:16" x14ac:dyDescent="0.2">
      <c r="A778" s="129"/>
      <c r="B778" s="130"/>
      <c r="C778" s="140"/>
      <c r="D778" s="131"/>
      <c r="E778" s="129"/>
      <c r="F778" s="131"/>
      <c r="G778" s="130"/>
      <c r="H778" s="131"/>
      <c r="I778" s="132"/>
      <c r="J778" s="129"/>
      <c r="K778" s="140"/>
      <c r="L778" s="133"/>
      <c r="M778" s="140"/>
      <c r="N778" s="140"/>
      <c r="P778" s="141"/>
    </row>
    <row r="779" spans="1:16" x14ac:dyDescent="0.2">
      <c r="A779" s="129"/>
      <c r="B779" s="130"/>
      <c r="C779" s="140"/>
      <c r="D779" s="131"/>
      <c r="E779" s="129"/>
      <c r="F779" s="131"/>
      <c r="G779" s="130"/>
      <c r="H779" s="131"/>
      <c r="I779" s="132"/>
      <c r="J779" s="129"/>
      <c r="K779" s="140"/>
      <c r="L779" s="133"/>
      <c r="M779" s="140"/>
      <c r="N779" s="140"/>
      <c r="P779" s="141"/>
    </row>
    <row r="780" spans="1:16" x14ac:dyDescent="0.2">
      <c r="A780" s="129"/>
      <c r="B780" s="130"/>
      <c r="C780" s="140"/>
      <c r="D780" s="131"/>
      <c r="E780" s="129"/>
      <c r="F780" s="131"/>
      <c r="G780" s="130"/>
      <c r="H780" s="131"/>
      <c r="I780" s="132"/>
      <c r="J780" s="129"/>
      <c r="K780" s="140"/>
      <c r="L780" s="133"/>
      <c r="M780" s="140"/>
      <c r="N780" s="140"/>
      <c r="P780" s="141"/>
    </row>
    <row r="781" spans="1:16" x14ac:dyDescent="0.2">
      <c r="A781" s="129"/>
      <c r="B781" s="130"/>
      <c r="C781" s="140"/>
      <c r="D781" s="131"/>
      <c r="E781" s="129"/>
      <c r="F781" s="131"/>
      <c r="G781" s="130"/>
      <c r="H781" s="131"/>
      <c r="I781" s="132"/>
      <c r="J781" s="129"/>
      <c r="K781" s="140"/>
      <c r="L781" s="133"/>
      <c r="M781" s="140"/>
      <c r="N781" s="140"/>
      <c r="P781" s="141"/>
    </row>
    <row r="782" spans="1:16" x14ac:dyDescent="0.2">
      <c r="A782" s="129"/>
      <c r="B782" s="130"/>
      <c r="C782" s="140"/>
      <c r="D782" s="131"/>
      <c r="E782" s="129"/>
      <c r="F782" s="131"/>
      <c r="G782" s="130"/>
      <c r="H782" s="131"/>
      <c r="I782" s="132"/>
      <c r="J782" s="129"/>
      <c r="K782" s="140"/>
      <c r="L782" s="133"/>
      <c r="M782" s="140"/>
      <c r="N782" s="140"/>
      <c r="P782" s="141"/>
    </row>
    <row r="783" spans="1:16" x14ac:dyDescent="0.2">
      <c r="A783" s="129"/>
      <c r="B783" s="130"/>
      <c r="C783" s="140"/>
      <c r="D783" s="131"/>
      <c r="E783" s="129"/>
      <c r="F783" s="131"/>
      <c r="G783" s="130"/>
      <c r="H783" s="131"/>
      <c r="I783" s="132"/>
      <c r="J783" s="129"/>
      <c r="K783" s="140"/>
      <c r="L783" s="133"/>
      <c r="M783" s="140"/>
      <c r="N783" s="140"/>
      <c r="P783" s="141"/>
    </row>
    <row r="784" spans="1:16" x14ac:dyDescent="0.2">
      <c r="A784" s="129"/>
      <c r="B784" s="130"/>
      <c r="C784" s="140"/>
      <c r="D784" s="131"/>
      <c r="E784" s="129"/>
      <c r="F784" s="131"/>
      <c r="G784" s="130"/>
      <c r="H784" s="131"/>
      <c r="I784" s="132"/>
      <c r="J784" s="129"/>
      <c r="K784" s="140"/>
      <c r="L784" s="133"/>
      <c r="M784" s="140"/>
      <c r="N784" s="140"/>
      <c r="P784" s="141"/>
    </row>
    <row r="785" spans="1:16" x14ac:dyDescent="0.2">
      <c r="A785" s="129"/>
      <c r="B785" s="130"/>
      <c r="C785" s="140"/>
      <c r="D785" s="131"/>
      <c r="E785" s="129"/>
      <c r="F785" s="131"/>
      <c r="G785" s="130"/>
      <c r="H785" s="131"/>
      <c r="I785" s="132"/>
      <c r="J785" s="129"/>
      <c r="K785" s="140"/>
      <c r="L785" s="133"/>
      <c r="M785" s="140"/>
      <c r="N785" s="140"/>
      <c r="P785" s="141"/>
    </row>
    <row r="786" spans="1:16" x14ac:dyDescent="0.2">
      <c r="A786" s="129"/>
      <c r="B786" s="130"/>
      <c r="C786" s="140"/>
      <c r="D786" s="131"/>
      <c r="E786" s="129"/>
      <c r="F786" s="131"/>
      <c r="G786" s="130"/>
      <c r="H786" s="131"/>
      <c r="I786" s="132"/>
      <c r="J786" s="129"/>
      <c r="K786" s="140"/>
      <c r="L786" s="133"/>
      <c r="M786" s="140"/>
      <c r="N786" s="140"/>
      <c r="P786" s="141"/>
    </row>
    <row r="787" spans="1:16" x14ac:dyDescent="0.2">
      <c r="A787" s="129"/>
      <c r="B787" s="130"/>
      <c r="C787" s="140"/>
      <c r="D787" s="131"/>
      <c r="E787" s="129"/>
      <c r="F787" s="131"/>
      <c r="G787" s="130"/>
      <c r="H787" s="131"/>
      <c r="I787" s="132"/>
      <c r="J787" s="129"/>
      <c r="K787" s="140"/>
      <c r="L787" s="133"/>
      <c r="M787" s="140"/>
      <c r="N787" s="140"/>
      <c r="P787" s="141"/>
    </row>
    <row r="788" spans="1:16" x14ac:dyDescent="0.2">
      <c r="A788" s="129"/>
      <c r="B788" s="130"/>
      <c r="C788" s="140"/>
      <c r="D788" s="131"/>
      <c r="E788" s="129"/>
      <c r="F788" s="131"/>
      <c r="G788" s="130"/>
      <c r="H788" s="131"/>
      <c r="I788" s="132"/>
      <c r="J788" s="129"/>
      <c r="K788" s="140"/>
      <c r="L788" s="133"/>
      <c r="M788" s="140"/>
      <c r="N788" s="140"/>
      <c r="P788" s="141"/>
    </row>
    <row r="789" spans="1:16" x14ac:dyDescent="0.2">
      <c r="A789" s="129"/>
      <c r="B789" s="130"/>
      <c r="C789" s="140"/>
      <c r="D789" s="131"/>
      <c r="E789" s="129"/>
      <c r="F789" s="131"/>
      <c r="G789" s="130"/>
      <c r="H789" s="131"/>
      <c r="I789" s="132"/>
      <c r="J789" s="129"/>
      <c r="K789" s="140"/>
      <c r="L789" s="133"/>
      <c r="M789" s="140"/>
      <c r="N789" s="140"/>
      <c r="P789" s="141"/>
    </row>
    <row r="790" spans="1:16" x14ac:dyDescent="0.2">
      <c r="A790" s="129"/>
      <c r="B790" s="130"/>
      <c r="C790" s="140"/>
      <c r="D790" s="131"/>
      <c r="E790" s="129"/>
      <c r="F790" s="131"/>
      <c r="G790" s="130"/>
      <c r="H790" s="131"/>
      <c r="I790" s="132"/>
      <c r="J790" s="129"/>
      <c r="K790" s="140"/>
      <c r="L790" s="133"/>
      <c r="M790" s="140"/>
      <c r="N790" s="140"/>
      <c r="P790" s="141"/>
    </row>
    <row r="791" spans="1:16" x14ac:dyDescent="0.2">
      <c r="A791" s="129"/>
      <c r="B791" s="130"/>
      <c r="C791" s="140"/>
      <c r="D791" s="131"/>
      <c r="E791" s="129"/>
      <c r="F791" s="131"/>
      <c r="G791" s="130"/>
      <c r="H791" s="131"/>
      <c r="I791" s="132"/>
      <c r="J791" s="129"/>
      <c r="K791" s="140"/>
      <c r="L791" s="133"/>
      <c r="M791" s="140"/>
      <c r="N791" s="140"/>
      <c r="P791" s="141"/>
    </row>
    <row r="792" spans="1:16" x14ac:dyDescent="0.2">
      <c r="A792" s="129"/>
      <c r="B792" s="130"/>
      <c r="C792" s="140"/>
      <c r="D792" s="131"/>
      <c r="E792" s="129"/>
      <c r="F792" s="131"/>
      <c r="G792" s="130"/>
      <c r="H792" s="131"/>
      <c r="I792" s="132"/>
      <c r="J792" s="129"/>
      <c r="K792" s="140"/>
      <c r="L792" s="133"/>
      <c r="M792" s="140"/>
      <c r="N792" s="140"/>
      <c r="P792" s="141"/>
    </row>
    <row r="793" spans="1:16" x14ac:dyDescent="0.2">
      <c r="A793" s="129"/>
      <c r="B793" s="130"/>
      <c r="C793" s="140"/>
      <c r="D793" s="131"/>
      <c r="E793" s="129"/>
      <c r="F793" s="131"/>
      <c r="G793" s="130"/>
      <c r="H793" s="131"/>
      <c r="I793" s="132"/>
      <c r="J793" s="129"/>
      <c r="K793" s="140"/>
      <c r="L793" s="133"/>
      <c r="M793" s="140"/>
      <c r="N793" s="140"/>
      <c r="P793" s="141"/>
    </row>
    <row r="794" spans="1:16" x14ac:dyDescent="0.2">
      <c r="A794" s="129"/>
      <c r="B794" s="130"/>
      <c r="C794" s="140"/>
      <c r="D794" s="131"/>
      <c r="E794" s="129"/>
      <c r="F794" s="131"/>
      <c r="G794" s="130"/>
      <c r="H794" s="131"/>
      <c r="I794" s="132"/>
      <c r="J794" s="129"/>
      <c r="K794" s="140"/>
      <c r="L794" s="133"/>
      <c r="M794" s="140"/>
      <c r="N794" s="140"/>
      <c r="P794" s="141"/>
    </row>
    <row r="795" spans="1:16" x14ac:dyDescent="0.2">
      <c r="A795" s="129"/>
      <c r="B795" s="130"/>
      <c r="C795" s="140"/>
      <c r="D795" s="131"/>
      <c r="E795" s="129"/>
      <c r="F795" s="131"/>
      <c r="G795" s="130"/>
      <c r="H795" s="131"/>
      <c r="I795" s="132"/>
      <c r="J795" s="129"/>
      <c r="K795" s="140"/>
      <c r="L795" s="133"/>
      <c r="M795" s="140"/>
      <c r="N795" s="140"/>
      <c r="P795" s="141"/>
    </row>
    <row r="796" spans="1:16" x14ac:dyDescent="0.2">
      <c r="A796" s="129"/>
      <c r="B796" s="130"/>
      <c r="C796" s="140"/>
      <c r="D796" s="131"/>
      <c r="E796" s="129"/>
      <c r="F796" s="131"/>
      <c r="G796" s="130"/>
      <c r="H796" s="131"/>
      <c r="I796" s="132"/>
      <c r="J796" s="129"/>
      <c r="K796" s="140"/>
      <c r="L796" s="133"/>
      <c r="M796" s="140"/>
      <c r="N796" s="140"/>
      <c r="P796" s="141"/>
    </row>
    <row r="797" spans="1:16" x14ac:dyDescent="0.2">
      <c r="A797" s="129"/>
      <c r="B797" s="130"/>
      <c r="C797" s="140"/>
      <c r="D797" s="131"/>
      <c r="E797" s="129"/>
      <c r="F797" s="131"/>
      <c r="G797" s="130"/>
      <c r="H797" s="131"/>
      <c r="I797" s="132"/>
      <c r="J797" s="129"/>
      <c r="K797" s="140"/>
      <c r="L797" s="133"/>
      <c r="M797" s="140"/>
      <c r="N797" s="140"/>
      <c r="P797" s="141"/>
    </row>
    <row r="798" spans="1:16" x14ac:dyDescent="0.2">
      <c r="A798" s="129"/>
      <c r="B798" s="130"/>
      <c r="C798" s="140"/>
      <c r="D798" s="131"/>
      <c r="E798" s="129"/>
      <c r="F798" s="131"/>
      <c r="G798" s="130"/>
      <c r="H798" s="131"/>
      <c r="I798" s="132"/>
      <c r="J798" s="129"/>
      <c r="K798" s="140"/>
      <c r="L798" s="133"/>
      <c r="M798" s="140"/>
      <c r="N798" s="140"/>
      <c r="P798" s="141"/>
    </row>
    <row r="799" spans="1:16" x14ac:dyDescent="0.2">
      <c r="A799" s="129"/>
      <c r="B799" s="130"/>
      <c r="C799" s="140"/>
      <c r="D799" s="131"/>
      <c r="E799" s="129"/>
      <c r="F799" s="131"/>
      <c r="G799" s="130"/>
      <c r="H799" s="131"/>
      <c r="I799" s="132"/>
      <c r="J799" s="129"/>
      <c r="K799" s="140"/>
      <c r="L799" s="133"/>
      <c r="M799" s="140"/>
      <c r="N799" s="140"/>
      <c r="P799" s="141"/>
    </row>
    <row r="800" spans="1:16" x14ac:dyDescent="0.2">
      <c r="A800" s="129"/>
      <c r="B800" s="130"/>
      <c r="C800" s="140"/>
      <c r="D800" s="131"/>
      <c r="E800" s="129"/>
      <c r="F800" s="131"/>
      <c r="G800" s="130"/>
      <c r="H800" s="131"/>
      <c r="I800" s="132"/>
      <c r="J800" s="129"/>
      <c r="K800" s="140"/>
      <c r="L800" s="133"/>
      <c r="M800" s="140"/>
      <c r="N800" s="140"/>
      <c r="P800" s="141"/>
    </row>
    <row r="801" spans="1:16" x14ac:dyDescent="0.2">
      <c r="A801" s="129"/>
      <c r="B801" s="130"/>
      <c r="C801" s="140"/>
      <c r="D801" s="131"/>
      <c r="E801" s="129"/>
      <c r="F801" s="131"/>
      <c r="G801" s="130"/>
      <c r="H801" s="131"/>
      <c r="I801" s="132"/>
      <c r="J801" s="129"/>
      <c r="K801" s="140"/>
      <c r="L801" s="133"/>
      <c r="M801" s="140"/>
      <c r="N801" s="140"/>
      <c r="P801" s="141"/>
    </row>
    <row r="802" spans="1:16" x14ac:dyDescent="0.2">
      <c r="A802" s="129"/>
      <c r="B802" s="130"/>
      <c r="C802" s="140"/>
      <c r="D802" s="131"/>
      <c r="E802" s="129"/>
      <c r="F802" s="131"/>
      <c r="G802" s="130"/>
      <c r="H802" s="131"/>
      <c r="I802" s="132"/>
      <c r="J802" s="129"/>
      <c r="K802" s="140"/>
      <c r="L802" s="133"/>
      <c r="M802" s="140"/>
      <c r="N802" s="140"/>
      <c r="P802" s="141"/>
    </row>
    <row r="803" spans="1:16" x14ac:dyDescent="0.2">
      <c r="A803" s="129"/>
      <c r="B803" s="130"/>
      <c r="C803" s="140"/>
      <c r="D803" s="131"/>
      <c r="E803" s="129"/>
      <c r="F803" s="131"/>
      <c r="G803" s="130"/>
      <c r="H803" s="131"/>
      <c r="I803" s="132"/>
      <c r="J803" s="129"/>
      <c r="K803" s="140"/>
      <c r="L803" s="133"/>
      <c r="M803" s="140"/>
      <c r="N803" s="140"/>
      <c r="P803" s="141"/>
    </row>
    <row r="804" spans="1:16" x14ac:dyDescent="0.2">
      <c r="A804" s="129"/>
      <c r="B804" s="130"/>
      <c r="C804" s="140"/>
      <c r="D804" s="131"/>
      <c r="E804" s="129"/>
      <c r="F804" s="131"/>
      <c r="G804" s="130"/>
      <c r="H804" s="131"/>
      <c r="I804" s="132"/>
      <c r="J804" s="129"/>
      <c r="K804" s="140"/>
      <c r="L804" s="133"/>
      <c r="M804" s="140"/>
      <c r="N804" s="140"/>
      <c r="P804" s="141"/>
    </row>
    <row r="805" spans="1:16" x14ac:dyDescent="0.2">
      <c r="A805" s="129"/>
      <c r="B805" s="130"/>
      <c r="C805" s="140"/>
      <c r="D805" s="131"/>
      <c r="E805" s="129"/>
      <c r="F805" s="131"/>
      <c r="G805" s="130"/>
      <c r="H805" s="131"/>
      <c r="I805" s="132"/>
      <c r="J805" s="129"/>
      <c r="K805" s="140"/>
      <c r="L805" s="133"/>
      <c r="M805" s="140"/>
      <c r="N805" s="140"/>
      <c r="P805" s="141"/>
    </row>
    <row r="806" spans="1:16" x14ac:dyDescent="0.2">
      <c r="A806" s="129"/>
      <c r="B806" s="130"/>
      <c r="C806" s="140"/>
      <c r="D806" s="131"/>
      <c r="E806" s="129"/>
      <c r="F806" s="131"/>
      <c r="G806" s="130"/>
      <c r="H806" s="131"/>
      <c r="I806" s="132"/>
      <c r="J806" s="129"/>
      <c r="K806" s="140"/>
      <c r="L806" s="133"/>
      <c r="M806" s="140"/>
      <c r="N806" s="140"/>
      <c r="P806" s="141"/>
    </row>
    <row r="807" spans="1:16" x14ac:dyDescent="0.2">
      <c r="A807" s="129"/>
      <c r="B807" s="130"/>
      <c r="C807" s="140"/>
      <c r="D807" s="131"/>
      <c r="E807" s="129"/>
      <c r="F807" s="131"/>
      <c r="G807" s="130"/>
      <c r="H807" s="131"/>
      <c r="I807" s="132"/>
      <c r="J807" s="129"/>
      <c r="K807" s="140"/>
      <c r="L807" s="133"/>
      <c r="M807" s="140"/>
      <c r="N807" s="140"/>
      <c r="P807" s="141"/>
    </row>
    <row r="808" spans="1:16" x14ac:dyDescent="0.2">
      <c r="A808" s="129"/>
      <c r="B808" s="130"/>
      <c r="C808" s="140"/>
      <c r="D808" s="131"/>
      <c r="E808" s="129"/>
      <c r="F808" s="131"/>
      <c r="G808" s="130"/>
      <c r="H808" s="131"/>
      <c r="I808" s="132"/>
      <c r="J808" s="129"/>
      <c r="K808" s="140"/>
      <c r="L808" s="133"/>
      <c r="M808" s="140"/>
      <c r="N808" s="140"/>
      <c r="P808" s="141"/>
    </row>
    <row r="809" spans="1:16" x14ac:dyDescent="0.2">
      <c r="A809" s="129"/>
      <c r="B809" s="130"/>
      <c r="C809" s="140"/>
      <c r="D809" s="131"/>
      <c r="E809" s="129"/>
      <c r="F809" s="131"/>
      <c r="G809" s="130"/>
      <c r="H809" s="131"/>
      <c r="I809" s="132"/>
      <c r="J809" s="129"/>
      <c r="K809" s="140"/>
      <c r="L809" s="133"/>
      <c r="M809" s="140"/>
      <c r="N809" s="140"/>
      <c r="P809" s="141"/>
    </row>
    <row r="810" spans="1:16" x14ac:dyDescent="0.2">
      <c r="A810" s="129"/>
      <c r="B810" s="130"/>
      <c r="C810" s="140"/>
      <c r="D810" s="131"/>
      <c r="E810" s="129"/>
      <c r="F810" s="131"/>
      <c r="G810" s="130"/>
      <c r="H810" s="131"/>
      <c r="I810" s="132"/>
      <c r="J810" s="129"/>
      <c r="K810" s="140"/>
      <c r="L810" s="133"/>
      <c r="M810" s="140"/>
      <c r="N810" s="140"/>
      <c r="P810" s="141"/>
    </row>
    <row r="811" spans="1:16" x14ac:dyDescent="0.2">
      <c r="A811" s="129"/>
      <c r="B811" s="130"/>
      <c r="C811" s="140"/>
      <c r="D811" s="131"/>
      <c r="E811" s="129"/>
      <c r="F811" s="131"/>
      <c r="G811" s="130"/>
      <c r="H811" s="131"/>
      <c r="I811" s="132"/>
      <c r="J811" s="129"/>
      <c r="K811" s="140"/>
      <c r="L811" s="133"/>
      <c r="M811" s="140"/>
      <c r="N811" s="140"/>
      <c r="P811" s="141"/>
    </row>
    <row r="812" spans="1:16" x14ac:dyDescent="0.2">
      <c r="A812" s="129"/>
      <c r="B812" s="130"/>
      <c r="C812" s="140"/>
      <c r="D812" s="131"/>
      <c r="E812" s="129"/>
      <c r="F812" s="131"/>
      <c r="G812" s="130"/>
      <c r="H812" s="131"/>
      <c r="I812" s="132"/>
      <c r="J812" s="129"/>
      <c r="K812" s="140"/>
      <c r="L812" s="133"/>
      <c r="M812" s="140"/>
      <c r="N812" s="140"/>
      <c r="P812" s="141"/>
    </row>
    <row r="813" spans="1:16" x14ac:dyDescent="0.2">
      <c r="A813" s="129"/>
      <c r="B813" s="130"/>
      <c r="C813" s="140"/>
      <c r="D813" s="131"/>
      <c r="E813" s="129"/>
      <c r="F813" s="131"/>
      <c r="G813" s="130"/>
      <c r="H813" s="131"/>
      <c r="I813" s="132"/>
      <c r="J813" s="129"/>
      <c r="K813" s="140"/>
      <c r="L813" s="133"/>
      <c r="M813" s="140"/>
      <c r="N813" s="140"/>
      <c r="P813" s="141"/>
    </row>
    <row r="814" spans="1:16" x14ac:dyDescent="0.2">
      <c r="A814" s="129"/>
      <c r="B814" s="130"/>
      <c r="C814" s="140"/>
      <c r="D814" s="131"/>
      <c r="E814" s="129"/>
      <c r="F814" s="131"/>
      <c r="G814" s="130"/>
      <c r="H814" s="131"/>
      <c r="I814" s="132"/>
      <c r="J814" s="129"/>
      <c r="K814" s="140"/>
      <c r="L814" s="133"/>
      <c r="M814" s="140"/>
      <c r="N814" s="140"/>
      <c r="P814" s="141"/>
    </row>
    <row r="815" spans="1:16" x14ac:dyDescent="0.2">
      <c r="A815" s="129"/>
      <c r="B815" s="130"/>
      <c r="C815" s="140"/>
      <c r="D815" s="131"/>
      <c r="E815" s="129"/>
      <c r="F815" s="131"/>
      <c r="G815" s="130"/>
      <c r="H815" s="131"/>
      <c r="I815" s="132"/>
      <c r="J815" s="129"/>
      <c r="K815" s="140"/>
      <c r="L815" s="133"/>
      <c r="M815" s="140"/>
      <c r="N815" s="140"/>
      <c r="P815" s="141"/>
    </row>
    <row r="816" spans="1:16" x14ac:dyDescent="0.2">
      <c r="A816" s="129"/>
      <c r="B816" s="130"/>
      <c r="C816" s="140"/>
      <c r="D816" s="131"/>
      <c r="E816" s="129"/>
      <c r="F816" s="131"/>
      <c r="G816" s="130"/>
      <c r="H816" s="131"/>
      <c r="I816" s="132"/>
      <c r="J816" s="129"/>
      <c r="K816" s="140"/>
      <c r="L816" s="133"/>
      <c r="M816" s="140"/>
      <c r="N816" s="140"/>
      <c r="P816" s="141"/>
    </row>
    <row r="817" spans="1:16" x14ac:dyDescent="0.2">
      <c r="A817" s="129"/>
      <c r="B817" s="130"/>
      <c r="C817" s="140"/>
      <c r="D817" s="131"/>
      <c r="E817" s="129"/>
      <c r="F817" s="131"/>
      <c r="G817" s="130"/>
      <c r="H817" s="131"/>
      <c r="I817" s="132"/>
      <c r="J817" s="129"/>
      <c r="K817" s="140"/>
      <c r="L817" s="133"/>
      <c r="M817" s="140"/>
      <c r="N817" s="140"/>
      <c r="P817" s="141"/>
    </row>
    <row r="818" spans="1:16" x14ac:dyDescent="0.2">
      <c r="A818" s="129"/>
      <c r="B818" s="130"/>
      <c r="C818" s="140"/>
      <c r="D818" s="131"/>
      <c r="E818" s="129"/>
      <c r="F818" s="131"/>
      <c r="G818" s="130"/>
      <c r="H818" s="131"/>
      <c r="I818" s="132"/>
      <c r="J818" s="129"/>
      <c r="K818" s="140"/>
      <c r="L818" s="133"/>
      <c r="M818" s="140"/>
      <c r="N818" s="140"/>
      <c r="P818" s="141"/>
    </row>
    <row r="819" spans="1:16" x14ac:dyDescent="0.2">
      <c r="A819" s="129"/>
      <c r="B819" s="130"/>
      <c r="C819" s="140"/>
      <c r="D819" s="131"/>
      <c r="E819" s="129"/>
      <c r="F819" s="131"/>
      <c r="G819" s="130"/>
      <c r="H819" s="131"/>
      <c r="I819" s="132"/>
      <c r="J819" s="129"/>
      <c r="K819" s="140"/>
      <c r="L819" s="133"/>
      <c r="M819" s="140"/>
      <c r="N819" s="140"/>
      <c r="P819" s="141"/>
    </row>
    <row r="820" spans="1:16" x14ac:dyDescent="0.2">
      <c r="A820" s="129"/>
      <c r="B820" s="130"/>
      <c r="C820" s="140"/>
      <c r="D820" s="131"/>
      <c r="E820" s="129"/>
      <c r="F820" s="131"/>
      <c r="G820" s="130"/>
      <c r="H820" s="131"/>
      <c r="I820" s="132"/>
      <c r="J820" s="129"/>
      <c r="K820" s="140"/>
      <c r="L820" s="133"/>
      <c r="M820" s="140"/>
      <c r="N820" s="140"/>
      <c r="P820" s="141"/>
    </row>
    <row r="821" spans="1:16" x14ac:dyDescent="0.2">
      <c r="A821" s="129"/>
      <c r="B821" s="130"/>
      <c r="C821" s="140"/>
      <c r="D821" s="131"/>
      <c r="E821" s="129"/>
      <c r="F821" s="131"/>
      <c r="G821" s="130"/>
      <c r="H821" s="131"/>
      <c r="I821" s="132"/>
      <c r="J821" s="129"/>
      <c r="K821" s="140"/>
      <c r="L821" s="133"/>
      <c r="M821" s="140"/>
      <c r="N821" s="140"/>
      <c r="P821" s="141"/>
    </row>
    <row r="822" spans="1:16" x14ac:dyDescent="0.2">
      <c r="A822" s="129"/>
      <c r="B822" s="130"/>
      <c r="C822" s="140"/>
      <c r="D822" s="131"/>
      <c r="E822" s="129"/>
      <c r="F822" s="131"/>
      <c r="G822" s="130"/>
      <c r="H822" s="131"/>
      <c r="I822" s="132"/>
      <c r="J822" s="129"/>
      <c r="K822" s="140"/>
      <c r="L822" s="133"/>
      <c r="M822" s="140"/>
      <c r="N822" s="140"/>
      <c r="P822" s="141"/>
    </row>
    <row r="823" spans="1:16" x14ac:dyDescent="0.2">
      <c r="A823" s="129"/>
      <c r="B823" s="130"/>
      <c r="C823" s="140"/>
      <c r="D823" s="131"/>
      <c r="E823" s="129"/>
      <c r="F823" s="131"/>
      <c r="G823" s="130"/>
      <c r="H823" s="131"/>
      <c r="I823" s="132"/>
      <c r="J823" s="129"/>
      <c r="K823" s="140"/>
      <c r="L823" s="133"/>
      <c r="M823" s="140"/>
      <c r="N823" s="140"/>
      <c r="P823" s="141"/>
    </row>
    <row r="824" spans="1:16" x14ac:dyDescent="0.2">
      <c r="A824" s="129"/>
      <c r="B824" s="130"/>
      <c r="C824" s="140"/>
      <c r="D824" s="131"/>
      <c r="E824" s="129"/>
      <c r="F824" s="131"/>
      <c r="G824" s="130"/>
      <c r="H824" s="131"/>
      <c r="I824" s="132"/>
      <c r="J824" s="129"/>
      <c r="K824" s="140"/>
      <c r="L824" s="133"/>
      <c r="M824" s="140"/>
      <c r="N824" s="140"/>
      <c r="P824" s="141"/>
    </row>
    <row r="825" spans="1:16" x14ac:dyDescent="0.2">
      <c r="A825" s="129"/>
      <c r="B825" s="130"/>
      <c r="C825" s="140"/>
      <c r="D825" s="131"/>
      <c r="E825" s="129"/>
      <c r="F825" s="131"/>
      <c r="G825" s="130"/>
      <c r="H825" s="131"/>
      <c r="I825" s="132"/>
      <c r="J825" s="129"/>
      <c r="K825" s="140"/>
      <c r="L825" s="133"/>
      <c r="M825" s="140"/>
      <c r="N825" s="140"/>
      <c r="P825" s="141"/>
    </row>
    <row r="826" spans="1:16" x14ac:dyDescent="0.2">
      <c r="A826" s="129"/>
      <c r="B826" s="130"/>
      <c r="C826" s="140"/>
      <c r="D826" s="131"/>
      <c r="E826" s="129"/>
      <c r="F826" s="131"/>
      <c r="G826" s="130"/>
      <c r="H826" s="131"/>
      <c r="I826" s="132"/>
      <c r="J826" s="129"/>
      <c r="K826" s="140"/>
      <c r="L826" s="133"/>
      <c r="M826" s="140"/>
      <c r="N826" s="140"/>
      <c r="P826" s="141"/>
    </row>
    <row r="827" spans="1:16" x14ac:dyDescent="0.2">
      <c r="A827" s="129"/>
      <c r="B827" s="130"/>
      <c r="C827" s="140"/>
      <c r="D827" s="131"/>
      <c r="E827" s="129"/>
      <c r="F827" s="131"/>
      <c r="G827" s="130"/>
      <c r="H827" s="131"/>
      <c r="I827" s="132"/>
      <c r="J827" s="129"/>
      <c r="K827" s="140"/>
      <c r="L827" s="133"/>
      <c r="M827" s="140"/>
      <c r="N827" s="140"/>
      <c r="P827" s="141"/>
    </row>
    <row r="828" spans="1:16" x14ac:dyDescent="0.2">
      <c r="A828" s="129"/>
      <c r="B828" s="130"/>
      <c r="C828" s="140"/>
      <c r="D828" s="131"/>
      <c r="E828" s="129"/>
      <c r="F828" s="131"/>
      <c r="G828" s="130"/>
      <c r="H828" s="131"/>
      <c r="I828" s="132"/>
      <c r="J828" s="129"/>
      <c r="K828" s="140"/>
      <c r="L828" s="133"/>
      <c r="M828" s="140"/>
      <c r="N828" s="140"/>
      <c r="P828" s="141"/>
    </row>
    <row r="829" spans="1:16" x14ac:dyDescent="0.2">
      <c r="A829" s="129"/>
      <c r="B829" s="130"/>
      <c r="C829" s="140"/>
      <c r="D829" s="131"/>
      <c r="E829" s="129"/>
      <c r="F829" s="131"/>
      <c r="G829" s="130"/>
      <c r="H829" s="131"/>
      <c r="I829" s="132"/>
      <c r="J829" s="129"/>
      <c r="K829" s="140"/>
      <c r="L829" s="133"/>
      <c r="M829" s="140"/>
      <c r="N829" s="140"/>
      <c r="P829" s="141"/>
    </row>
    <row r="830" spans="1:16" x14ac:dyDescent="0.2">
      <c r="A830" s="129"/>
      <c r="B830" s="130"/>
      <c r="C830" s="140"/>
      <c r="D830" s="131"/>
      <c r="E830" s="129"/>
      <c r="F830" s="131"/>
      <c r="G830" s="130"/>
      <c r="H830" s="131"/>
      <c r="I830" s="132"/>
      <c r="J830" s="129"/>
      <c r="K830" s="140"/>
      <c r="L830" s="133"/>
      <c r="M830" s="140"/>
      <c r="N830" s="140"/>
      <c r="P830" s="141"/>
    </row>
    <row r="831" spans="1:16" x14ac:dyDescent="0.2">
      <c r="A831" s="129"/>
      <c r="B831" s="130"/>
      <c r="C831" s="140"/>
      <c r="D831" s="131"/>
      <c r="E831" s="129"/>
      <c r="F831" s="131"/>
      <c r="G831" s="130"/>
      <c r="H831" s="131"/>
      <c r="I831" s="132"/>
      <c r="J831" s="129"/>
      <c r="K831" s="140"/>
      <c r="L831" s="133"/>
      <c r="M831" s="140"/>
      <c r="N831" s="140"/>
      <c r="P831" s="141"/>
    </row>
    <row r="832" spans="1:16" x14ac:dyDescent="0.2">
      <c r="A832" s="129"/>
      <c r="B832" s="130"/>
      <c r="C832" s="140"/>
      <c r="D832" s="131"/>
      <c r="E832" s="129"/>
      <c r="F832" s="131"/>
      <c r="G832" s="130"/>
      <c r="H832" s="131"/>
      <c r="I832" s="132"/>
      <c r="J832" s="129"/>
      <c r="K832" s="140"/>
      <c r="L832" s="133"/>
      <c r="M832" s="140"/>
      <c r="N832" s="140"/>
      <c r="P832" s="141"/>
    </row>
    <row r="833" spans="1:16" x14ac:dyDescent="0.2">
      <c r="A833" s="129"/>
      <c r="B833" s="130"/>
      <c r="C833" s="140"/>
      <c r="D833" s="131"/>
      <c r="E833" s="129"/>
      <c r="F833" s="131"/>
      <c r="G833" s="130"/>
      <c r="H833" s="131"/>
      <c r="I833" s="132"/>
      <c r="J833" s="129"/>
      <c r="K833" s="140"/>
      <c r="L833" s="133"/>
      <c r="M833" s="140"/>
      <c r="N833" s="140"/>
      <c r="P833" s="141"/>
    </row>
    <row r="834" spans="1:16" x14ac:dyDescent="0.2">
      <c r="A834" s="129"/>
      <c r="B834" s="130"/>
      <c r="C834" s="140"/>
      <c r="D834" s="131"/>
      <c r="E834" s="129"/>
      <c r="F834" s="131"/>
      <c r="G834" s="130"/>
      <c r="H834" s="131"/>
      <c r="I834" s="132"/>
      <c r="J834" s="129"/>
      <c r="K834" s="140"/>
      <c r="L834" s="133"/>
      <c r="M834" s="140"/>
      <c r="N834" s="140"/>
      <c r="P834" s="141"/>
    </row>
    <row r="835" spans="1:16" x14ac:dyDescent="0.2">
      <c r="A835" s="129"/>
      <c r="B835" s="130"/>
      <c r="C835" s="140"/>
      <c r="D835" s="131"/>
      <c r="E835" s="129"/>
      <c r="F835" s="131"/>
      <c r="G835" s="130"/>
      <c r="H835" s="131"/>
      <c r="I835" s="132"/>
      <c r="J835" s="129"/>
      <c r="K835" s="140"/>
      <c r="L835" s="133"/>
      <c r="M835" s="140"/>
      <c r="N835" s="140"/>
      <c r="P835" s="141"/>
    </row>
    <row r="836" spans="1:16" x14ac:dyDescent="0.2">
      <c r="A836" s="129"/>
      <c r="B836" s="130"/>
      <c r="C836" s="140"/>
      <c r="D836" s="131"/>
      <c r="E836" s="129"/>
      <c r="F836" s="131"/>
      <c r="G836" s="130"/>
      <c r="H836" s="131"/>
      <c r="I836" s="132"/>
      <c r="J836" s="129"/>
      <c r="K836" s="140"/>
      <c r="L836" s="133"/>
      <c r="M836" s="140"/>
      <c r="N836" s="140"/>
      <c r="P836" s="141"/>
    </row>
    <row r="837" spans="1:16" x14ac:dyDescent="0.2">
      <c r="A837" s="129"/>
      <c r="B837" s="130"/>
      <c r="C837" s="140"/>
      <c r="D837" s="131"/>
      <c r="E837" s="129"/>
      <c r="F837" s="131"/>
      <c r="G837" s="130"/>
      <c r="H837" s="131"/>
      <c r="I837" s="132"/>
      <c r="J837" s="129"/>
      <c r="K837" s="140"/>
      <c r="L837" s="133"/>
      <c r="M837" s="140"/>
      <c r="N837" s="140"/>
      <c r="P837" s="141"/>
    </row>
    <row r="838" spans="1:16" x14ac:dyDescent="0.2">
      <c r="A838" s="129"/>
      <c r="B838" s="130"/>
      <c r="C838" s="140"/>
      <c r="D838" s="131"/>
      <c r="E838" s="129"/>
      <c r="F838" s="131"/>
      <c r="G838" s="130"/>
      <c r="H838" s="131"/>
      <c r="I838" s="132"/>
      <c r="J838" s="129"/>
      <c r="K838" s="140"/>
      <c r="L838" s="133"/>
      <c r="M838" s="140"/>
      <c r="N838" s="140"/>
      <c r="P838" s="141"/>
    </row>
    <row r="839" spans="1:16" x14ac:dyDescent="0.2">
      <c r="A839" s="129"/>
      <c r="B839" s="130"/>
      <c r="C839" s="140"/>
      <c r="D839" s="131"/>
      <c r="E839" s="129"/>
      <c r="F839" s="131"/>
      <c r="G839" s="130"/>
      <c r="H839" s="131"/>
      <c r="I839" s="132"/>
      <c r="J839" s="129"/>
      <c r="K839" s="140"/>
      <c r="L839" s="133"/>
      <c r="M839" s="140"/>
      <c r="N839" s="140"/>
      <c r="P839" s="141"/>
    </row>
    <row r="840" spans="1:16" x14ac:dyDescent="0.2">
      <c r="A840" s="129"/>
      <c r="B840" s="130"/>
      <c r="C840" s="140"/>
      <c r="D840" s="131"/>
      <c r="E840" s="129"/>
      <c r="F840" s="131"/>
      <c r="G840" s="130"/>
      <c r="H840" s="131"/>
      <c r="I840" s="132"/>
      <c r="J840" s="129"/>
      <c r="K840" s="140"/>
      <c r="L840" s="133"/>
      <c r="M840" s="140"/>
      <c r="N840" s="140"/>
      <c r="P840" s="141"/>
    </row>
    <row r="841" spans="1:16" x14ac:dyDescent="0.2">
      <c r="A841" s="129"/>
      <c r="B841" s="130"/>
      <c r="C841" s="140"/>
      <c r="D841" s="131"/>
      <c r="E841" s="129"/>
      <c r="F841" s="131"/>
      <c r="G841" s="130"/>
      <c r="H841" s="131"/>
      <c r="I841" s="132"/>
      <c r="J841" s="129"/>
      <c r="K841" s="140"/>
      <c r="L841" s="133"/>
      <c r="M841" s="140"/>
      <c r="N841" s="140"/>
      <c r="P841" s="141"/>
    </row>
    <row r="842" spans="1:16" x14ac:dyDescent="0.2">
      <c r="A842" s="129"/>
      <c r="B842" s="130"/>
      <c r="C842" s="140"/>
      <c r="D842" s="131"/>
      <c r="E842" s="129"/>
      <c r="F842" s="131"/>
      <c r="G842" s="130"/>
      <c r="H842" s="131"/>
      <c r="I842" s="132"/>
      <c r="J842" s="129"/>
      <c r="K842" s="140"/>
      <c r="L842" s="133"/>
      <c r="M842" s="140"/>
      <c r="N842" s="140"/>
      <c r="P842" s="141"/>
    </row>
    <row r="843" spans="1:16" x14ac:dyDescent="0.2">
      <c r="A843" s="129"/>
      <c r="B843" s="130"/>
      <c r="C843" s="140"/>
      <c r="D843" s="131"/>
      <c r="E843" s="129"/>
      <c r="F843" s="131"/>
      <c r="G843" s="130"/>
      <c r="H843" s="131"/>
      <c r="I843" s="132"/>
      <c r="J843" s="129"/>
      <c r="K843" s="140"/>
      <c r="L843" s="133"/>
      <c r="M843" s="140"/>
      <c r="N843" s="140"/>
      <c r="P843" s="141"/>
    </row>
    <row r="844" spans="1:16" x14ac:dyDescent="0.2">
      <c r="A844" s="129"/>
      <c r="B844" s="130"/>
      <c r="C844" s="140"/>
      <c r="D844" s="131"/>
      <c r="E844" s="129"/>
      <c r="F844" s="131"/>
      <c r="G844" s="130"/>
      <c r="H844" s="131"/>
      <c r="I844" s="132"/>
      <c r="J844" s="129"/>
      <c r="K844" s="140"/>
      <c r="L844" s="133"/>
      <c r="M844" s="140"/>
      <c r="N844" s="140"/>
      <c r="P844" s="141"/>
    </row>
    <row r="845" spans="1:16" x14ac:dyDescent="0.2">
      <c r="A845" s="129"/>
      <c r="B845" s="130"/>
      <c r="C845" s="140"/>
      <c r="D845" s="131"/>
      <c r="E845" s="129"/>
      <c r="F845" s="131"/>
      <c r="G845" s="130"/>
      <c r="H845" s="131"/>
      <c r="I845" s="132"/>
      <c r="J845" s="129"/>
      <c r="K845" s="140"/>
      <c r="L845" s="133"/>
      <c r="M845" s="140"/>
      <c r="N845" s="140"/>
      <c r="P845" s="141"/>
    </row>
    <row r="846" spans="1:16" x14ac:dyDescent="0.2">
      <c r="A846" s="129"/>
      <c r="B846" s="130"/>
      <c r="C846" s="140"/>
      <c r="D846" s="131"/>
      <c r="E846" s="129"/>
      <c r="F846" s="131"/>
      <c r="G846" s="130"/>
      <c r="H846" s="131"/>
      <c r="I846" s="132"/>
      <c r="J846" s="129"/>
      <c r="K846" s="140"/>
      <c r="L846" s="133"/>
      <c r="M846" s="140"/>
      <c r="N846" s="140"/>
      <c r="P846" s="141"/>
    </row>
    <row r="847" spans="1:16" x14ac:dyDescent="0.2">
      <c r="A847" s="129"/>
      <c r="B847" s="130"/>
      <c r="C847" s="140"/>
      <c r="D847" s="131"/>
      <c r="E847" s="129"/>
      <c r="F847" s="131"/>
      <c r="G847" s="130"/>
      <c r="H847" s="131"/>
      <c r="I847" s="132"/>
      <c r="J847" s="129"/>
      <c r="K847" s="140"/>
      <c r="L847" s="133"/>
      <c r="M847" s="140"/>
      <c r="N847" s="140"/>
      <c r="P847" s="141"/>
    </row>
    <row r="848" spans="1:16" x14ac:dyDescent="0.2">
      <c r="A848" s="129"/>
      <c r="B848" s="130"/>
      <c r="C848" s="140"/>
      <c r="D848" s="131"/>
      <c r="E848" s="129"/>
      <c r="F848" s="131"/>
      <c r="G848" s="130"/>
      <c r="H848" s="131"/>
      <c r="I848" s="132"/>
      <c r="J848" s="129"/>
      <c r="K848" s="140"/>
      <c r="L848" s="133"/>
      <c r="M848" s="140"/>
      <c r="N848" s="140"/>
      <c r="P848" s="141"/>
    </row>
    <row r="849" spans="1:16" x14ac:dyDescent="0.2">
      <c r="A849" s="129"/>
      <c r="B849" s="130"/>
      <c r="C849" s="140"/>
      <c r="D849" s="131"/>
      <c r="E849" s="129"/>
      <c r="F849" s="131"/>
      <c r="G849" s="130"/>
      <c r="H849" s="131"/>
      <c r="I849" s="132"/>
      <c r="J849" s="129"/>
      <c r="K849" s="140"/>
      <c r="L849" s="133"/>
      <c r="M849" s="140"/>
      <c r="N849" s="140"/>
      <c r="P849" s="141"/>
    </row>
    <row r="850" spans="1:16" x14ac:dyDescent="0.2">
      <c r="A850" s="129"/>
      <c r="B850" s="130"/>
      <c r="C850" s="140"/>
      <c r="D850" s="131"/>
      <c r="E850" s="129"/>
      <c r="F850" s="131"/>
      <c r="G850" s="130"/>
      <c r="H850" s="131"/>
      <c r="I850" s="132"/>
      <c r="J850" s="129"/>
      <c r="K850" s="140"/>
      <c r="L850" s="133"/>
      <c r="M850" s="140"/>
      <c r="N850" s="140"/>
      <c r="P850" s="141"/>
    </row>
    <row r="851" spans="1:16" x14ac:dyDescent="0.2">
      <c r="A851" s="129"/>
      <c r="B851" s="130"/>
      <c r="C851" s="140"/>
      <c r="D851" s="131"/>
      <c r="E851" s="129"/>
      <c r="F851" s="131"/>
      <c r="G851" s="130"/>
      <c r="H851" s="131"/>
      <c r="I851" s="132"/>
      <c r="J851" s="129"/>
      <c r="K851" s="140"/>
      <c r="L851" s="133"/>
      <c r="M851" s="140"/>
      <c r="N851" s="140"/>
      <c r="P851" s="141"/>
    </row>
    <row r="852" spans="1:16" x14ac:dyDescent="0.2">
      <c r="A852" s="129"/>
      <c r="B852" s="130"/>
      <c r="C852" s="140"/>
      <c r="D852" s="131"/>
      <c r="E852" s="129"/>
      <c r="F852" s="131"/>
      <c r="G852" s="130"/>
      <c r="H852" s="131"/>
      <c r="I852" s="132"/>
      <c r="J852" s="129"/>
      <c r="K852" s="140"/>
      <c r="L852" s="133"/>
      <c r="M852" s="140"/>
      <c r="N852" s="140"/>
      <c r="P852" s="141"/>
    </row>
    <row r="853" spans="1:16" x14ac:dyDescent="0.2">
      <c r="A853" s="129"/>
      <c r="B853" s="130"/>
      <c r="C853" s="140"/>
      <c r="D853" s="131"/>
      <c r="E853" s="129"/>
      <c r="F853" s="131"/>
      <c r="G853" s="130"/>
      <c r="H853" s="131"/>
      <c r="I853" s="132"/>
      <c r="J853" s="129"/>
      <c r="K853" s="140"/>
      <c r="L853" s="133"/>
      <c r="M853" s="140"/>
      <c r="N853" s="140"/>
      <c r="P853" s="141"/>
    </row>
    <row r="854" spans="1:16" x14ac:dyDescent="0.2">
      <c r="A854" s="129"/>
      <c r="B854" s="130"/>
      <c r="C854" s="140"/>
      <c r="D854" s="131"/>
      <c r="E854" s="129"/>
      <c r="F854" s="131"/>
      <c r="G854" s="130"/>
      <c r="H854" s="131"/>
      <c r="I854" s="132"/>
      <c r="J854" s="129"/>
      <c r="K854" s="140"/>
      <c r="L854" s="133"/>
      <c r="M854" s="140"/>
      <c r="N854" s="140"/>
      <c r="P854" s="141"/>
    </row>
    <row r="855" spans="1:16" x14ac:dyDescent="0.2">
      <c r="A855" s="129"/>
      <c r="B855" s="130"/>
      <c r="C855" s="140"/>
      <c r="D855" s="131"/>
      <c r="E855" s="129"/>
      <c r="F855" s="131"/>
      <c r="G855" s="130"/>
      <c r="H855" s="131"/>
      <c r="I855" s="132"/>
      <c r="J855" s="129"/>
      <c r="K855" s="140"/>
      <c r="L855" s="133"/>
      <c r="M855" s="140"/>
      <c r="N855" s="140"/>
      <c r="P855" s="141"/>
    </row>
    <row r="856" spans="1:16" x14ac:dyDescent="0.2">
      <c r="A856" s="129"/>
      <c r="B856" s="130"/>
      <c r="C856" s="140"/>
      <c r="D856" s="131"/>
      <c r="E856" s="129"/>
      <c r="F856" s="131"/>
      <c r="G856" s="130"/>
      <c r="H856" s="131"/>
      <c r="I856" s="132"/>
      <c r="J856" s="129"/>
      <c r="K856" s="140"/>
      <c r="L856" s="133"/>
      <c r="M856" s="140"/>
      <c r="N856" s="140"/>
      <c r="P856" s="141"/>
    </row>
    <row r="857" spans="1:16" x14ac:dyDescent="0.2">
      <c r="A857" s="129"/>
      <c r="B857" s="130"/>
      <c r="C857" s="140"/>
      <c r="D857" s="131"/>
      <c r="E857" s="129"/>
      <c r="F857" s="131"/>
      <c r="G857" s="130"/>
      <c r="H857" s="131"/>
      <c r="I857" s="132"/>
      <c r="J857" s="129"/>
      <c r="K857" s="140"/>
      <c r="L857" s="133"/>
      <c r="M857" s="140"/>
      <c r="N857" s="140"/>
      <c r="P857" s="141"/>
    </row>
    <row r="858" spans="1:16" x14ac:dyDescent="0.2">
      <c r="A858" s="129"/>
      <c r="B858" s="130"/>
      <c r="C858" s="140"/>
      <c r="D858" s="131"/>
      <c r="E858" s="129"/>
      <c r="F858" s="131"/>
      <c r="G858" s="130"/>
      <c r="H858" s="131"/>
      <c r="I858" s="132"/>
      <c r="J858" s="129"/>
      <c r="K858" s="140"/>
      <c r="L858" s="133"/>
      <c r="M858" s="140"/>
      <c r="N858" s="140"/>
      <c r="P858" s="141"/>
    </row>
    <row r="859" spans="1:16" x14ac:dyDescent="0.2">
      <c r="A859" s="129"/>
      <c r="B859" s="130"/>
      <c r="C859" s="140"/>
      <c r="D859" s="131"/>
      <c r="E859" s="129"/>
      <c r="F859" s="131"/>
      <c r="G859" s="130"/>
      <c r="H859" s="131"/>
      <c r="I859" s="132"/>
      <c r="J859" s="129"/>
      <c r="K859" s="140"/>
      <c r="L859" s="133"/>
      <c r="M859" s="140"/>
      <c r="N859" s="140"/>
      <c r="P859" s="141"/>
    </row>
    <row r="860" spans="1:16" x14ac:dyDescent="0.2">
      <c r="A860" s="129"/>
      <c r="B860" s="130"/>
      <c r="C860" s="140"/>
      <c r="D860" s="131"/>
      <c r="E860" s="129"/>
      <c r="F860" s="131"/>
      <c r="G860" s="130"/>
      <c r="H860" s="131"/>
      <c r="I860" s="132"/>
      <c r="J860" s="129"/>
      <c r="K860" s="140"/>
      <c r="L860" s="133"/>
      <c r="M860" s="140"/>
      <c r="N860" s="140"/>
      <c r="P860" s="141"/>
    </row>
    <row r="861" spans="1:16" x14ac:dyDescent="0.2">
      <c r="A861" s="129"/>
      <c r="B861" s="130"/>
      <c r="C861" s="140"/>
      <c r="D861" s="131"/>
      <c r="E861" s="129"/>
      <c r="F861" s="131"/>
      <c r="G861" s="130"/>
      <c r="H861" s="131"/>
      <c r="I861" s="132"/>
      <c r="J861" s="129"/>
      <c r="K861" s="140"/>
      <c r="L861" s="133"/>
      <c r="M861" s="140"/>
      <c r="N861" s="140"/>
      <c r="P861" s="141"/>
    </row>
    <row r="862" spans="1:16" x14ac:dyDescent="0.2">
      <c r="A862" s="129"/>
      <c r="B862" s="130"/>
      <c r="C862" s="140"/>
      <c r="D862" s="131"/>
      <c r="E862" s="129"/>
      <c r="F862" s="131"/>
      <c r="G862" s="130"/>
      <c r="H862" s="131"/>
      <c r="I862" s="132"/>
      <c r="J862" s="129"/>
      <c r="K862" s="140"/>
      <c r="L862" s="133"/>
      <c r="M862" s="140"/>
      <c r="N862" s="140"/>
      <c r="P862" s="141"/>
    </row>
    <row r="863" spans="1:16" x14ac:dyDescent="0.2">
      <c r="A863" s="129"/>
      <c r="B863" s="130"/>
      <c r="C863" s="140"/>
      <c r="D863" s="131"/>
      <c r="E863" s="129"/>
      <c r="F863" s="131"/>
      <c r="G863" s="130"/>
      <c r="H863" s="131"/>
      <c r="I863" s="132"/>
      <c r="J863" s="129"/>
      <c r="K863" s="140"/>
      <c r="L863" s="133"/>
      <c r="M863" s="140"/>
      <c r="N863" s="140"/>
      <c r="P863" s="141"/>
    </row>
    <row r="864" spans="1:16" x14ac:dyDescent="0.2">
      <c r="A864" s="129"/>
      <c r="B864" s="130"/>
      <c r="C864" s="140"/>
      <c r="D864" s="131"/>
      <c r="E864" s="129"/>
      <c r="F864" s="131"/>
      <c r="G864" s="130"/>
      <c r="H864" s="131"/>
      <c r="I864" s="132"/>
      <c r="J864" s="129"/>
      <c r="K864" s="140"/>
      <c r="L864" s="133"/>
      <c r="M864" s="140"/>
      <c r="N864" s="140"/>
      <c r="P864" s="141"/>
    </row>
    <row r="865" spans="1:16" x14ac:dyDescent="0.2">
      <c r="A865" s="129"/>
      <c r="B865" s="130"/>
      <c r="C865" s="140"/>
      <c r="D865" s="131"/>
      <c r="E865" s="129"/>
      <c r="F865" s="131"/>
      <c r="G865" s="130"/>
      <c r="H865" s="131"/>
      <c r="I865" s="132"/>
      <c r="J865" s="129"/>
      <c r="K865" s="140"/>
      <c r="L865" s="133"/>
      <c r="M865" s="140"/>
      <c r="N865" s="140"/>
      <c r="P865" s="141"/>
    </row>
    <row r="866" spans="1:16" x14ac:dyDescent="0.2">
      <c r="A866" s="129"/>
      <c r="B866" s="130"/>
      <c r="C866" s="140"/>
      <c r="D866" s="131"/>
      <c r="E866" s="129"/>
      <c r="F866" s="131"/>
      <c r="G866" s="130"/>
      <c r="H866" s="131"/>
      <c r="I866" s="132"/>
      <c r="J866" s="129"/>
      <c r="K866" s="140"/>
      <c r="L866" s="133"/>
      <c r="M866" s="140"/>
      <c r="N866" s="140"/>
      <c r="P866" s="141"/>
    </row>
    <row r="867" spans="1:16" x14ac:dyDescent="0.2">
      <c r="A867" s="129"/>
      <c r="B867" s="130"/>
      <c r="C867" s="140"/>
      <c r="D867" s="131"/>
      <c r="E867" s="129"/>
      <c r="F867" s="131"/>
      <c r="G867" s="130"/>
      <c r="H867" s="131"/>
      <c r="I867" s="132"/>
      <c r="J867" s="129"/>
      <c r="K867" s="140"/>
      <c r="L867" s="133"/>
      <c r="M867" s="140"/>
      <c r="N867" s="140"/>
      <c r="P867" s="141"/>
    </row>
    <row r="868" spans="1:16" x14ac:dyDescent="0.2">
      <c r="A868" s="129"/>
      <c r="B868" s="130"/>
      <c r="C868" s="140"/>
      <c r="D868" s="131"/>
      <c r="E868" s="129"/>
      <c r="F868" s="131"/>
      <c r="G868" s="130"/>
      <c r="H868" s="131"/>
      <c r="I868" s="132"/>
      <c r="J868" s="129"/>
      <c r="K868" s="140"/>
      <c r="L868" s="133"/>
      <c r="M868" s="140"/>
      <c r="N868" s="140"/>
      <c r="P868" s="141"/>
    </row>
    <row r="869" spans="1:16" x14ac:dyDescent="0.2">
      <c r="A869" s="129"/>
      <c r="B869" s="130"/>
      <c r="C869" s="140"/>
      <c r="D869" s="131"/>
      <c r="E869" s="129"/>
      <c r="F869" s="131"/>
      <c r="G869" s="130"/>
      <c r="H869" s="131"/>
      <c r="I869" s="132"/>
      <c r="J869" s="129"/>
      <c r="K869" s="140"/>
      <c r="L869" s="133"/>
      <c r="M869" s="140"/>
      <c r="N869" s="140"/>
      <c r="P869" s="141"/>
    </row>
    <row r="870" spans="1:16" x14ac:dyDescent="0.2">
      <c r="A870" s="129"/>
      <c r="B870" s="130"/>
      <c r="C870" s="140"/>
      <c r="D870" s="131"/>
      <c r="E870" s="129"/>
      <c r="F870" s="131"/>
      <c r="G870" s="130"/>
      <c r="H870" s="131"/>
      <c r="I870" s="132"/>
      <c r="J870" s="129"/>
      <c r="K870" s="140"/>
      <c r="L870" s="133"/>
      <c r="M870" s="140"/>
      <c r="N870" s="140"/>
      <c r="P870" s="141"/>
    </row>
    <row r="871" spans="1:16" x14ac:dyDescent="0.2">
      <c r="A871" s="129"/>
      <c r="B871" s="130"/>
      <c r="C871" s="140"/>
      <c r="D871" s="131"/>
      <c r="E871" s="129"/>
      <c r="F871" s="131"/>
      <c r="G871" s="130"/>
      <c r="H871" s="131"/>
      <c r="I871" s="132"/>
      <c r="J871" s="129"/>
      <c r="K871" s="140"/>
      <c r="L871" s="133"/>
      <c r="M871" s="140"/>
      <c r="N871" s="140"/>
      <c r="P871" s="141"/>
    </row>
    <row r="872" spans="1:16" x14ac:dyDescent="0.2">
      <c r="A872" s="129"/>
      <c r="B872" s="130"/>
      <c r="C872" s="140"/>
      <c r="D872" s="131"/>
      <c r="E872" s="129"/>
      <c r="F872" s="131"/>
      <c r="G872" s="130"/>
      <c r="H872" s="131"/>
      <c r="I872" s="132"/>
      <c r="J872" s="129"/>
      <c r="K872" s="140"/>
      <c r="L872" s="133"/>
      <c r="M872" s="140"/>
      <c r="N872" s="140"/>
      <c r="P872" s="141"/>
    </row>
    <row r="873" spans="1:16" x14ac:dyDescent="0.2">
      <c r="A873" s="129"/>
      <c r="B873" s="130"/>
      <c r="C873" s="140"/>
      <c r="D873" s="131"/>
      <c r="E873" s="129"/>
      <c r="F873" s="131"/>
      <c r="G873" s="130"/>
      <c r="H873" s="131"/>
      <c r="I873" s="132"/>
      <c r="J873" s="129"/>
      <c r="K873" s="140"/>
      <c r="L873" s="133"/>
      <c r="M873" s="140"/>
      <c r="N873" s="140"/>
      <c r="P873" s="141"/>
    </row>
    <row r="874" spans="1:16" x14ac:dyDescent="0.2">
      <c r="A874" s="129"/>
      <c r="B874" s="130"/>
      <c r="C874" s="140"/>
      <c r="D874" s="131"/>
      <c r="E874" s="129"/>
      <c r="F874" s="131"/>
      <c r="G874" s="130"/>
      <c r="H874" s="131"/>
      <c r="I874" s="132"/>
      <c r="J874" s="129"/>
      <c r="K874" s="140"/>
      <c r="L874" s="133"/>
      <c r="M874" s="140"/>
      <c r="N874" s="140"/>
      <c r="P874" s="141"/>
    </row>
    <row r="875" spans="1:16" x14ac:dyDescent="0.2">
      <c r="A875" s="129"/>
      <c r="B875" s="130"/>
      <c r="C875" s="140"/>
      <c r="D875" s="131"/>
      <c r="E875" s="129"/>
      <c r="F875" s="131"/>
      <c r="G875" s="130"/>
      <c r="H875" s="131"/>
      <c r="I875" s="132"/>
      <c r="J875" s="129"/>
      <c r="K875" s="140"/>
      <c r="L875" s="133"/>
      <c r="M875" s="140"/>
      <c r="N875" s="140"/>
      <c r="P875" s="141"/>
    </row>
    <row r="876" spans="1:16" x14ac:dyDescent="0.2">
      <c r="A876" s="129"/>
      <c r="B876" s="130"/>
      <c r="C876" s="140"/>
      <c r="D876" s="131"/>
      <c r="E876" s="129"/>
      <c r="F876" s="131"/>
      <c r="G876" s="130"/>
      <c r="H876" s="131"/>
      <c r="I876" s="132"/>
      <c r="J876" s="129"/>
      <c r="K876" s="140"/>
      <c r="L876" s="133"/>
      <c r="M876" s="140"/>
      <c r="N876" s="140"/>
      <c r="P876" s="141"/>
    </row>
    <row r="877" spans="1:16" x14ac:dyDescent="0.2">
      <c r="A877" s="129"/>
      <c r="B877" s="130"/>
      <c r="C877" s="140"/>
      <c r="D877" s="131"/>
      <c r="E877" s="129"/>
      <c r="F877" s="131"/>
      <c r="G877" s="130"/>
      <c r="H877" s="131"/>
      <c r="I877" s="132"/>
      <c r="J877" s="129"/>
      <c r="K877" s="140"/>
      <c r="L877" s="133"/>
      <c r="M877" s="140"/>
      <c r="N877" s="140"/>
      <c r="P877" s="141"/>
    </row>
    <row r="878" spans="1:16" x14ac:dyDescent="0.2">
      <c r="A878" s="129"/>
      <c r="B878" s="130"/>
      <c r="C878" s="140"/>
      <c r="D878" s="131"/>
      <c r="E878" s="129"/>
      <c r="F878" s="131"/>
      <c r="G878" s="130"/>
      <c r="H878" s="131"/>
      <c r="I878" s="132"/>
      <c r="J878" s="129"/>
      <c r="K878" s="140"/>
      <c r="L878" s="133"/>
      <c r="M878" s="140"/>
      <c r="N878" s="140"/>
      <c r="P878" s="141"/>
    </row>
    <row r="879" spans="1:16" x14ac:dyDescent="0.2">
      <c r="A879" s="129"/>
      <c r="B879" s="130"/>
      <c r="C879" s="140"/>
      <c r="D879" s="131"/>
      <c r="E879" s="129"/>
      <c r="F879" s="131"/>
      <c r="G879" s="130"/>
      <c r="H879" s="131"/>
      <c r="I879" s="132"/>
      <c r="J879" s="129"/>
      <c r="K879" s="140"/>
      <c r="L879" s="133"/>
      <c r="M879" s="140"/>
      <c r="N879" s="140"/>
      <c r="P879" s="141"/>
    </row>
    <row r="880" spans="1:16" x14ac:dyDescent="0.2">
      <c r="A880" s="129"/>
      <c r="B880" s="130"/>
      <c r="C880" s="140"/>
      <c r="D880" s="131"/>
      <c r="E880" s="129"/>
      <c r="F880" s="131"/>
      <c r="G880" s="130"/>
      <c r="H880" s="131"/>
      <c r="I880" s="132"/>
      <c r="J880" s="129"/>
      <c r="K880" s="140"/>
      <c r="L880" s="133"/>
      <c r="M880" s="140"/>
      <c r="N880" s="140"/>
      <c r="P880" s="141"/>
    </row>
    <row r="881" spans="1:16" x14ac:dyDescent="0.2">
      <c r="A881" s="129"/>
      <c r="B881" s="130"/>
      <c r="C881" s="140"/>
      <c r="D881" s="131"/>
      <c r="E881" s="129"/>
      <c r="F881" s="131"/>
      <c r="G881" s="130"/>
      <c r="H881" s="131"/>
      <c r="I881" s="132"/>
      <c r="J881" s="129"/>
      <c r="K881" s="140"/>
      <c r="L881" s="133"/>
      <c r="M881" s="140"/>
      <c r="N881" s="140"/>
      <c r="P881" s="141"/>
    </row>
    <row r="882" spans="1:16" x14ac:dyDescent="0.2">
      <c r="A882" s="129"/>
      <c r="B882" s="130"/>
      <c r="C882" s="140"/>
      <c r="D882" s="131"/>
      <c r="E882" s="129"/>
      <c r="F882" s="131"/>
      <c r="G882" s="130"/>
      <c r="H882" s="131"/>
      <c r="I882" s="132"/>
      <c r="J882" s="129"/>
      <c r="K882" s="140"/>
      <c r="L882" s="133"/>
      <c r="M882" s="140"/>
      <c r="N882" s="140"/>
      <c r="P882" s="141"/>
    </row>
    <row r="883" spans="1:16" x14ac:dyDescent="0.2">
      <c r="A883" s="129"/>
      <c r="B883" s="130"/>
      <c r="C883" s="140"/>
      <c r="D883" s="131"/>
      <c r="E883" s="129"/>
      <c r="F883" s="131"/>
      <c r="G883" s="130"/>
      <c r="H883" s="131"/>
      <c r="I883" s="132"/>
      <c r="J883" s="129"/>
      <c r="K883" s="140"/>
      <c r="L883" s="133"/>
      <c r="M883" s="140"/>
      <c r="N883" s="140"/>
      <c r="P883" s="141"/>
    </row>
    <row r="884" spans="1:16" x14ac:dyDescent="0.2">
      <c r="A884" s="129"/>
      <c r="B884" s="130"/>
      <c r="C884" s="140"/>
      <c r="D884" s="131"/>
      <c r="E884" s="129"/>
      <c r="F884" s="131"/>
      <c r="G884" s="130"/>
      <c r="H884" s="131"/>
      <c r="I884" s="132"/>
      <c r="J884" s="129"/>
      <c r="K884" s="140"/>
      <c r="L884" s="133"/>
      <c r="M884" s="140"/>
      <c r="N884" s="140"/>
      <c r="P884" s="141"/>
    </row>
    <row r="885" spans="1:16" x14ac:dyDescent="0.2">
      <c r="A885" s="129"/>
      <c r="B885" s="130"/>
      <c r="C885" s="140"/>
      <c r="D885" s="131"/>
      <c r="E885" s="129"/>
      <c r="F885" s="131"/>
      <c r="G885" s="130"/>
      <c r="H885" s="131"/>
      <c r="I885" s="132"/>
      <c r="J885" s="129"/>
      <c r="K885" s="140"/>
      <c r="L885" s="133"/>
      <c r="M885" s="140"/>
      <c r="N885" s="140"/>
      <c r="P885" s="141"/>
    </row>
    <row r="886" spans="1:16" x14ac:dyDescent="0.2">
      <c r="A886" s="129"/>
      <c r="B886" s="130"/>
      <c r="C886" s="140"/>
      <c r="D886" s="131"/>
      <c r="E886" s="129"/>
      <c r="F886" s="131"/>
      <c r="G886" s="130"/>
      <c r="H886" s="131"/>
      <c r="I886" s="132"/>
      <c r="J886" s="129"/>
      <c r="K886" s="140"/>
      <c r="L886" s="133"/>
      <c r="M886" s="140"/>
      <c r="N886" s="140"/>
      <c r="P886" s="141"/>
    </row>
    <row r="887" spans="1:16" x14ac:dyDescent="0.2">
      <c r="A887" s="129"/>
      <c r="B887" s="130"/>
      <c r="C887" s="140"/>
      <c r="D887" s="131"/>
      <c r="E887" s="129"/>
      <c r="F887" s="131"/>
      <c r="G887" s="130"/>
      <c r="H887" s="131"/>
      <c r="I887" s="132"/>
      <c r="J887" s="129"/>
      <c r="K887" s="140"/>
      <c r="L887" s="133"/>
      <c r="M887" s="140"/>
      <c r="N887" s="140"/>
      <c r="P887" s="141"/>
    </row>
    <row r="888" spans="1:16" x14ac:dyDescent="0.2">
      <c r="A888" s="129"/>
      <c r="B888" s="130"/>
      <c r="C888" s="140"/>
      <c r="D888" s="131"/>
      <c r="E888" s="129"/>
      <c r="F888" s="131"/>
      <c r="G888" s="130"/>
      <c r="H888" s="131"/>
      <c r="I888" s="132"/>
      <c r="J888" s="129"/>
      <c r="K888" s="140"/>
      <c r="L888" s="133"/>
      <c r="M888" s="140"/>
      <c r="N888" s="140"/>
      <c r="P888" s="141"/>
    </row>
    <row r="889" spans="1:16" x14ac:dyDescent="0.2">
      <c r="A889" s="129"/>
      <c r="B889" s="130"/>
      <c r="C889" s="140"/>
      <c r="D889" s="131"/>
      <c r="E889" s="129"/>
      <c r="F889" s="131"/>
      <c r="G889" s="130"/>
      <c r="H889" s="131"/>
      <c r="I889" s="132"/>
      <c r="J889" s="129"/>
      <c r="K889" s="140"/>
      <c r="L889" s="133"/>
      <c r="M889" s="140"/>
      <c r="N889" s="140"/>
      <c r="P889" s="141"/>
    </row>
    <row r="890" spans="1:16" x14ac:dyDescent="0.2">
      <c r="A890" s="129"/>
      <c r="B890" s="130"/>
      <c r="C890" s="140"/>
      <c r="D890" s="131"/>
      <c r="E890" s="129"/>
      <c r="F890" s="131"/>
      <c r="G890" s="130"/>
      <c r="H890" s="131"/>
      <c r="I890" s="132"/>
      <c r="J890" s="129"/>
      <c r="K890" s="140"/>
      <c r="L890" s="133"/>
      <c r="M890" s="140"/>
      <c r="N890" s="140"/>
      <c r="P890" s="141"/>
    </row>
    <row r="891" spans="1:16" x14ac:dyDescent="0.2">
      <c r="A891" s="129"/>
      <c r="B891" s="130"/>
      <c r="C891" s="140"/>
      <c r="D891" s="131"/>
      <c r="E891" s="129"/>
      <c r="F891" s="131"/>
      <c r="G891" s="130"/>
      <c r="H891" s="131"/>
      <c r="I891" s="132"/>
      <c r="J891" s="129"/>
      <c r="K891" s="140"/>
      <c r="L891" s="133"/>
      <c r="M891" s="140"/>
      <c r="N891" s="140"/>
      <c r="P891" s="141"/>
    </row>
    <row r="892" spans="1:16" x14ac:dyDescent="0.2">
      <c r="A892" s="129"/>
      <c r="B892" s="130"/>
      <c r="C892" s="140"/>
      <c r="D892" s="131"/>
      <c r="E892" s="129"/>
      <c r="F892" s="131"/>
      <c r="G892" s="130"/>
      <c r="H892" s="131"/>
      <c r="I892" s="132"/>
      <c r="J892" s="129"/>
      <c r="K892" s="140"/>
      <c r="L892" s="133"/>
      <c r="M892" s="140"/>
      <c r="N892" s="140"/>
      <c r="P892" s="141"/>
    </row>
    <row r="893" spans="1:16" x14ac:dyDescent="0.2">
      <c r="A893" s="129"/>
      <c r="B893" s="130"/>
      <c r="C893" s="140"/>
      <c r="D893" s="131"/>
      <c r="E893" s="129"/>
      <c r="F893" s="131"/>
      <c r="G893" s="130"/>
      <c r="H893" s="131"/>
      <c r="I893" s="132"/>
      <c r="J893" s="129"/>
      <c r="K893" s="140"/>
      <c r="L893" s="133"/>
      <c r="M893" s="140"/>
      <c r="N893" s="140"/>
      <c r="P893" s="141"/>
    </row>
    <row r="894" spans="1:16" x14ac:dyDescent="0.2">
      <c r="A894" s="129"/>
      <c r="B894" s="130"/>
      <c r="C894" s="140"/>
      <c r="D894" s="131"/>
      <c r="E894" s="129"/>
      <c r="F894" s="131"/>
      <c r="G894" s="130"/>
      <c r="H894" s="131"/>
      <c r="I894" s="132"/>
      <c r="J894" s="129"/>
      <c r="K894" s="140"/>
      <c r="L894" s="133"/>
      <c r="M894" s="140"/>
      <c r="N894" s="140"/>
      <c r="P894" s="141"/>
    </row>
    <row r="895" spans="1:16" x14ac:dyDescent="0.2">
      <c r="A895" s="129"/>
      <c r="B895" s="130"/>
      <c r="C895" s="140"/>
      <c r="D895" s="131"/>
      <c r="E895" s="129"/>
      <c r="F895" s="131"/>
      <c r="G895" s="130"/>
      <c r="H895" s="131"/>
      <c r="I895" s="132"/>
      <c r="J895" s="129"/>
      <c r="K895" s="140"/>
      <c r="L895" s="133"/>
      <c r="M895" s="140"/>
      <c r="N895" s="140"/>
      <c r="P895" s="141"/>
    </row>
    <row r="896" spans="1:16" x14ac:dyDescent="0.2">
      <c r="A896" s="129"/>
      <c r="B896" s="130"/>
      <c r="C896" s="140"/>
      <c r="D896" s="131"/>
      <c r="E896" s="129"/>
      <c r="F896" s="131"/>
      <c r="G896" s="130"/>
      <c r="H896" s="131"/>
      <c r="I896" s="132"/>
      <c r="J896" s="129"/>
      <c r="K896" s="140"/>
      <c r="L896" s="133"/>
      <c r="M896" s="140"/>
      <c r="N896" s="140"/>
      <c r="P896" s="141"/>
    </row>
    <row r="897" spans="1:16" x14ac:dyDescent="0.2">
      <c r="A897" s="129"/>
      <c r="B897" s="130"/>
      <c r="C897" s="140"/>
      <c r="D897" s="131"/>
      <c r="E897" s="129"/>
      <c r="F897" s="131"/>
      <c r="G897" s="130"/>
      <c r="H897" s="131"/>
      <c r="I897" s="132"/>
      <c r="J897" s="129"/>
      <c r="K897" s="140"/>
      <c r="L897" s="133"/>
      <c r="M897" s="140"/>
      <c r="N897" s="140"/>
      <c r="P897" s="141"/>
    </row>
    <row r="898" spans="1:16" x14ac:dyDescent="0.2">
      <c r="A898" s="129"/>
      <c r="B898" s="130"/>
      <c r="C898" s="140"/>
      <c r="D898" s="131"/>
      <c r="E898" s="129"/>
      <c r="F898" s="131"/>
      <c r="G898" s="130"/>
      <c r="H898" s="131"/>
      <c r="I898" s="132"/>
      <c r="J898" s="129"/>
      <c r="K898" s="140"/>
      <c r="L898" s="133"/>
      <c r="M898" s="140"/>
      <c r="N898" s="140"/>
      <c r="P898" s="141"/>
    </row>
    <row r="899" spans="1:16" x14ac:dyDescent="0.2">
      <c r="A899" s="129"/>
      <c r="B899" s="130"/>
      <c r="C899" s="140"/>
      <c r="D899" s="131"/>
      <c r="E899" s="129"/>
      <c r="F899" s="131"/>
      <c r="G899" s="130"/>
      <c r="H899" s="131"/>
      <c r="I899" s="132"/>
      <c r="J899" s="129"/>
      <c r="K899" s="140"/>
      <c r="L899" s="133"/>
      <c r="M899" s="140"/>
      <c r="N899" s="140"/>
      <c r="P899" s="141"/>
    </row>
    <row r="900" spans="1:16" x14ac:dyDescent="0.2">
      <c r="A900" s="129"/>
      <c r="B900" s="130"/>
      <c r="C900" s="140"/>
      <c r="D900" s="131"/>
      <c r="E900" s="129"/>
      <c r="F900" s="131"/>
      <c r="G900" s="130"/>
      <c r="H900" s="131"/>
      <c r="I900" s="132"/>
      <c r="J900" s="129"/>
      <c r="K900" s="140"/>
      <c r="L900" s="133"/>
      <c r="M900" s="140"/>
      <c r="N900" s="140"/>
      <c r="P900" s="141"/>
    </row>
    <row r="901" spans="1:16" x14ac:dyDescent="0.2">
      <c r="A901" s="129"/>
      <c r="B901" s="130"/>
      <c r="C901" s="140"/>
      <c r="D901" s="131"/>
      <c r="E901" s="129"/>
      <c r="F901" s="131"/>
      <c r="G901" s="130"/>
      <c r="H901" s="131"/>
      <c r="I901" s="132"/>
      <c r="J901" s="129"/>
      <c r="K901" s="140"/>
      <c r="L901" s="133"/>
      <c r="M901" s="140"/>
      <c r="N901" s="140"/>
      <c r="P901" s="141"/>
    </row>
    <row r="902" spans="1:16" x14ac:dyDescent="0.2">
      <c r="A902" s="129"/>
      <c r="B902" s="130"/>
      <c r="C902" s="140"/>
      <c r="D902" s="131"/>
      <c r="E902" s="129"/>
      <c r="F902" s="131"/>
      <c r="G902" s="130"/>
      <c r="H902" s="131"/>
      <c r="I902" s="132"/>
      <c r="J902" s="129"/>
      <c r="K902" s="140"/>
      <c r="L902" s="133"/>
      <c r="M902" s="140"/>
      <c r="N902" s="140"/>
      <c r="P902" s="141"/>
    </row>
    <row r="903" spans="1:16" x14ac:dyDescent="0.2">
      <c r="A903" s="129"/>
      <c r="B903" s="130"/>
      <c r="C903" s="140"/>
      <c r="D903" s="131"/>
      <c r="E903" s="129"/>
      <c r="F903" s="131"/>
      <c r="G903" s="130"/>
      <c r="H903" s="131"/>
      <c r="I903" s="132"/>
      <c r="J903" s="129"/>
      <c r="K903" s="140"/>
      <c r="L903" s="133"/>
      <c r="M903" s="140"/>
      <c r="N903" s="140"/>
      <c r="P903" s="141"/>
    </row>
    <row r="904" spans="1:16" x14ac:dyDescent="0.2">
      <c r="A904" s="129"/>
      <c r="B904" s="130"/>
      <c r="C904" s="140"/>
      <c r="D904" s="131"/>
      <c r="E904" s="129"/>
      <c r="F904" s="131"/>
      <c r="G904" s="130"/>
      <c r="H904" s="131"/>
      <c r="I904" s="132"/>
      <c r="J904" s="129"/>
      <c r="K904" s="140"/>
      <c r="L904" s="133"/>
      <c r="M904" s="140"/>
      <c r="N904" s="140"/>
      <c r="P904" s="141"/>
    </row>
    <row r="905" spans="1:16" x14ac:dyDescent="0.2">
      <c r="A905" s="129"/>
      <c r="B905" s="130"/>
      <c r="C905" s="140"/>
      <c r="D905" s="131"/>
      <c r="E905" s="129"/>
      <c r="F905" s="131"/>
      <c r="G905" s="130"/>
      <c r="H905" s="131"/>
      <c r="I905" s="132"/>
      <c r="J905" s="129"/>
      <c r="K905" s="140"/>
      <c r="L905" s="133"/>
      <c r="M905" s="140"/>
      <c r="N905" s="140"/>
      <c r="P905" s="141"/>
    </row>
    <row r="906" spans="1:16" x14ac:dyDescent="0.2">
      <c r="A906" s="129"/>
      <c r="B906" s="130"/>
      <c r="C906" s="140"/>
      <c r="D906" s="131"/>
      <c r="E906" s="129"/>
      <c r="F906" s="131"/>
      <c r="G906" s="130"/>
      <c r="H906" s="131"/>
      <c r="I906" s="132"/>
      <c r="J906" s="129"/>
      <c r="K906" s="140"/>
      <c r="L906" s="133"/>
      <c r="M906" s="140"/>
      <c r="N906" s="140"/>
      <c r="P906" s="141"/>
    </row>
    <row r="907" spans="1:16" x14ac:dyDescent="0.2">
      <c r="A907" s="129"/>
      <c r="B907" s="130"/>
      <c r="C907" s="140"/>
      <c r="D907" s="131"/>
      <c r="E907" s="129"/>
      <c r="F907" s="131"/>
      <c r="G907" s="130"/>
      <c r="H907" s="131"/>
      <c r="I907" s="132"/>
      <c r="J907" s="129"/>
      <c r="K907" s="140"/>
      <c r="L907" s="133"/>
      <c r="M907" s="140"/>
      <c r="N907" s="140"/>
      <c r="P907" s="141"/>
    </row>
    <row r="908" spans="1:16" x14ac:dyDescent="0.2">
      <c r="A908" s="129"/>
      <c r="B908" s="130"/>
      <c r="C908" s="140"/>
      <c r="D908" s="131"/>
      <c r="E908" s="129"/>
      <c r="F908" s="131"/>
      <c r="G908" s="130"/>
      <c r="H908" s="131"/>
      <c r="I908" s="132"/>
      <c r="J908" s="129"/>
      <c r="K908" s="140"/>
      <c r="L908" s="133"/>
      <c r="M908" s="140"/>
      <c r="N908" s="140"/>
      <c r="P908" s="141"/>
    </row>
    <row r="909" spans="1:16" x14ac:dyDescent="0.2">
      <c r="A909" s="129"/>
      <c r="B909" s="130"/>
      <c r="C909" s="140"/>
      <c r="D909" s="131"/>
      <c r="E909" s="129"/>
      <c r="F909" s="131"/>
      <c r="G909" s="130"/>
      <c r="H909" s="131"/>
      <c r="I909" s="132"/>
      <c r="J909" s="129"/>
      <c r="K909" s="140"/>
      <c r="L909" s="133"/>
      <c r="M909" s="140"/>
      <c r="N909" s="140"/>
      <c r="P909" s="141"/>
    </row>
    <row r="910" spans="1:16" x14ac:dyDescent="0.2">
      <c r="A910" s="129"/>
      <c r="B910" s="130"/>
      <c r="C910" s="140"/>
      <c r="D910" s="131"/>
      <c r="E910" s="129"/>
      <c r="F910" s="131"/>
      <c r="G910" s="130"/>
      <c r="H910" s="131"/>
      <c r="I910" s="132"/>
      <c r="J910" s="129"/>
      <c r="K910" s="140"/>
      <c r="L910" s="133"/>
      <c r="M910" s="140"/>
      <c r="N910" s="140"/>
      <c r="P910" s="141"/>
    </row>
    <row r="911" spans="1:16" x14ac:dyDescent="0.2">
      <c r="A911" s="129"/>
      <c r="B911" s="130"/>
      <c r="C911" s="140"/>
      <c r="D911" s="131"/>
      <c r="E911" s="129"/>
      <c r="F911" s="131"/>
      <c r="G911" s="130"/>
      <c r="H911" s="131"/>
      <c r="I911" s="132"/>
      <c r="J911" s="129"/>
      <c r="K911" s="140"/>
      <c r="L911" s="133"/>
      <c r="M911" s="140"/>
      <c r="N911" s="140"/>
      <c r="P911" s="141"/>
    </row>
    <row r="912" spans="1:16" x14ac:dyDescent="0.2">
      <c r="A912" s="129"/>
      <c r="B912" s="130"/>
      <c r="C912" s="140"/>
      <c r="D912" s="131"/>
      <c r="E912" s="129"/>
      <c r="F912" s="131"/>
      <c r="G912" s="130"/>
      <c r="H912" s="131"/>
      <c r="I912" s="132"/>
      <c r="J912" s="129"/>
      <c r="K912" s="140"/>
      <c r="L912" s="133"/>
      <c r="M912" s="140"/>
      <c r="N912" s="140"/>
      <c r="P912" s="141"/>
    </row>
    <row r="913" spans="1:16" x14ac:dyDescent="0.2">
      <c r="A913" s="129"/>
      <c r="B913" s="130"/>
      <c r="C913" s="140"/>
      <c r="D913" s="131"/>
      <c r="E913" s="129"/>
      <c r="F913" s="131"/>
      <c r="G913" s="130"/>
      <c r="H913" s="131"/>
      <c r="I913" s="132"/>
      <c r="J913" s="129"/>
      <c r="K913" s="140"/>
      <c r="L913" s="133"/>
      <c r="M913" s="140"/>
      <c r="N913" s="140"/>
      <c r="P913" s="141"/>
    </row>
    <row r="914" spans="1:16" x14ac:dyDescent="0.2">
      <c r="A914" s="129"/>
      <c r="B914" s="130"/>
      <c r="C914" s="140"/>
      <c r="D914" s="131"/>
      <c r="E914" s="129"/>
      <c r="F914" s="131"/>
      <c r="G914" s="130"/>
      <c r="H914" s="131"/>
      <c r="I914" s="132"/>
      <c r="J914" s="129"/>
      <c r="K914" s="140"/>
      <c r="L914" s="133"/>
      <c r="M914" s="140"/>
      <c r="N914" s="140"/>
      <c r="P914" s="141"/>
    </row>
    <row r="915" spans="1:16" x14ac:dyDescent="0.2">
      <c r="A915" s="129"/>
      <c r="B915" s="130"/>
      <c r="C915" s="140"/>
      <c r="D915" s="131"/>
      <c r="E915" s="129"/>
      <c r="F915" s="131"/>
      <c r="G915" s="130"/>
      <c r="H915" s="131"/>
      <c r="I915" s="132"/>
      <c r="J915" s="129"/>
      <c r="K915" s="140"/>
      <c r="L915" s="133"/>
      <c r="M915" s="140"/>
      <c r="N915" s="140"/>
      <c r="P915" s="141"/>
    </row>
    <row r="916" spans="1:16" x14ac:dyDescent="0.2">
      <c r="A916" s="129"/>
      <c r="B916" s="130"/>
      <c r="C916" s="140"/>
      <c r="D916" s="131"/>
      <c r="E916" s="129"/>
      <c r="F916" s="131"/>
      <c r="G916" s="130"/>
      <c r="H916" s="131"/>
      <c r="I916" s="132"/>
      <c r="J916" s="129"/>
      <c r="K916" s="140"/>
      <c r="L916" s="133"/>
      <c r="M916" s="140"/>
      <c r="N916" s="140"/>
      <c r="P916" s="141"/>
    </row>
    <row r="917" spans="1:16" x14ac:dyDescent="0.2">
      <c r="A917" s="129"/>
      <c r="B917" s="130"/>
      <c r="C917" s="140"/>
      <c r="D917" s="131"/>
      <c r="E917" s="129"/>
      <c r="F917" s="131"/>
      <c r="G917" s="130"/>
      <c r="H917" s="131"/>
      <c r="I917" s="132"/>
      <c r="J917" s="129"/>
      <c r="K917" s="140"/>
      <c r="L917" s="133"/>
      <c r="M917" s="140"/>
      <c r="N917" s="140"/>
      <c r="P917" s="141"/>
    </row>
    <row r="918" spans="1:16" x14ac:dyDescent="0.2">
      <c r="A918" s="129"/>
      <c r="B918" s="130"/>
      <c r="C918" s="140"/>
      <c r="D918" s="131"/>
      <c r="E918" s="129"/>
      <c r="F918" s="131"/>
      <c r="G918" s="130"/>
      <c r="H918" s="131"/>
      <c r="I918" s="132"/>
      <c r="J918" s="129"/>
      <c r="K918" s="140"/>
      <c r="L918" s="133"/>
      <c r="M918" s="140"/>
      <c r="N918" s="140"/>
      <c r="P918" s="141"/>
    </row>
    <row r="919" spans="1:16" x14ac:dyDescent="0.2">
      <c r="A919" s="129"/>
      <c r="B919" s="130"/>
      <c r="C919" s="140"/>
      <c r="D919" s="131"/>
      <c r="E919" s="129"/>
      <c r="F919" s="131"/>
      <c r="G919" s="130"/>
      <c r="H919" s="131"/>
      <c r="I919" s="132"/>
      <c r="J919" s="129"/>
      <c r="K919" s="140"/>
      <c r="L919" s="133"/>
      <c r="M919" s="140"/>
      <c r="N919" s="140"/>
      <c r="P919" s="141"/>
    </row>
    <row r="920" spans="1:16" x14ac:dyDescent="0.2">
      <c r="A920" s="129"/>
      <c r="B920" s="130"/>
      <c r="C920" s="140"/>
      <c r="D920" s="131"/>
      <c r="E920" s="129"/>
      <c r="F920" s="131"/>
      <c r="G920" s="130"/>
      <c r="H920" s="131"/>
      <c r="I920" s="132"/>
      <c r="J920" s="129"/>
      <c r="K920" s="140"/>
      <c r="L920" s="133"/>
      <c r="M920" s="140"/>
      <c r="N920" s="140"/>
      <c r="P920" s="141"/>
    </row>
    <row r="921" spans="1:16" x14ac:dyDescent="0.2">
      <c r="A921" s="129"/>
      <c r="B921" s="130"/>
      <c r="C921" s="140"/>
      <c r="D921" s="131"/>
      <c r="E921" s="129"/>
      <c r="F921" s="131"/>
      <c r="G921" s="130"/>
      <c r="H921" s="131"/>
      <c r="I921" s="132"/>
      <c r="J921" s="129"/>
      <c r="K921" s="140"/>
      <c r="L921" s="133"/>
      <c r="M921" s="140"/>
      <c r="N921" s="140"/>
      <c r="P921" s="141"/>
    </row>
    <row r="922" spans="1:16" x14ac:dyDescent="0.2">
      <c r="A922" s="129"/>
      <c r="B922" s="130"/>
      <c r="C922" s="140"/>
      <c r="D922" s="131"/>
      <c r="E922" s="129"/>
      <c r="F922" s="131"/>
      <c r="G922" s="130"/>
      <c r="H922" s="131"/>
      <c r="I922" s="132"/>
      <c r="J922" s="129"/>
      <c r="K922" s="140"/>
      <c r="L922" s="133"/>
      <c r="M922" s="140"/>
      <c r="N922" s="140"/>
      <c r="P922" s="141"/>
    </row>
    <row r="923" spans="1:16" x14ac:dyDescent="0.2">
      <c r="A923" s="129"/>
      <c r="B923" s="130"/>
      <c r="C923" s="140"/>
      <c r="D923" s="131"/>
      <c r="E923" s="129"/>
      <c r="F923" s="131"/>
      <c r="G923" s="130"/>
      <c r="H923" s="131"/>
      <c r="I923" s="132"/>
      <c r="J923" s="129"/>
      <c r="K923" s="140"/>
      <c r="L923" s="133"/>
      <c r="M923" s="140"/>
      <c r="N923" s="140"/>
      <c r="P923" s="141"/>
    </row>
    <row r="924" spans="1:16" x14ac:dyDescent="0.2">
      <c r="A924" s="129"/>
      <c r="B924" s="130"/>
      <c r="C924" s="140"/>
      <c r="D924" s="131"/>
      <c r="E924" s="129"/>
      <c r="F924" s="131"/>
      <c r="G924" s="130"/>
      <c r="H924" s="131"/>
      <c r="I924" s="132"/>
      <c r="J924" s="129"/>
      <c r="K924" s="140"/>
      <c r="L924" s="133"/>
      <c r="M924" s="140"/>
      <c r="N924" s="140"/>
      <c r="P924" s="141"/>
    </row>
    <row r="925" spans="1:16" x14ac:dyDescent="0.2">
      <c r="A925" s="129"/>
      <c r="B925" s="130"/>
      <c r="C925" s="140"/>
      <c r="D925" s="131"/>
      <c r="E925" s="129"/>
      <c r="F925" s="131"/>
      <c r="G925" s="130"/>
      <c r="H925" s="131"/>
      <c r="I925" s="132"/>
      <c r="J925" s="129"/>
      <c r="K925" s="140"/>
      <c r="L925" s="133"/>
      <c r="M925" s="140"/>
      <c r="N925" s="140"/>
      <c r="P925" s="141"/>
    </row>
    <row r="926" spans="1:16" x14ac:dyDescent="0.2">
      <c r="A926" s="129"/>
      <c r="B926" s="130"/>
      <c r="C926" s="140"/>
      <c r="D926" s="131"/>
      <c r="E926" s="129"/>
      <c r="F926" s="131"/>
      <c r="G926" s="130"/>
      <c r="H926" s="131"/>
      <c r="I926" s="132"/>
      <c r="J926" s="129"/>
      <c r="K926" s="140"/>
      <c r="L926" s="133"/>
      <c r="M926" s="140"/>
      <c r="N926" s="140"/>
      <c r="P926" s="141"/>
    </row>
    <row r="927" spans="1:16" x14ac:dyDescent="0.2">
      <c r="A927" s="129"/>
      <c r="B927" s="130"/>
      <c r="C927" s="140"/>
      <c r="D927" s="131"/>
      <c r="E927" s="129"/>
      <c r="F927" s="131"/>
      <c r="G927" s="130"/>
      <c r="H927" s="131"/>
      <c r="I927" s="132"/>
      <c r="J927" s="129"/>
      <c r="K927" s="140"/>
      <c r="L927" s="133"/>
      <c r="M927" s="140"/>
      <c r="N927" s="140"/>
      <c r="P927" s="141"/>
    </row>
    <row r="928" spans="1:16" x14ac:dyDescent="0.2">
      <c r="A928" s="129"/>
      <c r="B928" s="130"/>
      <c r="C928" s="140"/>
      <c r="D928" s="131"/>
      <c r="E928" s="129"/>
      <c r="F928" s="131"/>
      <c r="G928" s="130"/>
      <c r="H928" s="131"/>
      <c r="I928" s="132"/>
      <c r="J928" s="129"/>
      <c r="K928" s="140"/>
      <c r="L928" s="133"/>
      <c r="M928" s="140"/>
      <c r="N928" s="140"/>
      <c r="P928" s="141"/>
    </row>
    <row r="929" spans="1:16" x14ac:dyDescent="0.2">
      <c r="A929" s="129"/>
      <c r="B929" s="130"/>
      <c r="C929" s="140"/>
      <c r="D929" s="131"/>
      <c r="E929" s="129"/>
      <c r="F929" s="131"/>
      <c r="G929" s="130"/>
      <c r="H929" s="131"/>
      <c r="I929" s="132"/>
      <c r="J929" s="129"/>
      <c r="K929" s="140"/>
      <c r="L929" s="133"/>
      <c r="M929" s="140"/>
      <c r="N929" s="140"/>
      <c r="P929" s="141"/>
    </row>
    <row r="930" spans="1:16" x14ac:dyDescent="0.2">
      <c r="A930" s="129"/>
      <c r="B930" s="130"/>
      <c r="C930" s="140"/>
      <c r="D930" s="131"/>
      <c r="E930" s="129"/>
      <c r="F930" s="131"/>
      <c r="G930" s="130"/>
      <c r="H930" s="131"/>
      <c r="I930" s="132"/>
      <c r="J930" s="129"/>
      <c r="K930" s="140"/>
      <c r="L930" s="133"/>
      <c r="M930" s="140"/>
      <c r="N930" s="140"/>
      <c r="P930" s="141"/>
    </row>
    <row r="931" spans="1:16" x14ac:dyDescent="0.2">
      <c r="A931" s="129"/>
      <c r="B931" s="130"/>
      <c r="C931" s="140"/>
      <c r="D931" s="131"/>
      <c r="E931" s="129"/>
      <c r="F931" s="131"/>
      <c r="G931" s="130"/>
      <c r="H931" s="131"/>
      <c r="I931" s="132"/>
      <c r="J931" s="129"/>
      <c r="K931" s="140"/>
      <c r="L931" s="133"/>
      <c r="M931" s="140"/>
      <c r="N931" s="140"/>
      <c r="P931" s="141"/>
    </row>
    <row r="932" spans="1:16" x14ac:dyDescent="0.2">
      <c r="A932" s="129"/>
      <c r="B932" s="130"/>
      <c r="C932" s="140"/>
      <c r="D932" s="131"/>
      <c r="E932" s="129"/>
      <c r="F932" s="131"/>
      <c r="G932" s="130"/>
      <c r="H932" s="131"/>
      <c r="I932" s="132"/>
      <c r="J932" s="129"/>
      <c r="K932" s="140"/>
      <c r="L932" s="133"/>
      <c r="M932" s="140"/>
      <c r="N932" s="140"/>
      <c r="P932" s="141"/>
    </row>
    <row r="933" spans="1:16" x14ac:dyDescent="0.2">
      <c r="A933" s="129"/>
      <c r="B933" s="130"/>
      <c r="C933" s="140"/>
      <c r="D933" s="131"/>
      <c r="E933" s="129"/>
      <c r="F933" s="131"/>
      <c r="G933" s="130"/>
      <c r="H933" s="131"/>
      <c r="I933" s="132"/>
      <c r="J933" s="129"/>
      <c r="K933" s="140"/>
      <c r="L933" s="133"/>
      <c r="M933" s="140"/>
      <c r="N933" s="140"/>
      <c r="P933" s="141"/>
    </row>
    <row r="934" spans="1:16" x14ac:dyDescent="0.2">
      <c r="A934" s="129"/>
      <c r="B934" s="130"/>
      <c r="C934" s="140"/>
      <c r="D934" s="131"/>
      <c r="E934" s="129"/>
      <c r="F934" s="131"/>
      <c r="G934" s="130"/>
      <c r="H934" s="131"/>
      <c r="I934" s="132"/>
      <c r="J934" s="129"/>
      <c r="K934" s="140"/>
      <c r="L934" s="133"/>
      <c r="M934" s="140"/>
      <c r="N934" s="140"/>
      <c r="P934" s="141"/>
    </row>
    <row r="935" spans="1:16" x14ac:dyDescent="0.2">
      <c r="A935" s="129"/>
      <c r="B935" s="130"/>
      <c r="C935" s="140"/>
      <c r="D935" s="131"/>
      <c r="E935" s="129"/>
      <c r="F935" s="131"/>
      <c r="G935" s="130"/>
      <c r="H935" s="131"/>
      <c r="I935" s="132"/>
      <c r="J935" s="129"/>
      <c r="K935" s="140"/>
      <c r="L935" s="133"/>
      <c r="M935" s="140"/>
      <c r="N935" s="140"/>
      <c r="P935" s="141"/>
    </row>
    <row r="936" spans="1:16" x14ac:dyDescent="0.2">
      <c r="A936" s="129"/>
      <c r="B936" s="130"/>
      <c r="C936" s="140"/>
      <c r="D936" s="131"/>
      <c r="E936" s="129"/>
      <c r="F936" s="131"/>
      <c r="G936" s="130"/>
      <c r="H936" s="131"/>
      <c r="I936" s="132"/>
      <c r="J936" s="129"/>
      <c r="K936" s="140"/>
      <c r="L936" s="133"/>
      <c r="M936" s="140"/>
      <c r="N936" s="140"/>
      <c r="P936" s="141"/>
    </row>
    <row r="937" spans="1:16" x14ac:dyDescent="0.2">
      <c r="A937" s="129"/>
      <c r="B937" s="130"/>
      <c r="C937" s="140"/>
      <c r="D937" s="131"/>
      <c r="E937" s="129"/>
      <c r="F937" s="131"/>
      <c r="G937" s="130"/>
      <c r="H937" s="131"/>
      <c r="I937" s="132"/>
      <c r="J937" s="129"/>
      <c r="K937" s="140"/>
      <c r="L937" s="133"/>
      <c r="M937" s="140"/>
      <c r="N937" s="140"/>
      <c r="P937" s="141"/>
    </row>
    <row r="938" spans="1:16" x14ac:dyDescent="0.2">
      <c r="A938" s="129"/>
      <c r="B938" s="130"/>
      <c r="C938" s="140"/>
      <c r="D938" s="131"/>
      <c r="E938" s="129"/>
      <c r="F938" s="131"/>
      <c r="G938" s="130"/>
      <c r="H938" s="131"/>
      <c r="I938" s="132"/>
      <c r="J938" s="129"/>
      <c r="K938" s="140"/>
      <c r="L938" s="133"/>
      <c r="M938" s="140"/>
      <c r="N938" s="140"/>
      <c r="P938" s="141"/>
    </row>
    <row r="939" spans="1:16" x14ac:dyDescent="0.2">
      <c r="A939" s="129"/>
      <c r="B939" s="130"/>
      <c r="C939" s="140"/>
      <c r="D939" s="131"/>
      <c r="E939" s="129"/>
      <c r="F939" s="131"/>
      <c r="G939" s="130"/>
      <c r="H939" s="131"/>
      <c r="I939" s="132"/>
      <c r="J939" s="129"/>
      <c r="K939" s="140"/>
      <c r="L939" s="133"/>
      <c r="M939" s="140"/>
      <c r="N939" s="140"/>
      <c r="P939" s="141"/>
    </row>
    <row r="940" spans="1:16" x14ac:dyDescent="0.2">
      <c r="A940" s="129"/>
      <c r="B940" s="130"/>
      <c r="C940" s="140"/>
      <c r="D940" s="131"/>
      <c r="E940" s="129"/>
      <c r="F940" s="131"/>
      <c r="G940" s="130"/>
      <c r="H940" s="131"/>
      <c r="I940" s="132"/>
      <c r="J940" s="129"/>
      <c r="K940" s="140"/>
      <c r="L940" s="133"/>
      <c r="M940" s="140"/>
      <c r="N940" s="140"/>
      <c r="P940" s="141"/>
    </row>
    <row r="941" spans="1:16" x14ac:dyDescent="0.2">
      <c r="A941" s="129"/>
      <c r="B941" s="130"/>
      <c r="C941" s="140"/>
      <c r="D941" s="131"/>
      <c r="E941" s="129"/>
      <c r="F941" s="131"/>
      <c r="G941" s="130"/>
      <c r="H941" s="131"/>
      <c r="I941" s="132"/>
      <c r="J941" s="129"/>
      <c r="K941" s="140"/>
      <c r="L941" s="133"/>
      <c r="M941" s="140"/>
      <c r="N941" s="140"/>
      <c r="P941" s="141"/>
    </row>
    <row r="942" spans="1:16" x14ac:dyDescent="0.2">
      <c r="A942" s="129"/>
      <c r="B942" s="130"/>
      <c r="C942" s="140"/>
      <c r="D942" s="131"/>
      <c r="E942" s="129"/>
      <c r="F942" s="131"/>
      <c r="G942" s="130"/>
      <c r="H942" s="131"/>
      <c r="I942" s="132"/>
      <c r="J942" s="129"/>
      <c r="K942" s="140"/>
      <c r="L942" s="133"/>
      <c r="M942" s="140"/>
      <c r="N942" s="140"/>
      <c r="P942" s="141"/>
    </row>
    <row r="943" spans="1:16" x14ac:dyDescent="0.2">
      <c r="A943" s="129"/>
      <c r="B943" s="130"/>
      <c r="C943" s="140"/>
      <c r="D943" s="131"/>
      <c r="E943" s="129"/>
      <c r="F943" s="131"/>
      <c r="G943" s="130"/>
      <c r="H943" s="131"/>
      <c r="I943" s="132"/>
      <c r="J943" s="129"/>
      <c r="K943" s="140"/>
      <c r="L943" s="133"/>
      <c r="M943" s="140"/>
      <c r="N943" s="140"/>
      <c r="P943" s="141"/>
    </row>
    <row r="944" spans="1:16" x14ac:dyDescent="0.2">
      <c r="A944" s="129"/>
      <c r="B944" s="130"/>
      <c r="C944" s="140"/>
      <c r="D944" s="131"/>
      <c r="E944" s="129"/>
      <c r="F944" s="131"/>
      <c r="G944" s="130"/>
      <c r="H944" s="131"/>
      <c r="I944" s="132"/>
      <c r="J944" s="129"/>
      <c r="K944" s="140"/>
      <c r="L944" s="133"/>
      <c r="M944" s="140"/>
      <c r="N944" s="140"/>
      <c r="P944" s="141"/>
    </row>
    <row r="945" spans="1:16" x14ac:dyDescent="0.2">
      <c r="A945" s="129"/>
      <c r="B945" s="130"/>
      <c r="C945" s="140"/>
      <c r="D945" s="131"/>
      <c r="E945" s="129"/>
      <c r="F945" s="131"/>
      <c r="G945" s="130"/>
      <c r="H945" s="131"/>
      <c r="I945" s="132"/>
      <c r="J945" s="129"/>
      <c r="K945" s="140"/>
      <c r="L945" s="133"/>
      <c r="M945" s="140"/>
      <c r="N945" s="140"/>
      <c r="P945" s="141"/>
    </row>
    <row r="946" spans="1:16" x14ac:dyDescent="0.2">
      <c r="A946" s="129"/>
      <c r="B946" s="130"/>
      <c r="C946" s="140"/>
      <c r="D946" s="131"/>
      <c r="E946" s="129"/>
      <c r="F946" s="131"/>
      <c r="G946" s="130"/>
      <c r="H946" s="131"/>
      <c r="I946" s="132"/>
      <c r="J946" s="129"/>
      <c r="K946" s="140"/>
      <c r="L946" s="133"/>
      <c r="M946" s="140"/>
      <c r="N946" s="140"/>
      <c r="P946" s="141"/>
    </row>
    <row r="947" spans="1:16" x14ac:dyDescent="0.2">
      <c r="A947" s="129"/>
      <c r="B947" s="130"/>
      <c r="C947" s="140"/>
      <c r="D947" s="131"/>
      <c r="E947" s="129"/>
      <c r="F947" s="131"/>
      <c r="G947" s="130"/>
      <c r="H947" s="131"/>
      <c r="I947" s="132"/>
      <c r="J947" s="129"/>
      <c r="K947" s="140"/>
      <c r="L947" s="133"/>
      <c r="M947" s="140"/>
      <c r="N947" s="140"/>
      <c r="P947" s="141"/>
    </row>
    <row r="948" spans="1:16" x14ac:dyDescent="0.2">
      <c r="A948" s="129"/>
      <c r="B948" s="130"/>
      <c r="C948" s="140"/>
      <c r="D948" s="131"/>
      <c r="E948" s="129"/>
      <c r="F948" s="131"/>
      <c r="G948" s="130"/>
      <c r="H948" s="131"/>
      <c r="I948" s="132"/>
      <c r="J948" s="129"/>
      <c r="K948" s="140"/>
      <c r="L948" s="133"/>
      <c r="M948" s="140"/>
      <c r="N948" s="140"/>
      <c r="P948" s="141"/>
    </row>
    <row r="949" spans="1:16" x14ac:dyDescent="0.2">
      <c r="A949" s="129"/>
      <c r="B949" s="130"/>
      <c r="C949" s="140"/>
      <c r="D949" s="131"/>
      <c r="E949" s="129"/>
      <c r="F949" s="131"/>
      <c r="G949" s="130"/>
      <c r="H949" s="131"/>
      <c r="I949" s="132"/>
      <c r="J949" s="129"/>
      <c r="K949" s="140"/>
      <c r="L949" s="133"/>
      <c r="M949" s="140"/>
      <c r="N949" s="140"/>
      <c r="P949" s="141"/>
    </row>
    <row r="950" spans="1:16" x14ac:dyDescent="0.2">
      <c r="A950" s="129"/>
      <c r="B950" s="130"/>
      <c r="C950" s="140"/>
      <c r="D950" s="131"/>
      <c r="E950" s="129"/>
      <c r="F950" s="131"/>
      <c r="G950" s="130"/>
      <c r="H950" s="131"/>
      <c r="I950" s="132"/>
      <c r="J950" s="129"/>
      <c r="K950" s="140"/>
      <c r="L950" s="133"/>
      <c r="M950" s="140"/>
      <c r="N950" s="140"/>
      <c r="P950" s="141"/>
    </row>
    <row r="951" spans="1:16" x14ac:dyDescent="0.2">
      <c r="A951" s="129"/>
      <c r="B951" s="130"/>
      <c r="C951" s="140"/>
      <c r="D951" s="131"/>
      <c r="E951" s="129"/>
      <c r="F951" s="131"/>
      <c r="G951" s="130"/>
      <c r="H951" s="131"/>
      <c r="I951" s="132"/>
      <c r="J951" s="129"/>
      <c r="K951" s="140"/>
      <c r="L951" s="133"/>
      <c r="M951" s="140"/>
      <c r="N951" s="140"/>
      <c r="P951" s="141"/>
    </row>
    <row r="952" spans="1:16" x14ac:dyDescent="0.2">
      <c r="A952" s="129"/>
      <c r="B952" s="130"/>
      <c r="C952" s="140"/>
      <c r="D952" s="131"/>
      <c r="E952" s="129"/>
      <c r="F952" s="131"/>
      <c r="G952" s="130"/>
      <c r="H952" s="131"/>
      <c r="I952" s="132"/>
      <c r="J952" s="129"/>
      <c r="K952" s="140"/>
      <c r="L952" s="133"/>
      <c r="M952" s="140"/>
      <c r="N952" s="140"/>
      <c r="P952" s="141"/>
    </row>
    <row r="953" spans="1:16" x14ac:dyDescent="0.2">
      <c r="A953" s="129"/>
      <c r="B953" s="130"/>
      <c r="C953" s="140"/>
      <c r="D953" s="131"/>
      <c r="E953" s="129"/>
      <c r="F953" s="131"/>
      <c r="G953" s="130"/>
      <c r="H953" s="131"/>
      <c r="I953" s="132"/>
      <c r="J953" s="129"/>
      <c r="K953" s="140"/>
      <c r="L953" s="133"/>
      <c r="M953" s="140"/>
      <c r="N953" s="140"/>
      <c r="P953" s="141"/>
    </row>
    <row r="954" spans="1:16" x14ac:dyDescent="0.2">
      <c r="A954" s="129"/>
      <c r="B954" s="130"/>
      <c r="C954" s="140"/>
      <c r="D954" s="131"/>
      <c r="E954" s="129"/>
      <c r="F954" s="131"/>
      <c r="G954" s="130"/>
      <c r="H954" s="131"/>
      <c r="I954" s="132"/>
      <c r="J954" s="129"/>
      <c r="K954" s="140"/>
      <c r="L954" s="133"/>
      <c r="M954" s="140"/>
      <c r="N954" s="140"/>
      <c r="P954" s="141"/>
    </row>
    <row r="955" spans="1:16" x14ac:dyDescent="0.2">
      <c r="A955" s="129"/>
      <c r="B955" s="130"/>
      <c r="C955" s="140"/>
      <c r="D955" s="131"/>
      <c r="E955" s="129"/>
      <c r="F955" s="131"/>
      <c r="G955" s="130"/>
      <c r="H955" s="131"/>
      <c r="I955" s="132"/>
      <c r="J955" s="129"/>
      <c r="K955" s="140"/>
      <c r="L955" s="133"/>
      <c r="M955" s="140"/>
      <c r="N955" s="140"/>
      <c r="P955" s="141"/>
    </row>
    <row r="956" spans="1:16" x14ac:dyDescent="0.2">
      <c r="A956" s="129"/>
      <c r="B956" s="130"/>
      <c r="C956" s="140"/>
      <c r="D956" s="131"/>
      <c r="E956" s="129"/>
      <c r="F956" s="131"/>
      <c r="G956" s="130"/>
      <c r="H956" s="131"/>
      <c r="I956" s="132"/>
      <c r="J956" s="129"/>
      <c r="K956" s="140"/>
      <c r="L956" s="133"/>
      <c r="M956" s="140"/>
      <c r="N956" s="140"/>
      <c r="P956" s="141"/>
    </row>
    <row r="957" spans="1:16" x14ac:dyDescent="0.2">
      <c r="A957" s="129"/>
      <c r="B957" s="130"/>
      <c r="C957" s="140"/>
      <c r="D957" s="131"/>
      <c r="E957" s="129"/>
      <c r="F957" s="131"/>
      <c r="G957" s="130"/>
      <c r="H957" s="131"/>
      <c r="I957" s="132"/>
      <c r="J957" s="129"/>
      <c r="K957" s="140"/>
      <c r="L957" s="133"/>
      <c r="M957" s="140"/>
      <c r="N957" s="140"/>
      <c r="P957" s="141"/>
    </row>
    <row r="958" spans="1:16" x14ac:dyDescent="0.2">
      <c r="A958" s="129"/>
      <c r="B958" s="130"/>
      <c r="C958" s="140"/>
      <c r="D958" s="131"/>
      <c r="E958" s="129"/>
      <c r="F958" s="131"/>
      <c r="G958" s="130"/>
      <c r="H958" s="131"/>
      <c r="I958" s="132"/>
      <c r="J958" s="129"/>
      <c r="K958" s="140"/>
      <c r="L958" s="133"/>
      <c r="M958" s="140"/>
      <c r="N958" s="140"/>
      <c r="P958" s="141"/>
    </row>
    <row r="959" spans="1:16" x14ac:dyDescent="0.2">
      <c r="A959" s="129"/>
      <c r="B959" s="130"/>
      <c r="C959" s="140"/>
      <c r="D959" s="131"/>
      <c r="E959" s="129"/>
      <c r="F959" s="131"/>
      <c r="G959" s="130"/>
      <c r="H959" s="131"/>
      <c r="I959" s="132"/>
      <c r="J959" s="129"/>
      <c r="K959" s="140"/>
      <c r="L959" s="133"/>
      <c r="M959" s="140"/>
      <c r="N959" s="140"/>
      <c r="P959" s="141"/>
    </row>
    <row r="960" spans="1:16" x14ac:dyDescent="0.2">
      <c r="A960" s="129"/>
      <c r="B960" s="130"/>
      <c r="C960" s="140"/>
      <c r="D960" s="131"/>
      <c r="E960" s="129"/>
      <c r="F960" s="131"/>
      <c r="G960" s="130"/>
      <c r="H960" s="131"/>
      <c r="I960" s="132"/>
      <c r="J960" s="129"/>
      <c r="K960" s="140"/>
      <c r="L960" s="133"/>
      <c r="M960" s="140"/>
      <c r="N960" s="140"/>
      <c r="P960" s="141"/>
    </row>
    <row r="961" spans="1:16" x14ac:dyDescent="0.2">
      <c r="A961" s="129"/>
      <c r="B961" s="130"/>
      <c r="C961" s="140"/>
      <c r="D961" s="131"/>
      <c r="E961" s="129"/>
      <c r="F961" s="131"/>
      <c r="G961" s="130"/>
      <c r="H961" s="131"/>
      <c r="I961" s="132"/>
      <c r="J961" s="129"/>
      <c r="K961" s="140"/>
      <c r="L961" s="133"/>
      <c r="M961" s="140"/>
      <c r="N961" s="140"/>
      <c r="P961" s="141"/>
    </row>
    <row r="962" spans="1:16" x14ac:dyDescent="0.2">
      <c r="A962" s="129"/>
      <c r="B962" s="130"/>
      <c r="C962" s="140"/>
      <c r="D962" s="131"/>
      <c r="E962" s="129"/>
      <c r="F962" s="131"/>
      <c r="G962" s="130"/>
      <c r="H962" s="131"/>
      <c r="I962" s="132"/>
      <c r="J962" s="129"/>
      <c r="K962" s="140"/>
      <c r="L962" s="133"/>
      <c r="M962" s="140"/>
      <c r="N962" s="140"/>
      <c r="P962" s="141"/>
    </row>
    <row r="963" spans="1:16" x14ac:dyDescent="0.2">
      <c r="A963" s="129"/>
      <c r="B963" s="130"/>
      <c r="C963" s="140"/>
      <c r="D963" s="131"/>
      <c r="E963" s="129"/>
      <c r="F963" s="131"/>
      <c r="G963" s="130"/>
      <c r="H963" s="131"/>
      <c r="I963" s="132"/>
      <c r="J963" s="129"/>
      <c r="K963" s="140"/>
      <c r="L963" s="133"/>
      <c r="M963" s="140"/>
      <c r="N963" s="140"/>
      <c r="P963" s="141"/>
    </row>
    <row r="964" spans="1:16" x14ac:dyDescent="0.2">
      <c r="A964" s="129"/>
      <c r="B964" s="130"/>
      <c r="C964" s="140"/>
      <c r="D964" s="131"/>
      <c r="E964" s="129"/>
      <c r="F964" s="131"/>
      <c r="G964" s="130"/>
      <c r="H964" s="131"/>
      <c r="I964" s="132"/>
      <c r="J964" s="129"/>
      <c r="K964" s="140"/>
      <c r="L964" s="133"/>
      <c r="M964" s="140"/>
      <c r="N964" s="140"/>
      <c r="P964" s="141"/>
    </row>
    <row r="965" spans="1:16" x14ac:dyDescent="0.2">
      <c r="A965" s="129"/>
      <c r="B965" s="130"/>
      <c r="C965" s="140"/>
      <c r="D965" s="131"/>
      <c r="E965" s="129"/>
      <c r="F965" s="131"/>
      <c r="G965" s="130"/>
      <c r="H965" s="131"/>
      <c r="I965" s="132"/>
      <c r="J965" s="129"/>
      <c r="K965" s="140"/>
      <c r="L965" s="133"/>
      <c r="M965" s="140"/>
      <c r="N965" s="140"/>
      <c r="P965" s="141"/>
    </row>
    <row r="966" spans="1:16" x14ac:dyDescent="0.2">
      <c r="A966" s="129"/>
      <c r="B966" s="130"/>
      <c r="C966" s="140"/>
      <c r="D966" s="131"/>
      <c r="E966" s="129"/>
      <c r="F966" s="131"/>
      <c r="G966" s="130"/>
      <c r="H966" s="131"/>
      <c r="I966" s="132"/>
      <c r="J966" s="129"/>
      <c r="K966" s="140"/>
      <c r="L966" s="133"/>
      <c r="M966" s="140"/>
      <c r="N966" s="140"/>
      <c r="P966" s="141"/>
    </row>
    <row r="967" spans="1:16" x14ac:dyDescent="0.2">
      <c r="A967" s="129"/>
      <c r="B967" s="130"/>
      <c r="C967" s="140"/>
      <c r="D967" s="131"/>
      <c r="E967" s="129"/>
      <c r="F967" s="131"/>
      <c r="G967" s="130"/>
      <c r="H967" s="131"/>
      <c r="I967" s="132"/>
      <c r="J967" s="129"/>
      <c r="K967" s="140"/>
      <c r="L967" s="133"/>
      <c r="M967" s="140"/>
      <c r="N967" s="140"/>
      <c r="P967" s="141"/>
    </row>
    <row r="968" spans="1:16" x14ac:dyDescent="0.2">
      <c r="A968" s="129"/>
      <c r="B968" s="130"/>
      <c r="C968" s="140"/>
      <c r="D968" s="131"/>
      <c r="E968" s="129"/>
      <c r="F968" s="131"/>
      <c r="G968" s="130"/>
      <c r="H968" s="131"/>
      <c r="I968" s="132"/>
      <c r="J968" s="129"/>
      <c r="K968" s="140"/>
      <c r="L968" s="133"/>
      <c r="M968" s="140"/>
      <c r="N968" s="140"/>
      <c r="P968" s="141"/>
    </row>
    <row r="969" spans="1:16" x14ac:dyDescent="0.2">
      <c r="A969" s="129"/>
      <c r="B969" s="130"/>
      <c r="C969" s="140"/>
      <c r="D969" s="131"/>
      <c r="E969" s="129"/>
      <c r="F969" s="131"/>
      <c r="G969" s="130"/>
      <c r="H969" s="131"/>
      <c r="I969" s="132"/>
      <c r="J969" s="129"/>
      <c r="K969" s="140"/>
      <c r="L969" s="133"/>
      <c r="M969" s="140"/>
      <c r="N969" s="140"/>
      <c r="P969" s="141"/>
    </row>
    <row r="970" spans="1:16" x14ac:dyDescent="0.2">
      <c r="A970" s="129"/>
      <c r="B970" s="130"/>
      <c r="C970" s="140"/>
      <c r="D970" s="131"/>
      <c r="E970" s="129"/>
      <c r="F970" s="131"/>
      <c r="G970" s="130"/>
      <c r="H970" s="131"/>
      <c r="I970" s="132"/>
      <c r="J970" s="129"/>
      <c r="K970" s="140"/>
      <c r="L970" s="133"/>
      <c r="M970" s="140"/>
      <c r="N970" s="140"/>
      <c r="P970" s="141"/>
    </row>
    <row r="971" spans="1:16" x14ac:dyDescent="0.2">
      <c r="A971" s="129"/>
      <c r="B971" s="130"/>
      <c r="C971" s="140"/>
      <c r="D971" s="131"/>
      <c r="E971" s="129"/>
      <c r="F971" s="131"/>
      <c r="G971" s="130"/>
      <c r="H971" s="131"/>
      <c r="I971" s="132"/>
      <c r="J971" s="129"/>
      <c r="K971" s="140"/>
      <c r="L971" s="133"/>
      <c r="M971" s="140"/>
      <c r="N971" s="140"/>
      <c r="P971" s="141"/>
    </row>
    <row r="972" spans="1:16" x14ac:dyDescent="0.2">
      <c r="A972" s="129"/>
      <c r="B972" s="130"/>
      <c r="C972" s="140"/>
      <c r="D972" s="131"/>
      <c r="E972" s="129"/>
      <c r="F972" s="131"/>
      <c r="G972" s="130"/>
      <c r="H972" s="131"/>
      <c r="I972" s="132"/>
      <c r="J972" s="129"/>
      <c r="K972" s="140"/>
      <c r="L972" s="133"/>
      <c r="M972" s="140"/>
      <c r="N972" s="140"/>
      <c r="P972" s="141"/>
    </row>
    <row r="973" spans="1:16" x14ac:dyDescent="0.2">
      <c r="A973" s="129"/>
      <c r="B973" s="130"/>
      <c r="C973" s="140"/>
      <c r="D973" s="131"/>
      <c r="E973" s="129"/>
      <c r="F973" s="131"/>
      <c r="G973" s="130"/>
      <c r="H973" s="131"/>
      <c r="I973" s="132"/>
      <c r="J973" s="129"/>
      <c r="K973" s="140"/>
      <c r="L973" s="133"/>
      <c r="M973" s="140"/>
      <c r="N973" s="140"/>
      <c r="P973" s="141"/>
    </row>
    <row r="974" spans="1:16" x14ac:dyDescent="0.2">
      <c r="A974" s="129"/>
      <c r="B974" s="130"/>
      <c r="C974" s="140"/>
      <c r="D974" s="131"/>
      <c r="E974" s="129"/>
      <c r="F974" s="131"/>
      <c r="G974" s="130"/>
      <c r="H974" s="131"/>
      <c r="I974" s="132"/>
      <c r="J974" s="129"/>
      <c r="K974" s="140"/>
      <c r="L974" s="133"/>
      <c r="M974" s="140"/>
      <c r="N974" s="140"/>
      <c r="P974" s="141"/>
    </row>
    <row r="975" spans="1:16" x14ac:dyDescent="0.2">
      <c r="A975" s="129"/>
      <c r="B975" s="130"/>
      <c r="C975" s="140"/>
      <c r="D975" s="131"/>
      <c r="E975" s="129"/>
      <c r="F975" s="131"/>
      <c r="G975" s="130"/>
      <c r="H975" s="131"/>
      <c r="I975" s="132"/>
      <c r="J975" s="129"/>
      <c r="K975" s="140"/>
      <c r="L975" s="133"/>
      <c r="M975" s="140"/>
      <c r="N975" s="140"/>
      <c r="P975" s="141"/>
    </row>
    <row r="976" spans="1:16" x14ac:dyDescent="0.2">
      <c r="A976" s="129"/>
      <c r="B976" s="130"/>
      <c r="C976" s="140"/>
      <c r="D976" s="131"/>
      <c r="E976" s="129"/>
      <c r="F976" s="131"/>
      <c r="G976" s="130"/>
      <c r="H976" s="131"/>
      <c r="I976" s="132"/>
      <c r="J976" s="129"/>
      <c r="K976" s="140"/>
      <c r="L976" s="133"/>
      <c r="M976" s="140"/>
      <c r="N976" s="140"/>
      <c r="P976" s="141"/>
    </row>
    <row r="977" spans="1:16" x14ac:dyDescent="0.2">
      <c r="A977" s="129"/>
      <c r="B977" s="130"/>
      <c r="C977" s="140"/>
      <c r="D977" s="131"/>
      <c r="E977" s="129"/>
      <c r="F977" s="131"/>
      <c r="G977" s="130"/>
      <c r="H977" s="131"/>
      <c r="I977" s="132"/>
      <c r="J977" s="129"/>
      <c r="K977" s="140"/>
      <c r="L977" s="133"/>
      <c r="M977" s="140"/>
      <c r="N977" s="140"/>
      <c r="P977" s="141"/>
    </row>
    <row r="978" spans="1:16" x14ac:dyDescent="0.2">
      <c r="A978" s="129"/>
      <c r="B978" s="130"/>
      <c r="C978" s="140"/>
      <c r="D978" s="131"/>
      <c r="E978" s="129"/>
      <c r="F978" s="131"/>
      <c r="G978" s="130"/>
      <c r="H978" s="131"/>
      <c r="I978" s="132"/>
      <c r="J978" s="129"/>
      <c r="K978" s="140"/>
      <c r="L978" s="133"/>
      <c r="M978" s="140"/>
      <c r="N978" s="140"/>
      <c r="P978" s="141"/>
    </row>
    <row r="979" spans="1:16" x14ac:dyDescent="0.2">
      <c r="A979" s="129"/>
      <c r="B979" s="130"/>
      <c r="C979" s="140"/>
      <c r="D979" s="131"/>
      <c r="E979" s="129"/>
      <c r="F979" s="131"/>
      <c r="G979" s="130"/>
      <c r="H979" s="131"/>
      <c r="I979" s="132"/>
      <c r="J979" s="129"/>
      <c r="K979" s="140"/>
      <c r="L979" s="133"/>
      <c r="M979" s="140"/>
      <c r="N979" s="140"/>
      <c r="P979" s="141"/>
    </row>
    <row r="980" spans="1:16" x14ac:dyDescent="0.2">
      <c r="A980" s="129"/>
      <c r="B980" s="130"/>
      <c r="C980" s="140"/>
      <c r="D980" s="131"/>
      <c r="E980" s="129"/>
      <c r="F980" s="131"/>
      <c r="G980" s="130"/>
      <c r="H980" s="131"/>
      <c r="I980" s="132"/>
      <c r="J980" s="129"/>
      <c r="K980" s="140"/>
      <c r="L980" s="133"/>
      <c r="M980" s="140"/>
      <c r="N980" s="140"/>
      <c r="P980" s="141"/>
    </row>
    <row r="981" spans="1:16" x14ac:dyDescent="0.2">
      <c r="A981" s="129"/>
      <c r="B981" s="130"/>
      <c r="C981" s="140"/>
      <c r="D981" s="131"/>
      <c r="E981" s="129"/>
      <c r="F981" s="131"/>
      <c r="G981" s="130"/>
      <c r="H981" s="131"/>
      <c r="I981" s="132"/>
      <c r="J981" s="129"/>
      <c r="K981" s="140"/>
      <c r="L981" s="133"/>
      <c r="M981" s="140"/>
      <c r="N981" s="140"/>
      <c r="P981" s="141"/>
    </row>
    <row r="982" spans="1:16" x14ac:dyDescent="0.2">
      <c r="A982" s="129"/>
      <c r="B982" s="130"/>
      <c r="C982" s="140"/>
      <c r="D982" s="131"/>
      <c r="E982" s="129"/>
      <c r="F982" s="131"/>
      <c r="G982" s="130"/>
      <c r="H982" s="131"/>
      <c r="I982" s="132"/>
      <c r="J982" s="129"/>
      <c r="K982" s="140"/>
      <c r="L982" s="133"/>
      <c r="M982" s="140"/>
      <c r="N982" s="140"/>
      <c r="P982" s="141"/>
    </row>
    <row r="983" spans="1:16" x14ac:dyDescent="0.2">
      <c r="A983" s="129"/>
      <c r="B983" s="130"/>
      <c r="C983" s="140"/>
      <c r="D983" s="131"/>
      <c r="E983" s="129"/>
      <c r="F983" s="131"/>
      <c r="G983" s="130"/>
      <c r="H983" s="131"/>
      <c r="I983" s="132"/>
      <c r="J983" s="129"/>
      <c r="K983" s="140"/>
      <c r="L983" s="133"/>
      <c r="M983" s="140"/>
      <c r="N983" s="140"/>
      <c r="P983" s="141"/>
    </row>
    <row r="984" spans="1:16" x14ac:dyDescent="0.2">
      <c r="A984" s="129"/>
      <c r="B984" s="130"/>
      <c r="C984" s="140"/>
      <c r="D984" s="131"/>
      <c r="E984" s="129"/>
      <c r="F984" s="131"/>
      <c r="G984" s="130"/>
      <c r="H984" s="131"/>
      <c r="I984" s="132"/>
      <c r="J984" s="129"/>
      <c r="K984" s="140"/>
      <c r="L984" s="133"/>
      <c r="M984" s="140"/>
      <c r="N984" s="140"/>
      <c r="P984" s="141"/>
    </row>
    <row r="985" spans="1:16" x14ac:dyDescent="0.2">
      <c r="A985" s="129"/>
      <c r="B985" s="130"/>
      <c r="C985" s="140"/>
      <c r="D985" s="131"/>
      <c r="E985" s="129"/>
      <c r="F985" s="131"/>
      <c r="G985" s="130"/>
      <c r="H985" s="131"/>
      <c r="I985" s="132"/>
      <c r="J985" s="129"/>
      <c r="K985" s="140"/>
      <c r="L985" s="133"/>
      <c r="M985" s="140"/>
      <c r="N985" s="140"/>
      <c r="P985" s="141"/>
    </row>
    <row r="986" spans="1:16" x14ac:dyDescent="0.2">
      <c r="A986" s="129"/>
      <c r="B986" s="130"/>
      <c r="C986" s="140"/>
      <c r="D986" s="131"/>
      <c r="E986" s="129"/>
      <c r="F986" s="131"/>
      <c r="G986" s="130"/>
      <c r="H986" s="131"/>
      <c r="I986" s="132"/>
      <c r="J986" s="129"/>
      <c r="K986" s="140"/>
      <c r="L986" s="133"/>
      <c r="M986" s="140"/>
      <c r="N986" s="140"/>
      <c r="P986" s="141"/>
    </row>
    <row r="987" spans="1:16" x14ac:dyDescent="0.2">
      <c r="A987" s="129"/>
      <c r="B987" s="130"/>
      <c r="C987" s="140"/>
      <c r="D987" s="131"/>
      <c r="E987" s="129"/>
      <c r="F987" s="131"/>
      <c r="G987" s="130"/>
      <c r="H987" s="131"/>
      <c r="I987" s="132"/>
      <c r="J987" s="129"/>
      <c r="K987" s="140"/>
      <c r="L987" s="133"/>
      <c r="M987" s="140"/>
      <c r="N987" s="140"/>
      <c r="P987" s="141"/>
    </row>
    <row r="988" spans="1:16" x14ac:dyDescent="0.2">
      <c r="A988" s="129"/>
      <c r="B988" s="130"/>
      <c r="C988" s="140"/>
      <c r="D988" s="131"/>
      <c r="E988" s="129"/>
      <c r="F988" s="131"/>
      <c r="G988" s="130"/>
      <c r="H988" s="131"/>
      <c r="I988" s="132"/>
      <c r="J988" s="129"/>
      <c r="K988" s="140"/>
      <c r="L988" s="133"/>
      <c r="M988" s="140"/>
      <c r="N988" s="140"/>
      <c r="P988" s="141"/>
    </row>
    <row r="989" spans="1:16" x14ac:dyDescent="0.2">
      <c r="A989" s="129"/>
      <c r="B989" s="130"/>
      <c r="C989" s="140"/>
      <c r="D989" s="131"/>
      <c r="E989" s="129"/>
      <c r="F989" s="131"/>
      <c r="G989" s="130"/>
      <c r="H989" s="131"/>
      <c r="I989" s="132"/>
      <c r="J989" s="129"/>
      <c r="K989" s="140"/>
      <c r="L989" s="133"/>
      <c r="M989" s="140"/>
      <c r="N989" s="140"/>
      <c r="P989" s="141"/>
    </row>
    <row r="990" spans="1:16" x14ac:dyDescent="0.2">
      <c r="A990" s="129"/>
      <c r="B990" s="130"/>
      <c r="C990" s="140"/>
      <c r="D990" s="131"/>
      <c r="E990" s="129"/>
      <c r="F990" s="131"/>
      <c r="G990" s="130"/>
      <c r="H990" s="131"/>
      <c r="I990" s="132"/>
      <c r="J990" s="129"/>
      <c r="K990" s="140"/>
      <c r="L990" s="133"/>
      <c r="M990" s="140"/>
      <c r="N990" s="140"/>
      <c r="P990" s="141"/>
    </row>
    <row r="991" spans="1:16" x14ac:dyDescent="0.2">
      <c r="A991" s="129"/>
      <c r="B991" s="130"/>
      <c r="C991" s="140"/>
      <c r="D991" s="131"/>
      <c r="E991" s="129"/>
      <c r="F991" s="131"/>
      <c r="G991" s="130"/>
      <c r="H991" s="131"/>
      <c r="I991" s="132"/>
      <c r="J991" s="129"/>
      <c r="K991" s="140"/>
      <c r="L991" s="133"/>
      <c r="M991" s="140"/>
      <c r="N991" s="140"/>
      <c r="P991" s="141"/>
    </row>
    <row r="992" spans="1:16" x14ac:dyDescent="0.2">
      <c r="A992" s="129"/>
      <c r="B992" s="130"/>
      <c r="C992" s="140"/>
      <c r="D992" s="131"/>
      <c r="E992" s="129"/>
      <c r="F992" s="131"/>
      <c r="G992" s="130"/>
      <c r="H992" s="131"/>
      <c r="I992" s="132"/>
      <c r="J992" s="129"/>
      <c r="K992" s="140"/>
      <c r="L992" s="133"/>
      <c r="M992" s="140"/>
      <c r="N992" s="140"/>
      <c r="P992" s="141"/>
    </row>
    <row r="993" spans="1:16" x14ac:dyDescent="0.2">
      <c r="A993" s="129"/>
      <c r="B993" s="130"/>
      <c r="C993" s="140"/>
      <c r="D993" s="131"/>
      <c r="E993" s="129"/>
      <c r="F993" s="131"/>
      <c r="G993" s="130"/>
      <c r="H993" s="131"/>
      <c r="I993" s="132"/>
      <c r="J993" s="129"/>
      <c r="K993" s="140"/>
      <c r="L993" s="133"/>
      <c r="M993" s="140"/>
      <c r="N993" s="140"/>
      <c r="P993" s="141"/>
    </row>
    <row r="994" spans="1:16" x14ac:dyDescent="0.2">
      <c r="A994" s="129"/>
      <c r="B994" s="130"/>
      <c r="C994" s="140"/>
      <c r="D994" s="131"/>
      <c r="E994" s="129"/>
      <c r="F994" s="131"/>
      <c r="G994" s="130"/>
      <c r="H994" s="131"/>
      <c r="I994" s="132"/>
      <c r="J994" s="129"/>
      <c r="K994" s="140"/>
      <c r="L994" s="133"/>
      <c r="M994" s="140"/>
      <c r="N994" s="140"/>
      <c r="P994" s="141"/>
    </row>
    <row r="995" spans="1:16" x14ac:dyDescent="0.2">
      <c r="A995" s="129"/>
      <c r="B995" s="130"/>
      <c r="C995" s="140"/>
      <c r="D995" s="131"/>
      <c r="E995" s="129"/>
      <c r="F995" s="131"/>
      <c r="G995" s="130"/>
      <c r="H995" s="131"/>
      <c r="I995" s="132"/>
      <c r="J995" s="129"/>
      <c r="K995" s="140"/>
      <c r="L995" s="133"/>
      <c r="M995" s="140"/>
      <c r="N995" s="140"/>
      <c r="P995" s="141"/>
    </row>
    <row r="996" spans="1:16" x14ac:dyDescent="0.2">
      <c r="A996" s="129"/>
      <c r="B996" s="130"/>
      <c r="C996" s="140"/>
      <c r="D996" s="131"/>
      <c r="E996" s="129"/>
      <c r="F996" s="131"/>
      <c r="G996" s="130"/>
      <c r="H996" s="131"/>
      <c r="I996" s="132"/>
      <c r="J996" s="129"/>
      <c r="K996" s="140"/>
      <c r="L996" s="133"/>
      <c r="M996" s="140"/>
      <c r="N996" s="140"/>
      <c r="P996" s="141"/>
    </row>
    <row r="997" spans="1:16" x14ac:dyDescent="0.2">
      <c r="A997" s="129"/>
      <c r="B997" s="130"/>
      <c r="C997" s="140"/>
      <c r="D997" s="131"/>
      <c r="E997" s="129"/>
      <c r="F997" s="131"/>
      <c r="G997" s="130"/>
      <c r="H997" s="131"/>
      <c r="I997" s="132"/>
      <c r="J997" s="129"/>
      <c r="K997" s="140"/>
      <c r="L997" s="133"/>
      <c r="M997" s="140"/>
      <c r="N997" s="140"/>
      <c r="P997" s="141"/>
    </row>
    <row r="998" spans="1:16" x14ac:dyDescent="0.2">
      <c r="A998" s="129"/>
      <c r="B998" s="130"/>
      <c r="C998" s="140"/>
      <c r="D998" s="131"/>
      <c r="E998" s="129"/>
      <c r="F998" s="131"/>
      <c r="G998" s="130"/>
      <c r="H998" s="131"/>
      <c r="I998" s="132"/>
      <c r="J998" s="129"/>
      <c r="K998" s="140"/>
      <c r="L998" s="133"/>
      <c r="M998" s="140"/>
      <c r="N998" s="140"/>
      <c r="P998" s="141"/>
    </row>
    <row r="999" spans="1:16" x14ac:dyDescent="0.2">
      <c r="A999" s="129"/>
      <c r="B999" s="130"/>
      <c r="C999" s="140"/>
      <c r="D999" s="131"/>
      <c r="E999" s="129"/>
      <c r="F999" s="131"/>
      <c r="G999" s="130"/>
      <c r="H999" s="131"/>
      <c r="I999" s="132"/>
      <c r="J999" s="129"/>
      <c r="K999" s="140"/>
      <c r="L999" s="133"/>
      <c r="M999" s="140"/>
      <c r="N999" s="140"/>
      <c r="P999" s="141"/>
    </row>
    <row r="1000" spans="1:16" x14ac:dyDescent="0.2">
      <c r="A1000" s="129"/>
      <c r="B1000" s="130"/>
      <c r="C1000" s="140"/>
      <c r="D1000" s="131"/>
      <c r="E1000" s="129"/>
      <c r="F1000" s="131"/>
      <c r="G1000" s="130"/>
      <c r="H1000" s="131"/>
      <c r="I1000" s="132"/>
      <c r="J1000" s="129"/>
      <c r="K1000" s="140"/>
      <c r="L1000" s="133"/>
      <c r="M1000" s="140"/>
      <c r="N1000" s="140"/>
      <c r="P1000" s="141"/>
    </row>
    <row r="1001" spans="1:16" x14ac:dyDescent="0.2">
      <c r="A1001" s="129"/>
      <c r="B1001" s="130"/>
      <c r="C1001" s="140"/>
      <c r="D1001" s="131"/>
      <c r="E1001" s="129"/>
      <c r="F1001" s="131"/>
      <c r="G1001" s="130"/>
      <c r="H1001" s="131"/>
      <c r="I1001" s="132"/>
      <c r="J1001" s="129"/>
      <c r="K1001" s="140"/>
      <c r="L1001" s="133"/>
      <c r="M1001" s="140"/>
      <c r="N1001" s="140"/>
      <c r="P1001" s="141"/>
    </row>
    <row r="1002" spans="1:16" x14ac:dyDescent="0.2">
      <c r="A1002" s="129"/>
      <c r="B1002" s="130"/>
      <c r="C1002" s="140"/>
      <c r="D1002" s="131"/>
      <c r="E1002" s="129"/>
      <c r="F1002" s="131"/>
      <c r="G1002" s="130"/>
      <c r="H1002" s="131"/>
      <c r="I1002" s="132"/>
      <c r="J1002" s="129"/>
      <c r="K1002" s="140"/>
      <c r="L1002" s="133"/>
      <c r="M1002" s="140"/>
      <c r="N1002" s="140"/>
      <c r="P1002" s="141"/>
    </row>
    <row r="1003" spans="1:16" x14ac:dyDescent="0.2">
      <c r="A1003" s="129"/>
      <c r="B1003" s="130"/>
      <c r="C1003" s="140"/>
      <c r="D1003" s="131"/>
      <c r="E1003" s="129"/>
      <c r="F1003" s="131"/>
      <c r="G1003" s="130"/>
      <c r="H1003" s="131"/>
      <c r="I1003" s="132"/>
      <c r="J1003" s="129"/>
      <c r="K1003" s="140"/>
      <c r="L1003" s="133"/>
      <c r="M1003" s="140"/>
      <c r="N1003" s="140"/>
      <c r="P1003" s="141"/>
    </row>
    <row r="1004" spans="1:16" x14ac:dyDescent="0.2">
      <c r="A1004" s="129"/>
      <c r="B1004" s="130"/>
      <c r="C1004" s="140"/>
      <c r="D1004" s="131"/>
      <c r="E1004" s="129"/>
      <c r="F1004" s="131"/>
      <c r="G1004" s="130"/>
      <c r="H1004" s="131"/>
      <c r="I1004" s="132"/>
      <c r="J1004" s="129"/>
      <c r="K1004" s="140"/>
      <c r="L1004" s="133"/>
      <c r="M1004" s="140"/>
      <c r="N1004" s="140"/>
      <c r="P1004" s="141"/>
    </row>
    <row r="1005" spans="1:16" x14ac:dyDescent="0.2">
      <c r="A1005" s="129"/>
      <c r="B1005" s="130"/>
      <c r="C1005" s="140"/>
      <c r="D1005" s="131"/>
      <c r="E1005" s="129"/>
      <c r="F1005" s="131"/>
      <c r="G1005" s="130"/>
      <c r="H1005" s="131"/>
      <c r="I1005" s="132"/>
      <c r="J1005" s="129"/>
      <c r="K1005" s="140"/>
      <c r="L1005" s="133"/>
      <c r="M1005" s="140"/>
      <c r="N1005" s="140"/>
      <c r="P1005" s="141"/>
    </row>
    <row r="1006" spans="1:16" x14ac:dyDescent="0.2">
      <c r="A1006" s="129"/>
      <c r="B1006" s="130"/>
      <c r="C1006" s="140"/>
      <c r="D1006" s="131"/>
      <c r="E1006" s="129"/>
      <c r="F1006" s="131"/>
      <c r="G1006" s="130"/>
      <c r="H1006" s="131"/>
      <c r="I1006" s="132"/>
      <c r="J1006" s="129"/>
      <c r="K1006" s="140"/>
      <c r="L1006" s="133"/>
      <c r="M1006" s="140"/>
      <c r="N1006" s="140"/>
      <c r="P1006" s="141"/>
    </row>
    <row r="1007" spans="1:16" x14ac:dyDescent="0.2">
      <c r="A1007" s="129"/>
      <c r="B1007" s="130"/>
      <c r="C1007" s="140"/>
      <c r="D1007" s="131"/>
      <c r="E1007" s="129"/>
      <c r="F1007" s="131"/>
      <c r="G1007" s="130"/>
      <c r="H1007" s="131"/>
      <c r="I1007" s="132"/>
      <c r="J1007" s="129"/>
      <c r="K1007" s="140"/>
      <c r="L1007" s="133"/>
      <c r="M1007" s="140"/>
      <c r="N1007" s="140"/>
      <c r="P1007" s="141"/>
    </row>
    <row r="1008" spans="1:16" x14ac:dyDescent="0.2">
      <c r="A1008" s="129"/>
      <c r="B1008" s="130"/>
      <c r="C1008" s="140"/>
      <c r="D1008" s="131"/>
      <c r="E1008" s="129"/>
      <c r="F1008" s="131"/>
      <c r="G1008" s="130"/>
      <c r="H1008" s="131"/>
      <c r="I1008" s="132"/>
      <c r="J1008" s="129"/>
      <c r="K1008" s="140"/>
      <c r="L1008" s="133"/>
      <c r="M1008" s="140"/>
      <c r="N1008" s="140"/>
      <c r="P1008" s="141"/>
    </row>
    <row r="1009" spans="1:16" x14ac:dyDescent="0.2">
      <c r="A1009" s="129"/>
      <c r="B1009" s="130"/>
      <c r="C1009" s="140"/>
      <c r="D1009" s="131"/>
      <c r="E1009" s="129"/>
      <c r="F1009" s="131"/>
      <c r="G1009" s="130"/>
      <c r="H1009" s="131"/>
      <c r="I1009" s="132"/>
      <c r="J1009" s="129"/>
      <c r="K1009" s="140"/>
      <c r="L1009" s="133"/>
      <c r="M1009" s="140"/>
      <c r="N1009" s="140"/>
      <c r="P1009" s="141"/>
    </row>
    <row r="1010" spans="1:16" x14ac:dyDescent="0.2">
      <c r="A1010" s="129"/>
      <c r="B1010" s="130"/>
      <c r="C1010" s="140"/>
      <c r="D1010" s="131"/>
      <c r="E1010" s="129"/>
      <c r="F1010" s="131"/>
      <c r="G1010" s="130"/>
      <c r="H1010" s="131"/>
      <c r="I1010" s="132"/>
      <c r="J1010" s="129"/>
      <c r="K1010" s="140"/>
      <c r="L1010" s="133"/>
      <c r="M1010" s="140"/>
      <c r="N1010" s="140"/>
      <c r="P1010" s="141"/>
    </row>
    <row r="1011" spans="1:16" x14ac:dyDescent="0.2">
      <c r="A1011" s="129"/>
      <c r="B1011" s="130"/>
      <c r="C1011" s="140"/>
      <c r="D1011" s="131"/>
      <c r="E1011" s="129"/>
      <c r="F1011" s="131"/>
      <c r="G1011" s="130"/>
      <c r="H1011" s="131"/>
      <c r="I1011" s="132"/>
      <c r="J1011" s="129"/>
      <c r="K1011" s="140"/>
      <c r="L1011" s="133"/>
      <c r="M1011" s="140"/>
      <c r="N1011" s="140"/>
      <c r="P1011" s="141"/>
    </row>
    <row r="1012" spans="1:16" x14ac:dyDescent="0.2">
      <c r="A1012" s="129"/>
      <c r="B1012" s="130"/>
      <c r="C1012" s="140"/>
      <c r="D1012" s="131"/>
      <c r="E1012" s="129"/>
      <c r="F1012" s="131"/>
      <c r="G1012" s="130"/>
      <c r="H1012" s="131"/>
      <c r="I1012" s="132"/>
      <c r="J1012" s="129"/>
      <c r="K1012" s="140"/>
      <c r="L1012" s="133"/>
      <c r="M1012" s="140"/>
      <c r="N1012" s="140"/>
      <c r="P1012" s="141"/>
    </row>
    <row r="1013" spans="1:16" x14ac:dyDescent="0.2">
      <c r="A1013" s="129"/>
      <c r="B1013" s="130"/>
      <c r="C1013" s="140"/>
      <c r="D1013" s="131"/>
      <c r="E1013" s="129"/>
      <c r="F1013" s="131"/>
      <c r="G1013" s="130"/>
      <c r="H1013" s="131"/>
      <c r="I1013" s="132"/>
      <c r="J1013" s="129"/>
      <c r="K1013" s="140"/>
      <c r="L1013" s="133"/>
      <c r="M1013" s="140"/>
      <c r="N1013" s="140"/>
      <c r="P1013" s="141"/>
    </row>
    <row r="1014" spans="1:16" x14ac:dyDescent="0.2">
      <c r="A1014" s="129"/>
      <c r="B1014" s="130"/>
      <c r="C1014" s="140"/>
      <c r="D1014" s="131"/>
      <c r="E1014" s="129"/>
      <c r="F1014" s="131"/>
      <c r="G1014" s="130"/>
      <c r="H1014" s="131"/>
      <c r="I1014" s="132"/>
      <c r="J1014" s="129"/>
      <c r="K1014" s="140"/>
      <c r="L1014" s="133"/>
      <c r="M1014" s="140"/>
      <c r="N1014" s="140"/>
      <c r="P1014" s="141"/>
    </row>
    <row r="1015" spans="1:16" x14ac:dyDescent="0.2">
      <c r="A1015" s="129"/>
      <c r="B1015" s="130"/>
      <c r="C1015" s="140"/>
      <c r="D1015" s="131"/>
      <c r="E1015" s="129"/>
      <c r="F1015" s="131"/>
      <c r="G1015" s="130"/>
      <c r="H1015" s="131"/>
      <c r="I1015" s="132"/>
      <c r="J1015" s="129"/>
      <c r="K1015" s="140"/>
      <c r="L1015" s="133"/>
      <c r="M1015" s="140"/>
      <c r="N1015" s="140"/>
      <c r="P1015" s="141"/>
    </row>
    <row r="1016" spans="1:16" x14ac:dyDescent="0.2">
      <c r="A1016" s="129"/>
      <c r="B1016" s="130"/>
      <c r="C1016" s="140"/>
      <c r="D1016" s="131"/>
      <c r="E1016" s="129"/>
      <c r="F1016" s="131"/>
      <c r="G1016" s="130"/>
      <c r="H1016" s="131"/>
      <c r="I1016" s="132"/>
      <c r="J1016" s="129"/>
      <c r="K1016" s="140"/>
      <c r="L1016" s="133"/>
      <c r="M1016" s="140"/>
      <c r="N1016" s="140"/>
      <c r="P1016" s="141"/>
    </row>
    <row r="1017" spans="1:16" x14ac:dyDescent="0.2">
      <c r="A1017" s="129"/>
      <c r="B1017" s="130"/>
      <c r="C1017" s="140"/>
      <c r="D1017" s="131"/>
      <c r="E1017" s="129"/>
      <c r="F1017" s="131"/>
      <c r="G1017" s="130"/>
      <c r="H1017" s="131"/>
      <c r="I1017" s="132"/>
      <c r="J1017" s="129"/>
      <c r="K1017" s="140"/>
      <c r="L1017" s="133"/>
      <c r="M1017" s="140"/>
      <c r="N1017" s="140"/>
      <c r="P1017" s="141"/>
    </row>
    <row r="1018" spans="1:16" x14ac:dyDescent="0.2">
      <c r="A1018" s="129"/>
      <c r="B1018" s="130"/>
      <c r="C1018" s="140"/>
      <c r="D1018" s="131"/>
      <c r="E1018" s="129"/>
      <c r="F1018" s="131"/>
      <c r="G1018" s="130"/>
      <c r="H1018" s="131"/>
      <c r="I1018" s="132"/>
      <c r="J1018" s="129"/>
      <c r="K1018" s="140"/>
      <c r="L1018" s="133"/>
      <c r="M1018" s="140"/>
      <c r="N1018" s="140"/>
      <c r="P1018" s="141"/>
    </row>
    <row r="1019" spans="1:16" x14ac:dyDescent="0.2">
      <c r="A1019" s="129"/>
      <c r="B1019" s="130"/>
      <c r="C1019" s="140"/>
      <c r="D1019" s="131"/>
      <c r="E1019" s="129"/>
      <c r="F1019" s="131"/>
      <c r="G1019" s="130"/>
      <c r="H1019" s="131"/>
      <c r="I1019" s="132"/>
      <c r="J1019" s="129"/>
      <c r="K1019" s="140"/>
      <c r="L1019" s="133"/>
      <c r="M1019" s="140"/>
      <c r="N1019" s="140"/>
      <c r="P1019" s="141"/>
    </row>
    <row r="1020" spans="1:16" x14ac:dyDescent="0.2">
      <c r="A1020" s="129"/>
      <c r="B1020" s="130"/>
      <c r="C1020" s="140"/>
      <c r="D1020" s="131"/>
      <c r="E1020" s="129"/>
      <c r="F1020" s="131"/>
      <c r="G1020" s="130"/>
      <c r="H1020" s="131"/>
      <c r="I1020" s="132"/>
      <c r="J1020" s="129"/>
      <c r="K1020" s="140"/>
      <c r="L1020" s="133"/>
      <c r="M1020" s="140"/>
      <c r="N1020" s="140"/>
      <c r="P1020" s="141"/>
    </row>
    <row r="1021" spans="1:16" x14ac:dyDescent="0.2">
      <c r="A1021" s="129"/>
      <c r="B1021" s="130"/>
      <c r="C1021" s="140"/>
      <c r="D1021" s="131"/>
      <c r="E1021" s="129"/>
      <c r="F1021" s="131"/>
      <c r="G1021" s="130"/>
      <c r="H1021" s="131"/>
      <c r="I1021" s="132"/>
      <c r="J1021" s="129"/>
      <c r="K1021" s="140"/>
      <c r="L1021" s="133"/>
      <c r="M1021" s="140"/>
      <c r="N1021" s="140"/>
      <c r="P1021" s="141"/>
    </row>
    <row r="1022" spans="1:16" x14ac:dyDescent="0.2">
      <c r="A1022" s="129"/>
      <c r="B1022" s="130"/>
      <c r="C1022" s="140"/>
      <c r="D1022" s="131"/>
      <c r="E1022" s="129"/>
      <c r="F1022" s="131"/>
      <c r="G1022" s="130"/>
      <c r="H1022" s="131"/>
      <c r="I1022" s="132"/>
      <c r="J1022" s="129"/>
      <c r="K1022" s="140"/>
      <c r="L1022" s="133"/>
      <c r="M1022" s="140"/>
      <c r="N1022" s="140"/>
      <c r="P1022" s="141"/>
    </row>
    <row r="1023" spans="1:16" x14ac:dyDescent="0.2">
      <c r="A1023" s="129"/>
      <c r="B1023" s="130"/>
      <c r="C1023" s="140"/>
      <c r="D1023" s="131"/>
      <c r="E1023" s="129"/>
      <c r="F1023" s="131"/>
      <c r="G1023" s="130"/>
      <c r="H1023" s="131"/>
      <c r="I1023" s="132"/>
      <c r="J1023" s="129"/>
      <c r="K1023" s="140"/>
      <c r="L1023" s="133"/>
      <c r="M1023" s="140"/>
      <c r="N1023" s="140"/>
      <c r="P1023" s="141"/>
    </row>
    <row r="1024" spans="1:16" x14ac:dyDescent="0.2">
      <c r="A1024" s="129"/>
      <c r="B1024" s="130"/>
      <c r="C1024" s="140"/>
      <c r="D1024" s="131"/>
      <c r="E1024" s="129"/>
      <c r="F1024" s="131"/>
      <c r="G1024" s="130"/>
      <c r="H1024" s="131"/>
      <c r="I1024" s="132"/>
      <c r="J1024" s="129"/>
      <c r="K1024" s="140"/>
      <c r="L1024" s="133"/>
      <c r="M1024" s="140"/>
      <c r="N1024" s="140"/>
      <c r="P1024" s="141"/>
    </row>
    <row r="1025" spans="1:16" x14ac:dyDescent="0.2">
      <c r="A1025" s="129"/>
      <c r="B1025" s="130"/>
      <c r="C1025" s="140"/>
      <c r="D1025" s="131"/>
      <c r="E1025" s="129"/>
      <c r="F1025" s="131"/>
      <c r="G1025" s="130"/>
      <c r="H1025" s="131"/>
      <c r="I1025" s="132"/>
      <c r="J1025" s="129"/>
      <c r="K1025" s="140"/>
      <c r="L1025" s="133"/>
      <c r="M1025" s="140"/>
      <c r="N1025" s="140"/>
      <c r="P1025" s="141"/>
    </row>
    <row r="1026" spans="1:16" x14ac:dyDescent="0.2">
      <c r="A1026" s="129"/>
      <c r="B1026" s="130"/>
      <c r="C1026" s="140"/>
      <c r="D1026" s="131"/>
      <c r="E1026" s="129"/>
      <c r="F1026" s="131"/>
      <c r="G1026" s="130"/>
      <c r="H1026" s="131"/>
      <c r="I1026" s="132"/>
      <c r="J1026" s="129"/>
      <c r="K1026" s="140"/>
      <c r="L1026" s="133"/>
      <c r="M1026" s="140"/>
      <c r="N1026" s="140"/>
      <c r="P1026" s="141"/>
    </row>
    <row r="1027" spans="1:16" x14ac:dyDescent="0.2">
      <c r="A1027" s="129"/>
      <c r="B1027" s="130"/>
      <c r="C1027" s="140"/>
      <c r="D1027" s="131"/>
      <c r="E1027" s="129"/>
      <c r="F1027" s="131"/>
      <c r="G1027" s="130"/>
      <c r="H1027" s="131"/>
      <c r="I1027" s="132"/>
      <c r="J1027" s="129"/>
      <c r="K1027" s="140"/>
      <c r="L1027" s="133"/>
      <c r="M1027" s="140"/>
      <c r="N1027" s="140"/>
      <c r="P1027" s="141"/>
    </row>
    <row r="1028" spans="1:16" x14ac:dyDescent="0.2">
      <c r="A1028" s="129"/>
      <c r="B1028" s="130"/>
      <c r="C1028" s="140"/>
      <c r="D1028" s="131"/>
      <c r="E1028" s="129"/>
      <c r="F1028" s="131"/>
      <c r="G1028" s="130"/>
      <c r="H1028" s="131"/>
      <c r="I1028" s="132"/>
      <c r="J1028" s="129"/>
      <c r="K1028" s="140"/>
      <c r="L1028" s="133"/>
      <c r="M1028" s="140"/>
      <c r="N1028" s="140"/>
      <c r="P1028" s="141"/>
    </row>
    <row r="1029" spans="1:16" x14ac:dyDescent="0.2">
      <c r="A1029" s="129"/>
      <c r="B1029" s="130"/>
      <c r="C1029" s="140"/>
      <c r="D1029" s="131"/>
      <c r="E1029" s="129"/>
      <c r="F1029" s="131"/>
      <c r="G1029" s="130"/>
      <c r="H1029" s="131"/>
      <c r="I1029" s="132"/>
      <c r="J1029" s="129"/>
      <c r="K1029" s="140"/>
      <c r="L1029" s="133"/>
      <c r="M1029" s="140"/>
      <c r="N1029" s="140"/>
      <c r="P1029" s="141"/>
    </row>
    <row r="1030" spans="1:16" x14ac:dyDescent="0.2">
      <c r="A1030" s="129"/>
      <c r="B1030" s="130"/>
      <c r="C1030" s="140"/>
      <c r="D1030" s="131"/>
      <c r="E1030" s="129"/>
      <c r="F1030" s="131"/>
      <c r="G1030" s="130"/>
      <c r="H1030" s="131"/>
      <c r="I1030" s="132"/>
      <c r="J1030" s="129"/>
      <c r="K1030" s="140"/>
      <c r="L1030" s="133"/>
      <c r="M1030" s="140"/>
      <c r="N1030" s="140"/>
      <c r="P1030" s="141"/>
    </row>
    <row r="1031" spans="1:16" x14ac:dyDescent="0.2">
      <c r="A1031" s="129"/>
      <c r="B1031" s="130"/>
      <c r="C1031" s="140"/>
      <c r="D1031" s="131"/>
      <c r="E1031" s="129"/>
      <c r="F1031" s="131"/>
      <c r="G1031" s="130"/>
      <c r="H1031" s="131"/>
      <c r="I1031" s="132"/>
      <c r="J1031" s="129"/>
      <c r="K1031" s="140"/>
      <c r="L1031" s="133"/>
      <c r="M1031" s="140"/>
      <c r="N1031" s="140"/>
      <c r="P1031" s="141"/>
    </row>
    <row r="1032" spans="1:16" x14ac:dyDescent="0.2">
      <c r="A1032" s="129"/>
      <c r="B1032" s="130"/>
      <c r="C1032" s="140"/>
      <c r="D1032" s="131"/>
      <c r="E1032" s="129"/>
      <c r="F1032" s="131"/>
      <c r="G1032" s="130"/>
      <c r="H1032" s="131"/>
      <c r="I1032" s="132"/>
      <c r="J1032" s="129"/>
      <c r="K1032" s="140"/>
      <c r="L1032" s="133"/>
      <c r="M1032" s="140"/>
      <c r="N1032" s="140"/>
      <c r="P1032" s="141"/>
    </row>
    <row r="1033" spans="1:16" x14ac:dyDescent="0.2">
      <c r="A1033" s="129"/>
      <c r="B1033" s="130"/>
      <c r="C1033" s="140"/>
      <c r="D1033" s="131"/>
      <c r="E1033" s="129"/>
      <c r="F1033" s="131"/>
      <c r="G1033" s="130"/>
      <c r="H1033" s="131"/>
      <c r="I1033" s="132"/>
      <c r="J1033" s="129"/>
      <c r="K1033" s="140"/>
      <c r="L1033" s="133"/>
      <c r="M1033" s="140"/>
      <c r="N1033" s="140"/>
      <c r="P1033" s="141"/>
    </row>
    <row r="1034" spans="1:16" x14ac:dyDescent="0.2">
      <c r="A1034" s="129"/>
      <c r="B1034" s="130"/>
      <c r="C1034" s="140"/>
      <c r="D1034" s="131"/>
      <c r="E1034" s="129"/>
      <c r="F1034" s="131"/>
      <c r="G1034" s="130"/>
      <c r="H1034" s="131"/>
      <c r="I1034" s="132"/>
      <c r="J1034" s="129"/>
      <c r="K1034" s="140"/>
      <c r="L1034" s="133"/>
      <c r="M1034" s="140"/>
      <c r="N1034" s="140"/>
      <c r="P1034" s="141"/>
    </row>
    <row r="1035" spans="1:16" x14ac:dyDescent="0.2">
      <c r="A1035" s="129"/>
      <c r="B1035" s="130"/>
      <c r="C1035" s="140"/>
      <c r="D1035" s="131"/>
      <c r="E1035" s="129"/>
      <c r="F1035" s="131"/>
      <c r="G1035" s="130"/>
      <c r="H1035" s="131"/>
      <c r="I1035" s="132"/>
      <c r="J1035" s="129"/>
      <c r="K1035" s="140"/>
      <c r="L1035" s="133"/>
      <c r="M1035" s="140"/>
      <c r="N1035" s="140"/>
      <c r="P1035" s="141"/>
    </row>
    <row r="1036" spans="1:16" x14ac:dyDescent="0.2">
      <c r="A1036" s="129"/>
      <c r="B1036" s="130"/>
      <c r="C1036" s="140"/>
      <c r="D1036" s="131"/>
      <c r="E1036" s="129"/>
      <c r="F1036" s="131"/>
      <c r="G1036" s="130"/>
      <c r="H1036" s="131"/>
      <c r="I1036" s="132"/>
      <c r="J1036" s="129"/>
      <c r="K1036" s="140"/>
      <c r="L1036" s="133"/>
      <c r="M1036" s="140"/>
      <c r="N1036" s="140"/>
      <c r="P1036" s="141"/>
    </row>
    <row r="1037" spans="1:16" x14ac:dyDescent="0.2">
      <c r="A1037" s="129"/>
      <c r="B1037" s="130"/>
      <c r="C1037" s="140"/>
      <c r="D1037" s="131"/>
      <c r="E1037" s="129"/>
      <c r="F1037" s="131"/>
      <c r="G1037" s="130"/>
      <c r="H1037" s="131"/>
      <c r="I1037" s="132"/>
      <c r="J1037" s="129"/>
      <c r="K1037" s="140"/>
      <c r="L1037" s="133"/>
      <c r="M1037" s="140"/>
      <c r="N1037" s="140"/>
      <c r="P1037" s="141"/>
    </row>
    <row r="1038" spans="1:16" x14ac:dyDescent="0.2">
      <c r="A1038" s="129"/>
      <c r="B1038" s="130"/>
      <c r="C1038" s="140"/>
      <c r="D1038" s="131"/>
      <c r="E1038" s="129"/>
      <c r="F1038" s="131"/>
      <c r="G1038" s="130"/>
      <c r="H1038" s="131"/>
      <c r="I1038" s="132"/>
      <c r="J1038" s="129"/>
      <c r="K1038" s="140"/>
      <c r="L1038" s="133"/>
      <c r="M1038" s="140"/>
      <c r="N1038" s="140"/>
      <c r="P1038" s="141"/>
    </row>
    <row r="1039" spans="1:16" x14ac:dyDescent="0.2">
      <c r="A1039" s="129"/>
      <c r="B1039" s="130"/>
      <c r="C1039" s="140"/>
      <c r="D1039" s="131"/>
      <c r="E1039" s="129"/>
      <c r="F1039" s="131"/>
      <c r="G1039" s="130"/>
      <c r="H1039" s="131"/>
      <c r="I1039" s="132"/>
      <c r="J1039" s="129"/>
      <c r="K1039" s="140"/>
      <c r="L1039" s="133"/>
      <c r="M1039" s="140"/>
      <c r="N1039" s="140"/>
      <c r="P1039" s="141"/>
    </row>
    <row r="1040" spans="1:16" x14ac:dyDescent="0.2">
      <c r="A1040" s="129"/>
      <c r="B1040" s="130"/>
      <c r="C1040" s="140"/>
      <c r="D1040" s="131"/>
      <c r="E1040" s="129"/>
      <c r="F1040" s="131"/>
      <c r="G1040" s="130"/>
      <c r="H1040" s="131"/>
      <c r="I1040" s="132"/>
      <c r="J1040" s="129"/>
      <c r="K1040" s="140"/>
      <c r="L1040" s="133"/>
      <c r="M1040" s="140"/>
      <c r="N1040" s="140"/>
      <c r="P1040" s="141"/>
    </row>
    <row r="1041" spans="1:16" x14ac:dyDescent="0.2">
      <c r="A1041" s="129"/>
      <c r="B1041" s="130"/>
      <c r="C1041" s="140"/>
      <c r="D1041" s="131"/>
      <c r="E1041" s="129"/>
      <c r="F1041" s="131"/>
      <c r="G1041" s="130"/>
      <c r="H1041" s="131"/>
      <c r="I1041" s="132"/>
      <c r="J1041" s="129"/>
      <c r="K1041" s="140"/>
      <c r="L1041" s="133"/>
      <c r="M1041" s="140"/>
      <c r="N1041" s="140"/>
      <c r="P1041" s="141"/>
    </row>
    <row r="1042" spans="1:16" x14ac:dyDescent="0.2">
      <c r="A1042" s="129"/>
      <c r="B1042" s="130"/>
      <c r="C1042" s="140"/>
      <c r="D1042" s="131"/>
      <c r="E1042" s="129"/>
      <c r="F1042" s="131"/>
      <c r="G1042" s="130"/>
      <c r="H1042" s="131"/>
      <c r="I1042" s="132"/>
      <c r="J1042" s="129"/>
      <c r="K1042" s="140"/>
      <c r="L1042" s="133"/>
      <c r="M1042" s="140"/>
      <c r="N1042" s="140"/>
      <c r="P1042" s="141"/>
    </row>
    <row r="1043" spans="1:16" x14ac:dyDescent="0.2">
      <c r="A1043" s="129"/>
      <c r="B1043" s="130"/>
      <c r="C1043" s="140"/>
      <c r="D1043" s="131"/>
      <c r="E1043" s="129"/>
      <c r="F1043" s="131"/>
      <c r="G1043" s="130"/>
      <c r="H1043" s="131"/>
      <c r="I1043" s="132"/>
      <c r="J1043" s="129"/>
      <c r="K1043" s="140"/>
      <c r="L1043" s="133"/>
      <c r="M1043" s="140"/>
      <c r="N1043" s="140"/>
      <c r="P1043" s="141"/>
    </row>
    <row r="1044" spans="1:16" x14ac:dyDescent="0.2">
      <c r="A1044" s="129"/>
      <c r="B1044" s="130"/>
      <c r="C1044" s="140"/>
      <c r="D1044" s="131"/>
      <c r="E1044" s="129"/>
      <c r="F1044" s="131"/>
      <c r="G1044" s="130"/>
      <c r="H1044" s="131"/>
      <c r="I1044" s="132"/>
      <c r="J1044" s="129"/>
      <c r="K1044" s="140"/>
      <c r="L1044" s="133"/>
      <c r="M1044" s="140"/>
      <c r="N1044" s="140"/>
      <c r="P1044" s="141"/>
    </row>
    <row r="1045" spans="1:16" x14ac:dyDescent="0.2">
      <c r="A1045" s="129"/>
      <c r="B1045" s="130"/>
      <c r="C1045" s="140"/>
      <c r="D1045" s="131"/>
      <c r="E1045" s="129"/>
      <c r="F1045" s="131"/>
      <c r="G1045" s="130"/>
      <c r="H1045" s="131"/>
      <c r="I1045" s="132"/>
      <c r="J1045" s="129"/>
      <c r="K1045" s="140"/>
      <c r="L1045" s="133"/>
      <c r="M1045" s="140"/>
      <c r="N1045" s="140"/>
      <c r="P1045" s="141"/>
    </row>
    <row r="1046" spans="1:16" x14ac:dyDescent="0.2">
      <c r="A1046" s="129"/>
      <c r="B1046" s="130"/>
      <c r="C1046" s="140"/>
      <c r="D1046" s="131"/>
      <c r="E1046" s="129"/>
      <c r="F1046" s="131"/>
      <c r="G1046" s="130"/>
      <c r="H1046" s="131"/>
      <c r="I1046" s="132"/>
      <c r="J1046" s="129"/>
      <c r="K1046" s="140"/>
      <c r="L1046" s="133"/>
      <c r="M1046" s="140"/>
      <c r="N1046" s="140"/>
      <c r="P1046" s="141"/>
    </row>
    <row r="1047" spans="1:16" x14ac:dyDescent="0.2">
      <c r="A1047" s="129"/>
      <c r="B1047" s="130"/>
      <c r="C1047" s="140"/>
      <c r="D1047" s="131"/>
      <c r="E1047" s="129"/>
      <c r="F1047" s="131"/>
      <c r="G1047" s="130"/>
      <c r="H1047" s="131"/>
      <c r="I1047" s="132"/>
      <c r="J1047" s="129"/>
      <c r="K1047" s="140"/>
      <c r="L1047" s="133"/>
      <c r="M1047" s="140"/>
      <c r="N1047" s="140"/>
      <c r="P1047" s="141"/>
    </row>
    <row r="1048" spans="1:16" x14ac:dyDescent="0.2">
      <c r="A1048" s="129"/>
      <c r="B1048" s="130"/>
      <c r="C1048" s="140"/>
      <c r="D1048" s="131"/>
      <c r="E1048" s="129"/>
      <c r="F1048" s="131"/>
      <c r="G1048" s="130"/>
      <c r="H1048" s="131"/>
      <c r="I1048" s="132"/>
      <c r="J1048" s="129"/>
      <c r="K1048" s="140"/>
      <c r="L1048" s="133"/>
      <c r="M1048" s="140"/>
      <c r="N1048" s="140"/>
      <c r="P1048" s="141"/>
    </row>
    <row r="1049" spans="1:16" x14ac:dyDescent="0.2">
      <c r="A1049" s="129"/>
      <c r="B1049" s="130"/>
      <c r="C1049" s="140"/>
      <c r="D1049" s="131"/>
      <c r="E1049" s="129"/>
      <c r="F1049" s="131"/>
      <c r="G1049" s="130"/>
      <c r="H1049" s="131"/>
      <c r="I1049" s="132"/>
      <c r="J1049" s="129"/>
      <c r="K1049" s="140"/>
      <c r="L1049" s="133"/>
      <c r="M1049" s="140"/>
      <c r="N1049" s="140"/>
      <c r="P1049" s="141"/>
    </row>
    <row r="1050" spans="1:16" x14ac:dyDescent="0.2">
      <c r="A1050" s="129"/>
      <c r="B1050" s="130"/>
      <c r="C1050" s="140"/>
      <c r="D1050" s="131"/>
      <c r="E1050" s="129"/>
      <c r="F1050" s="131"/>
      <c r="G1050" s="130"/>
      <c r="H1050" s="131"/>
      <c r="I1050" s="132"/>
      <c r="J1050" s="129"/>
      <c r="K1050" s="140"/>
      <c r="L1050" s="133"/>
      <c r="M1050" s="140"/>
      <c r="N1050" s="140"/>
      <c r="P1050" s="141"/>
    </row>
    <row r="1051" spans="1:16" x14ac:dyDescent="0.2">
      <c r="A1051" s="129"/>
      <c r="B1051" s="130"/>
      <c r="C1051" s="140"/>
      <c r="D1051" s="131"/>
      <c r="E1051" s="129"/>
      <c r="F1051" s="131"/>
      <c r="G1051" s="130"/>
      <c r="H1051" s="131"/>
      <c r="I1051" s="132"/>
      <c r="J1051" s="129"/>
      <c r="K1051" s="140"/>
      <c r="L1051" s="133"/>
      <c r="M1051" s="140"/>
      <c r="N1051" s="140"/>
      <c r="P1051" s="141"/>
    </row>
    <row r="1052" spans="1:16" x14ac:dyDescent="0.2">
      <c r="A1052" s="129"/>
      <c r="B1052" s="130"/>
      <c r="C1052" s="140"/>
      <c r="D1052" s="131"/>
      <c r="E1052" s="129"/>
      <c r="F1052" s="131"/>
      <c r="G1052" s="130"/>
      <c r="H1052" s="131"/>
      <c r="I1052" s="132"/>
      <c r="J1052" s="129"/>
      <c r="K1052" s="140"/>
      <c r="L1052" s="133"/>
      <c r="M1052" s="140"/>
      <c r="N1052" s="140"/>
      <c r="P1052" s="141"/>
    </row>
    <row r="1053" spans="1:16" x14ac:dyDescent="0.2">
      <c r="A1053" s="129"/>
      <c r="B1053" s="130"/>
      <c r="C1053" s="140"/>
      <c r="D1053" s="131"/>
      <c r="E1053" s="129"/>
      <c r="F1053" s="131"/>
      <c r="G1053" s="130"/>
      <c r="H1053" s="131"/>
      <c r="I1053" s="132"/>
      <c r="J1053" s="129"/>
      <c r="K1053" s="140"/>
      <c r="L1053" s="133"/>
      <c r="M1053" s="140"/>
      <c r="N1053" s="140"/>
      <c r="P1053" s="141"/>
    </row>
    <row r="1054" spans="1:16" x14ac:dyDescent="0.2">
      <c r="A1054" s="129"/>
      <c r="B1054" s="130"/>
      <c r="C1054" s="140"/>
      <c r="D1054" s="131"/>
      <c r="E1054" s="129"/>
      <c r="F1054" s="131"/>
      <c r="G1054" s="130"/>
      <c r="H1054" s="131"/>
      <c r="I1054" s="132"/>
      <c r="J1054" s="129"/>
      <c r="K1054" s="140"/>
      <c r="L1054" s="133"/>
      <c r="M1054" s="140"/>
      <c r="N1054" s="140"/>
      <c r="P1054" s="141"/>
    </row>
    <row r="1055" spans="1:16" x14ac:dyDescent="0.2">
      <c r="A1055" s="129"/>
      <c r="B1055" s="130"/>
      <c r="C1055" s="140"/>
      <c r="D1055" s="131"/>
      <c r="E1055" s="129"/>
      <c r="F1055" s="131"/>
      <c r="G1055" s="130"/>
      <c r="H1055" s="131"/>
      <c r="I1055" s="132"/>
      <c r="J1055" s="129"/>
      <c r="K1055" s="140"/>
      <c r="L1055" s="133"/>
      <c r="M1055" s="140"/>
      <c r="N1055" s="140"/>
      <c r="P1055" s="141"/>
    </row>
    <row r="1056" spans="1:16" x14ac:dyDescent="0.2">
      <c r="A1056" s="129"/>
      <c r="B1056" s="130"/>
      <c r="C1056" s="140"/>
      <c r="D1056" s="131"/>
      <c r="E1056" s="129"/>
      <c r="F1056" s="131"/>
      <c r="G1056" s="130"/>
      <c r="H1056" s="131"/>
      <c r="I1056" s="132"/>
      <c r="J1056" s="129"/>
      <c r="K1056" s="140"/>
      <c r="L1056" s="133"/>
      <c r="M1056" s="140"/>
      <c r="N1056" s="140"/>
      <c r="P1056" s="141"/>
    </row>
    <row r="1057" spans="1:16" x14ac:dyDescent="0.2">
      <c r="A1057" s="129"/>
      <c r="B1057" s="130"/>
      <c r="C1057" s="140"/>
      <c r="D1057" s="131"/>
      <c r="E1057" s="129"/>
      <c r="F1057" s="131"/>
      <c r="G1057" s="130"/>
      <c r="H1057" s="131"/>
      <c r="I1057" s="132"/>
      <c r="J1057" s="129"/>
      <c r="K1057" s="140"/>
      <c r="L1057" s="133"/>
      <c r="M1057" s="140"/>
      <c r="N1057" s="140"/>
      <c r="P1057" s="141"/>
    </row>
    <row r="1058" spans="1:16" x14ac:dyDescent="0.2">
      <c r="A1058" s="129"/>
      <c r="B1058" s="130"/>
      <c r="C1058" s="140"/>
      <c r="D1058" s="131"/>
      <c r="E1058" s="129"/>
      <c r="F1058" s="131"/>
      <c r="G1058" s="130"/>
      <c r="H1058" s="131"/>
      <c r="I1058" s="132"/>
      <c r="J1058" s="129"/>
      <c r="K1058" s="140"/>
      <c r="L1058" s="133"/>
      <c r="M1058" s="140"/>
      <c r="N1058" s="140"/>
      <c r="P1058" s="141"/>
    </row>
    <row r="1059" spans="1:16" x14ac:dyDescent="0.2">
      <c r="A1059" s="129"/>
      <c r="B1059" s="130"/>
      <c r="C1059" s="140"/>
      <c r="D1059" s="131"/>
      <c r="E1059" s="129"/>
      <c r="F1059" s="131"/>
      <c r="G1059" s="130"/>
      <c r="H1059" s="131"/>
      <c r="I1059" s="132"/>
      <c r="J1059" s="129"/>
      <c r="K1059" s="140"/>
      <c r="L1059" s="133"/>
      <c r="M1059" s="140"/>
      <c r="N1059" s="140"/>
      <c r="P1059" s="141"/>
    </row>
    <row r="1060" spans="1:16" x14ac:dyDescent="0.2">
      <c r="A1060" s="129"/>
      <c r="B1060" s="130"/>
      <c r="C1060" s="140"/>
      <c r="D1060" s="131"/>
      <c r="E1060" s="129"/>
      <c r="F1060" s="131"/>
      <c r="G1060" s="130"/>
      <c r="H1060" s="131"/>
      <c r="I1060" s="132"/>
      <c r="J1060" s="129"/>
      <c r="K1060" s="140"/>
      <c r="L1060" s="133"/>
      <c r="M1060" s="140"/>
      <c r="N1060" s="140"/>
      <c r="P1060" s="141"/>
    </row>
    <row r="1061" spans="1:16" x14ac:dyDescent="0.2">
      <c r="A1061" s="129"/>
      <c r="B1061" s="130"/>
      <c r="C1061" s="140"/>
      <c r="D1061" s="131"/>
      <c r="E1061" s="129"/>
      <c r="F1061" s="131"/>
      <c r="G1061" s="130"/>
      <c r="H1061" s="131"/>
      <c r="I1061" s="132"/>
      <c r="J1061" s="129"/>
      <c r="K1061" s="140"/>
      <c r="L1061" s="133"/>
      <c r="M1061" s="140"/>
      <c r="N1061" s="140"/>
      <c r="P1061" s="141"/>
    </row>
    <row r="1062" spans="1:16" x14ac:dyDescent="0.2">
      <c r="A1062" s="129"/>
      <c r="B1062" s="130"/>
      <c r="C1062" s="140"/>
      <c r="D1062" s="131"/>
      <c r="E1062" s="129"/>
      <c r="F1062" s="131"/>
      <c r="G1062" s="130"/>
      <c r="H1062" s="131"/>
      <c r="I1062" s="132"/>
      <c r="J1062" s="129"/>
      <c r="K1062" s="140"/>
      <c r="L1062" s="133"/>
      <c r="M1062" s="140"/>
      <c r="N1062" s="140"/>
      <c r="P1062" s="141"/>
    </row>
    <row r="1063" spans="1:16" x14ac:dyDescent="0.2">
      <c r="A1063" s="129"/>
      <c r="B1063" s="130"/>
      <c r="C1063" s="140"/>
      <c r="D1063" s="131"/>
      <c r="E1063" s="129"/>
      <c r="F1063" s="131"/>
      <c r="G1063" s="130"/>
      <c r="H1063" s="131"/>
      <c r="I1063" s="132"/>
      <c r="J1063" s="129"/>
      <c r="K1063" s="140"/>
      <c r="L1063" s="133"/>
      <c r="M1063" s="140"/>
      <c r="N1063" s="140"/>
      <c r="P1063" s="141"/>
    </row>
    <row r="1064" spans="1:16" x14ac:dyDescent="0.2">
      <c r="A1064" s="129"/>
      <c r="B1064" s="130"/>
      <c r="C1064" s="140"/>
      <c r="D1064" s="131"/>
      <c r="E1064" s="129"/>
      <c r="F1064" s="131"/>
      <c r="G1064" s="130"/>
      <c r="H1064" s="131"/>
      <c r="I1064" s="132"/>
      <c r="J1064" s="129"/>
      <c r="K1064" s="140"/>
      <c r="L1064" s="133"/>
      <c r="M1064" s="140"/>
      <c r="N1064" s="140"/>
      <c r="P1064" s="141"/>
    </row>
    <row r="1065" spans="1:16" x14ac:dyDescent="0.2">
      <c r="A1065" s="129"/>
      <c r="B1065" s="130"/>
      <c r="C1065" s="140"/>
      <c r="D1065" s="131"/>
      <c r="E1065" s="129"/>
      <c r="F1065" s="131"/>
      <c r="G1065" s="130"/>
      <c r="H1065" s="131"/>
      <c r="I1065" s="132"/>
      <c r="J1065" s="129"/>
      <c r="K1065" s="140"/>
      <c r="L1065" s="133"/>
      <c r="M1065" s="140"/>
      <c r="N1065" s="140"/>
      <c r="P1065" s="141"/>
    </row>
    <row r="1066" spans="1:16" x14ac:dyDescent="0.2">
      <c r="A1066" s="129"/>
      <c r="B1066" s="130"/>
      <c r="C1066" s="140"/>
      <c r="D1066" s="131"/>
      <c r="E1066" s="129"/>
      <c r="F1066" s="131"/>
      <c r="G1066" s="130"/>
      <c r="H1066" s="131"/>
      <c r="I1066" s="132"/>
      <c r="J1066" s="129"/>
      <c r="K1066" s="140"/>
      <c r="L1066" s="133"/>
      <c r="M1066" s="140"/>
      <c r="N1066" s="140"/>
      <c r="P1066" s="141"/>
    </row>
    <row r="1067" spans="1:16" x14ac:dyDescent="0.2">
      <c r="A1067" s="129"/>
      <c r="B1067" s="130"/>
      <c r="C1067" s="140"/>
      <c r="D1067" s="131"/>
      <c r="E1067" s="129"/>
      <c r="F1067" s="131"/>
      <c r="G1067" s="130"/>
      <c r="H1067" s="131"/>
      <c r="I1067" s="132"/>
      <c r="J1067" s="129"/>
      <c r="K1067" s="140"/>
      <c r="L1067" s="133"/>
      <c r="M1067" s="140"/>
      <c r="N1067" s="140"/>
      <c r="P1067" s="141"/>
    </row>
    <row r="1068" spans="1:16" x14ac:dyDescent="0.2">
      <c r="A1068" s="129"/>
      <c r="B1068" s="130"/>
      <c r="C1068" s="140"/>
      <c r="D1068" s="131"/>
      <c r="E1068" s="129"/>
      <c r="F1068" s="131"/>
      <c r="G1068" s="130"/>
      <c r="H1068" s="131"/>
      <c r="I1068" s="132"/>
      <c r="J1068" s="129"/>
      <c r="K1068" s="140"/>
      <c r="L1068" s="133"/>
      <c r="M1068" s="140"/>
      <c r="N1068" s="140"/>
      <c r="P1068" s="141"/>
    </row>
    <row r="1069" spans="1:16" x14ac:dyDescent="0.2">
      <c r="A1069" s="129"/>
      <c r="B1069" s="130"/>
      <c r="C1069" s="140"/>
      <c r="D1069" s="131"/>
      <c r="E1069" s="129"/>
      <c r="F1069" s="131"/>
      <c r="G1069" s="130"/>
      <c r="H1069" s="131"/>
      <c r="I1069" s="132"/>
      <c r="J1069" s="129"/>
      <c r="K1069" s="140"/>
      <c r="L1069" s="133"/>
      <c r="M1069" s="140"/>
      <c r="N1069" s="140"/>
      <c r="P1069" s="141"/>
    </row>
    <row r="1070" spans="1:16" x14ac:dyDescent="0.2">
      <c r="A1070" s="129"/>
      <c r="B1070" s="130"/>
      <c r="C1070" s="140"/>
      <c r="D1070" s="131"/>
      <c r="E1070" s="129"/>
      <c r="F1070" s="131"/>
      <c r="G1070" s="130"/>
      <c r="H1070" s="131"/>
      <c r="I1070" s="132"/>
      <c r="J1070" s="129"/>
      <c r="K1070" s="140"/>
      <c r="L1070" s="133"/>
      <c r="M1070" s="140"/>
      <c r="N1070" s="140"/>
      <c r="P1070" s="141"/>
    </row>
    <row r="1071" spans="1:16" x14ac:dyDescent="0.2">
      <c r="A1071" s="129"/>
      <c r="B1071" s="130"/>
      <c r="C1071" s="140"/>
      <c r="D1071" s="131"/>
      <c r="E1071" s="129"/>
      <c r="F1071" s="131"/>
      <c r="G1071" s="130"/>
      <c r="H1071" s="131"/>
      <c r="I1071" s="132"/>
      <c r="J1071" s="129"/>
      <c r="K1071" s="140"/>
      <c r="L1071" s="133"/>
      <c r="M1071" s="140"/>
      <c r="N1071" s="140"/>
      <c r="P1071" s="141"/>
    </row>
    <row r="1072" spans="1:16" x14ac:dyDescent="0.2">
      <c r="A1072" s="129"/>
      <c r="B1072" s="130"/>
      <c r="C1072" s="140"/>
      <c r="D1072" s="131"/>
      <c r="E1072" s="129"/>
      <c r="F1072" s="131"/>
      <c r="G1072" s="130"/>
      <c r="H1072" s="131"/>
      <c r="I1072" s="132"/>
      <c r="J1072" s="129"/>
      <c r="K1072" s="140"/>
      <c r="L1072" s="133"/>
      <c r="M1072" s="140"/>
      <c r="N1072" s="140"/>
      <c r="P1072" s="141"/>
    </row>
    <row r="1073" spans="1:16" x14ac:dyDescent="0.2">
      <c r="A1073" s="129"/>
      <c r="B1073" s="130"/>
      <c r="C1073" s="140"/>
      <c r="D1073" s="131"/>
      <c r="E1073" s="129"/>
      <c r="F1073" s="131"/>
      <c r="G1073" s="130"/>
      <c r="H1073" s="131"/>
      <c r="I1073" s="132"/>
      <c r="J1073" s="129"/>
      <c r="K1073" s="140"/>
      <c r="L1073" s="133"/>
      <c r="M1073" s="140"/>
      <c r="N1073" s="140"/>
      <c r="P1073" s="141"/>
    </row>
    <row r="1074" spans="1:16" x14ac:dyDescent="0.2">
      <c r="A1074" s="129"/>
      <c r="B1074" s="130"/>
      <c r="C1074" s="140"/>
      <c r="D1074" s="131"/>
      <c r="E1074" s="129"/>
      <c r="F1074" s="131"/>
      <c r="G1074" s="130"/>
      <c r="H1074" s="131"/>
      <c r="I1074" s="132"/>
      <c r="J1074" s="129"/>
      <c r="K1074" s="140"/>
      <c r="L1074" s="133"/>
      <c r="M1074" s="140"/>
      <c r="N1074" s="140"/>
      <c r="P1074" s="141"/>
    </row>
    <row r="1075" spans="1:16" x14ac:dyDescent="0.2">
      <c r="A1075" s="129"/>
      <c r="B1075" s="130"/>
      <c r="C1075" s="140"/>
      <c r="D1075" s="131"/>
      <c r="E1075" s="129"/>
      <c r="F1075" s="131"/>
      <c r="G1075" s="130"/>
      <c r="H1075" s="131"/>
      <c r="I1075" s="132"/>
      <c r="J1075" s="129"/>
      <c r="K1075" s="140"/>
      <c r="L1075" s="133"/>
      <c r="M1075" s="140"/>
      <c r="N1075" s="140"/>
      <c r="P1075" s="141"/>
    </row>
    <row r="1076" spans="1:16" x14ac:dyDescent="0.2">
      <c r="A1076" s="129"/>
      <c r="B1076" s="130"/>
      <c r="C1076" s="140"/>
      <c r="D1076" s="131"/>
      <c r="E1076" s="129"/>
      <c r="F1076" s="131"/>
      <c r="G1076" s="130"/>
      <c r="H1076" s="131"/>
      <c r="I1076" s="132"/>
      <c r="J1076" s="129"/>
      <c r="K1076" s="140"/>
      <c r="L1076" s="133"/>
      <c r="M1076" s="140"/>
      <c r="N1076" s="140"/>
      <c r="P1076" s="141"/>
    </row>
    <row r="1077" spans="1:16" x14ac:dyDescent="0.2">
      <c r="A1077" s="129"/>
      <c r="B1077" s="130"/>
      <c r="C1077" s="140"/>
      <c r="D1077" s="131"/>
      <c r="E1077" s="129"/>
      <c r="F1077" s="131"/>
      <c r="G1077" s="130"/>
      <c r="H1077" s="131"/>
      <c r="I1077" s="132"/>
      <c r="J1077" s="129"/>
      <c r="K1077" s="140"/>
      <c r="L1077" s="133"/>
      <c r="M1077" s="140"/>
      <c r="N1077" s="140"/>
      <c r="P1077" s="141"/>
    </row>
    <row r="1078" spans="1:16" x14ac:dyDescent="0.2">
      <c r="A1078" s="129"/>
      <c r="B1078" s="130"/>
      <c r="C1078" s="140"/>
      <c r="D1078" s="131"/>
      <c r="E1078" s="129"/>
      <c r="F1078" s="131"/>
      <c r="G1078" s="130"/>
      <c r="H1078" s="131"/>
      <c r="I1078" s="132"/>
      <c r="J1078" s="129"/>
      <c r="K1078" s="140"/>
      <c r="L1078" s="133"/>
      <c r="M1078" s="140"/>
      <c r="N1078" s="140"/>
      <c r="P1078" s="141"/>
    </row>
    <row r="1079" spans="1:16" x14ac:dyDescent="0.2">
      <c r="A1079" s="129"/>
      <c r="B1079" s="130"/>
      <c r="C1079" s="140"/>
      <c r="D1079" s="131"/>
      <c r="E1079" s="129"/>
      <c r="F1079" s="131"/>
      <c r="G1079" s="130"/>
      <c r="H1079" s="131"/>
      <c r="I1079" s="132"/>
      <c r="J1079" s="129"/>
      <c r="K1079" s="140"/>
      <c r="L1079" s="133"/>
      <c r="M1079" s="140"/>
      <c r="N1079" s="140"/>
      <c r="P1079" s="141"/>
    </row>
    <row r="1080" spans="1:16" x14ac:dyDescent="0.2">
      <c r="A1080" s="129"/>
      <c r="B1080" s="130"/>
      <c r="C1080" s="140"/>
      <c r="D1080" s="131"/>
      <c r="E1080" s="129"/>
      <c r="F1080" s="131"/>
      <c r="G1080" s="130"/>
      <c r="H1080" s="131"/>
      <c r="I1080" s="132"/>
      <c r="J1080" s="129"/>
      <c r="K1080" s="140"/>
      <c r="L1080" s="133"/>
      <c r="M1080" s="140"/>
      <c r="N1080" s="140"/>
      <c r="P1080" s="141"/>
    </row>
    <row r="1081" spans="1:16" x14ac:dyDescent="0.2">
      <c r="A1081" s="129"/>
      <c r="B1081" s="130"/>
      <c r="C1081" s="140"/>
      <c r="D1081" s="131"/>
      <c r="E1081" s="129"/>
      <c r="F1081" s="131"/>
      <c r="G1081" s="130"/>
      <c r="H1081" s="131"/>
      <c r="I1081" s="132"/>
      <c r="J1081" s="129"/>
      <c r="K1081" s="140"/>
      <c r="L1081" s="133"/>
      <c r="M1081" s="140"/>
      <c r="N1081" s="140"/>
      <c r="P1081" s="141"/>
    </row>
    <row r="1082" spans="1:16" x14ac:dyDescent="0.2">
      <c r="A1082" s="129"/>
      <c r="B1082" s="130"/>
      <c r="C1082" s="140"/>
      <c r="D1082" s="131"/>
      <c r="E1082" s="129"/>
      <c r="F1082" s="131"/>
      <c r="G1082" s="130"/>
      <c r="H1082" s="131"/>
      <c r="I1082" s="132"/>
      <c r="J1082" s="129"/>
      <c r="K1082" s="140"/>
      <c r="L1082" s="133"/>
      <c r="M1082" s="140"/>
      <c r="N1082" s="140"/>
      <c r="P1082" s="141"/>
    </row>
    <row r="1083" spans="1:16" x14ac:dyDescent="0.2">
      <c r="A1083" s="129"/>
      <c r="B1083" s="130"/>
      <c r="C1083" s="140"/>
      <c r="D1083" s="131"/>
      <c r="E1083" s="129"/>
      <c r="F1083" s="131"/>
      <c r="G1083" s="130"/>
      <c r="H1083" s="131"/>
      <c r="I1083" s="132"/>
      <c r="J1083" s="129"/>
      <c r="K1083" s="140"/>
      <c r="L1083" s="133"/>
      <c r="M1083" s="140"/>
      <c r="N1083" s="140"/>
      <c r="P1083" s="141"/>
    </row>
    <row r="1084" spans="1:16" x14ac:dyDescent="0.2">
      <c r="A1084" s="129"/>
      <c r="B1084" s="130"/>
      <c r="C1084" s="140"/>
      <c r="D1084" s="131"/>
      <c r="E1084" s="129"/>
      <c r="F1084" s="131"/>
      <c r="G1084" s="130"/>
      <c r="H1084" s="131"/>
      <c r="I1084" s="132"/>
      <c r="J1084" s="129"/>
      <c r="K1084" s="140"/>
      <c r="L1084" s="133"/>
      <c r="M1084" s="140"/>
      <c r="N1084" s="140"/>
      <c r="P1084" s="141"/>
    </row>
    <row r="1085" spans="1:16" x14ac:dyDescent="0.2">
      <c r="A1085" s="129"/>
      <c r="B1085" s="130"/>
      <c r="C1085" s="140"/>
      <c r="D1085" s="131"/>
      <c r="E1085" s="129"/>
      <c r="F1085" s="131"/>
      <c r="G1085" s="130"/>
      <c r="H1085" s="131"/>
      <c r="I1085" s="132"/>
      <c r="J1085" s="129"/>
      <c r="K1085" s="140"/>
      <c r="L1085" s="133"/>
      <c r="M1085" s="140"/>
      <c r="N1085" s="140"/>
      <c r="P1085" s="141"/>
    </row>
    <row r="1086" spans="1:16" x14ac:dyDescent="0.2">
      <c r="A1086" s="129"/>
      <c r="B1086" s="130"/>
      <c r="C1086" s="140"/>
      <c r="D1086" s="131"/>
      <c r="E1086" s="129"/>
      <c r="F1086" s="131"/>
      <c r="G1086" s="130"/>
      <c r="H1086" s="131"/>
      <c r="I1086" s="132"/>
      <c r="J1086" s="129"/>
      <c r="K1086" s="140"/>
      <c r="L1086" s="133"/>
      <c r="M1086" s="140"/>
      <c r="N1086" s="140"/>
      <c r="P1086" s="141"/>
    </row>
    <row r="1087" spans="1:16" x14ac:dyDescent="0.2">
      <c r="A1087" s="129"/>
      <c r="B1087" s="130"/>
      <c r="C1087" s="140"/>
      <c r="D1087" s="131"/>
      <c r="E1087" s="129"/>
      <c r="F1087" s="131"/>
      <c r="G1087" s="130"/>
      <c r="H1087" s="131"/>
      <c r="I1087" s="132"/>
      <c r="J1087" s="129"/>
      <c r="K1087" s="140"/>
      <c r="L1087" s="133"/>
      <c r="M1087" s="140"/>
      <c r="N1087" s="140"/>
      <c r="P1087" s="141"/>
    </row>
    <row r="1088" spans="1:16" x14ac:dyDescent="0.2">
      <c r="A1088" s="129"/>
      <c r="B1088" s="130"/>
      <c r="C1088" s="140"/>
      <c r="D1088" s="131"/>
      <c r="E1088" s="129"/>
      <c r="F1088" s="131"/>
      <c r="G1088" s="130"/>
      <c r="H1088" s="131"/>
      <c r="I1088" s="132"/>
      <c r="J1088" s="129"/>
      <c r="K1088" s="140"/>
      <c r="L1088" s="133"/>
      <c r="M1088" s="140"/>
      <c r="N1088" s="140"/>
      <c r="P1088" s="141"/>
    </row>
    <row r="1089" spans="1:16" x14ac:dyDescent="0.2">
      <c r="A1089" s="129"/>
      <c r="B1089" s="130"/>
      <c r="C1089" s="140"/>
      <c r="D1089" s="131"/>
      <c r="E1089" s="129"/>
      <c r="F1089" s="131"/>
      <c r="G1089" s="130"/>
      <c r="H1089" s="131"/>
      <c r="I1089" s="132"/>
      <c r="J1089" s="129"/>
      <c r="K1089" s="140"/>
      <c r="L1089" s="133"/>
      <c r="M1089" s="140"/>
      <c r="N1089" s="140"/>
      <c r="P1089" s="141"/>
    </row>
    <row r="1090" spans="1:16" x14ac:dyDescent="0.2">
      <c r="A1090" s="129"/>
      <c r="B1090" s="130"/>
      <c r="C1090" s="140"/>
      <c r="D1090" s="131"/>
      <c r="E1090" s="129"/>
      <c r="F1090" s="131"/>
      <c r="G1090" s="130"/>
      <c r="H1090" s="131"/>
      <c r="I1090" s="132"/>
      <c r="J1090" s="129"/>
      <c r="K1090" s="140"/>
      <c r="L1090" s="133"/>
      <c r="M1090" s="140"/>
      <c r="N1090" s="140"/>
      <c r="P1090" s="141"/>
    </row>
    <row r="1091" spans="1:16" x14ac:dyDescent="0.2">
      <c r="A1091" s="129"/>
      <c r="B1091" s="130"/>
      <c r="C1091" s="140"/>
      <c r="D1091" s="131"/>
      <c r="E1091" s="129"/>
      <c r="F1091" s="131"/>
      <c r="G1091" s="130"/>
      <c r="H1091" s="131"/>
      <c r="I1091" s="132"/>
      <c r="J1091" s="129"/>
      <c r="K1091" s="140"/>
      <c r="L1091" s="133"/>
      <c r="M1091" s="140"/>
      <c r="N1091" s="140"/>
      <c r="P1091" s="141"/>
    </row>
    <row r="1092" spans="1:16" x14ac:dyDescent="0.2">
      <c r="A1092" s="129"/>
      <c r="B1092" s="130"/>
      <c r="C1092" s="140"/>
      <c r="D1092" s="131"/>
      <c r="E1092" s="129"/>
      <c r="F1092" s="131"/>
      <c r="G1092" s="130"/>
      <c r="H1092" s="131"/>
      <c r="I1092" s="132"/>
      <c r="J1092" s="129"/>
      <c r="K1092" s="140"/>
      <c r="L1092" s="133"/>
      <c r="M1092" s="140"/>
      <c r="N1092" s="140"/>
      <c r="P1092" s="141"/>
    </row>
    <row r="1093" spans="1:16" x14ac:dyDescent="0.2">
      <c r="A1093" s="129"/>
      <c r="B1093" s="130"/>
      <c r="C1093" s="140"/>
      <c r="D1093" s="131"/>
      <c r="E1093" s="129"/>
      <c r="F1093" s="131"/>
      <c r="G1093" s="130"/>
      <c r="H1093" s="131"/>
      <c r="I1093" s="132"/>
      <c r="J1093" s="129"/>
      <c r="K1093" s="140"/>
      <c r="L1093" s="133"/>
      <c r="M1093" s="140"/>
      <c r="N1093" s="140"/>
      <c r="P1093" s="141"/>
    </row>
    <row r="1094" spans="1:16" x14ac:dyDescent="0.2">
      <c r="A1094" s="129"/>
      <c r="B1094" s="130"/>
      <c r="C1094" s="140"/>
      <c r="D1094" s="131"/>
      <c r="E1094" s="129"/>
      <c r="F1094" s="131"/>
      <c r="G1094" s="130"/>
      <c r="H1094" s="131"/>
      <c r="I1094" s="132"/>
      <c r="J1094" s="129"/>
      <c r="K1094" s="140"/>
      <c r="L1094" s="133"/>
      <c r="M1094" s="140"/>
      <c r="N1094" s="140"/>
      <c r="P1094" s="141"/>
    </row>
    <row r="1095" spans="1:16" x14ac:dyDescent="0.2">
      <c r="A1095" s="129"/>
      <c r="B1095" s="130"/>
      <c r="C1095" s="140"/>
      <c r="D1095" s="131"/>
      <c r="E1095" s="129"/>
      <c r="F1095" s="131"/>
      <c r="G1095" s="130"/>
      <c r="H1095" s="131"/>
      <c r="I1095" s="132"/>
      <c r="J1095" s="129"/>
      <c r="K1095" s="140"/>
      <c r="L1095" s="133"/>
      <c r="M1095" s="140"/>
      <c r="N1095" s="140"/>
      <c r="P1095" s="141"/>
    </row>
    <row r="1096" spans="1:16" x14ac:dyDescent="0.2">
      <c r="A1096" s="129"/>
      <c r="B1096" s="130"/>
      <c r="C1096" s="140"/>
      <c r="D1096" s="131"/>
      <c r="E1096" s="129"/>
      <c r="F1096" s="131"/>
      <c r="G1096" s="130"/>
      <c r="H1096" s="131"/>
      <c r="I1096" s="132"/>
      <c r="J1096" s="129"/>
      <c r="K1096" s="140"/>
      <c r="L1096" s="133"/>
      <c r="M1096" s="140"/>
      <c r="N1096" s="140"/>
      <c r="P1096" s="141"/>
    </row>
    <row r="1097" spans="1:16" x14ac:dyDescent="0.2">
      <c r="A1097" s="129"/>
      <c r="B1097" s="130"/>
      <c r="C1097" s="140"/>
      <c r="D1097" s="131"/>
      <c r="E1097" s="129"/>
      <c r="F1097" s="131"/>
      <c r="G1097" s="130"/>
      <c r="H1097" s="131"/>
      <c r="I1097" s="132"/>
      <c r="J1097" s="129"/>
      <c r="K1097" s="140"/>
      <c r="L1097" s="133"/>
      <c r="M1097" s="140"/>
      <c r="N1097" s="140"/>
      <c r="P1097" s="141"/>
    </row>
    <row r="1098" spans="1:16" x14ac:dyDescent="0.2">
      <c r="A1098" s="129"/>
      <c r="B1098" s="130"/>
      <c r="C1098" s="140"/>
      <c r="D1098" s="131"/>
      <c r="E1098" s="129"/>
      <c r="F1098" s="131"/>
      <c r="G1098" s="130"/>
      <c r="H1098" s="131"/>
      <c r="I1098" s="132"/>
      <c r="J1098" s="129"/>
      <c r="K1098" s="140"/>
      <c r="L1098" s="133"/>
      <c r="M1098" s="140"/>
      <c r="N1098" s="140"/>
      <c r="P1098" s="141"/>
    </row>
    <row r="1099" spans="1:16" x14ac:dyDescent="0.2">
      <c r="A1099" s="129"/>
      <c r="B1099" s="130"/>
      <c r="C1099" s="140"/>
      <c r="D1099" s="131"/>
      <c r="E1099" s="129"/>
      <c r="F1099" s="131"/>
      <c r="G1099" s="130"/>
      <c r="H1099" s="131"/>
      <c r="I1099" s="132"/>
      <c r="J1099" s="129"/>
      <c r="K1099" s="140"/>
      <c r="L1099" s="133"/>
      <c r="M1099" s="140"/>
      <c r="N1099" s="140"/>
      <c r="P1099" s="141"/>
    </row>
    <row r="1100" spans="1:16" x14ac:dyDescent="0.2">
      <c r="A1100" s="129"/>
      <c r="B1100" s="130"/>
      <c r="C1100" s="140"/>
      <c r="D1100" s="131"/>
      <c r="E1100" s="129"/>
      <c r="F1100" s="131"/>
      <c r="G1100" s="130"/>
      <c r="H1100" s="131"/>
      <c r="I1100" s="132"/>
      <c r="J1100" s="129"/>
      <c r="K1100" s="140"/>
      <c r="L1100" s="133"/>
      <c r="M1100" s="140"/>
      <c r="N1100" s="140"/>
      <c r="P1100" s="141"/>
    </row>
    <row r="1101" spans="1:16" x14ac:dyDescent="0.2">
      <c r="A1101" s="129"/>
      <c r="B1101" s="130"/>
      <c r="C1101" s="140"/>
      <c r="D1101" s="131"/>
      <c r="E1101" s="129"/>
      <c r="F1101" s="131"/>
      <c r="G1101" s="130"/>
      <c r="H1101" s="131"/>
      <c r="I1101" s="132"/>
      <c r="J1101" s="129"/>
      <c r="K1101" s="140"/>
      <c r="L1101" s="133"/>
      <c r="M1101" s="140"/>
      <c r="N1101" s="140"/>
      <c r="P1101" s="141"/>
    </row>
    <row r="1102" spans="1:16" x14ac:dyDescent="0.2">
      <c r="A1102" s="129"/>
      <c r="B1102" s="130"/>
      <c r="C1102" s="140"/>
      <c r="D1102" s="131"/>
      <c r="E1102" s="129"/>
      <c r="F1102" s="131"/>
      <c r="G1102" s="130"/>
      <c r="H1102" s="131"/>
      <c r="I1102" s="132"/>
      <c r="J1102" s="129"/>
      <c r="K1102" s="140"/>
      <c r="L1102" s="133"/>
      <c r="M1102" s="140"/>
      <c r="N1102" s="140"/>
      <c r="P1102" s="141"/>
    </row>
    <row r="1103" spans="1:16" x14ac:dyDescent="0.2">
      <c r="A1103" s="129"/>
      <c r="B1103" s="130"/>
      <c r="C1103" s="140"/>
      <c r="D1103" s="131"/>
      <c r="E1103" s="129"/>
      <c r="F1103" s="131"/>
      <c r="G1103" s="130"/>
      <c r="H1103" s="131"/>
      <c r="I1103" s="132"/>
      <c r="J1103" s="129"/>
      <c r="K1103" s="140"/>
      <c r="L1103" s="133"/>
      <c r="M1103" s="140"/>
      <c r="N1103" s="140"/>
      <c r="P1103" s="141"/>
    </row>
    <row r="1104" spans="1:16" x14ac:dyDescent="0.2">
      <c r="A1104" s="129"/>
      <c r="B1104" s="130"/>
      <c r="C1104" s="140"/>
      <c r="D1104" s="131"/>
      <c r="E1104" s="129"/>
      <c r="F1104" s="131"/>
      <c r="G1104" s="130"/>
      <c r="H1104" s="131"/>
      <c r="I1104" s="132"/>
      <c r="J1104" s="129"/>
      <c r="K1104" s="140"/>
      <c r="L1104" s="133"/>
      <c r="M1104" s="140"/>
      <c r="N1104" s="140"/>
      <c r="P1104" s="141"/>
    </row>
    <row r="1105" spans="1:16" x14ac:dyDescent="0.2">
      <c r="A1105" s="129"/>
      <c r="B1105" s="130"/>
      <c r="C1105" s="140"/>
      <c r="D1105" s="131"/>
      <c r="E1105" s="129"/>
      <c r="F1105" s="131"/>
      <c r="G1105" s="130"/>
      <c r="H1105" s="131"/>
      <c r="I1105" s="132"/>
      <c r="J1105" s="129"/>
      <c r="K1105" s="140"/>
      <c r="L1105" s="133"/>
      <c r="M1105" s="140"/>
      <c r="N1105" s="140"/>
      <c r="P1105" s="141"/>
    </row>
    <row r="1106" spans="1:16" x14ac:dyDescent="0.2">
      <c r="A1106" s="129"/>
      <c r="B1106" s="130"/>
      <c r="C1106" s="140"/>
      <c r="D1106" s="131"/>
      <c r="E1106" s="129"/>
      <c r="F1106" s="131"/>
      <c r="G1106" s="130"/>
      <c r="H1106" s="131"/>
      <c r="I1106" s="132"/>
      <c r="J1106" s="129"/>
      <c r="K1106" s="140"/>
      <c r="L1106" s="133"/>
      <c r="M1106" s="140"/>
      <c r="N1106" s="140"/>
      <c r="P1106" s="141"/>
    </row>
    <row r="1107" spans="1:16" x14ac:dyDescent="0.2">
      <c r="A1107" s="129"/>
      <c r="B1107" s="130"/>
      <c r="C1107" s="140"/>
      <c r="D1107" s="131"/>
      <c r="E1107" s="129"/>
      <c r="F1107" s="131"/>
      <c r="G1107" s="130"/>
      <c r="H1107" s="131"/>
      <c r="I1107" s="132"/>
      <c r="J1107" s="129"/>
      <c r="K1107" s="140"/>
      <c r="L1107" s="133"/>
      <c r="M1107" s="140"/>
      <c r="N1107" s="140"/>
      <c r="P1107" s="141"/>
    </row>
    <row r="1108" spans="1:16" x14ac:dyDescent="0.2">
      <c r="A1108" s="129"/>
      <c r="B1108" s="130"/>
      <c r="C1108" s="140"/>
      <c r="D1108" s="131"/>
      <c r="E1108" s="129"/>
      <c r="F1108" s="131"/>
      <c r="G1108" s="130"/>
      <c r="H1108" s="131"/>
      <c r="I1108" s="132"/>
      <c r="J1108" s="129"/>
      <c r="K1108" s="140"/>
      <c r="L1108" s="133"/>
      <c r="M1108" s="140"/>
      <c r="N1108" s="140"/>
      <c r="P1108" s="141"/>
    </row>
    <row r="1109" spans="1:16" x14ac:dyDescent="0.2">
      <c r="A1109" s="129"/>
      <c r="B1109" s="130"/>
      <c r="C1109" s="140"/>
      <c r="D1109" s="131"/>
      <c r="E1109" s="129"/>
      <c r="F1109" s="131"/>
      <c r="G1109" s="130"/>
      <c r="H1109" s="131"/>
      <c r="I1109" s="132"/>
      <c r="J1109" s="129"/>
      <c r="K1109" s="140"/>
      <c r="L1109" s="133"/>
      <c r="M1109" s="140"/>
      <c r="N1109" s="140"/>
      <c r="P1109" s="141"/>
    </row>
    <row r="1110" spans="1:16" x14ac:dyDescent="0.2">
      <c r="A1110" s="129"/>
      <c r="B1110" s="130"/>
      <c r="C1110" s="140"/>
      <c r="D1110" s="131"/>
      <c r="E1110" s="129"/>
      <c r="F1110" s="131"/>
      <c r="G1110" s="130"/>
      <c r="H1110" s="131"/>
      <c r="I1110" s="132"/>
      <c r="J1110" s="129"/>
      <c r="K1110" s="140"/>
      <c r="L1110" s="133"/>
      <c r="M1110" s="140"/>
      <c r="N1110" s="140"/>
      <c r="P1110" s="141"/>
    </row>
    <row r="1111" spans="1:16" x14ac:dyDescent="0.2">
      <c r="A1111" s="129"/>
      <c r="B1111" s="130"/>
      <c r="C1111" s="140"/>
      <c r="D1111" s="131"/>
      <c r="E1111" s="129"/>
      <c r="F1111" s="131"/>
      <c r="G1111" s="130"/>
      <c r="H1111" s="131"/>
      <c r="I1111" s="132"/>
      <c r="J1111" s="129"/>
      <c r="K1111" s="140"/>
      <c r="L1111" s="133"/>
      <c r="M1111" s="140"/>
      <c r="N1111" s="140"/>
      <c r="P1111" s="141"/>
    </row>
    <row r="1112" spans="1:16" x14ac:dyDescent="0.2">
      <c r="A1112" s="129"/>
      <c r="B1112" s="130"/>
      <c r="C1112" s="140"/>
      <c r="D1112" s="131"/>
      <c r="E1112" s="129"/>
      <c r="F1112" s="131"/>
      <c r="G1112" s="130"/>
      <c r="H1112" s="131"/>
      <c r="I1112" s="132"/>
      <c r="J1112" s="129"/>
      <c r="K1112" s="140"/>
      <c r="L1112" s="133"/>
      <c r="M1112" s="140"/>
      <c r="N1112" s="140"/>
      <c r="P1112" s="141"/>
    </row>
    <row r="1113" spans="1:16" x14ac:dyDescent="0.2">
      <c r="A1113" s="129"/>
      <c r="B1113" s="130"/>
      <c r="C1113" s="140"/>
      <c r="D1113" s="131"/>
      <c r="E1113" s="129"/>
      <c r="F1113" s="131"/>
      <c r="G1113" s="130"/>
      <c r="H1113" s="131"/>
      <c r="I1113" s="132"/>
      <c r="J1113" s="129"/>
      <c r="K1113" s="140"/>
      <c r="L1113" s="133"/>
      <c r="M1113" s="140"/>
      <c r="N1113" s="140"/>
      <c r="P1113" s="141"/>
    </row>
    <row r="1114" spans="1:16" x14ac:dyDescent="0.2">
      <c r="A1114" s="129"/>
      <c r="B1114" s="130"/>
      <c r="C1114" s="140"/>
      <c r="D1114" s="131"/>
      <c r="E1114" s="129"/>
      <c r="F1114" s="131"/>
      <c r="G1114" s="130"/>
      <c r="H1114" s="131"/>
      <c r="I1114" s="132"/>
      <c r="J1114" s="129"/>
      <c r="K1114" s="140"/>
      <c r="L1114" s="133"/>
      <c r="M1114" s="140"/>
      <c r="N1114" s="140"/>
      <c r="P1114" s="141"/>
    </row>
    <row r="1115" spans="1:16" x14ac:dyDescent="0.2">
      <c r="A1115" s="129"/>
      <c r="B1115" s="130"/>
      <c r="C1115" s="140"/>
      <c r="D1115" s="131"/>
      <c r="E1115" s="129"/>
      <c r="F1115" s="131"/>
      <c r="G1115" s="130"/>
      <c r="H1115" s="131"/>
      <c r="I1115" s="132"/>
      <c r="J1115" s="129"/>
      <c r="K1115" s="140"/>
      <c r="L1115" s="133"/>
      <c r="M1115" s="140"/>
      <c r="N1115" s="140"/>
      <c r="P1115" s="141"/>
    </row>
    <row r="1116" spans="1:16" x14ac:dyDescent="0.2">
      <c r="A1116" s="129"/>
      <c r="B1116" s="130"/>
      <c r="C1116" s="140"/>
      <c r="D1116" s="131"/>
      <c r="E1116" s="129"/>
      <c r="F1116" s="131"/>
      <c r="G1116" s="130"/>
      <c r="H1116" s="131"/>
      <c r="I1116" s="132"/>
      <c r="J1116" s="129"/>
      <c r="K1116" s="140"/>
      <c r="L1116" s="133"/>
      <c r="M1116" s="140"/>
      <c r="N1116" s="140"/>
      <c r="P1116" s="141"/>
    </row>
    <row r="1117" spans="1:16" x14ac:dyDescent="0.2">
      <c r="A1117" s="129"/>
      <c r="B1117" s="130"/>
      <c r="C1117" s="140"/>
      <c r="D1117" s="131"/>
      <c r="E1117" s="129"/>
      <c r="F1117" s="131"/>
      <c r="G1117" s="130"/>
      <c r="H1117" s="131"/>
      <c r="I1117" s="132"/>
      <c r="J1117" s="129"/>
      <c r="K1117" s="140"/>
      <c r="L1117" s="133"/>
      <c r="M1117" s="140"/>
      <c r="N1117" s="140"/>
      <c r="P1117" s="141"/>
    </row>
    <row r="1118" spans="1:16" x14ac:dyDescent="0.2">
      <c r="A1118" s="129"/>
      <c r="B1118" s="130"/>
      <c r="C1118" s="140"/>
      <c r="D1118" s="131"/>
      <c r="E1118" s="129"/>
      <c r="F1118" s="131"/>
      <c r="G1118" s="130"/>
      <c r="H1118" s="131"/>
      <c r="I1118" s="132"/>
      <c r="J1118" s="129"/>
      <c r="K1118" s="140"/>
      <c r="L1118" s="133"/>
      <c r="M1118" s="140"/>
      <c r="N1118" s="140"/>
      <c r="P1118" s="141"/>
    </row>
    <row r="1119" spans="1:16" x14ac:dyDescent="0.2">
      <c r="A1119" s="129"/>
      <c r="B1119" s="130"/>
      <c r="C1119" s="140"/>
      <c r="D1119" s="131"/>
      <c r="E1119" s="129"/>
      <c r="F1119" s="131"/>
      <c r="G1119" s="130"/>
      <c r="H1119" s="131"/>
      <c r="I1119" s="132"/>
      <c r="J1119" s="129"/>
      <c r="K1119" s="140"/>
      <c r="L1119" s="133"/>
      <c r="M1119" s="140"/>
      <c r="N1119" s="140"/>
      <c r="P1119" s="141"/>
    </row>
    <row r="1120" spans="1:16" x14ac:dyDescent="0.2">
      <c r="A1120" s="129"/>
      <c r="B1120" s="130"/>
      <c r="C1120" s="140"/>
      <c r="D1120" s="131"/>
      <c r="E1120" s="129"/>
      <c r="F1120" s="131"/>
      <c r="G1120" s="130"/>
      <c r="H1120" s="131"/>
      <c r="I1120" s="132"/>
      <c r="J1120" s="129"/>
      <c r="K1120" s="140"/>
      <c r="L1120" s="133"/>
      <c r="M1120" s="140"/>
      <c r="N1120" s="140"/>
      <c r="P1120" s="141"/>
    </row>
    <row r="1121" spans="1:16" x14ac:dyDescent="0.2">
      <c r="A1121" s="129"/>
      <c r="B1121" s="130"/>
      <c r="C1121" s="140"/>
      <c r="D1121" s="131"/>
      <c r="E1121" s="129"/>
      <c r="F1121" s="131"/>
      <c r="G1121" s="130"/>
      <c r="H1121" s="131"/>
      <c r="I1121" s="132"/>
      <c r="J1121" s="129"/>
      <c r="K1121" s="140"/>
      <c r="L1121" s="133"/>
      <c r="M1121" s="140"/>
      <c r="N1121" s="140"/>
      <c r="P1121" s="141"/>
    </row>
    <row r="1122" spans="1:16" x14ac:dyDescent="0.2">
      <c r="A1122" s="129"/>
      <c r="B1122" s="130"/>
      <c r="C1122" s="140"/>
      <c r="D1122" s="131"/>
      <c r="E1122" s="129"/>
      <c r="F1122" s="131"/>
      <c r="G1122" s="130"/>
      <c r="H1122" s="131"/>
      <c r="I1122" s="132"/>
      <c r="J1122" s="129"/>
      <c r="K1122" s="140"/>
      <c r="L1122" s="133"/>
      <c r="M1122" s="140"/>
      <c r="N1122" s="140"/>
      <c r="P1122" s="141"/>
    </row>
    <row r="1123" spans="1:16" x14ac:dyDescent="0.2">
      <c r="A1123" s="129"/>
      <c r="B1123" s="130"/>
      <c r="C1123" s="140"/>
      <c r="D1123" s="131"/>
      <c r="E1123" s="129"/>
      <c r="F1123" s="131"/>
      <c r="G1123" s="130"/>
      <c r="H1123" s="131"/>
      <c r="I1123" s="132"/>
      <c r="J1123" s="129"/>
      <c r="K1123" s="140"/>
      <c r="L1123" s="133"/>
      <c r="M1123" s="140"/>
      <c r="N1123" s="140"/>
      <c r="P1123" s="141"/>
    </row>
    <row r="1124" spans="1:16" x14ac:dyDescent="0.2">
      <c r="A1124" s="129"/>
      <c r="B1124" s="130"/>
      <c r="C1124" s="140"/>
      <c r="D1124" s="131"/>
      <c r="E1124" s="129"/>
      <c r="F1124" s="131"/>
      <c r="G1124" s="130"/>
      <c r="H1124" s="131"/>
      <c r="I1124" s="132"/>
      <c r="J1124" s="129"/>
      <c r="K1124" s="140"/>
      <c r="L1124" s="133"/>
      <c r="M1124" s="140"/>
      <c r="N1124" s="140"/>
      <c r="P1124" s="141"/>
    </row>
    <row r="1125" spans="1:16" x14ac:dyDescent="0.2">
      <c r="A1125" s="129"/>
      <c r="B1125" s="130"/>
      <c r="C1125" s="140"/>
      <c r="D1125" s="131"/>
      <c r="E1125" s="129"/>
      <c r="F1125" s="131"/>
      <c r="G1125" s="130"/>
      <c r="H1125" s="131"/>
      <c r="I1125" s="132"/>
      <c r="J1125" s="129"/>
      <c r="K1125" s="140"/>
      <c r="L1125" s="133"/>
      <c r="M1125" s="140"/>
      <c r="N1125" s="140"/>
      <c r="P1125" s="141"/>
    </row>
    <row r="1126" spans="1:16" x14ac:dyDescent="0.2">
      <c r="A1126" s="129"/>
      <c r="B1126" s="130"/>
      <c r="C1126" s="140"/>
      <c r="D1126" s="131"/>
      <c r="E1126" s="129"/>
      <c r="F1126" s="131"/>
      <c r="G1126" s="130"/>
      <c r="H1126" s="131"/>
      <c r="I1126" s="132"/>
      <c r="J1126" s="129"/>
      <c r="K1126" s="140"/>
      <c r="L1126" s="133"/>
      <c r="M1126" s="140"/>
      <c r="N1126" s="140"/>
      <c r="P1126" s="141"/>
    </row>
    <row r="1127" spans="1:16" x14ac:dyDescent="0.2">
      <c r="A1127" s="129"/>
      <c r="B1127" s="130"/>
      <c r="C1127" s="140"/>
      <c r="D1127" s="131"/>
      <c r="E1127" s="129"/>
      <c r="F1127" s="131"/>
      <c r="G1127" s="130"/>
      <c r="H1127" s="131"/>
      <c r="I1127" s="132"/>
      <c r="J1127" s="129"/>
      <c r="K1127" s="140"/>
      <c r="L1127" s="133"/>
      <c r="M1127" s="140"/>
      <c r="N1127" s="140"/>
      <c r="P1127" s="141"/>
    </row>
    <row r="1128" spans="1:16" x14ac:dyDescent="0.2">
      <c r="A1128" s="129"/>
      <c r="B1128" s="130"/>
      <c r="C1128" s="140"/>
      <c r="D1128" s="131"/>
      <c r="E1128" s="129"/>
      <c r="F1128" s="131"/>
      <c r="G1128" s="130"/>
      <c r="H1128" s="131"/>
      <c r="I1128" s="132"/>
      <c r="J1128" s="129"/>
      <c r="K1128" s="140"/>
      <c r="L1128" s="133"/>
      <c r="M1128" s="140"/>
      <c r="N1128" s="140"/>
      <c r="P1128" s="141"/>
    </row>
    <row r="1129" spans="1:16" x14ac:dyDescent="0.2">
      <c r="A1129" s="129"/>
      <c r="B1129" s="130"/>
      <c r="C1129" s="140"/>
      <c r="D1129" s="131"/>
      <c r="E1129" s="129"/>
      <c r="F1129" s="131"/>
      <c r="G1129" s="130"/>
      <c r="H1129" s="131"/>
      <c r="I1129" s="132"/>
      <c r="J1129" s="129"/>
      <c r="K1129" s="140"/>
      <c r="L1129" s="133"/>
      <c r="M1129" s="140"/>
      <c r="N1129" s="140"/>
      <c r="P1129" s="141"/>
    </row>
    <row r="1130" spans="1:16" x14ac:dyDescent="0.2">
      <c r="A1130" s="129"/>
      <c r="B1130" s="130"/>
      <c r="C1130" s="140"/>
      <c r="D1130" s="131"/>
      <c r="E1130" s="129"/>
      <c r="F1130" s="131"/>
      <c r="G1130" s="130"/>
      <c r="H1130" s="131"/>
      <c r="I1130" s="132"/>
      <c r="J1130" s="129"/>
      <c r="K1130" s="140"/>
      <c r="L1130" s="133"/>
      <c r="M1130" s="140"/>
      <c r="N1130" s="140"/>
      <c r="P1130" s="141"/>
    </row>
    <row r="1131" spans="1:16" x14ac:dyDescent="0.2">
      <c r="A1131" s="129"/>
      <c r="B1131" s="130"/>
      <c r="C1131" s="140"/>
      <c r="D1131" s="131"/>
      <c r="E1131" s="129"/>
      <c r="F1131" s="131"/>
      <c r="G1131" s="130"/>
      <c r="H1131" s="131"/>
      <c r="I1131" s="132"/>
      <c r="J1131" s="129"/>
      <c r="K1131" s="140"/>
      <c r="L1131" s="133"/>
      <c r="M1131" s="140"/>
      <c r="N1131" s="140"/>
      <c r="P1131" s="141"/>
    </row>
    <row r="1132" spans="1:16" x14ac:dyDescent="0.2">
      <c r="A1132" s="129"/>
      <c r="B1132" s="130"/>
      <c r="C1132" s="140"/>
      <c r="D1132" s="131"/>
      <c r="E1132" s="129"/>
      <c r="F1132" s="131"/>
      <c r="G1132" s="130"/>
      <c r="H1132" s="131"/>
      <c r="I1132" s="132"/>
      <c r="J1132" s="129"/>
      <c r="K1132" s="140"/>
      <c r="L1132" s="133"/>
      <c r="M1132" s="140"/>
      <c r="N1132" s="140"/>
      <c r="P1132" s="141"/>
    </row>
    <row r="1133" spans="1:16" x14ac:dyDescent="0.2">
      <c r="A1133" s="129"/>
      <c r="B1133" s="130"/>
      <c r="C1133" s="140"/>
      <c r="D1133" s="131"/>
      <c r="E1133" s="129"/>
      <c r="F1133" s="131"/>
      <c r="G1133" s="130"/>
      <c r="H1133" s="131"/>
      <c r="I1133" s="132"/>
      <c r="J1133" s="129"/>
      <c r="K1133" s="140"/>
      <c r="L1133" s="133"/>
      <c r="M1133" s="140"/>
      <c r="N1133" s="140"/>
      <c r="P1133" s="141"/>
    </row>
    <row r="1134" spans="1:16" x14ac:dyDescent="0.2">
      <c r="A1134" s="129"/>
      <c r="B1134" s="130"/>
      <c r="C1134" s="140"/>
      <c r="D1134" s="131"/>
      <c r="E1134" s="129"/>
      <c r="F1134" s="131"/>
      <c r="G1134" s="130"/>
      <c r="H1134" s="131"/>
      <c r="I1134" s="132"/>
      <c r="J1134" s="129"/>
      <c r="K1134" s="140"/>
      <c r="L1134" s="133"/>
      <c r="M1134" s="140"/>
      <c r="N1134" s="140"/>
      <c r="P1134" s="141"/>
    </row>
    <row r="1135" spans="1:16" x14ac:dyDescent="0.2">
      <c r="A1135" s="129"/>
      <c r="B1135" s="130"/>
      <c r="C1135" s="140"/>
      <c r="D1135" s="131"/>
      <c r="E1135" s="129"/>
      <c r="F1135" s="131"/>
      <c r="G1135" s="130"/>
      <c r="H1135" s="131"/>
      <c r="I1135" s="132"/>
      <c r="J1135" s="129"/>
      <c r="K1135" s="140"/>
      <c r="L1135" s="133"/>
      <c r="M1135" s="140"/>
      <c r="N1135" s="140"/>
      <c r="P1135" s="141"/>
    </row>
    <row r="1136" spans="1:16" x14ac:dyDescent="0.2">
      <c r="A1136" s="129"/>
      <c r="B1136" s="130"/>
      <c r="C1136" s="140"/>
      <c r="D1136" s="131"/>
      <c r="E1136" s="129"/>
      <c r="F1136" s="131"/>
      <c r="G1136" s="130"/>
      <c r="H1136" s="131"/>
      <c r="I1136" s="132"/>
      <c r="J1136" s="129"/>
      <c r="K1136" s="140"/>
      <c r="L1136" s="133"/>
      <c r="M1136" s="140"/>
      <c r="N1136" s="140"/>
      <c r="P1136" s="141"/>
    </row>
    <row r="1137" spans="1:16" x14ac:dyDescent="0.2">
      <c r="A1137" s="129"/>
      <c r="B1137" s="130"/>
      <c r="C1137" s="140"/>
      <c r="D1137" s="131"/>
      <c r="E1137" s="129"/>
      <c r="F1137" s="131"/>
      <c r="G1137" s="130"/>
      <c r="H1137" s="131"/>
      <c r="I1137" s="132"/>
      <c r="J1137" s="129"/>
      <c r="K1137" s="140"/>
      <c r="L1137" s="133"/>
      <c r="M1137" s="140"/>
      <c r="N1137" s="140"/>
      <c r="P1137" s="141"/>
    </row>
    <row r="1138" spans="1:16" x14ac:dyDescent="0.2">
      <c r="A1138" s="129"/>
      <c r="B1138" s="130"/>
      <c r="C1138" s="140"/>
      <c r="D1138" s="131"/>
      <c r="E1138" s="129"/>
      <c r="F1138" s="131"/>
      <c r="G1138" s="130"/>
      <c r="H1138" s="131"/>
      <c r="I1138" s="132"/>
      <c r="J1138" s="129"/>
      <c r="K1138" s="140"/>
      <c r="L1138" s="133"/>
      <c r="M1138" s="140"/>
      <c r="N1138" s="140"/>
      <c r="P1138" s="141"/>
    </row>
    <row r="1139" spans="1:16" x14ac:dyDescent="0.2">
      <c r="A1139" s="129"/>
      <c r="B1139" s="130"/>
      <c r="C1139" s="140"/>
      <c r="D1139" s="131"/>
      <c r="E1139" s="129"/>
      <c r="F1139" s="131"/>
      <c r="G1139" s="130"/>
      <c r="H1139" s="131"/>
      <c r="I1139" s="132"/>
      <c r="J1139" s="129"/>
      <c r="K1139" s="140"/>
      <c r="L1139" s="133"/>
      <c r="M1139" s="140"/>
      <c r="N1139" s="140"/>
      <c r="P1139" s="141"/>
    </row>
    <row r="1140" spans="1:16" x14ac:dyDescent="0.2">
      <c r="A1140" s="129"/>
      <c r="B1140" s="130"/>
      <c r="C1140" s="140"/>
      <c r="D1140" s="131"/>
      <c r="E1140" s="129"/>
      <c r="F1140" s="131"/>
      <c r="G1140" s="130"/>
      <c r="H1140" s="131"/>
      <c r="I1140" s="132"/>
      <c r="J1140" s="129"/>
      <c r="K1140" s="140"/>
      <c r="L1140" s="133"/>
      <c r="M1140" s="140"/>
      <c r="N1140" s="140"/>
      <c r="P1140" s="141"/>
    </row>
    <row r="1141" spans="1:16" x14ac:dyDescent="0.2">
      <c r="A1141" s="129"/>
      <c r="B1141" s="130"/>
      <c r="C1141" s="140"/>
      <c r="D1141" s="131"/>
      <c r="E1141" s="129"/>
      <c r="F1141" s="131"/>
      <c r="G1141" s="130"/>
      <c r="H1141" s="131"/>
      <c r="I1141" s="132"/>
      <c r="J1141" s="129"/>
      <c r="K1141" s="140"/>
      <c r="L1141" s="133"/>
      <c r="M1141" s="140"/>
      <c r="N1141" s="140"/>
      <c r="P1141" s="141"/>
    </row>
    <row r="1142" spans="1:16" x14ac:dyDescent="0.2">
      <c r="A1142" s="129"/>
      <c r="B1142" s="130"/>
      <c r="C1142" s="140"/>
      <c r="D1142" s="131"/>
      <c r="E1142" s="129"/>
      <c r="F1142" s="131"/>
      <c r="G1142" s="130"/>
      <c r="H1142" s="131"/>
      <c r="I1142" s="132"/>
      <c r="J1142" s="129"/>
      <c r="K1142" s="140"/>
      <c r="L1142" s="133"/>
      <c r="M1142" s="140"/>
      <c r="N1142" s="140"/>
      <c r="P1142" s="141"/>
    </row>
    <row r="1143" spans="1:16" x14ac:dyDescent="0.2">
      <c r="A1143" s="129"/>
      <c r="B1143" s="130"/>
      <c r="C1143" s="140"/>
      <c r="D1143" s="131"/>
      <c r="E1143" s="129"/>
      <c r="F1143" s="131"/>
      <c r="G1143" s="130"/>
      <c r="H1143" s="131"/>
      <c r="I1143" s="132"/>
      <c r="J1143" s="129"/>
      <c r="K1143" s="140"/>
      <c r="L1143" s="133"/>
      <c r="M1143" s="140"/>
      <c r="N1143" s="140"/>
      <c r="P1143" s="141"/>
    </row>
    <row r="1144" spans="1:16" x14ac:dyDescent="0.2">
      <c r="A1144" s="129"/>
      <c r="B1144" s="130"/>
      <c r="C1144" s="140"/>
      <c r="D1144" s="131"/>
      <c r="E1144" s="129"/>
      <c r="F1144" s="131"/>
      <c r="G1144" s="130"/>
      <c r="H1144" s="131"/>
      <c r="I1144" s="132"/>
      <c r="J1144" s="129"/>
      <c r="K1144" s="140"/>
      <c r="L1144" s="133"/>
      <c r="M1144" s="140"/>
      <c r="N1144" s="140"/>
      <c r="P1144" s="141"/>
    </row>
    <row r="1145" spans="1:16" x14ac:dyDescent="0.2">
      <c r="A1145" s="129"/>
      <c r="B1145" s="130"/>
      <c r="C1145" s="140"/>
      <c r="D1145" s="131"/>
      <c r="E1145" s="129"/>
      <c r="F1145" s="131"/>
      <c r="G1145" s="130"/>
      <c r="H1145" s="131"/>
      <c r="I1145" s="132"/>
      <c r="J1145" s="129"/>
      <c r="K1145" s="140"/>
      <c r="L1145" s="133"/>
      <c r="M1145" s="140"/>
      <c r="N1145" s="140"/>
      <c r="P1145" s="141"/>
    </row>
    <row r="1146" spans="1:16" x14ac:dyDescent="0.2">
      <c r="A1146" s="129"/>
      <c r="B1146" s="130"/>
      <c r="C1146" s="140"/>
      <c r="D1146" s="131"/>
      <c r="E1146" s="129"/>
      <c r="F1146" s="131"/>
      <c r="G1146" s="130"/>
      <c r="H1146" s="131"/>
      <c r="I1146" s="132"/>
      <c r="J1146" s="129"/>
      <c r="K1146" s="140"/>
      <c r="L1146" s="133"/>
      <c r="M1146" s="140"/>
      <c r="N1146" s="140"/>
      <c r="P1146" s="141"/>
    </row>
    <row r="1147" spans="1:16" x14ac:dyDescent="0.2">
      <c r="A1147" s="129"/>
      <c r="B1147" s="130"/>
      <c r="C1147" s="140"/>
      <c r="D1147" s="131"/>
      <c r="E1147" s="129"/>
      <c r="F1147" s="131"/>
      <c r="G1147" s="130"/>
      <c r="H1147" s="131"/>
      <c r="I1147" s="132"/>
      <c r="J1147" s="129"/>
      <c r="K1147" s="140"/>
      <c r="L1147" s="133"/>
      <c r="M1147" s="140"/>
      <c r="N1147" s="140"/>
      <c r="P1147" s="141"/>
    </row>
    <row r="1148" spans="1:16" x14ac:dyDescent="0.2">
      <c r="A1148" s="129"/>
      <c r="B1148" s="130"/>
      <c r="C1148" s="140"/>
      <c r="D1148" s="131"/>
      <c r="E1148" s="129"/>
      <c r="F1148" s="131"/>
      <c r="G1148" s="130"/>
      <c r="H1148" s="131"/>
      <c r="I1148" s="132"/>
      <c r="J1148" s="129"/>
      <c r="K1148" s="140"/>
      <c r="L1148" s="133"/>
      <c r="M1148" s="140"/>
      <c r="N1148" s="140"/>
      <c r="P1148" s="141"/>
    </row>
    <row r="1149" spans="1:16" x14ac:dyDescent="0.2">
      <c r="A1149" s="129"/>
      <c r="B1149" s="130"/>
      <c r="C1149" s="140"/>
      <c r="D1149" s="131"/>
      <c r="E1149" s="129"/>
      <c r="F1149" s="131"/>
      <c r="G1149" s="130"/>
      <c r="H1149" s="131"/>
      <c r="I1149" s="132"/>
      <c r="J1149" s="129"/>
      <c r="K1149" s="140"/>
      <c r="L1149" s="133"/>
      <c r="M1149" s="140"/>
      <c r="N1149" s="140"/>
      <c r="P1149" s="141"/>
    </row>
    <row r="1150" spans="1:16" x14ac:dyDescent="0.2">
      <c r="A1150" s="129"/>
      <c r="B1150" s="130"/>
      <c r="C1150" s="140"/>
      <c r="D1150" s="131"/>
      <c r="E1150" s="129"/>
      <c r="F1150" s="131"/>
      <c r="G1150" s="130"/>
      <c r="H1150" s="131"/>
      <c r="I1150" s="132"/>
      <c r="J1150" s="129"/>
      <c r="K1150" s="140"/>
      <c r="L1150" s="133"/>
      <c r="M1150" s="140"/>
      <c r="N1150" s="140"/>
      <c r="P1150" s="141"/>
    </row>
    <row r="1151" spans="1:16" x14ac:dyDescent="0.2">
      <c r="A1151" s="129"/>
      <c r="B1151" s="130"/>
      <c r="C1151" s="140"/>
      <c r="D1151" s="131"/>
      <c r="E1151" s="129"/>
      <c r="F1151" s="131"/>
      <c r="G1151" s="130"/>
      <c r="H1151" s="131"/>
      <c r="I1151" s="132"/>
      <c r="J1151" s="129"/>
      <c r="K1151" s="140"/>
      <c r="L1151" s="133"/>
      <c r="M1151" s="140"/>
      <c r="N1151" s="140"/>
      <c r="P1151" s="141"/>
    </row>
    <row r="1152" spans="1:16" x14ac:dyDescent="0.2">
      <c r="A1152" s="129"/>
      <c r="B1152" s="130"/>
      <c r="C1152" s="140"/>
      <c r="D1152" s="131"/>
      <c r="E1152" s="129"/>
      <c r="F1152" s="131"/>
      <c r="G1152" s="130"/>
      <c r="H1152" s="131"/>
      <c r="I1152" s="132"/>
      <c r="J1152" s="129"/>
      <c r="K1152" s="140"/>
      <c r="L1152" s="133"/>
      <c r="M1152" s="140"/>
      <c r="N1152" s="140"/>
      <c r="P1152" s="141"/>
    </row>
    <row r="1153" spans="1:16" x14ac:dyDescent="0.2">
      <c r="A1153" s="129"/>
      <c r="B1153" s="130"/>
      <c r="C1153" s="140"/>
      <c r="D1153" s="131"/>
      <c r="E1153" s="129"/>
      <c r="F1153" s="131"/>
      <c r="G1153" s="130"/>
      <c r="H1153" s="131"/>
      <c r="I1153" s="132"/>
      <c r="J1153" s="129"/>
      <c r="K1153" s="140"/>
      <c r="L1153" s="133"/>
      <c r="M1153" s="140"/>
      <c r="N1153" s="140"/>
      <c r="P1153" s="141"/>
    </row>
    <row r="1154" spans="1:16" x14ac:dyDescent="0.2">
      <c r="A1154" s="129"/>
      <c r="B1154" s="130"/>
      <c r="C1154" s="140"/>
      <c r="D1154" s="131"/>
      <c r="E1154" s="129"/>
      <c r="F1154" s="131"/>
      <c r="G1154" s="130"/>
      <c r="H1154" s="131"/>
      <c r="I1154" s="132"/>
      <c r="J1154" s="129"/>
      <c r="K1154" s="140"/>
      <c r="L1154" s="133"/>
      <c r="M1154" s="140"/>
      <c r="N1154" s="140"/>
      <c r="P1154" s="141"/>
    </row>
    <row r="1155" spans="1:16" x14ac:dyDescent="0.2">
      <c r="A1155" s="129"/>
      <c r="B1155" s="130"/>
      <c r="C1155" s="140"/>
      <c r="D1155" s="131"/>
      <c r="E1155" s="129"/>
      <c r="F1155" s="131"/>
      <c r="G1155" s="130"/>
      <c r="H1155" s="131"/>
      <c r="I1155" s="132"/>
      <c r="J1155" s="129"/>
      <c r="K1155" s="140"/>
      <c r="L1155" s="133"/>
      <c r="M1155" s="140"/>
      <c r="N1155" s="140"/>
      <c r="P1155" s="141"/>
    </row>
    <row r="1156" spans="1:16" x14ac:dyDescent="0.2">
      <c r="A1156" s="129"/>
      <c r="B1156" s="130"/>
      <c r="C1156" s="140"/>
      <c r="D1156" s="131"/>
      <c r="E1156" s="129"/>
      <c r="F1156" s="131"/>
      <c r="G1156" s="130"/>
      <c r="H1156" s="131"/>
      <c r="I1156" s="132"/>
      <c r="J1156" s="129"/>
      <c r="K1156" s="140"/>
      <c r="L1156" s="133"/>
      <c r="M1156" s="140"/>
      <c r="N1156" s="140"/>
      <c r="P1156" s="141"/>
    </row>
    <row r="1157" spans="1:16" x14ac:dyDescent="0.2">
      <c r="A1157" s="129"/>
      <c r="B1157" s="130"/>
      <c r="C1157" s="140"/>
      <c r="D1157" s="131"/>
      <c r="E1157" s="129"/>
      <c r="F1157" s="131"/>
      <c r="G1157" s="130"/>
      <c r="H1157" s="131"/>
      <c r="I1157" s="132"/>
      <c r="J1157" s="129"/>
      <c r="K1157" s="140"/>
      <c r="L1157" s="133"/>
      <c r="M1157" s="140"/>
      <c r="N1157" s="140"/>
      <c r="P1157" s="141"/>
    </row>
    <row r="1158" spans="1:16" x14ac:dyDescent="0.2">
      <c r="A1158" s="129"/>
      <c r="B1158" s="130"/>
      <c r="C1158" s="140"/>
      <c r="D1158" s="131"/>
      <c r="E1158" s="129"/>
      <c r="F1158" s="131"/>
      <c r="G1158" s="130"/>
      <c r="H1158" s="131"/>
      <c r="I1158" s="132"/>
      <c r="J1158" s="129"/>
      <c r="K1158" s="140"/>
      <c r="L1158" s="133"/>
      <c r="M1158" s="140"/>
      <c r="N1158" s="140"/>
      <c r="P1158" s="141"/>
    </row>
    <row r="1159" spans="1:16" x14ac:dyDescent="0.2">
      <c r="A1159" s="129"/>
      <c r="B1159" s="130"/>
      <c r="C1159" s="140"/>
      <c r="D1159" s="131"/>
      <c r="E1159" s="129"/>
      <c r="F1159" s="131"/>
      <c r="G1159" s="130"/>
      <c r="H1159" s="131"/>
      <c r="I1159" s="132"/>
      <c r="J1159" s="129"/>
      <c r="K1159" s="140"/>
      <c r="L1159" s="133"/>
      <c r="M1159" s="140"/>
      <c r="N1159" s="140"/>
      <c r="P1159" s="141"/>
    </row>
    <row r="1160" spans="1:16" x14ac:dyDescent="0.2">
      <c r="A1160" s="129"/>
      <c r="B1160" s="130"/>
      <c r="C1160" s="140"/>
      <c r="D1160" s="131"/>
      <c r="E1160" s="129"/>
      <c r="F1160" s="131"/>
      <c r="G1160" s="130"/>
      <c r="H1160" s="131"/>
      <c r="I1160" s="132"/>
      <c r="J1160" s="129"/>
      <c r="K1160" s="140"/>
      <c r="L1160" s="133"/>
      <c r="M1160" s="140"/>
      <c r="N1160" s="140"/>
      <c r="P1160" s="141"/>
    </row>
    <row r="1161" spans="1:16" x14ac:dyDescent="0.2">
      <c r="A1161" s="129"/>
      <c r="B1161" s="130"/>
      <c r="C1161" s="140"/>
      <c r="D1161" s="131"/>
      <c r="E1161" s="129"/>
      <c r="F1161" s="131"/>
      <c r="G1161" s="130"/>
      <c r="H1161" s="131"/>
      <c r="I1161" s="132"/>
      <c r="J1161" s="129"/>
      <c r="K1161" s="140"/>
      <c r="L1161" s="133"/>
      <c r="M1161" s="140"/>
      <c r="N1161" s="140"/>
      <c r="P1161" s="141"/>
    </row>
    <row r="1162" spans="1:16" x14ac:dyDescent="0.2">
      <c r="A1162" s="129"/>
      <c r="B1162" s="130"/>
      <c r="C1162" s="140"/>
      <c r="D1162" s="131"/>
      <c r="E1162" s="129"/>
      <c r="F1162" s="131"/>
      <c r="G1162" s="130"/>
      <c r="H1162" s="131"/>
      <c r="I1162" s="132"/>
      <c r="J1162" s="129"/>
      <c r="K1162" s="140"/>
      <c r="L1162" s="133"/>
      <c r="M1162" s="140"/>
      <c r="N1162" s="140"/>
      <c r="P1162" s="141"/>
    </row>
    <row r="1163" spans="1:16" x14ac:dyDescent="0.2">
      <c r="A1163" s="129"/>
      <c r="B1163" s="130"/>
      <c r="C1163" s="140"/>
      <c r="D1163" s="131"/>
      <c r="E1163" s="129"/>
      <c r="F1163" s="131"/>
      <c r="G1163" s="130"/>
      <c r="H1163" s="131"/>
      <c r="I1163" s="132"/>
      <c r="J1163" s="129"/>
      <c r="K1163" s="140"/>
      <c r="L1163" s="133"/>
      <c r="M1163" s="140"/>
      <c r="N1163" s="140"/>
      <c r="P1163" s="141"/>
    </row>
    <row r="1164" spans="1:16" x14ac:dyDescent="0.2">
      <c r="A1164" s="129"/>
      <c r="B1164" s="130"/>
      <c r="C1164" s="140"/>
      <c r="D1164" s="131"/>
      <c r="E1164" s="129"/>
      <c r="F1164" s="131"/>
      <c r="G1164" s="130"/>
      <c r="H1164" s="131"/>
      <c r="I1164" s="132"/>
      <c r="J1164" s="129"/>
      <c r="K1164" s="140"/>
      <c r="L1164" s="133"/>
      <c r="M1164" s="140"/>
      <c r="N1164" s="140"/>
      <c r="P1164" s="141"/>
    </row>
    <row r="1165" spans="1:16" x14ac:dyDescent="0.2">
      <c r="A1165" s="129"/>
      <c r="B1165" s="130"/>
      <c r="C1165" s="140"/>
      <c r="D1165" s="131"/>
      <c r="E1165" s="129"/>
      <c r="F1165" s="131"/>
      <c r="G1165" s="130"/>
      <c r="H1165" s="131"/>
      <c r="I1165" s="132"/>
      <c r="J1165" s="129"/>
      <c r="K1165" s="140"/>
      <c r="L1165" s="133"/>
      <c r="M1165" s="140"/>
      <c r="N1165" s="140"/>
      <c r="P1165" s="141"/>
    </row>
    <row r="1166" spans="1:16" x14ac:dyDescent="0.2">
      <c r="A1166" s="129"/>
      <c r="B1166" s="130"/>
      <c r="C1166" s="140"/>
      <c r="D1166" s="131"/>
      <c r="E1166" s="129"/>
      <c r="F1166" s="131"/>
      <c r="G1166" s="130"/>
      <c r="H1166" s="131"/>
      <c r="I1166" s="132"/>
      <c r="J1166" s="129"/>
      <c r="K1166" s="140"/>
      <c r="L1166" s="133"/>
      <c r="M1166" s="140"/>
      <c r="N1166" s="140"/>
      <c r="P1166" s="141"/>
    </row>
    <row r="1167" spans="1:16" x14ac:dyDescent="0.2">
      <c r="A1167" s="129"/>
      <c r="B1167" s="130"/>
      <c r="C1167" s="140"/>
      <c r="D1167" s="131"/>
      <c r="E1167" s="129"/>
      <c r="F1167" s="131"/>
      <c r="G1167" s="130"/>
      <c r="H1167" s="131"/>
      <c r="I1167" s="132"/>
      <c r="J1167" s="129"/>
      <c r="K1167" s="140"/>
      <c r="L1167" s="133"/>
      <c r="M1167" s="140"/>
      <c r="N1167" s="140"/>
      <c r="P1167" s="141"/>
    </row>
    <row r="1168" spans="1:16" x14ac:dyDescent="0.2">
      <c r="A1168" s="129"/>
      <c r="B1168" s="130"/>
      <c r="C1168" s="140"/>
      <c r="D1168" s="131"/>
      <c r="E1168" s="129"/>
      <c r="F1168" s="131"/>
      <c r="G1168" s="130"/>
      <c r="H1168" s="131"/>
      <c r="I1168" s="132"/>
      <c r="J1168" s="129"/>
      <c r="K1168" s="140"/>
      <c r="L1168" s="133"/>
      <c r="M1168" s="140"/>
      <c r="N1168" s="140"/>
      <c r="P1168" s="141"/>
    </row>
    <row r="1169" spans="1:16" x14ac:dyDescent="0.2">
      <c r="A1169" s="129"/>
      <c r="B1169" s="130"/>
      <c r="C1169" s="140"/>
      <c r="D1169" s="131"/>
      <c r="E1169" s="129"/>
      <c r="F1169" s="131"/>
      <c r="G1169" s="130"/>
      <c r="H1169" s="131"/>
      <c r="I1169" s="132"/>
      <c r="J1169" s="129"/>
      <c r="K1169" s="140"/>
      <c r="L1169" s="133"/>
      <c r="M1169" s="140"/>
      <c r="N1169" s="140"/>
      <c r="P1169" s="141"/>
    </row>
    <row r="1170" spans="1:16" x14ac:dyDescent="0.2">
      <c r="A1170" s="129"/>
      <c r="B1170" s="130"/>
      <c r="C1170" s="140"/>
      <c r="D1170" s="131"/>
      <c r="E1170" s="129"/>
      <c r="F1170" s="131"/>
      <c r="G1170" s="130"/>
      <c r="H1170" s="131"/>
      <c r="I1170" s="132"/>
      <c r="J1170" s="129"/>
      <c r="K1170" s="140"/>
      <c r="L1170" s="133"/>
      <c r="M1170" s="140"/>
      <c r="N1170" s="140"/>
      <c r="P1170" s="141"/>
    </row>
    <row r="1171" spans="1:16" x14ac:dyDescent="0.2">
      <c r="A1171" s="129"/>
      <c r="B1171" s="130"/>
      <c r="C1171" s="140"/>
      <c r="D1171" s="131"/>
      <c r="E1171" s="129"/>
      <c r="F1171" s="131"/>
      <c r="G1171" s="130"/>
      <c r="H1171" s="131"/>
      <c r="I1171" s="132"/>
      <c r="J1171" s="129"/>
      <c r="K1171" s="140"/>
      <c r="L1171" s="133"/>
      <c r="M1171" s="140"/>
      <c r="N1171" s="140"/>
      <c r="P1171" s="141"/>
    </row>
    <row r="1172" spans="1:16" x14ac:dyDescent="0.2">
      <c r="A1172" s="129"/>
      <c r="B1172" s="130"/>
      <c r="C1172" s="140"/>
      <c r="D1172" s="131"/>
      <c r="E1172" s="129"/>
      <c r="F1172" s="131"/>
      <c r="G1172" s="130"/>
      <c r="H1172" s="131"/>
      <c r="I1172" s="132"/>
      <c r="J1172" s="129"/>
      <c r="K1172" s="140"/>
      <c r="L1172" s="133"/>
      <c r="M1172" s="140"/>
      <c r="N1172" s="140"/>
      <c r="P1172" s="141"/>
    </row>
    <row r="1173" spans="1:16" x14ac:dyDescent="0.2">
      <c r="A1173" s="129"/>
      <c r="B1173" s="130"/>
      <c r="C1173" s="140"/>
      <c r="D1173" s="131"/>
      <c r="E1173" s="129"/>
      <c r="F1173" s="131"/>
      <c r="G1173" s="130"/>
      <c r="H1173" s="131"/>
      <c r="I1173" s="132"/>
      <c r="J1173" s="129"/>
      <c r="K1173" s="140"/>
      <c r="L1173" s="133"/>
      <c r="M1173" s="140"/>
      <c r="N1173" s="140"/>
      <c r="P1173" s="141"/>
    </row>
    <row r="1174" spans="1:16" x14ac:dyDescent="0.2">
      <c r="A1174" s="129"/>
      <c r="B1174" s="130"/>
      <c r="C1174" s="140"/>
      <c r="D1174" s="131"/>
      <c r="E1174" s="129"/>
      <c r="F1174" s="131"/>
      <c r="G1174" s="130"/>
      <c r="H1174" s="131"/>
      <c r="I1174" s="132"/>
      <c r="J1174" s="129"/>
      <c r="K1174" s="140"/>
      <c r="L1174" s="133"/>
      <c r="M1174" s="140"/>
      <c r="N1174" s="140"/>
      <c r="P1174" s="141"/>
    </row>
    <row r="1175" spans="1:16" x14ac:dyDescent="0.2">
      <c r="A1175" s="129"/>
      <c r="B1175" s="130"/>
      <c r="C1175" s="140"/>
      <c r="D1175" s="131"/>
      <c r="E1175" s="129"/>
      <c r="F1175" s="131"/>
      <c r="G1175" s="130"/>
      <c r="H1175" s="131"/>
      <c r="I1175" s="132"/>
      <c r="J1175" s="129"/>
      <c r="K1175" s="140"/>
      <c r="L1175" s="133"/>
      <c r="M1175" s="140"/>
      <c r="N1175" s="140"/>
      <c r="P1175" s="141"/>
    </row>
    <row r="1176" spans="1:16" x14ac:dyDescent="0.2">
      <c r="A1176" s="129"/>
      <c r="B1176" s="130"/>
      <c r="C1176" s="140"/>
      <c r="D1176" s="131"/>
      <c r="E1176" s="129"/>
      <c r="F1176" s="131"/>
      <c r="G1176" s="130"/>
      <c r="H1176" s="131"/>
      <c r="I1176" s="132"/>
      <c r="J1176" s="129"/>
      <c r="K1176" s="140"/>
      <c r="L1176" s="133"/>
      <c r="M1176" s="140"/>
      <c r="N1176" s="140"/>
      <c r="P1176" s="141"/>
    </row>
    <row r="1177" spans="1:16" x14ac:dyDescent="0.2">
      <c r="A1177" s="129"/>
      <c r="B1177" s="130"/>
      <c r="C1177" s="140"/>
      <c r="D1177" s="131"/>
      <c r="E1177" s="129"/>
      <c r="F1177" s="131"/>
      <c r="G1177" s="130"/>
      <c r="H1177" s="131"/>
      <c r="I1177" s="132"/>
      <c r="J1177" s="129"/>
      <c r="K1177" s="140"/>
      <c r="L1177" s="133"/>
      <c r="M1177" s="140"/>
      <c r="N1177" s="140"/>
      <c r="P1177" s="141"/>
    </row>
    <row r="1178" spans="1:16" x14ac:dyDescent="0.2">
      <c r="A1178" s="129"/>
      <c r="B1178" s="130"/>
      <c r="C1178" s="140"/>
      <c r="D1178" s="131"/>
      <c r="E1178" s="129"/>
      <c r="F1178" s="131"/>
      <c r="G1178" s="130"/>
      <c r="H1178" s="131"/>
      <c r="I1178" s="132"/>
      <c r="J1178" s="129"/>
      <c r="K1178" s="140"/>
      <c r="L1178" s="133"/>
      <c r="M1178" s="140"/>
      <c r="N1178" s="140"/>
      <c r="P1178" s="141"/>
    </row>
    <row r="1179" spans="1:16" x14ac:dyDescent="0.2">
      <c r="A1179" s="129"/>
      <c r="B1179" s="130"/>
      <c r="C1179" s="140"/>
      <c r="D1179" s="131"/>
      <c r="E1179" s="129"/>
      <c r="F1179" s="131"/>
      <c r="G1179" s="130"/>
      <c r="H1179" s="131"/>
      <c r="I1179" s="132"/>
      <c r="J1179" s="129"/>
      <c r="K1179" s="140"/>
      <c r="L1179" s="133"/>
      <c r="M1179" s="140"/>
      <c r="N1179" s="140"/>
      <c r="P1179" s="141"/>
    </row>
    <row r="1180" spans="1:16" x14ac:dyDescent="0.2">
      <c r="A1180" s="129"/>
      <c r="B1180" s="130"/>
      <c r="C1180" s="140"/>
      <c r="D1180" s="131"/>
      <c r="E1180" s="129"/>
      <c r="F1180" s="131"/>
      <c r="G1180" s="130"/>
      <c r="H1180" s="131"/>
      <c r="I1180" s="132"/>
      <c r="J1180" s="129"/>
      <c r="K1180" s="140"/>
      <c r="L1180" s="133"/>
      <c r="M1180" s="140"/>
      <c r="N1180" s="140"/>
      <c r="P1180" s="141"/>
    </row>
    <row r="1181" spans="1:16" x14ac:dyDescent="0.2">
      <c r="A1181" s="129"/>
      <c r="B1181" s="130"/>
      <c r="C1181" s="140"/>
      <c r="D1181" s="131"/>
      <c r="E1181" s="129"/>
      <c r="F1181" s="131"/>
      <c r="G1181" s="130"/>
      <c r="H1181" s="131"/>
      <c r="I1181" s="132"/>
      <c r="J1181" s="129"/>
      <c r="K1181" s="140"/>
      <c r="L1181" s="133"/>
      <c r="M1181" s="140"/>
      <c r="N1181" s="140"/>
      <c r="P1181" s="141"/>
    </row>
    <row r="1182" spans="1:16" x14ac:dyDescent="0.2">
      <c r="A1182" s="129"/>
      <c r="B1182" s="130"/>
      <c r="C1182" s="140"/>
      <c r="D1182" s="131"/>
      <c r="E1182" s="129"/>
      <c r="F1182" s="131"/>
      <c r="G1182" s="130"/>
      <c r="H1182" s="131"/>
      <c r="I1182" s="132"/>
      <c r="J1182" s="129"/>
      <c r="K1182" s="140"/>
      <c r="L1182" s="133"/>
      <c r="M1182" s="140"/>
      <c r="N1182" s="140"/>
      <c r="P1182" s="141"/>
    </row>
    <row r="1183" spans="1:16" x14ac:dyDescent="0.2">
      <c r="A1183" s="129"/>
      <c r="B1183" s="130"/>
      <c r="C1183" s="140"/>
      <c r="D1183" s="131"/>
      <c r="E1183" s="129"/>
      <c r="F1183" s="131"/>
      <c r="G1183" s="130"/>
      <c r="H1183" s="131"/>
      <c r="I1183" s="132"/>
      <c r="J1183" s="129"/>
      <c r="K1183" s="140"/>
      <c r="L1183" s="133"/>
      <c r="M1183" s="140"/>
      <c r="N1183" s="140"/>
      <c r="P1183" s="141"/>
    </row>
    <row r="1184" spans="1:16" x14ac:dyDescent="0.2">
      <c r="A1184" s="129"/>
      <c r="B1184" s="130"/>
      <c r="C1184" s="140"/>
      <c r="D1184" s="131"/>
      <c r="E1184" s="129"/>
      <c r="F1184" s="131"/>
      <c r="G1184" s="130"/>
      <c r="H1184" s="131"/>
      <c r="I1184" s="132"/>
      <c r="J1184" s="129"/>
      <c r="K1184" s="140"/>
      <c r="L1184" s="133"/>
      <c r="M1184" s="140"/>
      <c r="N1184" s="140"/>
      <c r="P1184" s="141"/>
    </row>
    <row r="1185" spans="1:16" x14ac:dyDescent="0.2">
      <c r="A1185" s="129"/>
      <c r="B1185" s="130"/>
      <c r="C1185" s="140"/>
      <c r="D1185" s="131"/>
      <c r="E1185" s="129"/>
      <c r="F1185" s="131"/>
      <c r="G1185" s="130"/>
      <c r="H1185" s="131"/>
      <c r="I1185" s="132"/>
      <c r="J1185" s="129"/>
      <c r="K1185" s="140"/>
      <c r="L1185" s="133"/>
      <c r="M1185" s="140"/>
      <c r="N1185" s="140"/>
      <c r="P1185" s="141"/>
    </row>
    <row r="1186" spans="1:16" x14ac:dyDescent="0.2">
      <c r="A1186" s="129"/>
      <c r="B1186" s="130"/>
      <c r="C1186" s="140"/>
      <c r="D1186" s="131"/>
      <c r="E1186" s="129"/>
      <c r="F1186" s="131"/>
      <c r="G1186" s="130"/>
      <c r="H1186" s="131"/>
      <c r="I1186" s="132"/>
      <c r="J1186" s="129"/>
      <c r="K1186" s="140"/>
      <c r="L1186" s="133"/>
      <c r="M1186" s="140"/>
      <c r="N1186" s="140"/>
      <c r="P1186" s="141"/>
    </row>
    <row r="1187" spans="1:16" x14ac:dyDescent="0.2">
      <c r="A1187" s="129"/>
      <c r="B1187" s="130"/>
      <c r="C1187" s="140"/>
      <c r="D1187" s="131"/>
      <c r="E1187" s="129"/>
      <c r="F1187" s="131"/>
      <c r="G1187" s="130"/>
      <c r="H1187" s="131"/>
      <c r="I1187" s="132"/>
      <c r="J1187" s="129"/>
      <c r="K1187" s="140"/>
      <c r="L1187" s="133"/>
      <c r="M1187" s="140"/>
      <c r="N1187" s="140"/>
      <c r="P1187" s="141"/>
    </row>
    <row r="1188" spans="1:16" x14ac:dyDescent="0.2">
      <c r="A1188" s="129"/>
      <c r="B1188" s="130"/>
      <c r="C1188" s="140"/>
      <c r="D1188" s="131"/>
      <c r="E1188" s="129"/>
      <c r="F1188" s="131"/>
      <c r="G1188" s="130"/>
      <c r="H1188" s="131"/>
      <c r="I1188" s="132"/>
      <c r="J1188" s="129"/>
      <c r="K1188" s="140"/>
      <c r="L1188" s="133"/>
      <c r="M1188" s="140"/>
      <c r="N1188" s="140"/>
      <c r="P1188" s="141"/>
    </row>
    <row r="1189" spans="1:16" x14ac:dyDescent="0.2">
      <c r="A1189" s="129"/>
      <c r="B1189" s="130"/>
      <c r="C1189" s="140"/>
      <c r="D1189" s="131"/>
      <c r="E1189" s="129"/>
      <c r="F1189" s="131"/>
      <c r="G1189" s="130"/>
      <c r="H1189" s="131"/>
      <c r="I1189" s="132"/>
      <c r="J1189" s="129"/>
      <c r="K1189" s="140"/>
      <c r="L1189" s="133"/>
      <c r="M1189" s="140"/>
      <c r="N1189" s="140"/>
      <c r="P1189" s="141"/>
    </row>
    <row r="1190" spans="1:16" x14ac:dyDescent="0.2">
      <c r="A1190" s="129"/>
      <c r="B1190" s="130"/>
      <c r="C1190" s="140"/>
      <c r="D1190" s="131"/>
      <c r="E1190" s="129"/>
      <c r="F1190" s="131"/>
      <c r="G1190" s="130"/>
      <c r="H1190" s="131"/>
      <c r="I1190" s="132"/>
      <c r="J1190" s="129"/>
      <c r="K1190" s="140"/>
      <c r="L1190" s="133"/>
      <c r="M1190" s="140"/>
      <c r="N1190" s="140"/>
      <c r="P1190" s="141"/>
    </row>
    <row r="1191" spans="1:16" x14ac:dyDescent="0.2">
      <c r="A1191" s="129"/>
      <c r="B1191" s="130"/>
      <c r="C1191" s="140"/>
      <c r="D1191" s="131"/>
      <c r="E1191" s="129"/>
      <c r="F1191" s="131"/>
      <c r="G1191" s="130"/>
      <c r="H1191" s="131"/>
      <c r="I1191" s="132"/>
      <c r="J1191" s="129"/>
      <c r="K1191" s="140"/>
      <c r="L1191" s="133"/>
      <c r="M1191" s="140"/>
      <c r="N1191" s="140"/>
      <c r="P1191" s="141"/>
    </row>
    <row r="1192" spans="1:16" x14ac:dyDescent="0.2">
      <c r="A1192" s="129"/>
      <c r="B1192" s="130"/>
      <c r="C1192" s="140"/>
      <c r="D1192" s="131"/>
      <c r="E1192" s="129"/>
      <c r="F1192" s="131"/>
      <c r="G1192" s="130"/>
      <c r="H1192" s="131"/>
      <c r="I1192" s="132"/>
      <c r="J1192" s="129"/>
      <c r="K1192" s="140"/>
      <c r="L1192" s="133"/>
      <c r="M1192" s="140"/>
      <c r="N1192" s="140"/>
      <c r="P1192" s="141"/>
    </row>
    <row r="1193" spans="1:16" x14ac:dyDescent="0.2">
      <c r="A1193" s="129"/>
      <c r="B1193" s="130"/>
      <c r="C1193" s="140"/>
      <c r="D1193" s="131"/>
      <c r="E1193" s="129"/>
      <c r="F1193" s="131"/>
      <c r="G1193" s="130"/>
      <c r="H1193" s="131"/>
      <c r="I1193" s="132"/>
      <c r="J1193" s="129"/>
      <c r="K1193" s="140"/>
      <c r="L1193" s="133"/>
      <c r="M1193" s="140"/>
      <c r="N1193" s="140"/>
      <c r="P1193" s="141"/>
    </row>
    <row r="1194" spans="1:16" x14ac:dyDescent="0.2">
      <c r="A1194" s="129"/>
      <c r="B1194" s="130"/>
      <c r="C1194" s="140"/>
      <c r="D1194" s="131"/>
      <c r="E1194" s="129"/>
      <c r="F1194" s="131"/>
      <c r="G1194" s="130"/>
      <c r="H1194" s="131"/>
      <c r="I1194" s="132"/>
      <c r="J1194" s="129"/>
      <c r="K1194" s="140"/>
      <c r="L1194" s="133"/>
      <c r="M1194" s="140"/>
      <c r="N1194" s="140"/>
      <c r="P1194" s="141"/>
    </row>
    <row r="1195" spans="1:16" x14ac:dyDescent="0.2">
      <c r="A1195" s="129"/>
      <c r="B1195" s="130"/>
      <c r="C1195" s="140"/>
      <c r="D1195" s="131"/>
      <c r="E1195" s="129"/>
      <c r="F1195" s="131"/>
      <c r="G1195" s="130"/>
      <c r="H1195" s="131"/>
      <c r="I1195" s="132"/>
      <c r="J1195" s="129"/>
      <c r="K1195" s="140"/>
      <c r="L1195" s="133"/>
      <c r="M1195" s="140"/>
      <c r="N1195" s="140"/>
      <c r="P1195" s="141"/>
    </row>
    <row r="1196" spans="1:16" x14ac:dyDescent="0.2">
      <c r="A1196" s="129"/>
      <c r="B1196" s="130"/>
      <c r="C1196" s="140"/>
      <c r="D1196" s="131"/>
      <c r="E1196" s="129"/>
      <c r="F1196" s="131"/>
      <c r="G1196" s="130"/>
      <c r="H1196" s="131"/>
      <c r="I1196" s="132"/>
      <c r="J1196" s="129"/>
      <c r="K1196" s="140"/>
      <c r="L1196" s="133"/>
      <c r="M1196" s="140"/>
      <c r="N1196" s="140"/>
      <c r="P1196" s="141"/>
    </row>
    <row r="1197" spans="1:16" x14ac:dyDescent="0.2">
      <c r="A1197" s="129"/>
      <c r="B1197" s="130"/>
      <c r="C1197" s="140"/>
      <c r="D1197" s="131"/>
      <c r="E1197" s="129"/>
      <c r="F1197" s="131"/>
      <c r="G1197" s="130"/>
      <c r="H1197" s="131"/>
      <c r="I1197" s="132"/>
      <c r="J1197" s="129"/>
      <c r="K1197" s="140"/>
      <c r="L1197" s="133"/>
      <c r="M1197" s="140"/>
      <c r="N1197" s="140"/>
      <c r="P1197" s="141"/>
    </row>
    <row r="1198" spans="1:16" x14ac:dyDescent="0.2">
      <c r="A1198" s="129"/>
      <c r="B1198" s="130"/>
      <c r="C1198" s="140"/>
      <c r="D1198" s="131"/>
      <c r="E1198" s="129"/>
      <c r="F1198" s="131"/>
      <c r="G1198" s="130"/>
      <c r="H1198" s="131"/>
      <c r="I1198" s="132"/>
      <c r="J1198" s="129"/>
      <c r="K1198" s="140"/>
      <c r="L1198" s="133"/>
      <c r="M1198" s="140"/>
      <c r="N1198" s="140"/>
      <c r="P1198" s="141"/>
    </row>
    <row r="1199" spans="1:16" x14ac:dyDescent="0.2">
      <c r="A1199" s="129"/>
      <c r="B1199" s="130"/>
      <c r="C1199" s="140"/>
      <c r="D1199" s="131"/>
      <c r="E1199" s="129"/>
      <c r="F1199" s="131"/>
      <c r="G1199" s="130"/>
      <c r="H1199" s="131"/>
      <c r="I1199" s="132"/>
      <c r="J1199" s="129"/>
      <c r="K1199" s="140"/>
      <c r="L1199" s="133"/>
      <c r="M1199" s="140"/>
      <c r="N1199" s="140"/>
      <c r="P1199" s="141"/>
    </row>
    <row r="1200" spans="1:16" x14ac:dyDescent="0.2">
      <c r="A1200" s="129"/>
      <c r="B1200" s="130"/>
      <c r="C1200" s="140"/>
      <c r="D1200" s="131"/>
      <c r="E1200" s="129"/>
      <c r="F1200" s="131"/>
      <c r="G1200" s="130"/>
      <c r="H1200" s="131"/>
      <c r="I1200" s="132"/>
      <c r="J1200" s="129"/>
      <c r="K1200" s="140"/>
      <c r="L1200" s="133"/>
      <c r="M1200" s="140"/>
      <c r="N1200" s="140"/>
      <c r="P1200" s="141"/>
    </row>
    <row r="1201" spans="1:16" x14ac:dyDescent="0.2">
      <c r="A1201" s="129"/>
      <c r="B1201" s="130"/>
      <c r="C1201" s="140"/>
      <c r="D1201" s="131"/>
      <c r="E1201" s="129"/>
      <c r="F1201" s="131"/>
      <c r="G1201" s="130"/>
      <c r="H1201" s="131"/>
      <c r="I1201" s="132"/>
      <c r="J1201" s="129"/>
      <c r="K1201" s="140"/>
      <c r="L1201" s="133"/>
      <c r="M1201" s="140"/>
      <c r="N1201" s="140"/>
      <c r="P1201" s="141"/>
    </row>
    <row r="1202" spans="1:16" x14ac:dyDescent="0.2">
      <c r="A1202" s="129"/>
      <c r="B1202" s="130"/>
      <c r="C1202" s="140"/>
      <c r="D1202" s="131"/>
      <c r="E1202" s="129"/>
      <c r="F1202" s="131"/>
      <c r="G1202" s="130"/>
      <c r="H1202" s="131"/>
      <c r="I1202" s="132"/>
      <c r="J1202" s="129"/>
      <c r="K1202" s="140"/>
      <c r="L1202" s="133"/>
      <c r="M1202" s="140"/>
      <c r="N1202" s="140"/>
      <c r="P1202" s="141"/>
    </row>
    <row r="1203" spans="1:16" x14ac:dyDescent="0.2">
      <c r="A1203" s="129"/>
      <c r="B1203" s="130"/>
      <c r="C1203" s="140"/>
      <c r="D1203" s="131"/>
      <c r="E1203" s="129"/>
      <c r="F1203" s="131"/>
      <c r="G1203" s="130"/>
      <c r="H1203" s="131"/>
      <c r="I1203" s="132"/>
      <c r="J1203" s="129"/>
      <c r="K1203" s="140"/>
      <c r="L1203" s="133"/>
      <c r="M1203" s="140"/>
      <c r="N1203" s="140"/>
      <c r="P1203" s="141"/>
    </row>
    <row r="1204" spans="1:16" x14ac:dyDescent="0.2">
      <c r="A1204" s="129"/>
      <c r="B1204" s="130"/>
      <c r="C1204" s="140"/>
      <c r="D1204" s="131"/>
      <c r="E1204" s="129"/>
      <c r="F1204" s="131"/>
      <c r="G1204" s="130"/>
      <c r="H1204" s="131"/>
      <c r="I1204" s="132"/>
      <c r="J1204" s="129"/>
      <c r="K1204" s="140"/>
      <c r="L1204" s="133"/>
      <c r="M1204" s="140"/>
      <c r="N1204" s="140"/>
      <c r="P1204" s="141"/>
    </row>
    <row r="1205" spans="1:16" x14ac:dyDescent="0.2">
      <c r="A1205" s="129"/>
      <c r="B1205" s="130"/>
      <c r="C1205" s="140"/>
      <c r="D1205" s="131"/>
      <c r="E1205" s="129"/>
      <c r="F1205" s="131"/>
      <c r="G1205" s="130"/>
      <c r="H1205" s="131"/>
      <c r="I1205" s="132"/>
      <c r="J1205" s="129"/>
      <c r="K1205" s="140"/>
      <c r="L1205" s="133"/>
      <c r="M1205" s="140"/>
      <c r="N1205" s="140"/>
      <c r="P1205" s="141"/>
    </row>
    <row r="1206" spans="1:16" x14ac:dyDescent="0.2">
      <c r="A1206" s="129"/>
      <c r="B1206" s="130"/>
      <c r="C1206" s="140"/>
      <c r="D1206" s="131"/>
      <c r="E1206" s="129"/>
      <c r="F1206" s="131"/>
      <c r="G1206" s="130"/>
      <c r="H1206" s="131"/>
      <c r="I1206" s="132"/>
      <c r="J1206" s="129"/>
      <c r="K1206" s="140"/>
      <c r="L1206" s="133"/>
      <c r="M1206" s="140"/>
      <c r="N1206" s="140"/>
      <c r="P1206" s="141"/>
    </row>
    <row r="1207" spans="1:16" x14ac:dyDescent="0.2">
      <c r="A1207" s="129"/>
      <c r="B1207" s="130"/>
      <c r="C1207" s="140"/>
      <c r="D1207" s="131"/>
      <c r="E1207" s="129"/>
      <c r="F1207" s="131"/>
      <c r="G1207" s="130"/>
      <c r="H1207" s="131"/>
      <c r="I1207" s="132"/>
      <c r="J1207" s="129"/>
      <c r="K1207" s="140"/>
      <c r="L1207" s="133"/>
      <c r="M1207" s="140"/>
      <c r="N1207" s="140"/>
      <c r="P1207" s="141"/>
    </row>
    <row r="1208" spans="1:16" x14ac:dyDescent="0.2">
      <c r="A1208" s="129"/>
      <c r="B1208" s="130"/>
      <c r="C1208" s="140"/>
      <c r="D1208" s="131"/>
      <c r="E1208" s="129"/>
      <c r="F1208" s="131"/>
      <c r="G1208" s="130"/>
      <c r="H1208" s="131"/>
      <c r="I1208" s="132"/>
      <c r="J1208" s="129"/>
      <c r="K1208" s="140"/>
      <c r="L1208" s="133"/>
      <c r="M1208" s="140"/>
      <c r="N1208" s="140"/>
      <c r="P1208" s="141"/>
    </row>
    <row r="1209" spans="1:16" x14ac:dyDescent="0.2">
      <c r="A1209" s="129"/>
      <c r="B1209" s="130"/>
      <c r="C1209" s="140"/>
      <c r="D1209" s="131"/>
      <c r="E1209" s="129"/>
      <c r="F1209" s="131"/>
      <c r="G1209" s="130"/>
      <c r="H1209" s="131"/>
      <c r="I1209" s="132"/>
      <c r="J1209" s="129"/>
      <c r="K1209" s="140"/>
      <c r="L1209" s="133"/>
      <c r="M1209" s="140"/>
      <c r="N1209" s="140"/>
      <c r="P1209" s="141"/>
    </row>
    <row r="1210" spans="1:16" x14ac:dyDescent="0.2">
      <c r="A1210" s="129"/>
      <c r="B1210" s="130"/>
      <c r="C1210" s="140"/>
      <c r="D1210" s="131"/>
      <c r="E1210" s="129"/>
      <c r="F1210" s="131"/>
      <c r="G1210" s="130"/>
      <c r="H1210" s="131"/>
      <c r="I1210" s="132"/>
      <c r="J1210" s="129"/>
      <c r="K1210" s="140"/>
      <c r="L1210" s="133"/>
      <c r="M1210" s="140"/>
      <c r="N1210" s="140"/>
      <c r="P1210" s="141"/>
    </row>
    <row r="1211" spans="1:16" x14ac:dyDescent="0.2">
      <c r="A1211" s="129"/>
      <c r="B1211" s="130"/>
      <c r="C1211" s="140"/>
      <c r="D1211" s="131"/>
      <c r="E1211" s="129"/>
      <c r="F1211" s="131"/>
      <c r="G1211" s="130"/>
      <c r="H1211" s="131"/>
      <c r="I1211" s="132"/>
      <c r="J1211" s="129"/>
      <c r="K1211" s="140"/>
      <c r="L1211" s="133"/>
      <c r="M1211" s="140"/>
      <c r="N1211" s="140"/>
      <c r="P1211" s="141"/>
    </row>
    <row r="1212" spans="1:16" x14ac:dyDescent="0.2">
      <c r="A1212" s="129"/>
      <c r="B1212" s="130"/>
      <c r="C1212" s="140"/>
      <c r="D1212" s="131"/>
      <c r="E1212" s="129"/>
      <c r="F1212" s="131"/>
      <c r="G1212" s="130"/>
      <c r="H1212" s="131"/>
      <c r="I1212" s="132"/>
      <c r="J1212" s="129"/>
      <c r="K1212" s="140"/>
      <c r="L1212" s="133"/>
      <c r="M1212" s="140"/>
      <c r="N1212" s="140"/>
      <c r="P1212" s="141"/>
    </row>
    <row r="1213" spans="1:16" x14ac:dyDescent="0.2">
      <c r="A1213" s="129"/>
      <c r="B1213" s="130"/>
      <c r="C1213" s="140"/>
      <c r="D1213" s="131"/>
      <c r="E1213" s="129"/>
      <c r="F1213" s="131"/>
      <c r="G1213" s="130"/>
      <c r="H1213" s="131"/>
      <c r="I1213" s="132"/>
      <c r="J1213" s="129"/>
      <c r="K1213" s="140"/>
      <c r="L1213" s="133"/>
      <c r="M1213" s="140"/>
      <c r="N1213" s="140"/>
      <c r="P1213" s="141"/>
    </row>
    <row r="1214" spans="1:16" x14ac:dyDescent="0.2">
      <c r="A1214" s="129"/>
      <c r="B1214" s="130"/>
      <c r="C1214" s="140"/>
      <c r="D1214" s="131"/>
      <c r="E1214" s="129"/>
      <c r="F1214" s="131"/>
      <c r="G1214" s="130"/>
      <c r="H1214" s="131"/>
      <c r="I1214" s="132"/>
      <c r="J1214" s="129"/>
      <c r="K1214" s="140"/>
      <c r="L1214" s="133"/>
      <c r="M1214" s="140"/>
      <c r="N1214" s="140"/>
      <c r="P1214" s="141"/>
    </row>
    <row r="1215" spans="1:16" x14ac:dyDescent="0.2">
      <c r="A1215" s="129"/>
      <c r="B1215" s="130"/>
      <c r="C1215" s="140"/>
      <c r="D1215" s="131"/>
      <c r="E1215" s="129"/>
      <c r="F1215" s="131"/>
      <c r="G1215" s="130"/>
      <c r="H1215" s="131"/>
      <c r="I1215" s="132"/>
      <c r="J1215" s="129"/>
      <c r="K1215" s="140"/>
      <c r="L1215" s="133"/>
      <c r="M1215" s="140"/>
      <c r="N1215" s="140"/>
      <c r="P1215" s="141"/>
    </row>
    <row r="1216" spans="1:16" x14ac:dyDescent="0.2">
      <c r="A1216" s="129"/>
      <c r="B1216" s="130"/>
      <c r="C1216" s="140"/>
      <c r="D1216" s="131"/>
      <c r="E1216" s="129"/>
      <c r="F1216" s="131"/>
      <c r="G1216" s="130"/>
      <c r="H1216" s="131"/>
      <c r="I1216" s="132"/>
      <c r="J1216" s="129"/>
      <c r="K1216" s="140"/>
      <c r="L1216" s="133"/>
      <c r="M1216" s="140"/>
      <c r="N1216" s="140"/>
      <c r="P1216" s="141"/>
    </row>
    <row r="1217" spans="1:16" x14ac:dyDescent="0.2">
      <c r="A1217" s="129"/>
      <c r="B1217" s="130"/>
      <c r="C1217" s="140"/>
      <c r="D1217" s="131"/>
      <c r="E1217" s="129"/>
      <c r="F1217" s="131"/>
      <c r="G1217" s="130"/>
      <c r="H1217" s="131"/>
      <c r="I1217" s="132"/>
      <c r="J1217" s="129"/>
      <c r="K1217" s="140"/>
      <c r="L1217" s="133"/>
      <c r="M1217" s="140"/>
      <c r="N1217" s="140"/>
      <c r="P1217" s="141"/>
    </row>
    <row r="1218" spans="1:16" x14ac:dyDescent="0.2">
      <c r="A1218" s="129"/>
      <c r="B1218" s="130"/>
      <c r="C1218" s="140"/>
      <c r="D1218" s="131"/>
      <c r="E1218" s="129"/>
      <c r="F1218" s="131"/>
      <c r="G1218" s="130"/>
      <c r="H1218" s="131"/>
      <c r="I1218" s="132"/>
      <c r="J1218" s="129"/>
      <c r="K1218" s="140"/>
      <c r="L1218" s="133"/>
      <c r="M1218" s="140"/>
      <c r="N1218" s="140"/>
      <c r="P1218" s="141"/>
    </row>
    <row r="1219" spans="1:16" x14ac:dyDescent="0.2">
      <c r="A1219" s="129"/>
      <c r="B1219" s="130"/>
      <c r="C1219" s="140"/>
      <c r="D1219" s="131"/>
      <c r="E1219" s="129"/>
      <c r="F1219" s="131"/>
      <c r="G1219" s="130"/>
      <c r="H1219" s="131"/>
      <c r="I1219" s="132"/>
      <c r="J1219" s="129"/>
      <c r="K1219" s="140"/>
      <c r="L1219" s="133"/>
      <c r="M1219" s="140"/>
      <c r="N1219" s="140"/>
      <c r="P1219" s="141"/>
    </row>
    <row r="1220" spans="1:16" x14ac:dyDescent="0.2">
      <c r="A1220" s="129"/>
      <c r="B1220" s="130"/>
      <c r="C1220" s="140"/>
      <c r="D1220" s="131"/>
      <c r="E1220" s="129"/>
      <c r="F1220" s="131"/>
      <c r="G1220" s="130"/>
      <c r="H1220" s="131"/>
      <c r="I1220" s="132"/>
      <c r="J1220" s="129"/>
      <c r="K1220" s="140"/>
      <c r="L1220" s="133"/>
      <c r="M1220" s="140"/>
      <c r="N1220" s="140"/>
      <c r="P1220" s="141"/>
    </row>
    <row r="1221" spans="1:16" x14ac:dyDescent="0.2">
      <c r="A1221" s="129"/>
      <c r="B1221" s="130"/>
      <c r="C1221" s="140"/>
      <c r="D1221" s="131"/>
      <c r="E1221" s="129"/>
      <c r="F1221" s="131"/>
      <c r="G1221" s="130"/>
      <c r="H1221" s="131"/>
      <c r="I1221" s="132"/>
      <c r="J1221" s="129"/>
      <c r="K1221" s="140"/>
      <c r="L1221" s="133"/>
      <c r="M1221" s="140"/>
      <c r="N1221" s="140"/>
      <c r="P1221" s="141"/>
    </row>
    <row r="1222" spans="1:16" x14ac:dyDescent="0.2">
      <c r="A1222" s="129"/>
      <c r="B1222" s="130"/>
      <c r="C1222" s="140"/>
      <c r="D1222" s="131"/>
      <c r="E1222" s="129"/>
      <c r="F1222" s="131"/>
      <c r="G1222" s="130"/>
      <c r="H1222" s="131"/>
      <c r="I1222" s="132"/>
      <c r="J1222" s="129"/>
      <c r="K1222" s="140"/>
      <c r="L1222" s="133"/>
      <c r="M1222" s="140"/>
      <c r="N1222" s="140"/>
      <c r="P1222" s="141"/>
    </row>
    <row r="1223" spans="1:16" x14ac:dyDescent="0.2">
      <c r="A1223" s="129"/>
      <c r="B1223" s="130"/>
      <c r="C1223" s="140"/>
      <c r="D1223" s="131"/>
      <c r="E1223" s="129"/>
      <c r="F1223" s="131"/>
      <c r="G1223" s="130"/>
      <c r="H1223" s="131"/>
      <c r="I1223" s="132"/>
      <c r="J1223" s="129"/>
      <c r="K1223" s="140"/>
      <c r="L1223" s="133"/>
      <c r="M1223" s="140"/>
      <c r="N1223" s="140"/>
      <c r="P1223" s="141"/>
    </row>
    <row r="1224" spans="1:16" x14ac:dyDescent="0.2">
      <c r="A1224" s="129"/>
      <c r="B1224" s="130"/>
      <c r="C1224" s="140"/>
      <c r="D1224" s="131"/>
      <c r="E1224" s="129"/>
      <c r="F1224" s="131"/>
      <c r="G1224" s="130"/>
      <c r="H1224" s="131"/>
      <c r="I1224" s="132"/>
      <c r="J1224" s="129"/>
      <c r="K1224" s="140"/>
      <c r="L1224" s="133"/>
      <c r="M1224" s="140"/>
      <c r="N1224" s="140"/>
      <c r="P1224" s="141"/>
    </row>
    <row r="1225" spans="1:16" x14ac:dyDescent="0.2">
      <c r="A1225" s="129"/>
      <c r="B1225" s="130"/>
      <c r="C1225" s="140"/>
      <c r="D1225" s="131"/>
      <c r="E1225" s="129"/>
      <c r="F1225" s="131"/>
      <c r="G1225" s="130"/>
      <c r="H1225" s="131"/>
      <c r="I1225" s="132"/>
      <c r="J1225" s="129"/>
      <c r="K1225" s="140"/>
      <c r="L1225" s="133"/>
      <c r="M1225" s="140"/>
      <c r="N1225" s="140"/>
      <c r="P1225" s="141"/>
    </row>
    <row r="1226" spans="1:16" x14ac:dyDescent="0.2">
      <c r="A1226" s="129"/>
      <c r="B1226" s="130"/>
      <c r="C1226" s="140"/>
      <c r="D1226" s="131"/>
      <c r="E1226" s="129"/>
      <c r="F1226" s="131"/>
      <c r="G1226" s="130"/>
      <c r="H1226" s="131"/>
      <c r="I1226" s="132"/>
      <c r="J1226" s="129"/>
      <c r="K1226" s="140"/>
      <c r="L1226" s="133"/>
      <c r="M1226" s="140"/>
      <c r="N1226" s="140"/>
      <c r="P1226" s="141"/>
    </row>
    <row r="1227" spans="1:16" x14ac:dyDescent="0.2">
      <c r="A1227" s="129"/>
      <c r="B1227" s="130"/>
      <c r="C1227" s="140"/>
      <c r="D1227" s="131"/>
      <c r="E1227" s="129"/>
      <c r="F1227" s="131"/>
      <c r="G1227" s="130"/>
      <c r="H1227" s="131"/>
      <c r="I1227" s="132"/>
      <c r="J1227" s="129"/>
      <c r="K1227" s="140"/>
      <c r="L1227" s="133"/>
      <c r="M1227" s="140"/>
      <c r="N1227" s="140"/>
      <c r="P1227" s="141"/>
    </row>
    <row r="1228" spans="1:16" x14ac:dyDescent="0.2">
      <c r="A1228" s="129"/>
      <c r="B1228" s="130"/>
      <c r="C1228" s="140"/>
      <c r="D1228" s="131"/>
      <c r="E1228" s="129"/>
      <c r="F1228" s="131"/>
      <c r="G1228" s="130"/>
      <c r="H1228" s="131"/>
      <c r="I1228" s="132"/>
      <c r="J1228" s="129"/>
      <c r="K1228" s="140"/>
      <c r="L1228" s="133"/>
      <c r="M1228" s="140"/>
      <c r="N1228" s="140"/>
      <c r="P1228" s="141"/>
    </row>
    <row r="1229" spans="1:16" x14ac:dyDescent="0.2">
      <c r="A1229" s="129"/>
      <c r="B1229" s="130"/>
      <c r="C1229" s="140"/>
      <c r="D1229" s="131"/>
      <c r="E1229" s="129"/>
      <c r="F1229" s="131"/>
      <c r="G1229" s="130"/>
      <c r="H1229" s="131"/>
      <c r="I1229" s="132"/>
      <c r="J1229" s="129"/>
      <c r="K1229" s="140"/>
      <c r="L1229" s="133"/>
      <c r="M1229" s="140"/>
      <c r="N1229" s="140"/>
      <c r="P1229" s="141"/>
    </row>
    <row r="1230" spans="1:16" x14ac:dyDescent="0.2">
      <c r="A1230" s="129"/>
      <c r="B1230" s="130"/>
      <c r="C1230" s="140"/>
      <c r="D1230" s="131"/>
      <c r="E1230" s="129"/>
      <c r="F1230" s="131"/>
      <c r="G1230" s="130"/>
      <c r="H1230" s="131"/>
      <c r="I1230" s="132"/>
      <c r="J1230" s="129"/>
      <c r="K1230" s="140"/>
      <c r="L1230" s="133"/>
      <c r="M1230" s="140"/>
      <c r="N1230" s="140"/>
      <c r="P1230" s="141"/>
    </row>
    <row r="1231" spans="1:16" x14ac:dyDescent="0.2">
      <c r="A1231" s="129"/>
      <c r="B1231" s="130"/>
      <c r="C1231" s="140"/>
      <c r="D1231" s="131"/>
      <c r="E1231" s="129"/>
      <c r="F1231" s="131"/>
      <c r="G1231" s="130"/>
      <c r="H1231" s="131"/>
      <c r="I1231" s="132"/>
      <c r="J1231" s="129"/>
      <c r="K1231" s="140"/>
      <c r="L1231" s="133"/>
      <c r="M1231" s="140"/>
      <c r="N1231" s="140"/>
      <c r="P1231" s="141"/>
    </row>
    <row r="1232" spans="1:16" x14ac:dyDescent="0.2">
      <c r="A1232" s="129"/>
      <c r="B1232" s="130"/>
      <c r="C1232" s="140"/>
      <c r="D1232" s="131"/>
      <c r="E1232" s="129"/>
      <c r="F1232" s="131"/>
      <c r="G1232" s="130"/>
      <c r="H1232" s="131"/>
      <c r="I1232" s="132"/>
      <c r="J1232" s="129"/>
      <c r="K1232" s="140"/>
      <c r="L1232" s="133"/>
      <c r="M1232" s="140"/>
      <c r="N1232" s="140"/>
      <c r="P1232" s="141"/>
    </row>
    <row r="1233" spans="1:16" x14ac:dyDescent="0.2">
      <c r="A1233" s="129"/>
      <c r="B1233" s="130"/>
      <c r="C1233" s="140"/>
      <c r="D1233" s="131"/>
      <c r="E1233" s="129"/>
      <c r="F1233" s="131"/>
      <c r="G1233" s="130"/>
      <c r="H1233" s="131"/>
      <c r="I1233" s="132"/>
      <c r="J1233" s="129"/>
      <c r="K1233" s="140"/>
      <c r="L1233" s="133"/>
      <c r="M1233" s="140"/>
      <c r="N1233" s="140"/>
      <c r="P1233" s="141"/>
    </row>
    <row r="1234" spans="1:16" x14ac:dyDescent="0.2">
      <c r="A1234" s="129"/>
      <c r="B1234" s="130"/>
      <c r="C1234" s="140"/>
      <c r="D1234" s="131"/>
      <c r="E1234" s="129"/>
      <c r="F1234" s="131"/>
      <c r="G1234" s="130"/>
      <c r="H1234" s="131"/>
      <c r="I1234" s="132"/>
      <c r="J1234" s="129"/>
      <c r="K1234" s="140"/>
      <c r="L1234" s="133"/>
      <c r="M1234" s="140"/>
      <c r="N1234" s="140"/>
      <c r="P1234" s="141"/>
    </row>
    <row r="1235" spans="1:16" x14ac:dyDescent="0.2">
      <c r="A1235" s="129"/>
      <c r="B1235" s="130"/>
      <c r="C1235" s="140"/>
      <c r="D1235" s="131"/>
      <c r="E1235" s="129"/>
      <c r="F1235" s="131"/>
      <c r="G1235" s="130"/>
      <c r="H1235" s="131"/>
      <c r="I1235" s="132"/>
      <c r="J1235" s="129"/>
      <c r="K1235" s="140"/>
      <c r="L1235" s="133"/>
      <c r="M1235" s="140"/>
      <c r="N1235" s="140"/>
      <c r="P1235" s="141"/>
    </row>
    <row r="1236" spans="1:16" x14ac:dyDescent="0.2">
      <c r="A1236" s="129"/>
      <c r="B1236" s="130"/>
      <c r="C1236" s="140"/>
      <c r="D1236" s="131"/>
      <c r="E1236" s="129"/>
      <c r="F1236" s="131"/>
      <c r="G1236" s="130"/>
      <c r="H1236" s="131"/>
      <c r="I1236" s="132"/>
      <c r="J1236" s="129"/>
      <c r="K1236" s="140"/>
      <c r="L1236" s="133"/>
      <c r="M1236" s="140"/>
      <c r="N1236" s="140"/>
      <c r="P1236" s="141"/>
    </row>
    <row r="1237" spans="1:16" x14ac:dyDescent="0.2">
      <c r="A1237" s="129"/>
      <c r="B1237" s="130"/>
      <c r="C1237" s="140"/>
      <c r="D1237" s="131"/>
      <c r="E1237" s="129"/>
      <c r="F1237" s="131"/>
      <c r="G1237" s="130"/>
      <c r="H1237" s="131"/>
      <c r="I1237" s="132"/>
      <c r="J1237" s="129"/>
      <c r="K1237" s="140"/>
      <c r="L1237" s="133"/>
      <c r="M1237" s="140"/>
      <c r="N1237" s="140"/>
      <c r="P1237" s="141"/>
    </row>
    <row r="1238" spans="1:16" x14ac:dyDescent="0.2">
      <c r="A1238" s="129"/>
      <c r="B1238" s="130"/>
      <c r="C1238" s="140"/>
      <c r="D1238" s="131"/>
      <c r="E1238" s="129"/>
      <c r="F1238" s="131"/>
      <c r="G1238" s="130"/>
      <c r="H1238" s="131"/>
      <c r="I1238" s="132"/>
      <c r="J1238" s="129"/>
      <c r="K1238" s="140"/>
      <c r="L1238" s="133"/>
      <c r="M1238" s="140"/>
      <c r="N1238" s="140"/>
      <c r="P1238" s="141"/>
    </row>
    <row r="1239" spans="1:16" x14ac:dyDescent="0.2">
      <c r="A1239" s="129"/>
      <c r="B1239" s="130"/>
      <c r="C1239" s="140"/>
      <c r="D1239" s="131"/>
      <c r="E1239" s="129"/>
      <c r="F1239" s="131"/>
      <c r="G1239" s="130"/>
      <c r="H1239" s="131"/>
      <c r="I1239" s="132"/>
      <c r="J1239" s="129"/>
      <c r="K1239" s="140"/>
      <c r="L1239" s="133"/>
      <c r="M1239" s="140"/>
      <c r="N1239" s="140"/>
      <c r="P1239" s="141"/>
    </row>
    <row r="1240" spans="1:16" x14ac:dyDescent="0.2">
      <c r="A1240" s="129"/>
      <c r="B1240" s="130"/>
      <c r="C1240" s="140"/>
      <c r="D1240" s="131"/>
      <c r="E1240" s="129"/>
      <c r="F1240" s="131"/>
      <c r="G1240" s="130"/>
      <c r="H1240" s="131"/>
      <c r="I1240" s="132"/>
      <c r="J1240" s="129"/>
      <c r="K1240" s="140"/>
      <c r="L1240" s="133"/>
      <c r="M1240" s="140"/>
      <c r="N1240" s="140"/>
      <c r="P1240" s="141"/>
    </row>
    <row r="1241" spans="1:16" x14ac:dyDescent="0.2">
      <c r="A1241" s="129"/>
      <c r="B1241" s="130"/>
      <c r="C1241" s="140"/>
      <c r="D1241" s="131"/>
      <c r="E1241" s="129"/>
      <c r="F1241" s="131"/>
      <c r="G1241" s="130"/>
      <c r="H1241" s="131"/>
      <c r="I1241" s="132"/>
      <c r="J1241" s="129"/>
      <c r="K1241" s="140"/>
      <c r="L1241" s="133"/>
      <c r="M1241" s="140"/>
      <c r="N1241" s="140"/>
      <c r="P1241" s="141"/>
    </row>
    <row r="1242" spans="1:16" x14ac:dyDescent="0.2">
      <c r="A1242" s="129"/>
      <c r="B1242" s="130"/>
      <c r="C1242" s="140"/>
      <c r="D1242" s="131"/>
      <c r="E1242" s="129"/>
      <c r="F1242" s="131"/>
      <c r="G1242" s="130"/>
      <c r="H1242" s="131"/>
      <c r="I1242" s="132"/>
      <c r="J1242" s="129"/>
      <c r="K1242" s="140"/>
      <c r="L1242" s="133"/>
      <c r="M1242" s="140"/>
      <c r="N1242" s="140"/>
      <c r="P1242" s="141"/>
    </row>
    <row r="1243" spans="1:16" x14ac:dyDescent="0.2">
      <c r="A1243" s="129"/>
      <c r="B1243" s="130"/>
      <c r="C1243" s="140"/>
      <c r="D1243" s="131"/>
      <c r="E1243" s="129"/>
      <c r="F1243" s="131"/>
      <c r="G1243" s="130"/>
      <c r="H1243" s="131"/>
      <c r="I1243" s="132"/>
      <c r="J1243" s="129"/>
      <c r="K1243" s="140"/>
      <c r="L1243" s="133"/>
      <c r="M1243" s="140"/>
      <c r="N1243" s="140"/>
      <c r="P1243" s="141"/>
    </row>
    <row r="1244" spans="1:16" x14ac:dyDescent="0.2">
      <c r="A1244" s="129"/>
      <c r="B1244" s="130"/>
      <c r="C1244" s="140"/>
      <c r="D1244" s="131"/>
      <c r="E1244" s="129"/>
      <c r="F1244" s="131"/>
      <c r="G1244" s="130"/>
      <c r="H1244" s="131"/>
      <c r="I1244" s="132"/>
      <c r="J1244" s="129"/>
      <c r="K1244" s="140"/>
      <c r="L1244" s="133"/>
      <c r="M1244" s="140"/>
      <c r="N1244" s="140"/>
      <c r="P1244" s="141"/>
    </row>
    <row r="1245" spans="1:16" x14ac:dyDescent="0.2">
      <c r="A1245" s="129"/>
      <c r="B1245" s="130"/>
      <c r="C1245" s="140"/>
      <c r="D1245" s="131"/>
      <c r="E1245" s="129"/>
      <c r="F1245" s="131"/>
      <c r="G1245" s="130"/>
      <c r="H1245" s="131"/>
      <c r="I1245" s="132"/>
      <c r="J1245" s="129"/>
      <c r="K1245" s="140"/>
      <c r="L1245" s="133"/>
      <c r="M1245" s="140"/>
      <c r="N1245" s="140"/>
      <c r="P1245" s="141"/>
    </row>
    <row r="1246" spans="1:16" x14ac:dyDescent="0.2">
      <c r="A1246" s="129"/>
      <c r="B1246" s="130"/>
      <c r="C1246" s="140"/>
      <c r="D1246" s="131"/>
      <c r="E1246" s="129"/>
      <c r="F1246" s="131"/>
      <c r="G1246" s="130"/>
      <c r="H1246" s="131"/>
      <c r="I1246" s="132"/>
      <c r="J1246" s="129"/>
      <c r="K1246" s="140"/>
      <c r="L1246" s="133"/>
      <c r="M1246" s="140"/>
      <c r="N1246" s="140"/>
      <c r="P1246" s="141"/>
    </row>
    <row r="1247" spans="1:16" x14ac:dyDescent="0.2">
      <c r="A1247" s="129"/>
      <c r="B1247" s="130"/>
      <c r="C1247" s="140"/>
      <c r="D1247" s="131"/>
      <c r="E1247" s="129"/>
      <c r="F1247" s="131"/>
      <c r="G1247" s="130"/>
      <c r="H1247" s="131"/>
      <c r="I1247" s="132"/>
      <c r="J1247" s="129"/>
      <c r="K1247" s="140"/>
      <c r="L1247" s="133"/>
      <c r="M1247" s="140"/>
      <c r="N1247" s="140"/>
      <c r="P1247" s="141"/>
    </row>
    <row r="1248" spans="1:16" x14ac:dyDescent="0.2">
      <c r="A1248" s="129"/>
      <c r="B1248" s="130"/>
      <c r="C1248" s="140"/>
      <c r="D1248" s="131"/>
      <c r="E1248" s="129"/>
      <c r="F1248" s="131"/>
      <c r="G1248" s="130"/>
      <c r="H1248" s="131"/>
      <c r="I1248" s="132"/>
      <c r="J1248" s="129"/>
      <c r="K1248" s="140"/>
      <c r="L1248" s="133"/>
      <c r="M1248" s="140"/>
      <c r="N1248" s="140"/>
      <c r="P1248" s="141"/>
    </row>
    <row r="1249" spans="1:16" x14ac:dyDescent="0.2">
      <c r="A1249" s="129"/>
      <c r="B1249" s="130"/>
      <c r="C1249" s="140"/>
      <c r="D1249" s="131"/>
      <c r="E1249" s="129"/>
      <c r="F1249" s="131"/>
      <c r="G1249" s="130"/>
      <c r="H1249" s="131"/>
      <c r="I1249" s="132"/>
      <c r="J1249" s="129"/>
      <c r="K1249" s="140"/>
      <c r="L1249" s="133"/>
      <c r="M1249" s="140"/>
      <c r="N1249" s="140"/>
      <c r="P1249" s="141"/>
    </row>
    <row r="1250" spans="1:16" x14ac:dyDescent="0.2">
      <c r="A1250" s="129"/>
      <c r="B1250" s="130"/>
      <c r="C1250" s="140"/>
      <c r="D1250" s="131"/>
      <c r="E1250" s="129"/>
      <c r="F1250" s="131"/>
      <c r="G1250" s="130"/>
      <c r="H1250" s="131"/>
      <c r="I1250" s="132"/>
      <c r="J1250" s="129"/>
      <c r="K1250" s="140"/>
      <c r="L1250" s="133"/>
      <c r="M1250" s="140"/>
      <c r="N1250" s="140"/>
      <c r="P1250" s="141"/>
    </row>
    <row r="1251" spans="1:16" x14ac:dyDescent="0.2">
      <c r="A1251" s="129"/>
      <c r="B1251" s="130"/>
      <c r="C1251" s="140"/>
      <c r="D1251" s="131"/>
      <c r="E1251" s="129"/>
      <c r="F1251" s="131"/>
      <c r="G1251" s="130"/>
      <c r="H1251" s="131"/>
      <c r="I1251" s="132"/>
      <c r="J1251" s="129"/>
      <c r="K1251" s="140"/>
      <c r="L1251" s="133"/>
      <c r="M1251" s="140"/>
      <c r="N1251" s="140"/>
      <c r="P1251" s="141"/>
    </row>
    <row r="1252" spans="1:16" x14ac:dyDescent="0.2">
      <c r="A1252" s="129"/>
      <c r="B1252" s="130"/>
      <c r="C1252" s="140"/>
      <c r="D1252" s="131"/>
      <c r="E1252" s="129"/>
      <c r="F1252" s="131"/>
      <c r="G1252" s="130"/>
      <c r="H1252" s="131"/>
      <c r="I1252" s="132"/>
      <c r="J1252" s="129"/>
      <c r="K1252" s="140"/>
      <c r="L1252" s="133"/>
      <c r="M1252" s="140"/>
      <c r="N1252" s="140"/>
      <c r="P1252" s="141"/>
    </row>
    <row r="1253" spans="1:16" x14ac:dyDescent="0.2">
      <c r="A1253" s="129"/>
      <c r="B1253" s="130"/>
      <c r="C1253" s="140"/>
      <c r="D1253" s="131"/>
      <c r="E1253" s="129"/>
      <c r="F1253" s="131"/>
      <c r="G1253" s="130"/>
      <c r="H1253" s="131"/>
      <c r="I1253" s="132"/>
      <c r="J1253" s="129"/>
      <c r="K1253" s="140"/>
      <c r="L1253" s="133"/>
      <c r="M1253" s="140"/>
      <c r="N1253" s="140"/>
      <c r="P1253" s="141"/>
    </row>
    <row r="1254" spans="1:16" x14ac:dyDescent="0.2">
      <c r="A1254" s="129"/>
      <c r="B1254" s="130"/>
      <c r="C1254" s="140"/>
      <c r="D1254" s="131"/>
      <c r="E1254" s="129"/>
      <c r="F1254" s="131"/>
      <c r="G1254" s="130"/>
      <c r="H1254" s="131"/>
      <c r="I1254" s="132"/>
      <c r="J1254" s="129"/>
      <c r="K1254" s="140"/>
      <c r="L1254" s="133"/>
      <c r="M1254" s="140"/>
      <c r="N1254" s="140"/>
      <c r="P1254" s="141"/>
    </row>
    <row r="1255" spans="1:16" x14ac:dyDescent="0.2">
      <c r="A1255" s="129"/>
      <c r="B1255" s="130"/>
      <c r="C1255" s="140"/>
      <c r="D1255" s="131"/>
      <c r="E1255" s="129"/>
      <c r="F1255" s="131"/>
      <c r="G1255" s="130"/>
      <c r="H1255" s="131"/>
      <c r="I1255" s="132"/>
      <c r="J1255" s="129"/>
      <c r="K1255" s="140"/>
      <c r="L1255" s="133"/>
      <c r="M1255" s="140"/>
      <c r="N1255" s="140"/>
      <c r="P1255" s="141"/>
    </row>
    <row r="1256" spans="1:16" x14ac:dyDescent="0.2">
      <c r="A1256" s="129"/>
      <c r="B1256" s="130"/>
      <c r="C1256" s="140"/>
      <c r="D1256" s="131"/>
      <c r="E1256" s="129"/>
      <c r="F1256" s="131"/>
      <c r="G1256" s="130"/>
      <c r="H1256" s="131"/>
      <c r="I1256" s="132"/>
      <c r="J1256" s="129"/>
      <c r="K1256" s="140"/>
      <c r="L1256" s="133"/>
      <c r="M1256" s="140"/>
      <c r="N1256" s="140"/>
      <c r="P1256" s="141"/>
    </row>
    <row r="1257" spans="1:16" x14ac:dyDescent="0.2">
      <c r="A1257" s="129"/>
      <c r="B1257" s="130"/>
      <c r="C1257" s="140"/>
      <c r="D1257" s="131"/>
      <c r="E1257" s="129"/>
      <c r="F1257" s="131"/>
      <c r="G1257" s="130"/>
      <c r="H1257" s="131"/>
      <c r="I1257" s="132"/>
      <c r="J1257" s="129"/>
      <c r="K1257" s="140"/>
      <c r="L1257" s="133"/>
      <c r="M1257" s="140"/>
      <c r="N1257" s="140"/>
      <c r="P1257" s="141"/>
    </row>
    <row r="1258" spans="1:16" x14ac:dyDescent="0.2">
      <c r="A1258" s="129"/>
      <c r="B1258" s="130"/>
      <c r="C1258" s="140"/>
      <c r="D1258" s="131"/>
      <c r="E1258" s="129"/>
      <c r="F1258" s="131"/>
      <c r="G1258" s="130"/>
      <c r="H1258" s="131"/>
      <c r="I1258" s="132"/>
      <c r="J1258" s="129"/>
      <c r="K1258" s="140"/>
      <c r="L1258" s="133"/>
      <c r="M1258" s="140"/>
      <c r="N1258" s="140"/>
      <c r="P1258" s="141"/>
    </row>
    <row r="1259" spans="1:16" x14ac:dyDescent="0.2">
      <c r="A1259" s="129"/>
      <c r="B1259" s="130"/>
      <c r="C1259" s="140"/>
      <c r="D1259" s="131"/>
      <c r="E1259" s="129"/>
      <c r="F1259" s="131"/>
      <c r="G1259" s="130"/>
      <c r="H1259" s="131"/>
      <c r="I1259" s="132"/>
      <c r="J1259" s="129"/>
      <c r="K1259" s="140"/>
      <c r="L1259" s="133"/>
      <c r="M1259" s="140"/>
      <c r="N1259" s="140"/>
      <c r="P1259" s="141"/>
    </row>
    <row r="1260" spans="1:16" x14ac:dyDescent="0.2">
      <c r="A1260" s="129"/>
      <c r="B1260" s="130"/>
      <c r="C1260" s="140"/>
      <c r="D1260" s="131"/>
      <c r="E1260" s="129"/>
      <c r="F1260" s="131"/>
      <c r="G1260" s="130"/>
      <c r="H1260" s="131"/>
      <c r="I1260" s="132"/>
      <c r="J1260" s="129"/>
      <c r="K1260" s="140"/>
      <c r="L1260" s="133"/>
      <c r="M1260" s="140"/>
      <c r="N1260" s="140"/>
      <c r="P1260" s="141"/>
    </row>
    <row r="1261" spans="1:16" x14ac:dyDescent="0.2">
      <c r="A1261" s="129"/>
      <c r="B1261" s="130"/>
      <c r="C1261" s="140"/>
      <c r="D1261" s="131"/>
      <c r="E1261" s="129"/>
      <c r="F1261" s="131"/>
      <c r="G1261" s="130"/>
      <c r="H1261" s="131"/>
      <c r="I1261" s="132"/>
      <c r="J1261" s="129"/>
      <c r="K1261" s="140"/>
      <c r="L1261" s="133"/>
      <c r="M1261" s="140"/>
      <c r="N1261" s="140"/>
      <c r="P1261" s="141"/>
    </row>
    <row r="1262" spans="1:16" x14ac:dyDescent="0.2">
      <c r="A1262" s="129"/>
      <c r="B1262" s="130"/>
      <c r="C1262" s="140"/>
      <c r="D1262" s="131"/>
      <c r="E1262" s="129"/>
      <c r="F1262" s="131"/>
      <c r="G1262" s="130"/>
      <c r="H1262" s="131"/>
      <c r="I1262" s="132"/>
      <c r="J1262" s="129"/>
      <c r="K1262" s="140"/>
      <c r="L1262" s="133"/>
      <c r="M1262" s="140"/>
      <c r="N1262" s="140"/>
      <c r="P1262" s="141"/>
    </row>
    <row r="1263" spans="1:16" x14ac:dyDescent="0.2">
      <c r="A1263" s="129"/>
      <c r="B1263" s="130"/>
      <c r="C1263" s="140"/>
      <c r="D1263" s="131"/>
      <c r="E1263" s="129"/>
      <c r="F1263" s="131"/>
      <c r="G1263" s="130"/>
      <c r="H1263" s="131"/>
      <c r="I1263" s="132"/>
      <c r="J1263" s="129"/>
      <c r="K1263" s="140"/>
      <c r="L1263" s="133"/>
      <c r="M1263" s="140"/>
      <c r="N1263" s="140"/>
      <c r="P1263" s="141"/>
    </row>
    <row r="1264" spans="1:16" x14ac:dyDescent="0.2">
      <c r="A1264" s="129"/>
      <c r="B1264" s="130"/>
      <c r="C1264" s="140"/>
      <c r="D1264" s="131"/>
      <c r="E1264" s="129"/>
      <c r="F1264" s="131"/>
      <c r="G1264" s="130"/>
      <c r="H1264" s="131"/>
      <c r="I1264" s="132"/>
      <c r="J1264" s="129"/>
      <c r="K1264" s="140"/>
      <c r="L1264" s="133"/>
      <c r="M1264" s="140"/>
      <c r="N1264" s="140"/>
      <c r="P1264" s="141"/>
    </row>
    <row r="1265" spans="1:16" x14ac:dyDescent="0.2">
      <c r="A1265" s="129"/>
      <c r="B1265" s="130"/>
      <c r="C1265" s="140"/>
      <c r="D1265" s="131"/>
      <c r="E1265" s="129"/>
      <c r="F1265" s="131"/>
      <c r="G1265" s="130"/>
      <c r="H1265" s="131"/>
      <c r="I1265" s="132"/>
      <c r="J1265" s="129"/>
      <c r="K1265" s="140"/>
      <c r="L1265" s="133"/>
      <c r="M1265" s="140"/>
      <c r="N1265" s="140"/>
      <c r="P1265" s="141"/>
    </row>
    <row r="1266" spans="1:16" x14ac:dyDescent="0.2">
      <c r="A1266" s="129"/>
      <c r="B1266" s="130"/>
      <c r="C1266" s="140"/>
      <c r="D1266" s="131"/>
      <c r="E1266" s="129"/>
      <c r="F1266" s="131"/>
      <c r="G1266" s="130"/>
      <c r="H1266" s="131"/>
      <c r="I1266" s="132"/>
      <c r="J1266" s="129"/>
      <c r="K1266" s="140"/>
      <c r="L1266" s="133"/>
      <c r="M1266" s="140"/>
      <c r="N1266" s="140"/>
      <c r="P1266" s="141"/>
    </row>
    <row r="1267" spans="1:16" x14ac:dyDescent="0.2">
      <c r="A1267" s="129"/>
      <c r="B1267" s="130"/>
      <c r="C1267" s="140"/>
      <c r="D1267" s="131"/>
      <c r="E1267" s="129"/>
      <c r="F1267" s="131"/>
      <c r="G1267" s="130"/>
      <c r="H1267" s="131"/>
      <c r="I1267" s="132"/>
      <c r="J1267" s="129"/>
      <c r="K1267" s="140"/>
      <c r="L1267" s="133"/>
      <c r="M1267" s="140"/>
      <c r="N1267" s="140"/>
      <c r="P1267" s="141"/>
    </row>
    <row r="1268" spans="1:16" x14ac:dyDescent="0.2">
      <c r="A1268" s="129"/>
      <c r="B1268" s="130"/>
      <c r="C1268" s="140"/>
      <c r="D1268" s="131"/>
      <c r="E1268" s="129"/>
      <c r="F1268" s="131"/>
      <c r="G1268" s="130"/>
      <c r="H1268" s="131"/>
      <c r="I1268" s="132"/>
      <c r="J1268" s="129"/>
      <c r="K1268" s="140"/>
      <c r="L1268" s="133"/>
      <c r="M1268" s="140"/>
      <c r="N1268" s="140"/>
      <c r="P1268" s="141"/>
    </row>
    <row r="1269" spans="1:16" x14ac:dyDescent="0.2">
      <c r="A1269" s="129"/>
      <c r="B1269" s="130"/>
      <c r="C1269" s="140"/>
      <c r="D1269" s="131"/>
      <c r="E1269" s="129"/>
      <c r="F1269" s="131"/>
      <c r="G1269" s="130"/>
      <c r="H1269" s="131"/>
      <c r="I1269" s="132"/>
      <c r="J1269" s="129"/>
      <c r="K1269" s="140"/>
      <c r="L1269" s="133"/>
      <c r="M1269" s="140"/>
      <c r="N1269" s="140"/>
      <c r="P1269" s="141"/>
    </row>
    <row r="1270" spans="1:16" x14ac:dyDescent="0.2">
      <c r="A1270" s="129"/>
      <c r="B1270" s="130"/>
      <c r="C1270" s="140"/>
      <c r="D1270" s="131"/>
      <c r="E1270" s="129"/>
      <c r="F1270" s="131"/>
      <c r="G1270" s="130"/>
      <c r="H1270" s="131"/>
      <c r="I1270" s="132"/>
      <c r="J1270" s="129"/>
      <c r="K1270" s="140"/>
      <c r="L1270" s="133"/>
      <c r="M1270" s="140"/>
      <c r="N1270" s="140"/>
      <c r="P1270" s="141"/>
    </row>
    <row r="1271" spans="1:16" x14ac:dyDescent="0.2">
      <c r="A1271" s="129"/>
      <c r="B1271" s="130"/>
      <c r="C1271" s="140"/>
      <c r="D1271" s="131"/>
      <c r="E1271" s="129"/>
      <c r="F1271" s="131"/>
      <c r="G1271" s="130"/>
      <c r="H1271" s="131"/>
      <c r="I1271" s="132"/>
      <c r="J1271" s="129"/>
      <c r="K1271" s="140"/>
      <c r="L1271" s="133"/>
      <c r="M1271" s="140"/>
      <c r="N1271" s="140"/>
      <c r="P1271" s="141"/>
    </row>
    <row r="1272" spans="1:16" x14ac:dyDescent="0.2">
      <c r="A1272" s="129"/>
      <c r="B1272" s="130"/>
      <c r="C1272" s="140"/>
      <c r="D1272" s="131"/>
      <c r="E1272" s="129"/>
      <c r="F1272" s="131"/>
      <c r="G1272" s="130"/>
      <c r="H1272" s="131"/>
      <c r="I1272" s="132"/>
      <c r="J1272" s="129"/>
      <c r="K1272" s="140"/>
      <c r="L1272" s="133"/>
      <c r="M1272" s="140"/>
      <c r="N1272" s="140"/>
      <c r="P1272" s="141"/>
    </row>
    <row r="1273" spans="1:16" x14ac:dyDescent="0.2">
      <c r="A1273" s="129"/>
      <c r="B1273" s="130"/>
      <c r="C1273" s="140"/>
      <c r="D1273" s="131"/>
      <c r="E1273" s="129"/>
      <c r="F1273" s="131"/>
      <c r="G1273" s="130"/>
      <c r="H1273" s="131"/>
      <c r="I1273" s="132"/>
      <c r="J1273" s="129"/>
      <c r="K1273" s="140"/>
      <c r="L1273" s="133"/>
      <c r="M1273" s="140"/>
      <c r="N1273" s="140"/>
      <c r="P1273" s="141"/>
    </row>
    <row r="1274" spans="1:16" x14ac:dyDescent="0.2">
      <c r="A1274" s="129"/>
      <c r="B1274" s="130"/>
      <c r="C1274" s="140"/>
      <c r="D1274" s="131"/>
      <c r="E1274" s="129"/>
      <c r="F1274" s="131"/>
      <c r="G1274" s="130"/>
      <c r="H1274" s="131"/>
      <c r="I1274" s="132"/>
      <c r="J1274" s="129"/>
      <c r="K1274" s="140"/>
      <c r="L1274" s="133"/>
      <c r="M1274" s="140"/>
      <c r="N1274" s="140"/>
      <c r="P1274" s="141"/>
    </row>
    <row r="1275" spans="1:16" x14ac:dyDescent="0.2">
      <c r="A1275" s="129"/>
      <c r="B1275" s="130"/>
      <c r="C1275" s="140"/>
      <c r="D1275" s="131"/>
      <c r="E1275" s="129"/>
      <c r="F1275" s="131"/>
      <c r="G1275" s="130"/>
      <c r="H1275" s="131"/>
      <c r="I1275" s="132"/>
      <c r="J1275" s="129"/>
      <c r="K1275" s="140"/>
      <c r="L1275" s="133"/>
      <c r="M1275" s="140"/>
      <c r="N1275" s="140"/>
      <c r="P1275" s="141"/>
    </row>
    <row r="1276" spans="1:16" x14ac:dyDescent="0.2">
      <c r="A1276" s="129"/>
      <c r="B1276" s="130"/>
      <c r="C1276" s="140"/>
      <c r="D1276" s="131"/>
      <c r="E1276" s="129"/>
      <c r="F1276" s="131"/>
      <c r="G1276" s="130"/>
      <c r="H1276" s="131"/>
      <c r="I1276" s="132"/>
      <c r="J1276" s="129"/>
      <c r="K1276" s="140"/>
      <c r="L1276" s="133"/>
      <c r="M1276" s="140"/>
      <c r="N1276" s="140"/>
      <c r="P1276" s="141"/>
    </row>
    <row r="1277" spans="1:16" x14ac:dyDescent="0.2">
      <c r="A1277" s="129"/>
      <c r="B1277" s="130"/>
      <c r="C1277" s="140"/>
      <c r="D1277" s="131"/>
      <c r="E1277" s="129"/>
      <c r="F1277" s="131"/>
      <c r="G1277" s="130"/>
      <c r="H1277" s="131"/>
      <c r="I1277" s="132"/>
      <c r="J1277" s="129"/>
      <c r="K1277" s="140"/>
      <c r="L1277" s="133"/>
      <c r="M1277" s="140"/>
      <c r="N1277" s="140"/>
      <c r="P1277" s="141"/>
    </row>
    <row r="1278" spans="1:16" x14ac:dyDescent="0.2">
      <c r="A1278" s="129"/>
      <c r="B1278" s="130"/>
      <c r="C1278" s="140"/>
      <c r="D1278" s="131"/>
      <c r="E1278" s="129"/>
      <c r="F1278" s="131"/>
      <c r="G1278" s="130"/>
      <c r="H1278" s="131"/>
      <c r="I1278" s="132"/>
      <c r="J1278" s="129"/>
      <c r="K1278" s="140"/>
      <c r="L1278" s="133"/>
      <c r="M1278" s="140"/>
      <c r="N1278" s="140"/>
      <c r="P1278" s="141"/>
    </row>
    <row r="1279" spans="1:16" x14ac:dyDescent="0.2">
      <c r="A1279" s="129"/>
      <c r="B1279" s="130"/>
      <c r="C1279" s="140"/>
      <c r="D1279" s="131"/>
      <c r="E1279" s="129"/>
      <c r="F1279" s="131"/>
      <c r="G1279" s="130"/>
      <c r="H1279" s="131"/>
      <c r="I1279" s="132"/>
      <c r="J1279" s="129"/>
      <c r="K1279" s="140"/>
      <c r="L1279" s="133"/>
      <c r="M1279" s="140"/>
      <c r="N1279" s="140"/>
      <c r="P1279" s="141"/>
    </row>
    <row r="1280" spans="1:16" x14ac:dyDescent="0.2">
      <c r="A1280" s="129"/>
      <c r="B1280" s="130"/>
      <c r="C1280" s="140"/>
      <c r="D1280" s="131"/>
      <c r="E1280" s="129"/>
      <c r="F1280" s="131"/>
      <c r="G1280" s="130"/>
      <c r="H1280" s="131"/>
      <c r="I1280" s="132"/>
      <c r="J1280" s="129"/>
      <c r="K1280" s="140"/>
      <c r="L1280" s="133"/>
      <c r="M1280" s="140"/>
      <c r="N1280" s="140"/>
      <c r="P1280" s="141"/>
    </row>
    <row r="1281" spans="1:16" x14ac:dyDescent="0.2">
      <c r="A1281" s="129"/>
      <c r="B1281" s="130"/>
      <c r="C1281" s="140"/>
      <c r="D1281" s="131"/>
      <c r="E1281" s="129"/>
      <c r="F1281" s="131"/>
      <c r="G1281" s="130"/>
      <c r="H1281" s="131"/>
      <c r="I1281" s="132"/>
      <c r="J1281" s="129"/>
      <c r="K1281" s="140"/>
      <c r="L1281" s="133"/>
      <c r="M1281" s="140"/>
      <c r="N1281" s="140"/>
      <c r="P1281" s="141"/>
    </row>
    <row r="1282" spans="1:16" x14ac:dyDescent="0.2">
      <c r="A1282" s="129"/>
      <c r="B1282" s="130"/>
      <c r="C1282" s="140"/>
      <c r="D1282" s="131"/>
      <c r="E1282" s="129"/>
      <c r="F1282" s="131"/>
      <c r="G1282" s="130"/>
      <c r="H1282" s="131"/>
      <c r="I1282" s="132"/>
      <c r="J1282" s="129"/>
      <c r="K1282" s="140"/>
      <c r="L1282" s="133"/>
      <c r="M1282" s="140"/>
      <c r="N1282" s="140"/>
      <c r="P1282" s="141"/>
    </row>
    <row r="1283" spans="1:16" x14ac:dyDescent="0.2">
      <c r="A1283" s="129"/>
      <c r="B1283" s="130"/>
      <c r="C1283" s="140"/>
      <c r="D1283" s="131"/>
      <c r="E1283" s="129"/>
      <c r="F1283" s="131"/>
      <c r="G1283" s="130"/>
      <c r="H1283" s="131"/>
      <c r="I1283" s="132"/>
      <c r="J1283" s="129"/>
      <c r="K1283" s="140"/>
      <c r="L1283" s="133"/>
      <c r="M1283" s="140"/>
      <c r="N1283" s="140"/>
      <c r="P1283" s="141"/>
    </row>
    <row r="1284" spans="1:16" x14ac:dyDescent="0.2">
      <c r="A1284" s="129"/>
      <c r="B1284" s="130"/>
      <c r="C1284" s="140"/>
      <c r="D1284" s="131"/>
      <c r="E1284" s="129"/>
      <c r="F1284" s="131"/>
      <c r="G1284" s="130"/>
      <c r="H1284" s="131"/>
      <c r="I1284" s="132"/>
      <c r="J1284" s="129"/>
      <c r="K1284" s="140"/>
      <c r="L1284" s="133"/>
      <c r="M1284" s="140"/>
      <c r="N1284" s="140"/>
      <c r="P1284" s="141"/>
    </row>
    <row r="1285" spans="1:16" x14ac:dyDescent="0.2">
      <c r="A1285" s="129"/>
      <c r="B1285" s="130"/>
      <c r="C1285" s="140"/>
      <c r="D1285" s="131"/>
      <c r="E1285" s="129"/>
      <c r="F1285" s="131"/>
      <c r="G1285" s="130"/>
      <c r="H1285" s="131"/>
      <c r="I1285" s="132"/>
      <c r="J1285" s="129"/>
      <c r="K1285" s="140"/>
      <c r="L1285" s="133"/>
      <c r="M1285" s="140"/>
      <c r="N1285" s="140"/>
      <c r="P1285" s="141"/>
    </row>
    <row r="1286" spans="1:16" x14ac:dyDescent="0.2">
      <c r="A1286" s="129"/>
      <c r="B1286" s="130"/>
      <c r="C1286" s="140"/>
      <c r="D1286" s="131"/>
      <c r="E1286" s="129"/>
      <c r="F1286" s="131"/>
      <c r="G1286" s="130"/>
      <c r="H1286" s="131"/>
      <c r="I1286" s="132"/>
      <c r="J1286" s="129"/>
      <c r="K1286" s="140"/>
      <c r="L1286" s="133"/>
      <c r="M1286" s="140"/>
      <c r="N1286" s="140"/>
      <c r="P1286" s="141"/>
    </row>
    <row r="1287" spans="1:16" x14ac:dyDescent="0.2">
      <c r="A1287" s="129"/>
      <c r="B1287" s="130"/>
      <c r="C1287" s="140"/>
      <c r="D1287" s="131"/>
      <c r="E1287" s="129"/>
      <c r="F1287" s="131"/>
      <c r="G1287" s="130"/>
      <c r="H1287" s="131"/>
      <c r="I1287" s="132"/>
      <c r="J1287" s="129"/>
      <c r="K1287" s="140"/>
      <c r="L1287" s="133"/>
      <c r="M1287" s="140"/>
      <c r="N1287" s="140"/>
      <c r="P1287" s="141"/>
    </row>
    <row r="1288" spans="1:16" x14ac:dyDescent="0.2">
      <c r="A1288" s="129"/>
      <c r="B1288" s="130"/>
      <c r="C1288" s="140"/>
      <c r="D1288" s="131"/>
      <c r="E1288" s="129"/>
      <c r="F1288" s="131"/>
      <c r="G1288" s="130"/>
      <c r="H1288" s="131"/>
      <c r="I1288" s="132"/>
      <c r="J1288" s="129"/>
      <c r="K1288" s="140"/>
      <c r="L1288" s="133"/>
      <c r="M1288" s="140"/>
      <c r="N1288" s="140"/>
      <c r="P1288" s="141"/>
    </row>
    <row r="1289" spans="1:16" x14ac:dyDescent="0.2">
      <c r="A1289" s="129"/>
      <c r="B1289" s="130"/>
      <c r="C1289" s="140"/>
      <c r="D1289" s="131"/>
      <c r="E1289" s="129"/>
      <c r="F1289" s="131"/>
      <c r="G1289" s="130"/>
      <c r="H1289" s="131"/>
      <c r="I1289" s="132"/>
      <c r="J1289" s="129"/>
      <c r="K1289" s="140"/>
      <c r="L1289" s="133"/>
      <c r="M1289" s="140"/>
      <c r="N1289" s="140"/>
      <c r="P1289" s="141"/>
    </row>
    <row r="1290" spans="1:16" x14ac:dyDescent="0.2">
      <c r="A1290" s="129"/>
      <c r="B1290" s="130"/>
      <c r="C1290" s="140"/>
      <c r="D1290" s="131"/>
      <c r="E1290" s="129"/>
      <c r="F1290" s="131"/>
      <c r="G1290" s="130"/>
      <c r="H1290" s="131"/>
      <c r="I1290" s="132"/>
      <c r="J1290" s="129"/>
      <c r="K1290" s="140"/>
      <c r="L1290" s="133"/>
      <c r="M1290" s="140"/>
      <c r="N1290" s="140"/>
      <c r="P1290" s="141"/>
    </row>
    <row r="1291" spans="1:16" x14ac:dyDescent="0.2">
      <c r="A1291" s="129"/>
      <c r="B1291" s="130"/>
      <c r="C1291" s="140"/>
      <c r="D1291" s="131"/>
      <c r="E1291" s="129"/>
      <c r="F1291" s="131"/>
      <c r="G1291" s="130"/>
      <c r="H1291" s="131"/>
      <c r="I1291" s="132"/>
      <c r="J1291" s="129"/>
      <c r="K1291" s="140"/>
      <c r="L1291" s="133"/>
      <c r="M1291" s="140"/>
      <c r="N1291" s="140"/>
      <c r="P1291" s="141"/>
    </row>
    <row r="1292" spans="1:16" x14ac:dyDescent="0.2">
      <c r="A1292" s="129"/>
      <c r="B1292" s="130"/>
      <c r="C1292" s="140"/>
      <c r="D1292" s="131"/>
      <c r="E1292" s="129"/>
      <c r="F1292" s="131"/>
      <c r="G1292" s="130"/>
      <c r="H1292" s="131"/>
      <c r="I1292" s="132"/>
      <c r="J1292" s="129"/>
      <c r="K1292" s="140"/>
      <c r="L1292" s="133"/>
      <c r="M1292" s="140"/>
      <c r="N1292" s="140"/>
      <c r="P1292" s="141"/>
    </row>
    <row r="1293" spans="1:16" x14ac:dyDescent="0.2">
      <c r="A1293" s="129"/>
      <c r="B1293" s="130"/>
      <c r="C1293" s="140"/>
      <c r="D1293" s="131"/>
      <c r="E1293" s="129"/>
      <c r="F1293" s="131"/>
      <c r="G1293" s="130"/>
      <c r="H1293" s="131"/>
      <c r="I1293" s="132"/>
      <c r="J1293" s="129"/>
      <c r="K1293" s="140"/>
      <c r="L1293" s="133"/>
      <c r="M1293" s="140"/>
      <c r="N1293" s="140"/>
      <c r="P1293" s="141"/>
    </row>
    <row r="1294" spans="1:16" x14ac:dyDescent="0.2">
      <c r="A1294" s="129"/>
      <c r="B1294" s="130"/>
      <c r="C1294" s="140"/>
      <c r="D1294" s="131"/>
      <c r="E1294" s="129"/>
      <c r="F1294" s="131"/>
      <c r="G1294" s="130"/>
      <c r="H1294" s="131"/>
      <c r="I1294" s="132"/>
      <c r="J1294" s="129"/>
      <c r="K1294" s="140"/>
      <c r="L1294" s="133"/>
      <c r="M1294" s="140"/>
      <c r="N1294" s="140"/>
      <c r="P1294" s="141"/>
    </row>
    <row r="1295" spans="1:16" x14ac:dyDescent="0.2">
      <c r="A1295" s="129"/>
      <c r="B1295" s="130"/>
      <c r="C1295" s="140"/>
      <c r="D1295" s="131"/>
      <c r="E1295" s="129"/>
      <c r="F1295" s="131"/>
      <c r="G1295" s="130"/>
      <c r="H1295" s="131"/>
      <c r="I1295" s="132"/>
      <c r="J1295" s="129"/>
      <c r="K1295" s="140"/>
      <c r="L1295" s="133"/>
      <c r="M1295" s="140"/>
      <c r="N1295" s="140"/>
      <c r="P1295" s="141"/>
    </row>
    <row r="1296" spans="1:16" x14ac:dyDescent="0.2">
      <c r="A1296" s="129"/>
      <c r="B1296" s="130"/>
      <c r="C1296" s="140"/>
      <c r="D1296" s="131"/>
      <c r="E1296" s="129"/>
      <c r="F1296" s="131"/>
      <c r="G1296" s="130"/>
      <c r="H1296" s="131"/>
      <c r="I1296" s="132"/>
      <c r="J1296" s="129"/>
      <c r="K1296" s="140"/>
      <c r="L1296" s="133"/>
      <c r="M1296" s="140"/>
      <c r="N1296" s="140"/>
      <c r="P1296" s="141"/>
    </row>
    <row r="1297" spans="1:16" x14ac:dyDescent="0.2">
      <c r="A1297" s="129"/>
      <c r="B1297" s="130"/>
      <c r="C1297" s="140"/>
      <c r="D1297" s="131"/>
      <c r="E1297" s="129"/>
      <c r="F1297" s="131"/>
      <c r="G1297" s="130"/>
      <c r="H1297" s="131"/>
      <c r="I1297" s="132"/>
      <c r="J1297" s="129"/>
      <c r="K1297" s="140"/>
      <c r="L1297" s="133"/>
      <c r="M1297" s="140"/>
      <c r="N1297" s="140"/>
      <c r="P1297" s="141"/>
    </row>
    <row r="1298" spans="1:16" x14ac:dyDescent="0.2">
      <c r="A1298" s="129"/>
      <c r="B1298" s="130"/>
      <c r="C1298" s="140"/>
      <c r="D1298" s="131"/>
      <c r="E1298" s="129"/>
      <c r="F1298" s="131"/>
      <c r="G1298" s="130"/>
      <c r="H1298" s="131"/>
      <c r="I1298" s="132"/>
      <c r="J1298" s="129"/>
      <c r="K1298" s="140"/>
      <c r="L1298" s="133"/>
      <c r="M1298" s="140"/>
      <c r="N1298" s="140"/>
      <c r="P1298" s="141"/>
    </row>
    <row r="1299" spans="1:16" x14ac:dyDescent="0.2">
      <c r="A1299" s="129"/>
      <c r="B1299" s="130"/>
      <c r="C1299" s="140"/>
      <c r="D1299" s="131"/>
      <c r="E1299" s="129"/>
      <c r="F1299" s="131"/>
      <c r="G1299" s="130"/>
      <c r="H1299" s="131"/>
      <c r="I1299" s="132"/>
      <c r="J1299" s="129"/>
      <c r="K1299" s="140"/>
      <c r="L1299" s="133"/>
      <c r="M1299" s="140"/>
      <c r="N1299" s="140"/>
      <c r="P1299" s="141"/>
    </row>
    <row r="1300" spans="1:16" x14ac:dyDescent="0.2">
      <c r="A1300" s="129"/>
      <c r="B1300" s="130"/>
      <c r="C1300" s="140"/>
      <c r="D1300" s="131"/>
      <c r="E1300" s="129"/>
      <c r="F1300" s="131"/>
      <c r="G1300" s="130"/>
      <c r="H1300" s="131"/>
      <c r="I1300" s="132"/>
      <c r="J1300" s="129"/>
      <c r="K1300" s="140"/>
      <c r="L1300" s="133"/>
      <c r="M1300" s="140"/>
      <c r="N1300" s="140"/>
      <c r="P1300" s="141"/>
    </row>
    <row r="1301" spans="1:16" x14ac:dyDescent="0.2">
      <c r="A1301" s="129"/>
      <c r="B1301" s="130"/>
      <c r="C1301" s="140"/>
      <c r="D1301" s="131"/>
      <c r="E1301" s="129"/>
      <c r="F1301" s="131"/>
      <c r="G1301" s="130"/>
      <c r="H1301" s="131"/>
      <c r="I1301" s="132"/>
      <c r="J1301" s="129"/>
      <c r="K1301" s="140"/>
      <c r="L1301" s="133"/>
      <c r="M1301" s="140"/>
      <c r="N1301" s="140"/>
      <c r="P1301" s="141"/>
    </row>
    <row r="1302" spans="1:16" x14ac:dyDescent="0.2">
      <c r="A1302" s="129"/>
      <c r="B1302" s="130"/>
      <c r="C1302" s="140"/>
      <c r="D1302" s="131"/>
      <c r="E1302" s="129"/>
      <c r="F1302" s="131"/>
      <c r="G1302" s="130"/>
      <c r="H1302" s="131"/>
      <c r="I1302" s="132"/>
      <c r="J1302" s="129"/>
      <c r="K1302" s="140"/>
      <c r="L1302" s="133"/>
      <c r="M1302" s="140"/>
      <c r="N1302" s="140"/>
      <c r="P1302" s="141"/>
    </row>
    <row r="1303" spans="1:16" x14ac:dyDescent="0.2">
      <c r="A1303" s="129"/>
      <c r="B1303" s="130"/>
      <c r="C1303" s="140"/>
      <c r="D1303" s="131"/>
      <c r="E1303" s="129"/>
      <c r="F1303" s="131"/>
      <c r="G1303" s="130"/>
      <c r="H1303" s="131"/>
      <c r="I1303" s="132"/>
      <c r="J1303" s="129"/>
      <c r="K1303" s="140"/>
      <c r="L1303" s="133"/>
      <c r="M1303" s="140"/>
      <c r="N1303" s="140"/>
      <c r="P1303" s="141"/>
    </row>
    <row r="1304" spans="1:16" x14ac:dyDescent="0.2">
      <c r="A1304" s="129"/>
      <c r="B1304" s="130"/>
      <c r="C1304" s="140"/>
      <c r="D1304" s="131"/>
      <c r="E1304" s="129"/>
      <c r="F1304" s="131"/>
      <c r="G1304" s="130"/>
      <c r="H1304" s="131"/>
      <c r="I1304" s="132"/>
      <c r="J1304" s="129"/>
      <c r="K1304" s="140"/>
      <c r="L1304" s="133"/>
      <c r="M1304" s="140"/>
      <c r="N1304" s="140"/>
      <c r="P1304" s="141"/>
    </row>
    <row r="1305" spans="1:16" x14ac:dyDescent="0.2">
      <c r="A1305" s="129"/>
      <c r="B1305" s="130"/>
      <c r="C1305" s="140"/>
      <c r="D1305" s="131"/>
      <c r="E1305" s="129"/>
      <c r="F1305" s="131"/>
      <c r="G1305" s="130"/>
      <c r="H1305" s="131"/>
      <c r="I1305" s="132"/>
      <c r="J1305" s="129"/>
      <c r="K1305" s="140"/>
      <c r="L1305" s="133"/>
      <c r="M1305" s="140"/>
      <c r="N1305" s="140"/>
      <c r="P1305" s="141"/>
    </row>
    <row r="1306" spans="1:16" x14ac:dyDescent="0.2">
      <c r="A1306" s="129"/>
      <c r="B1306" s="130"/>
      <c r="C1306" s="140"/>
      <c r="D1306" s="131"/>
      <c r="E1306" s="129"/>
      <c r="F1306" s="131"/>
      <c r="G1306" s="130"/>
      <c r="H1306" s="131"/>
      <c r="I1306" s="132"/>
      <c r="J1306" s="129"/>
      <c r="K1306" s="140"/>
      <c r="L1306" s="133"/>
      <c r="M1306" s="140"/>
      <c r="N1306" s="140"/>
      <c r="P1306" s="141"/>
    </row>
    <row r="1307" spans="1:16" x14ac:dyDescent="0.2">
      <c r="A1307" s="129"/>
      <c r="B1307" s="130"/>
      <c r="C1307" s="140"/>
      <c r="D1307" s="131"/>
      <c r="E1307" s="129"/>
      <c r="F1307" s="131"/>
      <c r="G1307" s="130"/>
      <c r="H1307" s="131"/>
      <c r="I1307" s="132"/>
      <c r="J1307" s="129"/>
      <c r="K1307" s="140"/>
      <c r="L1307" s="133"/>
      <c r="M1307" s="140"/>
      <c r="N1307" s="140"/>
      <c r="P1307" s="141"/>
    </row>
    <row r="1308" spans="1:16" x14ac:dyDescent="0.2">
      <c r="A1308" s="129"/>
      <c r="B1308" s="130"/>
      <c r="C1308" s="140"/>
      <c r="D1308" s="131"/>
      <c r="E1308" s="129"/>
      <c r="F1308" s="131"/>
      <c r="G1308" s="130"/>
      <c r="H1308" s="131"/>
      <c r="I1308" s="132"/>
      <c r="J1308" s="129"/>
      <c r="K1308" s="140"/>
      <c r="L1308" s="133"/>
      <c r="M1308" s="140"/>
      <c r="N1308" s="140"/>
      <c r="P1308" s="141"/>
    </row>
    <row r="1309" spans="1:16" x14ac:dyDescent="0.2">
      <c r="A1309" s="129"/>
      <c r="B1309" s="130"/>
      <c r="C1309" s="140"/>
      <c r="D1309" s="131"/>
      <c r="E1309" s="129"/>
      <c r="F1309" s="131"/>
      <c r="G1309" s="130"/>
      <c r="H1309" s="131"/>
      <c r="I1309" s="132"/>
      <c r="J1309" s="129"/>
      <c r="K1309" s="140"/>
      <c r="L1309" s="133"/>
      <c r="M1309" s="140"/>
      <c r="N1309" s="140"/>
      <c r="P1309" s="141"/>
    </row>
    <row r="1310" spans="1:16" x14ac:dyDescent="0.2">
      <c r="A1310" s="129"/>
      <c r="B1310" s="130"/>
      <c r="C1310" s="140"/>
      <c r="D1310" s="131"/>
      <c r="E1310" s="129"/>
      <c r="F1310" s="131"/>
      <c r="G1310" s="130"/>
      <c r="H1310" s="131"/>
      <c r="I1310" s="132"/>
      <c r="J1310" s="129"/>
      <c r="K1310" s="140"/>
      <c r="L1310" s="133"/>
      <c r="M1310" s="140"/>
      <c r="N1310" s="140"/>
      <c r="P1310" s="141"/>
    </row>
    <row r="1311" spans="1:16" x14ac:dyDescent="0.2">
      <c r="A1311" s="129"/>
      <c r="B1311" s="130"/>
      <c r="C1311" s="140"/>
      <c r="D1311" s="131"/>
      <c r="E1311" s="129"/>
      <c r="F1311" s="131"/>
      <c r="G1311" s="130"/>
      <c r="H1311" s="131"/>
      <c r="I1311" s="132"/>
      <c r="J1311" s="129"/>
      <c r="K1311" s="140"/>
      <c r="L1311" s="133"/>
      <c r="M1311" s="140"/>
      <c r="N1311" s="140"/>
      <c r="P1311" s="141"/>
    </row>
    <row r="1312" spans="1:16" x14ac:dyDescent="0.2">
      <c r="A1312" s="129"/>
      <c r="B1312" s="130"/>
      <c r="C1312" s="140"/>
      <c r="D1312" s="131"/>
      <c r="E1312" s="129"/>
      <c r="F1312" s="131"/>
      <c r="G1312" s="130"/>
      <c r="H1312" s="131"/>
      <c r="I1312" s="132"/>
      <c r="J1312" s="129"/>
      <c r="K1312" s="140"/>
      <c r="L1312" s="133"/>
      <c r="M1312" s="140"/>
      <c r="N1312" s="140"/>
      <c r="P1312" s="141"/>
    </row>
    <row r="1313" spans="1:16" x14ac:dyDescent="0.2">
      <c r="A1313" s="129"/>
      <c r="B1313" s="130"/>
      <c r="C1313" s="140"/>
      <c r="D1313" s="131"/>
      <c r="E1313" s="129"/>
      <c r="F1313" s="131"/>
      <c r="G1313" s="130"/>
      <c r="H1313" s="131"/>
      <c r="I1313" s="132"/>
      <c r="J1313" s="129"/>
      <c r="K1313" s="140"/>
      <c r="L1313" s="133"/>
      <c r="M1313" s="140"/>
      <c r="N1313" s="140"/>
      <c r="P1313" s="141"/>
    </row>
    <row r="1314" spans="1:16" x14ac:dyDescent="0.2">
      <c r="A1314" s="129"/>
      <c r="B1314" s="130"/>
      <c r="C1314" s="140"/>
      <c r="D1314" s="131"/>
      <c r="E1314" s="129"/>
      <c r="F1314" s="131"/>
      <c r="G1314" s="130"/>
      <c r="H1314" s="131"/>
      <c r="I1314" s="132"/>
      <c r="J1314" s="129"/>
      <c r="K1314" s="140"/>
      <c r="L1314" s="133"/>
      <c r="M1314" s="140"/>
      <c r="N1314" s="140"/>
      <c r="P1314" s="141"/>
    </row>
    <row r="1315" spans="1:16" x14ac:dyDescent="0.2">
      <c r="A1315" s="129"/>
      <c r="B1315" s="130"/>
      <c r="C1315" s="140"/>
      <c r="D1315" s="131"/>
      <c r="E1315" s="129"/>
      <c r="F1315" s="131"/>
      <c r="G1315" s="130"/>
      <c r="H1315" s="131"/>
      <c r="I1315" s="132"/>
      <c r="J1315" s="129"/>
      <c r="K1315" s="140"/>
      <c r="L1315" s="133"/>
      <c r="M1315" s="140"/>
      <c r="N1315" s="140"/>
      <c r="P1315" s="141"/>
    </row>
    <row r="1316" spans="1:16" x14ac:dyDescent="0.2">
      <c r="A1316" s="129"/>
      <c r="B1316" s="130"/>
      <c r="C1316" s="140"/>
      <c r="D1316" s="131"/>
      <c r="E1316" s="129"/>
      <c r="F1316" s="131"/>
      <c r="G1316" s="130"/>
      <c r="H1316" s="131"/>
      <c r="I1316" s="132"/>
      <c r="J1316" s="129"/>
      <c r="K1316" s="140"/>
      <c r="L1316" s="133"/>
      <c r="M1316" s="140"/>
      <c r="N1316" s="140"/>
      <c r="P1316" s="141"/>
    </row>
    <row r="1317" spans="1:16" x14ac:dyDescent="0.2">
      <c r="A1317" s="129"/>
      <c r="B1317" s="130"/>
      <c r="C1317" s="140"/>
      <c r="D1317" s="131"/>
      <c r="E1317" s="129"/>
      <c r="F1317" s="131"/>
      <c r="G1317" s="130"/>
      <c r="H1317" s="131"/>
      <c r="I1317" s="132"/>
      <c r="J1317" s="129"/>
      <c r="K1317" s="140"/>
      <c r="L1317" s="133"/>
      <c r="M1317" s="140"/>
      <c r="N1317" s="140"/>
      <c r="P1317" s="141"/>
    </row>
    <row r="1318" spans="1:16" x14ac:dyDescent="0.2">
      <c r="A1318" s="129"/>
      <c r="B1318" s="130"/>
      <c r="C1318" s="140"/>
      <c r="D1318" s="131"/>
      <c r="E1318" s="129"/>
      <c r="F1318" s="131"/>
      <c r="G1318" s="130"/>
      <c r="H1318" s="131"/>
      <c r="I1318" s="132"/>
      <c r="J1318" s="129"/>
      <c r="K1318" s="140"/>
      <c r="L1318" s="133"/>
      <c r="M1318" s="140"/>
      <c r="N1318" s="140"/>
      <c r="P1318" s="141"/>
    </row>
    <row r="1319" spans="1:16" x14ac:dyDescent="0.2">
      <c r="A1319" s="129"/>
      <c r="B1319" s="130"/>
      <c r="C1319" s="140"/>
      <c r="D1319" s="131"/>
      <c r="E1319" s="129"/>
      <c r="F1319" s="131"/>
      <c r="G1319" s="130"/>
      <c r="H1319" s="131"/>
      <c r="I1319" s="132"/>
      <c r="J1319" s="129"/>
      <c r="K1319" s="140"/>
      <c r="L1319" s="133"/>
      <c r="M1319" s="140"/>
      <c r="N1319" s="140"/>
      <c r="P1319" s="141"/>
    </row>
    <row r="1320" spans="1:16" x14ac:dyDescent="0.2">
      <c r="A1320" s="129"/>
      <c r="B1320" s="130"/>
      <c r="C1320" s="140"/>
      <c r="D1320" s="131"/>
      <c r="E1320" s="129"/>
      <c r="F1320" s="131"/>
      <c r="G1320" s="130"/>
      <c r="H1320" s="131"/>
      <c r="I1320" s="132"/>
      <c r="J1320" s="129"/>
      <c r="K1320" s="140"/>
      <c r="L1320" s="133"/>
      <c r="M1320" s="140"/>
      <c r="N1320" s="140"/>
      <c r="P1320" s="141"/>
    </row>
    <row r="1321" spans="1:16" x14ac:dyDescent="0.2">
      <c r="A1321" s="129"/>
      <c r="B1321" s="130"/>
      <c r="C1321" s="140"/>
      <c r="D1321" s="131"/>
      <c r="E1321" s="129"/>
      <c r="F1321" s="131"/>
      <c r="G1321" s="130"/>
      <c r="H1321" s="131"/>
      <c r="I1321" s="132"/>
      <c r="J1321" s="129"/>
      <c r="K1321" s="140"/>
      <c r="L1321" s="133"/>
      <c r="M1321" s="140"/>
      <c r="N1321" s="140"/>
      <c r="P1321" s="141"/>
    </row>
    <row r="1322" spans="1:16" x14ac:dyDescent="0.2">
      <c r="A1322" s="129"/>
      <c r="B1322" s="130"/>
      <c r="C1322" s="140"/>
      <c r="D1322" s="131"/>
      <c r="E1322" s="129"/>
      <c r="F1322" s="131"/>
      <c r="G1322" s="130"/>
      <c r="H1322" s="131"/>
      <c r="I1322" s="132"/>
      <c r="J1322" s="129"/>
      <c r="K1322" s="140"/>
      <c r="L1322" s="133"/>
      <c r="M1322" s="140"/>
      <c r="N1322" s="140"/>
      <c r="P1322" s="141"/>
    </row>
    <row r="1323" spans="1:16" x14ac:dyDescent="0.2">
      <c r="A1323" s="129"/>
      <c r="B1323" s="130"/>
      <c r="C1323" s="140"/>
      <c r="D1323" s="131"/>
      <c r="E1323" s="129"/>
      <c r="F1323" s="131"/>
      <c r="G1323" s="130"/>
      <c r="H1323" s="131"/>
      <c r="I1323" s="132"/>
      <c r="J1323" s="129"/>
      <c r="K1323" s="140"/>
      <c r="L1323" s="133"/>
      <c r="M1323" s="140"/>
      <c r="N1323" s="140"/>
      <c r="P1323" s="141"/>
    </row>
    <row r="1324" spans="1:16" x14ac:dyDescent="0.2">
      <c r="A1324" s="129"/>
      <c r="B1324" s="130"/>
      <c r="C1324" s="140"/>
      <c r="D1324" s="131"/>
      <c r="E1324" s="129"/>
      <c r="F1324" s="131"/>
      <c r="G1324" s="130"/>
      <c r="H1324" s="131"/>
      <c r="I1324" s="132"/>
      <c r="J1324" s="129"/>
      <c r="K1324" s="140"/>
      <c r="L1324" s="133"/>
      <c r="M1324" s="140"/>
      <c r="N1324" s="140"/>
      <c r="P1324" s="141"/>
    </row>
    <row r="1325" spans="1:16" x14ac:dyDescent="0.2">
      <c r="A1325" s="129"/>
      <c r="B1325" s="130"/>
      <c r="C1325" s="140"/>
      <c r="D1325" s="131"/>
      <c r="E1325" s="129"/>
      <c r="F1325" s="131"/>
      <c r="G1325" s="130"/>
      <c r="H1325" s="131"/>
      <c r="I1325" s="132"/>
      <c r="J1325" s="129"/>
      <c r="K1325" s="140"/>
      <c r="L1325" s="133"/>
      <c r="M1325" s="140"/>
      <c r="N1325" s="140"/>
      <c r="P1325" s="141"/>
    </row>
    <row r="1326" spans="1:16" x14ac:dyDescent="0.2">
      <c r="A1326" s="129"/>
      <c r="B1326" s="130"/>
      <c r="C1326" s="140"/>
      <c r="D1326" s="131"/>
      <c r="E1326" s="129"/>
      <c r="F1326" s="131"/>
      <c r="G1326" s="130"/>
      <c r="H1326" s="131"/>
      <c r="I1326" s="132"/>
      <c r="J1326" s="129"/>
      <c r="K1326" s="140"/>
      <c r="L1326" s="133"/>
      <c r="M1326" s="140"/>
      <c r="N1326" s="140"/>
      <c r="P1326" s="141"/>
    </row>
    <row r="1327" spans="1:16" x14ac:dyDescent="0.2">
      <c r="A1327" s="129"/>
      <c r="B1327" s="130"/>
      <c r="C1327" s="140"/>
      <c r="D1327" s="131"/>
      <c r="E1327" s="129"/>
      <c r="F1327" s="131"/>
      <c r="G1327" s="130"/>
      <c r="H1327" s="131"/>
      <c r="I1327" s="132"/>
      <c r="J1327" s="129"/>
      <c r="K1327" s="140"/>
      <c r="L1327" s="133"/>
      <c r="M1327" s="140"/>
      <c r="N1327" s="140"/>
      <c r="P1327" s="141"/>
    </row>
    <row r="1328" spans="1:16" x14ac:dyDescent="0.2">
      <c r="A1328" s="129"/>
      <c r="B1328" s="130"/>
      <c r="C1328" s="140"/>
      <c r="D1328" s="131"/>
      <c r="E1328" s="129"/>
      <c r="F1328" s="131"/>
      <c r="G1328" s="130"/>
      <c r="H1328" s="131"/>
      <c r="I1328" s="132"/>
      <c r="J1328" s="129"/>
      <c r="K1328" s="140"/>
      <c r="L1328" s="133"/>
      <c r="M1328" s="140"/>
      <c r="N1328" s="140"/>
      <c r="P1328" s="141"/>
    </row>
    <row r="1329" spans="1:16" x14ac:dyDescent="0.2">
      <c r="A1329" s="129"/>
      <c r="B1329" s="130"/>
      <c r="C1329" s="140"/>
      <c r="D1329" s="131"/>
      <c r="E1329" s="129"/>
      <c r="F1329" s="131"/>
      <c r="G1329" s="130"/>
      <c r="H1329" s="131"/>
      <c r="I1329" s="132"/>
      <c r="J1329" s="129"/>
      <c r="K1329" s="140"/>
      <c r="L1329" s="133"/>
      <c r="M1329" s="140"/>
      <c r="N1329" s="140"/>
      <c r="P1329" s="141"/>
    </row>
    <row r="1330" spans="1:16" x14ac:dyDescent="0.2">
      <c r="A1330" s="129"/>
      <c r="B1330" s="130"/>
      <c r="C1330" s="140"/>
      <c r="D1330" s="131"/>
      <c r="E1330" s="129"/>
      <c r="F1330" s="131"/>
      <c r="G1330" s="130"/>
      <c r="H1330" s="131"/>
      <c r="I1330" s="132"/>
      <c r="J1330" s="129"/>
      <c r="K1330" s="140"/>
      <c r="L1330" s="133"/>
      <c r="M1330" s="140"/>
      <c r="N1330" s="140"/>
      <c r="P1330" s="141"/>
    </row>
    <row r="1331" spans="1:16" x14ac:dyDescent="0.2">
      <c r="A1331" s="129"/>
      <c r="B1331" s="130"/>
      <c r="C1331" s="140"/>
      <c r="D1331" s="131"/>
      <c r="E1331" s="129"/>
      <c r="F1331" s="131"/>
      <c r="G1331" s="130"/>
      <c r="H1331" s="131"/>
      <c r="I1331" s="132"/>
      <c r="J1331" s="129"/>
      <c r="K1331" s="140"/>
      <c r="L1331" s="133"/>
      <c r="M1331" s="140"/>
      <c r="N1331" s="140"/>
      <c r="P1331" s="141"/>
    </row>
    <row r="1332" spans="1:16" x14ac:dyDescent="0.2">
      <c r="A1332" s="129"/>
      <c r="B1332" s="130"/>
      <c r="C1332" s="140"/>
      <c r="D1332" s="131"/>
      <c r="E1332" s="129"/>
      <c r="F1332" s="131"/>
      <c r="G1332" s="130"/>
      <c r="H1332" s="131"/>
      <c r="I1332" s="132"/>
      <c r="J1332" s="129"/>
      <c r="K1332" s="140"/>
      <c r="L1332" s="133"/>
      <c r="M1332" s="140"/>
      <c r="N1332" s="140"/>
      <c r="P1332" s="141"/>
    </row>
    <row r="1333" spans="1:16" x14ac:dyDescent="0.2">
      <c r="A1333" s="129"/>
      <c r="B1333" s="130"/>
      <c r="C1333" s="140"/>
      <c r="D1333" s="131"/>
      <c r="E1333" s="129"/>
      <c r="F1333" s="131"/>
      <c r="G1333" s="130"/>
      <c r="H1333" s="131"/>
      <c r="I1333" s="132"/>
      <c r="J1333" s="129"/>
      <c r="K1333" s="140"/>
      <c r="L1333" s="133"/>
      <c r="M1333" s="140"/>
      <c r="N1333" s="140"/>
      <c r="P1333" s="141"/>
    </row>
    <row r="1334" spans="1:16" x14ac:dyDescent="0.2">
      <c r="A1334" s="129"/>
      <c r="B1334" s="130"/>
      <c r="C1334" s="140"/>
      <c r="D1334" s="131"/>
      <c r="E1334" s="129"/>
      <c r="F1334" s="131"/>
      <c r="G1334" s="130"/>
      <c r="H1334" s="131"/>
      <c r="I1334" s="132"/>
      <c r="J1334" s="129"/>
      <c r="K1334" s="140"/>
      <c r="L1334" s="133"/>
      <c r="M1334" s="140"/>
      <c r="N1334" s="140"/>
      <c r="P1334" s="141"/>
    </row>
    <row r="1335" spans="1:16" x14ac:dyDescent="0.2">
      <c r="A1335" s="129"/>
      <c r="B1335" s="130"/>
      <c r="C1335" s="140"/>
      <c r="D1335" s="131"/>
      <c r="E1335" s="129"/>
      <c r="F1335" s="131"/>
      <c r="G1335" s="130"/>
      <c r="H1335" s="131"/>
      <c r="I1335" s="132"/>
      <c r="J1335" s="129"/>
      <c r="K1335" s="140"/>
      <c r="L1335" s="133"/>
      <c r="M1335" s="140"/>
      <c r="N1335" s="140"/>
      <c r="P1335" s="141"/>
    </row>
    <row r="1336" spans="1:16" x14ac:dyDescent="0.2">
      <c r="A1336" s="129"/>
      <c r="B1336" s="130"/>
      <c r="C1336" s="140"/>
      <c r="D1336" s="131"/>
      <c r="E1336" s="129"/>
      <c r="F1336" s="131"/>
      <c r="G1336" s="130"/>
      <c r="H1336" s="131"/>
      <c r="I1336" s="132"/>
      <c r="J1336" s="129"/>
      <c r="K1336" s="140"/>
      <c r="L1336" s="133"/>
      <c r="M1336" s="140"/>
      <c r="N1336" s="140"/>
      <c r="P1336" s="141"/>
    </row>
    <row r="1337" spans="1:16" x14ac:dyDescent="0.2">
      <c r="A1337" s="129"/>
      <c r="B1337" s="130"/>
      <c r="C1337" s="140"/>
      <c r="D1337" s="131"/>
      <c r="E1337" s="129"/>
      <c r="F1337" s="131"/>
      <c r="G1337" s="130"/>
      <c r="H1337" s="131"/>
      <c r="I1337" s="132"/>
      <c r="J1337" s="129"/>
      <c r="K1337" s="140"/>
      <c r="L1337" s="133"/>
      <c r="M1337" s="140"/>
      <c r="N1337" s="140"/>
      <c r="P1337" s="141"/>
    </row>
    <row r="1338" spans="1:16" x14ac:dyDescent="0.2">
      <c r="A1338" s="129"/>
      <c r="B1338" s="130"/>
      <c r="C1338" s="140"/>
      <c r="D1338" s="131"/>
      <c r="E1338" s="129"/>
      <c r="F1338" s="131"/>
      <c r="G1338" s="130"/>
      <c r="H1338" s="131"/>
      <c r="I1338" s="132"/>
      <c r="J1338" s="129"/>
      <c r="K1338" s="140"/>
      <c r="L1338" s="133"/>
      <c r="M1338" s="140"/>
      <c r="N1338" s="140"/>
      <c r="P1338" s="141"/>
    </row>
    <row r="1339" spans="1:16" x14ac:dyDescent="0.2">
      <c r="A1339" s="129"/>
      <c r="B1339" s="130"/>
      <c r="C1339" s="140"/>
      <c r="D1339" s="131"/>
      <c r="E1339" s="129"/>
      <c r="F1339" s="131"/>
      <c r="G1339" s="130"/>
      <c r="H1339" s="131"/>
      <c r="I1339" s="132"/>
      <c r="J1339" s="129"/>
      <c r="K1339" s="140"/>
      <c r="L1339" s="133"/>
      <c r="M1339" s="140"/>
      <c r="N1339" s="140"/>
      <c r="P1339" s="141"/>
    </row>
    <row r="1340" spans="1:16" x14ac:dyDescent="0.2">
      <c r="A1340" s="129"/>
      <c r="B1340" s="130"/>
      <c r="C1340" s="140"/>
      <c r="D1340" s="131"/>
      <c r="E1340" s="129"/>
      <c r="F1340" s="131"/>
      <c r="G1340" s="130"/>
      <c r="H1340" s="131"/>
      <c r="I1340" s="132"/>
      <c r="J1340" s="129"/>
      <c r="K1340" s="140"/>
      <c r="L1340" s="133"/>
      <c r="M1340" s="140"/>
      <c r="N1340" s="140"/>
      <c r="P1340" s="141"/>
    </row>
    <row r="1341" spans="1:16" x14ac:dyDescent="0.2">
      <c r="A1341" s="129"/>
      <c r="B1341" s="130"/>
      <c r="C1341" s="140"/>
      <c r="D1341" s="131"/>
      <c r="E1341" s="129"/>
      <c r="F1341" s="131"/>
      <c r="G1341" s="130"/>
      <c r="H1341" s="131"/>
      <c r="I1341" s="132"/>
      <c r="J1341" s="129"/>
      <c r="K1341" s="140"/>
      <c r="L1341" s="133"/>
      <c r="M1341" s="140"/>
      <c r="N1341" s="140"/>
      <c r="P1341" s="141"/>
    </row>
    <row r="1342" spans="1:16" x14ac:dyDescent="0.2">
      <c r="A1342" s="129"/>
      <c r="B1342" s="130"/>
      <c r="C1342" s="140"/>
      <c r="D1342" s="131"/>
      <c r="E1342" s="129"/>
      <c r="F1342" s="131"/>
      <c r="G1342" s="130"/>
      <c r="H1342" s="131"/>
      <c r="I1342" s="132"/>
      <c r="J1342" s="129"/>
      <c r="K1342" s="140"/>
      <c r="L1342" s="133"/>
      <c r="M1342" s="140"/>
      <c r="N1342" s="140"/>
      <c r="P1342" s="141"/>
    </row>
    <row r="1343" spans="1:16" x14ac:dyDescent="0.2">
      <c r="A1343" s="129"/>
      <c r="B1343" s="130"/>
      <c r="C1343" s="140"/>
      <c r="D1343" s="131"/>
      <c r="E1343" s="129"/>
      <c r="F1343" s="131"/>
      <c r="G1343" s="130"/>
      <c r="H1343" s="131"/>
      <c r="I1343" s="132"/>
      <c r="J1343" s="129"/>
      <c r="K1343" s="140"/>
      <c r="L1343" s="133"/>
      <c r="M1343" s="140"/>
      <c r="N1343" s="140"/>
      <c r="P1343" s="141"/>
    </row>
    <row r="1344" spans="1:16" x14ac:dyDescent="0.2">
      <c r="A1344" s="129"/>
      <c r="B1344" s="130"/>
      <c r="C1344" s="140"/>
      <c r="D1344" s="131"/>
      <c r="E1344" s="129"/>
      <c r="F1344" s="131"/>
      <c r="G1344" s="130"/>
      <c r="H1344" s="131"/>
      <c r="I1344" s="132"/>
      <c r="J1344" s="129"/>
      <c r="K1344" s="140"/>
      <c r="L1344" s="133"/>
      <c r="M1344" s="140"/>
      <c r="N1344" s="140"/>
      <c r="P1344" s="141"/>
    </row>
    <row r="1345" spans="1:16" x14ac:dyDescent="0.2">
      <c r="A1345" s="129"/>
      <c r="B1345" s="130"/>
      <c r="C1345" s="140"/>
      <c r="D1345" s="131"/>
      <c r="E1345" s="129"/>
      <c r="F1345" s="131"/>
      <c r="G1345" s="130"/>
      <c r="H1345" s="131"/>
      <c r="I1345" s="132"/>
      <c r="J1345" s="129"/>
      <c r="K1345" s="140"/>
      <c r="L1345" s="133"/>
      <c r="M1345" s="140"/>
      <c r="N1345" s="140"/>
      <c r="P1345" s="141"/>
    </row>
    <row r="1346" spans="1:16" x14ac:dyDescent="0.2">
      <c r="A1346" s="129"/>
      <c r="B1346" s="130"/>
      <c r="C1346" s="140"/>
      <c r="D1346" s="131"/>
      <c r="E1346" s="129"/>
      <c r="F1346" s="131"/>
      <c r="G1346" s="130"/>
      <c r="H1346" s="131"/>
      <c r="I1346" s="132"/>
      <c r="J1346" s="129"/>
      <c r="K1346" s="140"/>
      <c r="L1346" s="133"/>
      <c r="M1346" s="140"/>
      <c r="N1346" s="140"/>
      <c r="P1346" s="141"/>
    </row>
    <row r="1347" spans="1:16" x14ac:dyDescent="0.2">
      <c r="A1347" s="129"/>
      <c r="B1347" s="130"/>
      <c r="C1347" s="140"/>
      <c r="D1347" s="131"/>
      <c r="E1347" s="129"/>
      <c r="F1347" s="131"/>
      <c r="G1347" s="130"/>
      <c r="H1347" s="131"/>
      <c r="I1347" s="132"/>
      <c r="J1347" s="129"/>
      <c r="K1347" s="140"/>
      <c r="L1347" s="133"/>
      <c r="M1347" s="140"/>
      <c r="N1347" s="140"/>
      <c r="P1347" s="141"/>
    </row>
    <row r="1348" spans="1:16" x14ac:dyDescent="0.2">
      <c r="A1348" s="129"/>
      <c r="B1348" s="130"/>
      <c r="C1348" s="140"/>
      <c r="D1348" s="131"/>
      <c r="E1348" s="129"/>
      <c r="F1348" s="131"/>
      <c r="G1348" s="130"/>
      <c r="H1348" s="131"/>
      <c r="I1348" s="132"/>
      <c r="J1348" s="129"/>
      <c r="K1348" s="140"/>
      <c r="L1348" s="133"/>
      <c r="M1348" s="140"/>
      <c r="N1348" s="140"/>
      <c r="P1348" s="141"/>
    </row>
    <row r="1349" spans="1:16" x14ac:dyDescent="0.2">
      <c r="A1349" s="129"/>
      <c r="B1349" s="130"/>
      <c r="C1349" s="140"/>
      <c r="D1349" s="131"/>
      <c r="E1349" s="129"/>
      <c r="F1349" s="131"/>
      <c r="G1349" s="130"/>
      <c r="H1349" s="131"/>
      <c r="I1349" s="132"/>
      <c r="J1349" s="129"/>
      <c r="K1349" s="140"/>
      <c r="L1349" s="133"/>
      <c r="M1349" s="140"/>
      <c r="N1349" s="140"/>
      <c r="P1349" s="141"/>
    </row>
    <row r="1350" spans="1:16" x14ac:dyDescent="0.2">
      <c r="A1350" s="129"/>
      <c r="B1350" s="130"/>
      <c r="C1350" s="140"/>
      <c r="D1350" s="131"/>
      <c r="E1350" s="129"/>
      <c r="F1350" s="131"/>
      <c r="G1350" s="130"/>
      <c r="H1350" s="131"/>
      <c r="I1350" s="132"/>
      <c r="J1350" s="129"/>
      <c r="K1350" s="140"/>
      <c r="L1350" s="133"/>
      <c r="M1350" s="140"/>
      <c r="N1350" s="140"/>
      <c r="P1350" s="141"/>
    </row>
    <row r="1351" spans="1:16" x14ac:dyDescent="0.2">
      <c r="A1351" s="129"/>
      <c r="B1351" s="130"/>
      <c r="C1351" s="140"/>
      <c r="D1351" s="131"/>
      <c r="E1351" s="129"/>
      <c r="F1351" s="131"/>
      <c r="G1351" s="130"/>
      <c r="H1351" s="131"/>
      <c r="I1351" s="132"/>
      <c r="J1351" s="129"/>
      <c r="K1351" s="140"/>
      <c r="L1351" s="133"/>
      <c r="M1351" s="140"/>
      <c r="N1351" s="140"/>
      <c r="P1351" s="141"/>
    </row>
    <row r="1352" spans="1:16" x14ac:dyDescent="0.2">
      <c r="A1352" s="129"/>
      <c r="B1352" s="130"/>
      <c r="C1352" s="140"/>
      <c r="D1352" s="131"/>
      <c r="E1352" s="129"/>
      <c r="F1352" s="131"/>
      <c r="G1352" s="130"/>
      <c r="H1352" s="131"/>
      <c r="I1352" s="132"/>
      <c r="J1352" s="129"/>
      <c r="K1352" s="140"/>
      <c r="L1352" s="133"/>
      <c r="M1352" s="140"/>
      <c r="N1352" s="140"/>
      <c r="P1352" s="141"/>
    </row>
    <row r="1353" spans="1:16" x14ac:dyDescent="0.2">
      <c r="A1353" s="129"/>
      <c r="B1353" s="130"/>
      <c r="C1353" s="140"/>
      <c r="D1353" s="131"/>
      <c r="E1353" s="129"/>
      <c r="F1353" s="131"/>
      <c r="G1353" s="130"/>
      <c r="H1353" s="131"/>
      <c r="I1353" s="132"/>
      <c r="J1353" s="129"/>
      <c r="K1353" s="140"/>
      <c r="L1353" s="133"/>
      <c r="M1353" s="140"/>
      <c r="N1353" s="140"/>
      <c r="P1353" s="141"/>
    </row>
    <row r="1354" spans="1:16" x14ac:dyDescent="0.2">
      <c r="A1354" s="129"/>
      <c r="B1354" s="130"/>
      <c r="C1354" s="140"/>
      <c r="D1354" s="131"/>
      <c r="E1354" s="129"/>
      <c r="F1354" s="131"/>
      <c r="G1354" s="130"/>
      <c r="H1354" s="131"/>
      <c r="I1354" s="132"/>
      <c r="J1354" s="129"/>
      <c r="K1354" s="140"/>
      <c r="L1354" s="133"/>
      <c r="M1354" s="140"/>
      <c r="N1354" s="140"/>
      <c r="P1354" s="141"/>
    </row>
    <row r="1355" spans="1:16" x14ac:dyDescent="0.2">
      <c r="A1355" s="129"/>
      <c r="B1355" s="130"/>
      <c r="C1355" s="140"/>
      <c r="D1355" s="131"/>
      <c r="E1355" s="129"/>
      <c r="F1355" s="131"/>
      <c r="G1355" s="130"/>
      <c r="H1355" s="131"/>
      <c r="I1355" s="132"/>
      <c r="J1355" s="129"/>
      <c r="K1355" s="140"/>
      <c r="L1355" s="133"/>
      <c r="M1355" s="140"/>
      <c r="N1355" s="140"/>
      <c r="P1355" s="141"/>
    </row>
    <row r="1356" spans="1:16" x14ac:dyDescent="0.2">
      <c r="A1356" s="129"/>
      <c r="B1356" s="130"/>
      <c r="C1356" s="140"/>
      <c r="D1356" s="131"/>
      <c r="E1356" s="129"/>
      <c r="F1356" s="131"/>
      <c r="G1356" s="130"/>
      <c r="H1356" s="131"/>
      <c r="I1356" s="132"/>
      <c r="J1356" s="129"/>
      <c r="K1356" s="140"/>
      <c r="L1356" s="133"/>
      <c r="M1356" s="140"/>
      <c r="N1356" s="140"/>
      <c r="P1356" s="141"/>
    </row>
    <row r="1357" spans="1:16" x14ac:dyDescent="0.2">
      <c r="A1357" s="129"/>
      <c r="B1357" s="130"/>
      <c r="C1357" s="140"/>
      <c r="D1357" s="131"/>
      <c r="E1357" s="129"/>
      <c r="F1357" s="131"/>
      <c r="G1357" s="130"/>
      <c r="H1357" s="131"/>
      <c r="I1357" s="132"/>
      <c r="J1357" s="129"/>
      <c r="K1357" s="140"/>
      <c r="L1357" s="133"/>
      <c r="M1357" s="140"/>
      <c r="N1357" s="140"/>
      <c r="P1357" s="141"/>
    </row>
    <row r="1358" spans="1:16" x14ac:dyDescent="0.2">
      <c r="A1358" s="129"/>
      <c r="B1358" s="130"/>
      <c r="C1358" s="140"/>
      <c r="D1358" s="131"/>
      <c r="E1358" s="129"/>
      <c r="F1358" s="131"/>
      <c r="G1358" s="130"/>
      <c r="H1358" s="131"/>
      <c r="I1358" s="132"/>
      <c r="J1358" s="129"/>
      <c r="K1358" s="140"/>
      <c r="L1358" s="133"/>
      <c r="M1358" s="140"/>
      <c r="N1358" s="140"/>
      <c r="P1358" s="141"/>
    </row>
    <row r="1359" spans="1:16" x14ac:dyDescent="0.2">
      <c r="A1359" s="129"/>
      <c r="B1359" s="130"/>
      <c r="C1359" s="140"/>
      <c r="D1359" s="131"/>
      <c r="E1359" s="129"/>
      <c r="F1359" s="131"/>
      <c r="G1359" s="130"/>
      <c r="H1359" s="131"/>
      <c r="I1359" s="132"/>
      <c r="J1359" s="129"/>
      <c r="K1359" s="140"/>
      <c r="L1359" s="133"/>
      <c r="M1359" s="140"/>
      <c r="N1359" s="140"/>
      <c r="P1359" s="141"/>
    </row>
    <row r="1360" spans="1:16" x14ac:dyDescent="0.2">
      <c r="A1360" s="129"/>
      <c r="B1360" s="130"/>
      <c r="C1360" s="140"/>
      <c r="D1360" s="131"/>
      <c r="E1360" s="129"/>
      <c r="F1360" s="131"/>
      <c r="G1360" s="130"/>
      <c r="H1360" s="131"/>
      <c r="I1360" s="132"/>
      <c r="J1360" s="129"/>
      <c r="K1360" s="140"/>
      <c r="L1360" s="133"/>
      <c r="M1360" s="140"/>
      <c r="N1360" s="140"/>
      <c r="P1360" s="141"/>
    </row>
    <row r="1361" spans="1:16" x14ac:dyDescent="0.2">
      <c r="A1361" s="129"/>
      <c r="B1361" s="130"/>
      <c r="C1361" s="140"/>
      <c r="D1361" s="131"/>
      <c r="E1361" s="129"/>
      <c r="F1361" s="131"/>
      <c r="G1361" s="130"/>
      <c r="H1361" s="131"/>
      <c r="I1361" s="132"/>
      <c r="J1361" s="129"/>
      <c r="K1361" s="140"/>
      <c r="L1361" s="133"/>
      <c r="M1361" s="140"/>
      <c r="N1361" s="140"/>
      <c r="P1361" s="141"/>
    </row>
    <row r="1362" spans="1:16" x14ac:dyDescent="0.2">
      <c r="A1362" s="129"/>
      <c r="B1362" s="130"/>
      <c r="C1362" s="140"/>
      <c r="D1362" s="131"/>
      <c r="E1362" s="129"/>
      <c r="F1362" s="131"/>
      <c r="G1362" s="130"/>
      <c r="H1362" s="131"/>
      <c r="I1362" s="132"/>
      <c r="J1362" s="129"/>
      <c r="K1362" s="140"/>
      <c r="L1362" s="133"/>
      <c r="M1362" s="140"/>
      <c r="N1362" s="140"/>
      <c r="P1362" s="141"/>
    </row>
    <row r="1363" spans="1:16" x14ac:dyDescent="0.2">
      <c r="A1363" s="129"/>
      <c r="B1363" s="130"/>
      <c r="C1363" s="140"/>
      <c r="D1363" s="131"/>
      <c r="E1363" s="129"/>
      <c r="F1363" s="131"/>
      <c r="G1363" s="130"/>
      <c r="H1363" s="131"/>
      <c r="I1363" s="132"/>
      <c r="J1363" s="129"/>
      <c r="K1363" s="140"/>
      <c r="L1363" s="133"/>
      <c r="M1363" s="140"/>
      <c r="N1363" s="140"/>
      <c r="P1363" s="141"/>
    </row>
    <row r="1364" spans="1:16" x14ac:dyDescent="0.2">
      <c r="A1364" s="129"/>
      <c r="B1364" s="130"/>
      <c r="C1364" s="140"/>
      <c r="D1364" s="131"/>
      <c r="E1364" s="129"/>
      <c r="F1364" s="131"/>
      <c r="G1364" s="130"/>
      <c r="H1364" s="131"/>
      <c r="I1364" s="132"/>
      <c r="J1364" s="129"/>
      <c r="K1364" s="140"/>
      <c r="L1364" s="133"/>
      <c r="M1364" s="140"/>
      <c r="N1364" s="140"/>
      <c r="P1364" s="141"/>
    </row>
    <row r="1365" spans="1:16" x14ac:dyDescent="0.2">
      <c r="A1365" s="129"/>
      <c r="B1365" s="130"/>
      <c r="C1365" s="140"/>
      <c r="D1365" s="131"/>
      <c r="E1365" s="129"/>
      <c r="F1365" s="131"/>
      <c r="G1365" s="130"/>
      <c r="H1365" s="131"/>
      <c r="I1365" s="132"/>
      <c r="J1365" s="129"/>
      <c r="K1365" s="140"/>
      <c r="L1365" s="133"/>
      <c r="M1365" s="140"/>
      <c r="N1365" s="140"/>
      <c r="P1365" s="141"/>
    </row>
    <row r="1366" spans="1:16" x14ac:dyDescent="0.2">
      <c r="A1366" s="129"/>
      <c r="B1366" s="130"/>
      <c r="C1366" s="140"/>
      <c r="D1366" s="131"/>
      <c r="E1366" s="129"/>
      <c r="F1366" s="131"/>
      <c r="G1366" s="130"/>
      <c r="H1366" s="131"/>
      <c r="I1366" s="132"/>
      <c r="J1366" s="129"/>
      <c r="K1366" s="140"/>
      <c r="L1366" s="133"/>
      <c r="M1366" s="140"/>
      <c r="N1366" s="140"/>
      <c r="P1366" s="141"/>
    </row>
    <row r="1367" spans="1:16" x14ac:dyDescent="0.2">
      <c r="A1367" s="129"/>
      <c r="B1367" s="130"/>
      <c r="C1367" s="140"/>
      <c r="D1367" s="131"/>
      <c r="E1367" s="129"/>
      <c r="F1367" s="131"/>
      <c r="G1367" s="130"/>
      <c r="H1367" s="131"/>
      <c r="I1367" s="132"/>
      <c r="J1367" s="129"/>
      <c r="K1367" s="140"/>
      <c r="L1367" s="133"/>
      <c r="M1367" s="140"/>
      <c r="N1367" s="140"/>
      <c r="P1367" s="141"/>
    </row>
    <row r="1368" spans="1:16" x14ac:dyDescent="0.2">
      <c r="A1368" s="129"/>
      <c r="B1368" s="130"/>
      <c r="C1368" s="140"/>
      <c r="D1368" s="131"/>
      <c r="E1368" s="129"/>
      <c r="F1368" s="131"/>
      <c r="G1368" s="130"/>
      <c r="H1368" s="131"/>
      <c r="I1368" s="132"/>
      <c r="J1368" s="129"/>
      <c r="K1368" s="140"/>
      <c r="L1368" s="133"/>
      <c r="M1368" s="140"/>
      <c r="N1368" s="140"/>
      <c r="P1368" s="141"/>
    </row>
    <row r="1369" spans="1:16" x14ac:dyDescent="0.2">
      <c r="A1369" s="129"/>
      <c r="B1369" s="130"/>
      <c r="C1369" s="140"/>
      <c r="D1369" s="131"/>
      <c r="E1369" s="129"/>
      <c r="F1369" s="131"/>
      <c r="G1369" s="130"/>
      <c r="H1369" s="131"/>
      <c r="I1369" s="132"/>
      <c r="J1369" s="129"/>
      <c r="K1369" s="140"/>
      <c r="L1369" s="133"/>
      <c r="M1369" s="140"/>
      <c r="N1369" s="140"/>
      <c r="P1369" s="141"/>
    </row>
    <row r="1370" spans="1:16" x14ac:dyDescent="0.2">
      <c r="A1370" s="129"/>
      <c r="B1370" s="130"/>
      <c r="C1370" s="140"/>
      <c r="D1370" s="131"/>
      <c r="E1370" s="129"/>
      <c r="F1370" s="131"/>
      <c r="G1370" s="130"/>
      <c r="H1370" s="131"/>
      <c r="I1370" s="132"/>
      <c r="J1370" s="129"/>
      <c r="K1370" s="140"/>
      <c r="L1370" s="133"/>
      <c r="M1370" s="140"/>
      <c r="N1370" s="140"/>
      <c r="P1370" s="141"/>
    </row>
    <row r="1371" spans="1:16" x14ac:dyDescent="0.2">
      <c r="A1371" s="129"/>
      <c r="B1371" s="130"/>
      <c r="C1371" s="140"/>
      <c r="D1371" s="131"/>
      <c r="E1371" s="129"/>
      <c r="F1371" s="131"/>
      <c r="G1371" s="130"/>
      <c r="H1371" s="131"/>
      <c r="I1371" s="132"/>
      <c r="J1371" s="129"/>
      <c r="K1371" s="140"/>
      <c r="L1371" s="133"/>
      <c r="M1371" s="140"/>
      <c r="N1371" s="140"/>
      <c r="P1371" s="141"/>
    </row>
    <row r="1372" spans="1:16" x14ac:dyDescent="0.2">
      <c r="A1372" s="129"/>
      <c r="B1372" s="130"/>
      <c r="C1372" s="140"/>
      <c r="D1372" s="131"/>
      <c r="E1372" s="129"/>
      <c r="F1372" s="131"/>
      <c r="G1372" s="130"/>
      <c r="H1372" s="131"/>
      <c r="I1372" s="132"/>
      <c r="J1372" s="129"/>
      <c r="K1372" s="140"/>
      <c r="L1372" s="133"/>
      <c r="M1372" s="140"/>
      <c r="N1372" s="140"/>
      <c r="P1372" s="141"/>
    </row>
    <row r="1373" spans="1:16" x14ac:dyDescent="0.2">
      <c r="A1373" s="129"/>
      <c r="B1373" s="130"/>
      <c r="C1373" s="140"/>
      <c r="D1373" s="131"/>
      <c r="E1373" s="129"/>
      <c r="F1373" s="131"/>
      <c r="G1373" s="130"/>
      <c r="H1373" s="131"/>
      <c r="I1373" s="132"/>
      <c r="J1373" s="129"/>
      <c r="K1373" s="140"/>
      <c r="L1373" s="133"/>
      <c r="M1373" s="140"/>
      <c r="N1373" s="140"/>
      <c r="P1373" s="141"/>
    </row>
    <row r="1374" spans="1:16" x14ac:dyDescent="0.2">
      <c r="A1374" s="129"/>
      <c r="B1374" s="130"/>
      <c r="C1374" s="140"/>
      <c r="D1374" s="131"/>
      <c r="E1374" s="129"/>
      <c r="F1374" s="131"/>
      <c r="G1374" s="130"/>
      <c r="H1374" s="131"/>
      <c r="I1374" s="132"/>
      <c r="J1374" s="129"/>
      <c r="K1374" s="140"/>
      <c r="L1374" s="133"/>
      <c r="M1374" s="140"/>
      <c r="N1374" s="140"/>
      <c r="P1374" s="141"/>
    </row>
    <row r="1375" spans="1:16" x14ac:dyDescent="0.2">
      <c r="A1375" s="129"/>
      <c r="B1375" s="130"/>
      <c r="C1375" s="140"/>
      <c r="D1375" s="131"/>
      <c r="E1375" s="129"/>
      <c r="F1375" s="131"/>
      <c r="G1375" s="130"/>
      <c r="H1375" s="131"/>
      <c r="I1375" s="132"/>
      <c r="J1375" s="129"/>
      <c r="K1375" s="140"/>
      <c r="L1375" s="133"/>
      <c r="M1375" s="140"/>
      <c r="N1375" s="140"/>
      <c r="P1375" s="141"/>
    </row>
    <row r="1376" spans="1:16" x14ac:dyDescent="0.2">
      <c r="A1376" s="129"/>
      <c r="B1376" s="130"/>
      <c r="C1376" s="140"/>
      <c r="D1376" s="131"/>
      <c r="E1376" s="129"/>
      <c r="F1376" s="131"/>
      <c r="G1376" s="130"/>
      <c r="H1376" s="131"/>
      <c r="I1376" s="132"/>
      <c r="J1376" s="129"/>
      <c r="K1376" s="140"/>
      <c r="L1376" s="133"/>
      <c r="M1376" s="140"/>
      <c r="N1376" s="140"/>
      <c r="P1376" s="141"/>
    </row>
    <row r="1377" spans="1:16" x14ac:dyDescent="0.2">
      <c r="A1377" s="129"/>
      <c r="B1377" s="130"/>
      <c r="C1377" s="140"/>
      <c r="D1377" s="131"/>
      <c r="E1377" s="129"/>
      <c r="F1377" s="131"/>
      <c r="G1377" s="130"/>
      <c r="H1377" s="131"/>
      <c r="I1377" s="132"/>
      <c r="J1377" s="129"/>
      <c r="K1377" s="140"/>
      <c r="L1377" s="133"/>
      <c r="M1377" s="140"/>
      <c r="N1377" s="140"/>
      <c r="P1377" s="141"/>
    </row>
    <row r="1378" spans="1:16" x14ac:dyDescent="0.2">
      <c r="A1378" s="129"/>
      <c r="B1378" s="130"/>
      <c r="C1378" s="140"/>
      <c r="D1378" s="131"/>
      <c r="E1378" s="129"/>
      <c r="F1378" s="131"/>
      <c r="G1378" s="130"/>
      <c r="H1378" s="131"/>
      <c r="I1378" s="132"/>
      <c r="J1378" s="129"/>
      <c r="K1378" s="140"/>
      <c r="L1378" s="133"/>
      <c r="M1378" s="140"/>
      <c r="N1378" s="140"/>
      <c r="P1378" s="141"/>
    </row>
    <row r="1379" spans="1:16" x14ac:dyDescent="0.2">
      <c r="A1379" s="129"/>
      <c r="B1379" s="130"/>
      <c r="C1379" s="140"/>
      <c r="D1379" s="131"/>
      <c r="E1379" s="129"/>
      <c r="F1379" s="131"/>
      <c r="G1379" s="130"/>
      <c r="H1379" s="131"/>
      <c r="I1379" s="132"/>
      <c r="J1379" s="129"/>
      <c r="K1379" s="140"/>
      <c r="L1379" s="133"/>
      <c r="M1379" s="140"/>
      <c r="N1379" s="140"/>
      <c r="P1379" s="141"/>
    </row>
    <row r="1380" spans="1:16" x14ac:dyDescent="0.2">
      <c r="A1380" s="129"/>
      <c r="B1380" s="130"/>
      <c r="C1380" s="140"/>
      <c r="D1380" s="131"/>
      <c r="E1380" s="129"/>
      <c r="F1380" s="131"/>
      <c r="G1380" s="130"/>
      <c r="H1380" s="131"/>
      <c r="I1380" s="132"/>
      <c r="J1380" s="129"/>
      <c r="K1380" s="140"/>
      <c r="L1380" s="133"/>
      <c r="M1380" s="140"/>
      <c r="N1380" s="140"/>
      <c r="P1380" s="141"/>
    </row>
    <row r="1381" spans="1:16" x14ac:dyDescent="0.2">
      <c r="A1381" s="129"/>
      <c r="B1381" s="130"/>
      <c r="C1381" s="140"/>
      <c r="D1381" s="131"/>
      <c r="E1381" s="129"/>
      <c r="F1381" s="131"/>
      <c r="G1381" s="130"/>
      <c r="H1381" s="131"/>
      <c r="I1381" s="132"/>
      <c r="J1381" s="129"/>
      <c r="K1381" s="140"/>
      <c r="L1381" s="133"/>
      <c r="M1381" s="140"/>
      <c r="N1381" s="140"/>
      <c r="P1381" s="141"/>
    </row>
    <row r="1382" spans="1:16" x14ac:dyDescent="0.2">
      <c r="A1382" s="129"/>
      <c r="B1382" s="130"/>
      <c r="C1382" s="140"/>
      <c r="D1382" s="131"/>
      <c r="E1382" s="129"/>
      <c r="F1382" s="131"/>
      <c r="G1382" s="130"/>
      <c r="H1382" s="131"/>
      <c r="I1382" s="132"/>
      <c r="J1382" s="129"/>
      <c r="K1382" s="140"/>
      <c r="L1382" s="133"/>
      <c r="M1382" s="140"/>
      <c r="N1382" s="140"/>
      <c r="P1382" s="141"/>
    </row>
    <row r="1383" spans="1:16" x14ac:dyDescent="0.2">
      <c r="A1383" s="129"/>
      <c r="B1383" s="130"/>
      <c r="C1383" s="140"/>
      <c r="D1383" s="131"/>
      <c r="E1383" s="129"/>
      <c r="F1383" s="131"/>
      <c r="G1383" s="130"/>
      <c r="H1383" s="131"/>
      <c r="I1383" s="132"/>
      <c r="J1383" s="129"/>
      <c r="K1383" s="140"/>
      <c r="L1383" s="133"/>
      <c r="M1383" s="140"/>
      <c r="N1383" s="140"/>
      <c r="P1383" s="141"/>
    </row>
    <row r="1384" spans="1:16" x14ac:dyDescent="0.2">
      <c r="A1384" s="129"/>
      <c r="B1384" s="130"/>
      <c r="C1384" s="140"/>
      <c r="D1384" s="131"/>
      <c r="E1384" s="129"/>
      <c r="F1384" s="131"/>
      <c r="G1384" s="130"/>
      <c r="H1384" s="131"/>
      <c r="I1384" s="132"/>
      <c r="J1384" s="129"/>
      <c r="K1384" s="140"/>
      <c r="L1384" s="133"/>
      <c r="M1384" s="140"/>
      <c r="N1384" s="140"/>
      <c r="P1384" s="141"/>
    </row>
    <row r="1385" spans="1:16" x14ac:dyDescent="0.2">
      <c r="A1385" s="129"/>
      <c r="B1385" s="130"/>
      <c r="C1385" s="140"/>
      <c r="D1385" s="131"/>
      <c r="E1385" s="129"/>
      <c r="F1385" s="131"/>
      <c r="G1385" s="130"/>
      <c r="H1385" s="131"/>
      <c r="I1385" s="132"/>
      <c r="J1385" s="129"/>
      <c r="K1385" s="140"/>
      <c r="L1385" s="133"/>
      <c r="M1385" s="140"/>
      <c r="N1385" s="140"/>
      <c r="P1385" s="141"/>
    </row>
    <row r="1386" spans="1:16" x14ac:dyDescent="0.2">
      <c r="A1386" s="129"/>
      <c r="B1386" s="130"/>
      <c r="C1386" s="140"/>
      <c r="D1386" s="131"/>
      <c r="E1386" s="129"/>
      <c r="F1386" s="131"/>
      <c r="G1386" s="130"/>
      <c r="H1386" s="131"/>
      <c r="I1386" s="132"/>
      <c r="J1386" s="129"/>
      <c r="K1386" s="140"/>
      <c r="L1386" s="133"/>
      <c r="M1386" s="140"/>
      <c r="N1386" s="140"/>
      <c r="P1386" s="141"/>
    </row>
    <row r="1387" spans="1:16" x14ac:dyDescent="0.2">
      <c r="A1387" s="129"/>
      <c r="B1387" s="130"/>
      <c r="C1387" s="140"/>
      <c r="D1387" s="131"/>
      <c r="E1387" s="129"/>
      <c r="F1387" s="131"/>
      <c r="G1387" s="130"/>
      <c r="H1387" s="131"/>
      <c r="I1387" s="132"/>
      <c r="J1387" s="129"/>
      <c r="K1387" s="140"/>
      <c r="L1387" s="133"/>
      <c r="M1387" s="140"/>
      <c r="N1387" s="140"/>
      <c r="P1387" s="141"/>
    </row>
    <row r="1388" spans="1:16" x14ac:dyDescent="0.2">
      <c r="A1388" s="129"/>
      <c r="B1388" s="130"/>
      <c r="C1388" s="140"/>
      <c r="D1388" s="131"/>
      <c r="E1388" s="129"/>
      <c r="F1388" s="131"/>
      <c r="G1388" s="130"/>
      <c r="H1388" s="131"/>
      <c r="I1388" s="132"/>
      <c r="J1388" s="129"/>
      <c r="K1388" s="140"/>
      <c r="L1388" s="133"/>
      <c r="M1388" s="140"/>
      <c r="N1388" s="140"/>
      <c r="P1388" s="141"/>
    </row>
    <row r="1389" spans="1:16" x14ac:dyDescent="0.2">
      <c r="A1389" s="129"/>
      <c r="B1389" s="130"/>
      <c r="C1389" s="140"/>
      <c r="D1389" s="131"/>
      <c r="E1389" s="129"/>
      <c r="F1389" s="131"/>
      <c r="G1389" s="130"/>
      <c r="H1389" s="131"/>
      <c r="I1389" s="132"/>
      <c r="J1389" s="129"/>
      <c r="K1389" s="140"/>
      <c r="L1389" s="133"/>
      <c r="M1389" s="140"/>
      <c r="N1389" s="140"/>
      <c r="P1389" s="141"/>
    </row>
    <row r="1390" spans="1:16" x14ac:dyDescent="0.2">
      <c r="A1390" s="129"/>
      <c r="B1390" s="130"/>
      <c r="C1390" s="140"/>
      <c r="D1390" s="131"/>
      <c r="E1390" s="129"/>
      <c r="F1390" s="131"/>
      <c r="G1390" s="130"/>
      <c r="H1390" s="131"/>
      <c r="I1390" s="132"/>
      <c r="J1390" s="129"/>
      <c r="K1390" s="140"/>
      <c r="L1390" s="133"/>
      <c r="M1390" s="140"/>
      <c r="N1390" s="140"/>
      <c r="P1390" s="141"/>
    </row>
    <row r="1391" spans="1:16" x14ac:dyDescent="0.2">
      <c r="A1391" s="129"/>
      <c r="B1391" s="130"/>
      <c r="C1391" s="140"/>
      <c r="D1391" s="131"/>
      <c r="E1391" s="129"/>
      <c r="F1391" s="131"/>
      <c r="G1391" s="130"/>
      <c r="H1391" s="131"/>
      <c r="I1391" s="132"/>
      <c r="J1391" s="129"/>
      <c r="K1391" s="140"/>
      <c r="L1391" s="133"/>
      <c r="M1391" s="140"/>
      <c r="N1391" s="140"/>
      <c r="P1391" s="141"/>
    </row>
    <row r="1392" spans="1:16" x14ac:dyDescent="0.2">
      <c r="A1392" s="129"/>
      <c r="B1392" s="130"/>
      <c r="C1392" s="140"/>
      <c r="D1392" s="131"/>
      <c r="E1392" s="129"/>
      <c r="F1392" s="131"/>
      <c r="G1392" s="130"/>
      <c r="H1392" s="131"/>
      <c r="I1392" s="132"/>
      <c r="J1392" s="129"/>
      <c r="K1392" s="140"/>
      <c r="L1392" s="133"/>
      <c r="M1392" s="140"/>
      <c r="N1392" s="140"/>
      <c r="P1392" s="141"/>
    </row>
    <row r="1393" spans="1:16" x14ac:dyDescent="0.2">
      <c r="A1393" s="129"/>
      <c r="B1393" s="130"/>
      <c r="C1393" s="140"/>
      <c r="D1393" s="131"/>
      <c r="E1393" s="129"/>
      <c r="F1393" s="131"/>
      <c r="G1393" s="130"/>
      <c r="H1393" s="131"/>
      <c r="I1393" s="132"/>
      <c r="J1393" s="129"/>
      <c r="K1393" s="140"/>
      <c r="L1393" s="133"/>
      <c r="M1393" s="140"/>
      <c r="N1393" s="140"/>
      <c r="P1393" s="141"/>
    </row>
    <row r="1394" spans="1:16" x14ac:dyDescent="0.2">
      <c r="A1394" s="129"/>
      <c r="B1394" s="130"/>
      <c r="C1394" s="140"/>
      <c r="D1394" s="131"/>
      <c r="E1394" s="129"/>
      <c r="F1394" s="131"/>
      <c r="G1394" s="130"/>
      <c r="H1394" s="131"/>
      <c r="I1394" s="132"/>
      <c r="J1394" s="129"/>
      <c r="K1394" s="140"/>
      <c r="L1394" s="133"/>
      <c r="M1394" s="140"/>
      <c r="N1394" s="140"/>
      <c r="P1394" s="141"/>
    </row>
    <row r="1395" spans="1:16" x14ac:dyDescent="0.2">
      <c r="A1395" s="129"/>
      <c r="B1395" s="130"/>
      <c r="C1395" s="140"/>
      <c r="D1395" s="131"/>
      <c r="E1395" s="129"/>
      <c r="F1395" s="131"/>
      <c r="G1395" s="130"/>
      <c r="H1395" s="131"/>
      <c r="I1395" s="132"/>
      <c r="J1395" s="129"/>
      <c r="K1395" s="140"/>
      <c r="L1395" s="133"/>
      <c r="M1395" s="140"/>
      <c r="N1395" s="140"/>
      <c r="P1395" s="141"/>
    </row>
    <row r="1396" spans="1:16" x14ac:dyDescent="0.2">
      <c r="A1396" s="129"/>
      <c r="B1396" s="130"/>
      <c r="C1396" s="140"/>
      <c r="D1396" s="131"/>
      <c r="E1396" s="129"/>
      <c r="F1396" s="131"/>
      <c r="G1396" s="130"/>
      <c r="H1396" s="131"/>
      <c r="I1396" s="132"/>
      <c r="J1396" s="129"/>
      <c r="K1396" s="140"/>
      <c r="L1396" s="133"/>
      <c r="M1396" s="140"/>
      <c r="N1396" s="140"/>
      <c r="P1396" s="141"/>
    </row>
    <row r="1397" spans="1:16" x14ac:dyDescent="0.2">
      <c r="A1397" s="129"/>
      <c r="B1397" s="130"/>
      <c r="C1397" s="140"/>
      <c r="D1397" s="131"/>
      <c r="E1397" s="129"/>
      <c r="F1397" s="131"/>
      <c r="G1397" s="130"/>
      <c r="H1397" s="131"/>
      <c r="I1397" s="132"/>
      <c r="J1397" s="129"/>
      <c r="K1397" s="140"/>
      <c r="L1397" s="133"/>
      <c r="M1397" s="140"/>
      <c r="N1397" s="140"/>
      <c r="P1397" s="141"/>
    </row>
    <row r="1398" spans="1:16" x14ac:dyDescent="0.2">
      <c r="A1398" s="129"/>
      <c r="B1398" s="130"/>
      <c r="C1398" s="140"/>
      <c r="D1398" s="131"/>
      <c r="E1398" s="129"/>
      <c r="F1398" s="131"/>
      <c r="G1398" s="130"/>
      <c r="H1398" s="131"/>
      <c r="I1398" s="132"/>
      <c r="J1398" s="129"/>
      <c r="K1398" s="140"/>
      <c r="L1398" s="133"/>
      <c r="M1398" s="140"/>
      <c r="N1398" s="140"/>
      <c r="P1398" s="141"/>
    </row>
    <row r="1399" spans="1:16" x14ac:dyDescent="0.2">
      <c r="A1399" s="129"/>
      <c r="B1399" s="130"/>
      <c r="C1399" s="140"/>
      <c r="D1399" s="131"/>
      <c r="E1399" s="129"/>
      <c r="F1399" s="131"/>
      <c r="G1399" s="130"/>
      <c r="H1399" s="131"/>
      <c r="I1399" s="132"/>
      <c r="J1399" s="129"/>
      <c r="K1399" s="140"/>
      <c r="L1399" s="133"/>
      <c r="M1399" s="140"/>
      <c r="N1399" s="140"/>
      <c r="P1399" s="141"/>
    </row>
    <row r="1400" spans="1:16" x14ac:dyDescent="0.2">
      <c r="A1400" s="129"/>
      <c r="B1400" s="130"/>
      <c r="C1400" s="140"/>
      <c r="D1400" s="131"/>
      <c r="E1400" s="129"/>
      <c r="F1400" s="131"/>
      <c r="G1400" s="130"/>
      <c r="H1400" s="131"/>
      <c r="I1400" s="132"/>
      <c r="J1400" s="129"/>
      <c r="K1400" s="140"/>
      <c r="L1400" s="133"/>
      <c r="M1400" s="140"/>
      <c r="N1400" s="140"/>
      <c r="P1400" s="141"/>
    </row>
    <row r="1401" spans="1:16" x14ac:dyDescent="0.2">
      <c r="A1401" s="129"/>
      <c r="B1401" s="130"/>
      <c r="C1401" s="140"/>
      <c r="D1401" s="131"/>
      <c r="E1401" s="129"/>
      <c r="F1401" s="131"/>
      <c r="G1401" s="130"/>
      <c r="H1401" s="131"/>
      <c r="I1401" s="132"/>
      <c r="J1401" s="129"/>
      <c r="K1401" s="140"/>
      <c r="L1401" s="133"/>
      <c r="M1401" s="140"/>
      <c r="N1401" s="140"/>
      <c r="P1401" s="141"/>
    </row>
    <row r="1402" spans="1:16" x14ac:dyDescent="0.2">
      <c r="A1402" s="129"/>
      <c r="B1402" s="130"/>
      <c r="C1402" s="140"/>
      <c r="D1402" s="131"/>
      <c r="E1402" s="129"/>
      <c r="F1402" s="131"/>
      <c r="G1402" s="130"/>
      <c r="H1402" s="131"/>
      <c r="I1402" s="132"/>
      <c r="J1402" s="129"/>
      <c r="K1402" s="140"/>
      <c r="L1402" s="133"/>
      <c r="M1402" s="140"/>
      <c r="N1402" s="140"/>
      <c r="P1402" s="141"/>
    </row>
    <row r="1403" spans="1:16" x14ac:dyDescent="0.2">
      <c r="A1403" s="129"/>
      <c r="B1403" s="130"/>
      <c r="C1403" s="140"/>
      <c r="D1403" s="131"/>
      <c r="E1403" s="129"/>
      <c r="F1403" s="131"/>
      <c r="G1403" s="130"/>
      <c r="H1403" s="131"/>
      <c r="I1403" s="132"/>
      <c r="J1403" s="129"/>
      <c r="K1403" s="140"/>
      <c r="L1403" s="133"/>
      <c r="M1403" s="140"/>
      <c r="N1403" s="140"/>
      <c r="P1403" s="141"/>
    </row>
    <row r="1404" spans="1:16" x14ac:dyDescent="0.2">
      <c r="A1404" s="129"/>
      <c r="B1404" s="130"/>
      <c r="C1404" s="140"/>
      <c r="D1404" s="131"/>
      <c r="E1404" s="129"/>
      <c r="F1404" s="131"/>
      <c r="G1404" s="130"/>
      <c r="H1404" s="131"/>
      <c r="I1404" s="132"/>
      <c r="J1404" s="129"/>
      <c r="K1404" s="140"/>
      <c r="L1404" s="133"/>
      <c r="M1404" s="140"/>
      <c r="N1404" s="140"/>
      <c r="P1404" s="141"/>
    </row>
    <row r="1405" spans="1:16" x14ac:dyDescent="0.2">
      <c r="A1405" s="129"/>
      <c r="B1405" s="130"/>
      <c r="C1405" s="140"/>
      <c r="D1405" s="131"/>
      <c r="E1405" s="129"/>
      <c r="F1405" s="131"/>
      <c r="G1405" s="130"/>
      <c r="H1405" s="131"/>
      <c r="I1405" s="132"/>
      <c r="J1405" s="129"/>
      <c r="K1405" s="140"/>
      <c r="L1405" s="133"/>
      <c r="M1405" s="140"/>
      <c r="N1405" s="140"/>
      <c r="P1405" s="141"/>
    </row>
    <row r="1406" spans="1:16" x14ac:dyDescent="0.2">
      <c r="A1406" s="129"/>
      <c r="B1406" s="130"/>
      <c r="C1406" s="140"/>
      <c r="D1406" s="131"/>
      <c r="E1406" s="129"/>
      <c r="F1406" s="131"/>
      <c r="G1406" s="130"/>
      <c r="H1406" s="131"/>
      <c r="I1406" s="132"/>
      <c r="J1406" s="129"/>
      <c r="K1406" s="140"/>
      <c r="L1406" s="133"/>
      <c r="M1406" s="140"/>
      <c r="N1406" s="140"/>
      <c r="P1406" s="141"/>
    </row>
    <row r="1407" spans="1:16" x14ac:dyDescent="0.2">
      <c r="A1407" s="129"/>
      <c r="B1407" s="130"/>
      <c r="C1407" s="140"/>
      <c r="D1407" s="131"/>
      <c r="E1407" s="129"/>
      <c r="F1407" s="131"/>
      <c r="G1407" s="130"/>
      <c r="H1407" s="131"/>
      <c r="I1407" s="132"/>
      <c r="J1407" s="129"/>
      <c r="K1407" s="140"/>
      <c r="L1407" s="133"/>
      <c r="M1407" s="140"/>
      <c r="N1407" s="140"/>
      <c r="P1407" s="141"/>
    </row>
    <row r="1408" spans="1:16" x14ac:dyDescent="0.2">
      <c r="A1408" s="129"/>
      <c r="B1408" s="130"/>
      <c r="C1408" s="140"/>
      <c r="D1408" s="131"/>
      <c r="E1408" s="129"/>
      <c r="F1408" s="131"/>
      <c r="G1408" s="130"/>
      <c r="H1408" s="131"/>
      <c r="I1408" s="132"/>
      <c r="J1408" s="129"/>
      <c r="K1408" s="140"/>
      <c r="L1408" s="133"/>
      <c r="M1408" s="140"/>
      <c r="N1408" s="140"/>
      <c r="P1408" s="141"/>
    </row>
    <row r="1409" spans="1:16" x14ac:dyDescent="0.2">
      <c r="A1409" s="129"/>
      <c r="B1409" s="130"/>
      <c r="C1409" s="140"/>
      <c r="D1409" s="131"/>
      <c r="E1409" s="129"/>
      <c r="F1409" s="131"/>
      <c r="G1409" s="130"/>
      <c r="H1409" s="131"/>
      <c r="I1409" s="132"/>
      <c r="J1409" s="129"/>
      <c r="K1409" s="140"/>
      <c r="L1409" s="133"/>
      <c r="M1409" s="140"/>
      <c r="N1409" s="140"/>
      <c r="P1409" s="141"/>
    </row>
    <row r="1410" spans="1:16" x14ac:dyDescent="0.2">
      <c r="A1410" s="129"/>
      <c r="B1410" s="130"/>
      <c r="C1410" s="140"/>
      <c r="D1410" s="131"/>
      <c r="E1410" s="129"/>
      <c r="F1410" s="131"/>
      <c r="G1410" s="130"/>
      <c r="H1410" s="131"/>
      <c r="I1410" s="132"/>
      <c r="J1410" s="129"/>
      <c r="K1410" s="140"/>
      <c r="L1410" s="133"/>
      <c r="M1410" s="140"/>
      <c r="N1410" s="140"/>
      <c r="P1410" s="141"/>
    </row>
    <row r="1411" spans="1:16" x14ac:dyDescent="0.2">
      <c r="A1411" s="129"/>
      <c r="B1411" s="130"/>
      <c r="C1411" s="140"/>
      <c r="D1411" s="131"/>
      <c r="E1411" s="129"/>
      <c r="F1411" s="131"/>
      <c r="G1411" s="130"/>
      <c r="H1411" s="131"/>
      <c r="I1411" s="132"/>
      <c r="J1411" s="129"/>
      <c r="K1411" s="140"/>
      <c r="L1411" s="133"/>
      <c r="M1411" s="140"/>
      <c r="N1411" s="140"/>
      <c r="P1411" s="141"/>
    </row>
    <row r="1412" spans="1:16" x14ac:dyDescent="0.2">
      <c r="A1412" s="129"/>
      <c r="B1412" s="130"/>
      <c r="C1412" s="140"/>
      <c r="D1412" s="131"/>
      <c r="E1412" s="129"/>
      <c r="F1412" s="131"/>
      <c r="G1412" s="130"/>
      <c r="H1412" s="131"/>
      <c r="I1412" s="132"/>
      <c r="J1412" s="129"/>
      <c r="K1412" s="140"/>
      <c r="L1412" s="133"/>
      <c r="M1412" s="140"/>
      <c r="N1412" s="140"/>
      <c r="P1412" s="141"/>
    </row>
    <row r="1413" spans="1:16" x14ac:dyDescent="0.2">
      <c r="A1413" s="129"/>
      <c r="B1413" s="130"/>
      <c r="C1413" s="140"/>
      <c r="D1413" s="131"/>
      <c r="E1413" s="129"/>
      <c r="F1413" s="131"/>
      <c r="G1413" s="130"/>
      <c r="H1413" s="131"/>
      <c r="I1413" s="132"/>
      <c r="J1413" s="129"/>
      <c r="K1413" s="140"/>
      <c r="L1413" s="133"/>
      <c r="M1413" s="140"/>
      <c r="N1413" s="140"/>
      <c r="P1413" s="141"/>
    </row>
    <row r="1414" spans="1:16" x14ac:dyDescent="0.2">
      <c r="A1414" s="129"/>
      <c r="B1414" s="130"/>
      <c r="C1414" s="140"/>
      <c r="D1414" s="131"/>
      <c r="E1414" s="129"/>
      <c r="F1414" s="131"/>
      <c r="G1414" s="130"/>
      <c r="H1414" s="131"/>
      <c r="I1414" s="132"/>
      <c r="J1414" s="129"/>
      <c r="K1414" s="140"/>
      <c r="L1414" s="133"/>
      <c r="M1414" s="140"/>
      <c r="N1414" s="140"/>
      <c r="P1414" s="141"/>
    </row>
    <row r="1415" spans="1:16" x14ac:dyDescent="0.2">
      <c r="A1415" s="129"/>
      <c r="B1415" s="130"/>
      <c r="C1415" s="140"/>
      <c r="D1415" s="131"/>
      <c r="E1415" s="129"/>
      <c r="F1415" s="131"/>
      <c r="G1415" s="130"/>
      <c r="H1415" s="131"/>
      <c r="I1415" s="132"/>
      <c r="J1415" s="129"/>
      <c r="K1415" s="140"/>
      <c r="L1415" s="133"/>
      <c r="M1415" s="140"/>
      <c r="N1415" s="140"/>
      <c r="P1415" s="141"/>
    </row>
    <row r="1416" spans="1:16" x14ac:dyDescent="0.2">
      <c r="A1416" s="129"/>
      <c r="B1416" s="130"/>
      <c r="C1416" s="140"/>
      <c r="D1416" s="131"/>
      <c r="E1416" s="129"/>
      <c r="F1416" s="131"/>
      <c r="G1416" s="130"/>
      <c r="H1416" s="131"/>
      <c r="I1416" s="132"/>
      <c r="J1416" s="129"/>
      <c r="K1416" s="140"/>
      <c r="L1416" s="133"/>
      <c r="M1416" s="140"/>
      <c r="N1416" s="140"/>
      <c r="P1416" s="141"/>
    </row>
    <row r="1417" spans="1:16" x14ac:dyDescent="0.2">
      <c r="A1417" s="129"/>
      <c r="B1417" s="130"/>
      <c r="C1417" s="140"/>
      <c r="D1417" s="131"/>
      <c r="E1417" s="129"/>
      <c r="F1417" s="131"/>
      <c r="G1417" s="130"/>
      <c r="H1417" s="131"/>
      <c r="I1417" s="132"/>
      <c r="J1417" s="129"/>
      <c r="K1417" s="140"/>
      <c r="L1417" s="133"/>
      <c r="M1417" s="140"/>
      <c r="N1417" s="140"/>
      <c r="P1417" s="141"/>
    </row>
    <row r="1418" spans="1:16" x14ac:dyDescent="0.2">
      <c r="A1418" s="129"/>
      <c r="B1418" s="130"/>
      <c r="C1418" s="140"/>
      <c r="D1418" s="131"/>
      <c r="E1418" s="129"/>
      <c r="F1418" s="131"/>
      <c r="G1418" s="130"/>
      <c r="H1418" s="131"/>
      <c r="I1418" s="132"/>
      <c r="J1418" s="129"/>
      <c r="K1418" s="140"/>
      <c r="L1418" s="133"/>
      <c r="M1418" s="140"/>
      <c r="N1418" s="140"/>
      <c r="P1418" s="141"/>
    </row>
    <row r="1419" spans="1:16" x14ac:dyDescent="0.2">
      <c r="A1419" s="129"/>
      <c r="B1419" s="130"/>
      <c r="C1419" s="140"/>
      <c r="D1419" s="131"/>
      <c r="E1419" s="129"/>
      <c r="F1419" s="131"/>
      <c r="G1419" s="130"/>
      <c r="H1419" s="131"/>
      <c r="I1419" s="132"/>
      <c r="J1419" s="129"/>
      <c r="K1419" s="140"/>
      <c r="L1419" s="133"/>
      <c r="M1419" s="140"/>
      <c r="N1419" s="140"/>
      <c r="P1419" s="141"/>
    </row>
    <row r="1420" spans="1:16" x14ac:dyDescent="0.2">
      <c r="A1420" s="129"/>
      <c r="B1420" s="130"/>
      <c r="C1420" s="140"/>
      <c r="D1420" s="131"/>
      <c r="E1420" s="129"/>
      <c r="F1420" s="131"/>
      <c r="G1420" s="130"/>
      <c r="H1420" s="131"/>
      <c r="I1420" s="132"/>
      <c r="J1420" s="129"/>
      <c r="K1420" s="140"/>
      <c r="L1420" s="133"/>
      <c r="M1420" s="140"/>
      <c r="N1420" s="140"/>
      <c r="P1420" s="141"/>
    </row>
    <row r="1421" spans="1:16" x14ac:dyDescent="0.2">
      <c r="A1421" s="129"/>
      <c r="B1421" s="130"/>
      <c r="C1421" s="140"/>
      <c r="D1421" s="131"/>
      <c r="E1421" s="129"/>
      <c r="F1421" s="131"/>
      <c r="G1421" s="130"/>
      <c r="H1421" s="131"/>
      <c r="I1421" s="132"/>
      <c r="J1421" s="129"/>
      <c r="K1421" s="140"/>
      <c r="L1421" s="133"/>
      <c r="M1421" s="140"/>
      <c r="N1421" s="140"/>
      <c r="P1421" s="141"/>
    </row>
    <row r="1422" spans="1:16" x14ac:dyDescent="0.2">
      <c r="A1422" s="129"/>
      <c r="B1422" s="130"/>
      <c r="C1422" s="140"/>
      <c r="D1422" s="131"/>
      <c r="E1422" s="129"/>
      <c r="F1422" s="131"/>
      <c r="G1422" s="130"/>
      <c r="H1422" s="131"/>
      <c r="I1422" s="132"/>
      <c r="J1422" s="129"/>
      <c r="K1422" s="140"/>
      <c r="L1422" s="133"/>
      <c r="M1422" s="140"/>
      <c r="N1422" s="140"/>
      <c r="P1422" s="141"/>
    </row>
    <row r="1423" spans="1:16" x14ac:dyDescent="0.2">
      <c r="A1423" s="129"/>
      <c r="B1423" s="130"/>
      <c r="C1423" s="140"/>
      <c r="D1423" s="131"/>
      <c r="E1423" s="129"/>
      <c r="F1423" s="131"/>
      <c r="G1423" s="130"/>
      <c r="H1423" s="131"/>
      <c r="I1423" s="132"/>
      <c r="J1423" s="129"/>
      <c r="K1423" s="140"/>
      <c r="L1423" s="133"/>
      <c r="M1423" s="140"/>
      <c r="N1423" s="140"/>
      <c r="P1423" s="141"/>
    </row>
    <row r="1424" spans="1:16" x14ac:dyDescent="0.2">
      <c r="A1424" s="129"/>
      <c r="B1424" s="130"/>
      <c r="C1424" s="140"/>
      <c r="D1424" s="131"/>
      <c r="E1424" s="129"/>
      <c r="F1424" s="131"/>
      <c r="G1424" s="130"/>
      <c r="H1424" s="131"/>
      <c r="I1424" s="132"/>
      <c r="J1424" s="129"/>
      <c r="K1424" s="140"/>
      <c r="L1424" s="133"/>
      <c r="M1424" s="140"/>
      <c r="N1424" s="140"/>
      <c r="P1424" s="141"/>
    </row>
    <row r="1425" spans="1:16" x14ac:dyDescent="0.2">
      <c r="A1425" s="129"/>
      <c r="B1425" s="130"/>
      <c r="C1425" s="140"/>
      <c r="D1425" s="131"/>
      <c r="E1425" s="129"/>
      <c r="F1425" s="131"/>
      <c r="G1425" s="130"/>
      <c r="H1425" s="131"/>
      <c r="I1425" s="132"/>
      <c r="J1425" s="129"/>
      <c r="K1425" s="140"/>
      <c r="L1425" s="133"/>
      <c r="M1425" s="140"/>
      <c r="N1425" s="140"/>
      <c r="P1425" s="141"/>
    </row>
    <row r="1426" spans="1:16" x14ac:dyDescent="0.2">
      <c r="A1426" s="129"/>
      <c r="B1426" s="130"/>
      <c r="C1426" s="140"/>
      <c r="D1426" s="131"/>
      <c r="E1426" s="129"/>
      <c r="F1426" s="131"/>
      <c r="G1426" s="130"/>
      <c r="H1426" s="131"/>
      <c r="I1426" s="132"/>
      <c r="J1426" s="129"/>
      <c r="K1426" s="140"/>
      <c r="L1426" s="133"/>
      <c r="M1426" s="140"/>
      <c r="N1426" s="140"/>
      <c r="P1426" s="141"/>
    </row>
    <row r="1427" spans="1:16" x14ac:dyDescent="0.2">
      <c r="A1427" s="129"/>
      <c r="B1427" s="130"/>
      <c r="C1427" s="140"/>
      <c r="D1427" s="131"/>
      <c r="E1427" s="129"/>
      <c r="F1427" s="131"/>
      <c r="G1427" s="130"/>
      <c r="H1427" s="131"/>
      <c r="I1427" s="132"/>
      <c r="J1427" s="129"/>
      <c r="K1427" s="140"/>
      <c r="L1427" s="133"/>
      <c r="M1427" s="140"/>
      <c r="N1427" s="140"/>
      <c r="P1427" s="141"/>
    </row>
    <row r="1428" spans="1:16" x14ac:dyDescent="0.2">
      <c r="A1428" s="129"/>
      <c r="B1428" s="130"/>
      <c r="C1428" s="140"/>
      <c r="D1428" s="131"/>
      <c r="E1428" s="129"/>
      <c r="F1428" s="131"/>
      <c r="G1428" s="130"/>
      <c r="H1428" s="131"/>
      <c r="I1428" s="132"/>
      <c r="J1428" s="129"/>
      <c r="K1428" s="140"/>
      <c r="L1428" s="133"/>
      <c r="M1428" s="140"/>
      <c r="N1428" s="140"/>
      <c r="P1428" s="141"/>
    </row>
    <row r="1429" spans="1:16" x14ac:dyDescent="0.2">
      <c r="A1429" s="129"/>
      <c r="B1429" s="130"/>
      <c r="C1429" s="140"/>
      <c r="D1429" s="131"/>
      <c r="E1429" s="129"/>
      <c r="F1429" s="131"/>
      <c r="G1429" s="130"/>
      <c r="H1429" s="131"/>
      <c r="I1429" s="132"/>
      <c r="J1429" s="129"/>
      <c r="K1429" s="140"/>
      <c r="L1429" s="133"/>
      <c r="M1429" s="140"/>
      <c r="N1429" s="140"/>
      <c r="P1429" s="141"/>
    </row>
    <row r="1430" spans="1:16" x14ac:dyDescent="0.2">
      <c r="A1430" s="129"/>
      <c r="B1430" s="130"/>
      <c r="C1430" s="140"/>
      <c r="D1430" s="131"/>
      <c r="E1430" s="129"/>
      <c r="F1430" s="131"/>
      <c r="G1430" s="130"/>
      <c r="H1430" s="131"/>
      <c r="I1430" s="132"/>
      <c r="J1430" s="129"/>
      <c r="K1430" s="140"/>
      <c r="L1430" s="133"/>
      <c r="M1430" s="140"/>
      <c r="N1430" s="140"/>
      <c r="P1430" s="141"/>
    </row>
    <row r="1431" spans="1:16" x14ac:dyDescent="0.2">
      <c r="A1431" s="129"/>
      <c r="B1431" s="130"/>
      <c r="C1431" s="140"/>
      <c r="D1431" s="131"/>
      <c r="E1431" s="129"/>
      <c r="F1431" s="131"/>
      <c r="G1431" s="130"/>
      <c r="H1431" s="131"/>
      <c r="I1431" s="132"/>
      <c r="J1431" s="129"/>
      <c r="K1431" s="140"/>
      <c r="L1431" s="133"/>
      <c r="M1431" s="140"/>
      <c r="N1431" s="140"/>
      <c r="P1431" s="141"/>
    </row>
    <row r="1432" spans="1:16" x14ac:dyDescent="0.2">
      <c r="A1432" s="129"/>
      <c r="B1432" s="130"/>
      <c r="C1432" s="140"/>
      <c r="D1432" s="131"/>
      <c r="E1432" s="129"/>
      <c r="F1432" s="131"/>
      <c r="G1432" s="130"/>
      <c r="H1432" s="131"/>
      <c r="I1432" s="132"/>
      <c r="J1432" s="129"/>
      <c r="K1432" s="140"/>
      <c r="L1432" s="133"/>
      <c r="M1432" s="140"/>
      <c r="N1432" s="140"/>
      <c r="P1432" s="141"/>
    </row>
    <row r="1433" spans="1:16" x14ac:dyDescent="0.2">
      <c r="A1433" s="129"/>
      <c r="B1433" s="130"/>
      <c r="C1433" s="140"/>
      <c r="D1433" s="131"/>
      <c r="E1433" s="129"/>
      <c r="F1433" s="131"/>
      <c r="G1433" s="130"/>
      <c r="H1433" s="131"/>
      <c r="I1433" s="132"/>
      <c r="J1433" s="129"/>
      <c r="K1433" s="140"/>
      <c r="L1433" s="133"/>
      <c r="M1433" s="140"/>
      <c r="N1433" s="140"/>
      <c r="P1433" s="141"/>
    </row>
    <row r="1434" spans="1:16" x14ac:dyDescent="0.2">
      <c r="A1434" s="129"/>
      <c r="B1434" s="130"/>
      <c r="C1434" s="140"/>
      <c r="D1434" s="131"/>
      <c r="E1434" s="129"/>
      <c r="F1434" s="131"/>
      <c r="G1434" s="130"/>
      <c r="H1434" s="131"/>
      <c r="I1434" s="132"/>
      <c r="J1434" s="129"/>
      <c r="K1434" s="140"/>
      <c r="L1434" s="133"/>
      <c r="M1434" s="140"/>
      <c r="N1434" s="140"/>
      <c r="P1434" s="141"/>
    </row>
    <row r="1435" spans="1:16" x14ac:dyDescent="0.2">
      <c r="A1435" s="129"/>
      <c r="B1435" s="130"/>
      <c r="C1435" s="140"/>
      <c r="D1435" s="131"/>
      <c r="E1435" s="129"/>
      <c r="F1435" s="131"/>
      <c r="G1435" s="130"/>
      <c r="H1435" s="131"/>
      <c r="I1435" s="132"/>
      <c r="J1435" s="129"/>
      <c r="K1435" s="140"/>
      <c r="L1435" s="133"/>
      <c r="M1435" s="140"/>
      <c r="N1435" s="140"/>
      <c r="P1435" s="141"/>
    </row>
    <row r="1436" spans="1:16" x14ac:dyDescent="0.2">
      <c r="A1436" s="129"/>
      <c r="B1436" s="130"/>
      <c r="C1436" s="140"/>
      <c r="D1436" s="131"/>
      <c r="E1436" s="129"/>
      <c r="F1436" s="131"/>
      <c r="G1436" s="130"/>
      <c r="H1436" s="131"/>
      <c r="I1436" s="132"/>
      <c r="J1436" s="129"/>
      <c r="K1436" s="140"/>
      <c r="L1436" s="133"/>
      <c r="M1436" s="140"/>
      <c r="N1436" s="140"/>
      <c r="P1436" s="141"/>
    </row>
    <row r="1437" spans="1:16" x14ac:dyDescent="0.2">
      <c r="A1437" s="129"/>
      <c r="B1437" s="130"/>
      <c r="C1437" s="140"/>
      <c r="D1437" s="131"/>
      <c r="E1437" s="129"/>
      <c r="F1437" s="131"/>
      <c r="G1437" s="130"/>
      <c r="H1437" s="131"/>
      <c r="I1437" s="132"/>
      <c r="J1437" s="129"/>
      <c r="K1437" s="140"/>
      <c r="L1437" s="133"/>
      <c r="M1437" s="140"/>
      <c r="N1437" s="140"/>
      <c r="P1437" s="141"/>
    </row>
    <row r="1438" spans="1:16" x14ac:dyDescent="0.2">
      <c r="A1438" s="129"/>
      <c r="B1438" s="130"/>
      <c r="C1438" s="140"/>
      <c r="D1438" s="131"/>
      <c r="E1438" s="129"/>
      <c r="F1438" s="131"/>
      <c r="G1438" s="130"/>
      <c r="H1438" s="131"/>
      <c r="I1438" s="132"/>
      <c r="J1438" s="129"/>
      <c r="K1438" s="140"/>
      <c r="L1438" s="133"/>
      <c r="M1438" s="140"/>
      <c r="N1438" s="140"/>
      <c r="P1438" s="141"/>
    </row>
    <row r="1439" spans="1:16" x14ac:dyDescent="0.2">
      <c r="A1439" s="129"/>
      <c r="B1439" s="130"/>
      <c r="C1439" s="140"/>
      <c r="D1439" s="131"/>
      <c r="E1439" s="129"/>
      <c r="F1439" s="131"/>
      <c r="G1439" s="130"/>
      <c r="H1439" s="131"/>
      <c r="I1439" s="132"/>
      <c r="J1439" s="129"/>
      <c r="K1439" s="140"/>
      <c r="L1439" s="133"/>
      <c r="M1439" s="140"/>
      <c r="N1439" s="140"/>
      <c r="P1439" s="141"/>
    </row>
    <row r="1440" spans="1:16" x14ac:dyDescent="0.2">
      <c r="A1440" s="129"/>
      <c r="B1440" s="130"/>
      <c r="C1440" s="140"/>
      <c r="D1440" s="131"/>
      <c r="E1440" s="129"/>
      <c r="F1440" s="131"/>
      <c r="G1440" s="130"/>
      <c r="H1440" s="131"/>
      <c r="I1440" s="132"/>
      <c r="J1440" s="129"/>
      <c r="K1440" s="140"/>
      <c r="L1440" s="133"/>
      <c r="M1440" s="140"/>
      <c r="N1440" s="140"/>
      <c r="P1440" s="141"/>
    </row>
    <row r="1441" spans="1:16" x14ac:dyDescent="0.2">
      <c r="A1441" s="129"/>
      <c r="B1441" s="130"/>
      <c r="C1441" s="140"/>
      <c r="D1441" s="131"/>
      <c r="E1441" s="129"/>
      <c r="F1441" s="131"/>
      <c r="G1441" s="130"/>
      <c r="H1441" s="131"/>
      <c r="I1441" s="132"/>
      <c r="J1441" s="129"/>
      <c r="K1441" s="140"/>
      <c r="L1441" s="133"/>
      <c r="M1441" s="140"/>
      <c r="N1441" s="140"/>
      <c r="P1441" s="141"/>
    </row>
    <row r="1442" spans="1:16" x14ac:dyDescent="0.2">
      <c r="A1442" s="129"/>
      <c r="B1442" s="130"/>
      <c r="C1442" s="140"/>
      <c r="D1442" s="131"/>
      <c r="E1442" s="129"/>
      <c r="F1442" s="131"/>
      <c r="G1442" s="130"/>
      <c r="H1442" s="131"/>
      <c r="I1442" s="132"/>
      <c r="J1442" s="129"/>
      <c r="K1442" s="140"/>
      <c r="L1442" s="133"/>
      <c r="M1442" s="140"/>
      <c r="N1442" s="140"/>
      <c r="P1442" s="141"/>
    </row>
    <row r="1443" spans="1:16" x14ac:dyDescent="0.2">
      <c r="A1443" s="129"/>
      <c r="B1443" s="130"/>
      <c r="C1443" s="140"/>
      <c r="D1443" s="131"/>
      <c r="E1443" s="129"/>
      <c r="F1443" s="131"/>
      <c r="G1443" s="130"/>
      <c r="H1443" s="131"/>
      <c r="I1443" s="132"/>
      <c r="J1443" s="129"/>
      <c r="K1443" s="140"/>
      <c r="L1443" s="133"/>
      <c r="M1443" s="140"/>
      <c r="N1443" s="140"/>
      <c r="P1443" s="141"/>
    </row>
    <row r="1444" spans="1:16" x14ac:dyDescent="0.2">
      <c r="A1444" s="129"/>
      <c r="B1444" s="130"/>
      <c r="C1444" s="140"/>
      <c r="D1444" s="131"/>
      <c r="E1444" s="129"/>
      <c r="F1444" s="131"/>
      <c r="G1444" s="130"/>
      <c r="H1444" s="131"/>
      <c r="I1444" s="132"/>
      <c r="J1444" s="129"/>
      <c r="K1444" s="140"/>
      <c r="L1444" s="133"/>
      <c r="M1444" s="140"/>
      <c r="N1444" s="140"/>
      <c r="P1444" s="141"/>
    </row>
    <row r="1445" spans="1:16" x14ac:dyDescent="0.2">
      <c r="A1445" s="129"/>
      <c r="B1445" s="130"/>
      <c r="C1445" s="140"/>
      <c r="D1445" s="131"/>
      <c r="E1445" s="129"/>
      <c r="F1445" s="131"/>
      <c r="G1445" s="130"/>
      <c r="H1445" s="131"/>
      <c r="I1445" s="132"/>
      <c r="J1445" s="129"/>
      <c r="K1445" s="140"/>
      <c r="L1445" s="133"/>
      <c r="M1445" s="140"/>
      <c r="N1445" s="140"/>
      <c r="P1445" s="141"/>
    </row>
    <row r="1446" spans="1:16" x14ac:dyDescent="0.2">
      <c r="A1446" s="129"/>
      <c r="B1446" s="130"/>
      <c r="C1446" s="140"/>
      <c r="D1446" s="131"/>
      <c r="E1446" s="129"/>
      <c r="F1446" s="131"/>
      <c r="G1446" s="130"/>
      <c r="H1446" s="131"/>
      <c r="I1446" s="132"/>
      <c r="J1446" s="129"/>
      <c r="K1446" s="140"/>
      <c r="L1446" s="133"/>
      <c r="M1446" s="140"/>
      <c r="N1446" s="140"/>
      <c r="P1446" s="141"/>
    </row>
    <row r="1447" spans="1:16" x14ac:dyDescent="0.2">
      <c r="A1447" s="129"/>
      <c r="B1447" s="130"/>
      <c r="C1447" s="140"/>
      <c r="D1447" s="131"/>
      <c r="E1447" s="129"/>
      <c r="F1447" s="131"/>
      <c r="G1447" s="130"/>
      <c r="H1447" s="131"/>
      <c r="I1447" s="132"/>
      <c r="J1447" s="129"/>
      <c r="K1447" s="140"/>
      <c r="L1447" s="133"/>
      <c r="M1447" s="140"/>
      <c r="N1447" s="140"/>
      <c r="P1447" s="141"/>
    </row>
    <row r="1448" spans="1:16" x14ac:dyDescent="0.2">
      <c r="A1448" s="129"/>
      <c r="B1448" s="130"/>
      <c r="C1448" s="140"/>
      <c r="D1448" s="131"/>
      <c r="E1448" s="129"/>
      <c r="F1448" s="131"/>
      <c r="G1448" s="130"/>
      <c r="H1448" s="131"/>
      <c r="I1448" s="132"/>
      <c r="J1448" s="129"/>
      <c r="K1448" s="140"/>
      <c r="L1448" s="133"/>
      <c r="M1448" s="140"/>
      <c r="N1448" s="140"/>
      <c r="P1448" s="141"/>
    </row>
    <row r="1449" spans="1:16" x14ac:dyDescent="0.2">
      <c r="A1449" s="129"/>
      <c r="B1449" s="130"/>
      <c r="C1449" s="140"/>
      <c r="D1449" s="131"/>
      <c r="E1449" s="129"/>
      <c r="F1449" s="131"/>
      <c r="G1449" s="130"/>
      <c r="H1449" s="131"/>
      <c r="I1449" s="132"/>
      <c r="J1449" s="129"/>
      <c r="K1449" s="140"/>
      <c r="L1449" s="133"/>
      <c r="M1449" s="140"/>
      <c r="N1449" s="140"/>
      <c r="P1449" s="141"/>
    </row>
    <row r="1450" spans="1:16" x14ac:dyDescent="0.2">
      <c r="A1450" s="129"/>
      <c r="B1450" s="130"/>
      <c r="C1450" s="140"/>
      <c r="D1450" s="131"/>
      <c r="E1450" s="129"/>
      <c r="F1450" s="131"/>
      <c r="G1450" s="130"/>
      <c r="H1450" s="131"/>
      <c r="I1450" s="132"/>
      <c r="J1450" s="129"/>
      <c r="K1450" s="140"/>
      <c r="L1450" s="133"/>
      <c r="M1450" s="140"/>
      <c r="N1450" s="140"/>
      <c r="P1450" s="141"/>
    </row>
    <row r="1451" spans="1:16" x14ac:dyDescent="0.2">
      <c r="A1451" s="129"/>
      <c r="B1451" s="130"/>
      <c r="C1451" s="140"/>
      <c r="D1451" s="131"/>
      <c r="E1451" s="129"/>
      <c r="F1451" s="131"/>
      <c r="G1451" s="130"/>
      <c r="H1451" s="131"/>
      <c r="I1451" s="132"/>
      <c r="J1451" s="129"/>
      <c r="K1451" s="140"/>
      <c r="L1451" s="133"/>
      <c r="M1451" s="140"/>
      <c r="N1451" s="140"/>
      <c r="P1451" s="141"/>
    </row>
    <row r="1452" spans="1:16" x14ac:dyDescent="0.2">
      <c r="A1452" s="129"/>
      <c r="B1452" s="130"/>
      <c r="C1452" s="140"/>
      <c r="D1452" s="131"/>
      <c r="E1452" s="129"/>
      <c r="F1452" s="131"/>
      <c r="G1452" s="130"/>
      <c r="H1452" s="131"/>
      <c r="I1452" s="132"/>
      <c r="J1452" s="129"/>
      <c r="K1452" s="140"/>
      <c r="L1452" s="133"/>
      <c r="M1452" s="140"/>
      <c r="N1452" s="140"/>
      <c r="P1452" s="141"/>
    </row>
    <row r="1453" spans="1:16" x14ac:dyDescent="0.2">
      <c r="A1453" s="129"/>
      <c r="B1453" s="130"/>
      <c r="C1453" s="140"/>
      <c r="D1453" s="131"/>
      <c r="E1453" s="129"/>
      <c r="F1453" s="131"/>
      <c r="G1453" s="130"/>
      <c r="H1453" s="131"/>
      <c r="I1453" s="132"/>
      <c r="J1453" s="129"/>
      <c r="K1453" s="140"/>
      <c r="L1453" s="133"/>
      <c r="M1453" s="140"/>
      <c r="N1453" s="140"/>
      <c r="P1453" s="141"/>
    </row>
    <row r="1454" spans="1:16" x14ac:dyDescent="0.2">
      <c r="A1454" s="129"/>
      <c r="B1454" s="130"/>
      <c r="C1454" s="140"/>
      <c r="D1454" s="131"/>
      <c r="E1454" s="129"/>
      <c r="F1454" s="131"/>
      <c r="G1454" s="130"/>
      <c r="H1454" s="131"/>
      <c r="I1454" s="132"/>
      <c r="J1454" s="129"/>
      <c r="K1454" s="140"/>
      <c r="L1454" s="133"/>
      <c r="M1454" s="140"/>
      <c r="N1454" s="140"/>
      <c r="P1454" s="141"/>
    </row>
    <row r="1455" spans="1:16" x14ac:dyDescent="0.2">
      <c r="A1455" s="129"/>
      <c r="B1455" s="130"/>
      <c r="C1455" s="140"/>
      <c r="D1455" s="131"/>
      <c r="E1455" s="129"/>
      <c r="F1455" s="131"/>
      <c r="G1455" s="130"/>
      <c r="H1455" s="131"/>
      <c r="I1455" s="132"/>
      <c r="J1455" s="129"/>
      <c r="K1455" s="140"/>
      <c r="L1455" s="133"/>
      <c r="M1455" s="140"/>
      <c r="N1455" s="140"/>
      <c r="P1455" s="141"/>
    </row>
    <row r="1456" spans="1:16" x14ac:dyDescent="0.2">
      <c r="A1456" s="129"/>
      <c r="B1456" s="130"/>
      <c r="C1456" s="140"/>
      <c r="D1456" s="131"/>
      <c r="E1456" s="129"/>
      <c r="F1456" s="131"/>
      <c r="G1456" s="130"/>
      <c r="H1456" s="131"/>
      <c r="I1456" s="132"/>
      <c r="J1456" s="129"/>
      <c r="K1456" s="140"/>
      <c r="L1456" s="133"/>
      <c r="M1456" s="140"/>
      <c r="N1456" s="140"/>
      <c r="P1456" s="141"/>
    </row>
    <row r="1457" spans="1:16" x14ac:dyDescent="0.2">
      <c r="A1457" s="129"/>
      <c r="B1457" s="130"/>
      <c r="C1457" s="140"/>
      <c r="D1457" s="131"/>
      <c r="E1457" s="129"/>
      <c r="F1457" s="131"/>
      <c r="G1457" s="130"/>
      <c r="H1457" s="131"/>
      <c r="I1457" s="132"/>
      <c r="J1457" s="129"/>
      <c r="K1457" s="140"/>
      <c r="L1457" s="133"/>
      <c r="M1457" s="140"/>
      <c r="N1457" s="140"/>
      <c r="P1457" s="141"/>
    </row>
    <row r="1458" spans="1:16" x14ac:dyDescent="0.2">
      <c r="A1458" s="129"/>
      <c r="B1458" s="130"/>
      <c r="C1458" s="140"/>
      <c r="D1458" s="131"/>
      <c r="E1458" s="129"/>
      <c r="F1458" s="131"/>
      <c r="G1458" s="130"/>
      <c r="H1458" s="131"/>
      <c r="I1458" s="132"/>
      <c r="J1458" s="129"/>
      <c r="K1458" s="140"/>
      <c r="L1458" s="133"/>
      <c r="M1458" s="140"/>
      <c r="N1458" s="140"/>
      <c r="P1458" s="141"/>
    </row>
    <row r="1459" spans="1:16" x14ac:dyDescent="0.2">
      <c r="A1459" s="129"/>
      <c r="B1459" s="130"/>
      <c r="C1459" s="140"/>
      <c r="D1459" s="131"/>
      <c r="E1459" s="129"/>
      <c r="F1459" s="131"/>
      <c r="G1459" s="130"/>
      <c r="H1459" s="131"/>
      <c r="I1459" s="132"/>
      <c r="J1459" s="129"/>
      <c r="K1459" s="140"/>
      <c r="L1459" s="133"/>
      <c r="M1459" s="140"/>
      <c r="N1459" s="140"/>
      <c r="P1459" s="141"/>
    </row>
    <row r="1460" spans="1:16" x14ac:dyDescent="0.2">
      <c r="A1460" s="129"/>
      <c r="B1460" s="130"/>
      <c r="C1460" s="140"/>
      <c r="D1460" s="131"/>
      <c r="E1460" s="129"/>
      <c r="F1460" s="131"/>
      <c r="G1460" s="130"/>
      <c r="H1460" s="131"/>
      <c r="I1460" s="132"/>
      <c r="J1460" s="129"/>
      <c r="K1460" s="140"/>
      <c r="L1460" s="133"/>
      <c r="M1460" s="140"/>
      <c r="N1460" s="140"/>
      <c r="P1460" s="141"/>
    </row>
    <row r="1461" spans="1:16" x14ac:dyDescent="0.2">
      <c r="A1461" s="129"/>
      <c r="B1461" s="130"/>
      <c r="C1461" s="140"/>
      <c r="D1461" s="131"/>
      <c r="E1461" s="129"/>
      <c r="F1461" s="131"/>
      <c r="G1461" s="130"/>
      <c r="H1461" s="131"/>
      <c r="I1461" s="132"/>
      <c r="J1461" s="129"/>
      <c r="K1461" s="140"/>
      <c r="L1461" s="133"/>
      <c r="M1461" s="140"/>
      <c r="N1461" s="140"/>
      <c r="P1461" s="141"/>
    </row>
    <row r="1462" spans="1:16" x14ac:dyDescent="0.2">
      <c r="A1462" s="129"/>
      <c r="B1462" s="130"/>
      <c r="C1462" s="140"/>
      <c r="D1462" s="131"/>
      <c r="E1462" s="129"/>
      <c r="F1462" s="131"/>
      <c r="G1462" s="130"/>
      <c r="H1462" s="131"/>
      <c r="I1462" s="132"/>
      <c r="J1462" s="129"/>
      <c r="K1462" s="140"/>
      <c r="L1462" s="133"/>
      <c r="M1462" s="140"/>
      <c r="N1462" s="140"/>
      <c r="P1462" s="141"/>
    </row>
    <row r="1463" spans="1:16" x14ac:dyDescent="0.2">
      <c r="A1463" s="129"/>
      <c r="B1463" s="130"/>
      <c r="C1463" s="140"/>
      <c r="D1463" s="131"/>
      <c r="E1463" s="129"/>
      <c r="F1463" s="131"/>
      <c r="G1463" s="130"/>
      <c r="H1463" s="131"/>
      <c r="I1463" s="132"/>
      <c r="J1463" s="129"/>
      <c r="K1463" s="140"/>
      <c r="L1463" s="133"/>
      <c r="M1463" s="140"/>
      <c r="N1463" s="140"/>
      <c r="P1463" s="141"/>
    </row>
    <row r="1464" spans="1:16" x14ac:dyDescent="0.2">
      <c r="A1464" s="129"/>
      <c r="B1464" s="130"/>
      <c r="C1464" s="140"/>
      <c r="D1464" s="131"/>
      <c r="E1464" s="129"/>
      <c r="F1464" s="131"/>
      <c r="G1464" s="130"/>
      <c r="H1464" s="131"/>
      <c r="I1464" s="132"/>
      <c r="J1464" s="129"/>
      <c r="K1464" s="140"/>
      <c r="L1464" s="133"/>
      <c r="M1464" s="140"/>
      <c r="N1464" s="140"/>
      <c r="P1464" s="141"/>
    </row>
    <row r="1465" spans="1:16" x14ac:dyDescent="0.2">
      <c r="A1465" s="129"/>
      <c r="B1465" s="130"/>
      <c r="C1465" s="140"/>
      <c r="D1465" s="131"/>
      <c r="E1465" s="129"/>
      <c r="F1465" s="131"/>
      <c r="G1465" s="130"/>
      <c r="H1465" s="131"/>
      <c r="I1465" s="132"/>
      <c r="J1465" s="129"/>
      <c r="K1465" s="140"/>
      <c r="L1465" s="133"/>
      <c r="M1465" s="140"/>
      <c r="N1465" s="140"/>
      <c r="P1465" s="141"/>
    </row>
    <row r="1466" spans="1:16" x14ac:dyDescent="0.2">
      <c r="A1466" s="129"/>
      <c r="B1466" s="130"/>
      <c r="C1466" s="140"/>
      <c r="D1466" s="131"/>
      <c r="E1466" s="129"/>
      <c r="F1466" s="131"/>
      <c r="G1466" s="130"/>
      <c r="H1466" s="131"/>
      <c r="I1466" s="132"/>
      <c r="J1466" s="129"/>
      <c r="K1466" s="140"/>
      <c r="L1466" s="133"/>
      <c r="M1466" s="140"/>
      <c r="N1466" s="140"/>
      <c r="P1466" s="141"/>
    </row>
    <row r="1467" spans="1:16" x14ac:dyDescent="0.2">
      <c r="A1467" s="129"/>
      <c r="B1467" s="130"/>
      <c r="C1467" s="140"/>
      <c r="D1467" s="131"/>
      <c r="E1467" s="129"/>
      <c r="F1467" s="131"/>
      <c r="G1467" s="130"/>
      <c r="H1467" s="131"/>
      <c r="I1467" s="132"/>
      <c r="J1467" s="129"/>
      <c r="K1467" s="140"/>
      <c r="L1467" s="133"/>
      <c r="M1467" s="140"/>
      <c r="N1467" s="140"/>
      <c r="P1467" s="141"/>
    </row>
    <row r="1468" spans="1:16" x14ac:dyDescent="0.2">
      <c r="A1468" s="129"/>
      <c r="B1468" s="130"/>
      <c r="C1468" s="140"/>
      <c r="D1468" s="131"/>
      <c r="E1468" s="129"/>
      <c r="F1468" s="131"/>
      <c r="G1468" s="130"/>
      <c r="H1468" s="131"/>
      <c r="I1468" s="132"/>
      <c r="J1468" s="129"/>
      <c r="K1468" s="140"/>
      <c r="L1468" s="133"/>
      <c r="M1468" s="140"/>
      <c r="N1468" s="140"/>
      <c r="P1468" s="141"/>
    </row>
    <row r="1469" spans="1:16" x14ac:dyDescent="0.2">
      <c r="A1469" s="129"/>
      <c r="B1469" s="130"/>
      <c r="C1469" s="140"/>
      <c r="D1469" s="131"/>
      <c r="E1469" s="129"/>
      <c r="F1469" s="131"/>
      <c r="G1469" s="130"/>
      <c r="H1469" s="131"/>
      <c r="I1469" s="132"/>
      <c r="J1469" s="129"/>
      <c r="K1469" s="140"/>
      <c r="L1469" s="133"/>
      <c r="M1469" s="140"/>
      <c r="N1469" s="140"/>
      <c r="P1469" s="141"/>
    </row>
    <row r="1470" spans="1:16" x14ac:dyDescent="0.2">
      <c r="A1470" s="129"/>
      <c r="B1470" s="130"/>
      <c r="C1470" s="140"/>
      <c r="D1470" s="131"/>
      <c r="E1470" s="129"/>
      <c r="F1470" s="131"/>
      <c r="G1470" s="130"/>
      <c r="H1470" s="131"/>
      <c r="I1470" s="132"/>
      <c r="J1470" s="129"/>
      <c r="K1470" s="140"/>
      <c r="L1470" s="133"/>
      <c r="M1470" s="140"/>
      <c r="N1470" s="140"/>
      <c r="P1470" s="141"/>
    </row>
    <row r="1471" spans="1:16" x14ac:dyDescent="0.2">
      <c r="A1471" s="129"/>
      <c r="B1471" s="130"/>
      <c r="C1471" s="140"/>
      <c r="D1471" s="131"/>
      <c r="E1471" s="129"/>
      <c r="F1471" s="131"/>
      <c r="G1471" s="130"/>
      <c r="H1471" s="131"/>
      <c r="I1471" s="132"/>
      <c r="J1471" s="129"/>
      <c r="K1471" s="140"/>
      <c r="L1471" s="133"/>
      <c r="M1471" s="140"/>
      <c r="N1471" s="140"/>
      <c r="P1471" s="141"/>
    </row>
    <row r="1472" spans="1:16" x14ac:dyDescent="0.2">
      <c r="A1472" s="129"/>
      <c r="B1472" s="130"/>
      <c r="C1472" s="140"/>
      <c r="D1472" s="131"/>
      <c r="E1472" s="129"/>
      <c r="F1472" s="131"/>
      <c r="G1472" s="130"/>
      <c r="H1472" s="131"/>
      <c r="I1472" s="132"/>
      <c r="J1472" s="129"/>
      <c r="K1472" s="140"/>
      <c r="L1472" s="133"/>
      <c r="M1472" s="140"/>
      <c r="N1472" s="140"/>
      <c r="P1472" s="141"/>
    </row>
    <row r="1473" spans="1:16" x14ac:dyDescent="0.2">
      <c r="A1473" s="129"/>
      <c r="B1473" s="130"/>
      <c r="C1473" s="140"/>
      <c r="D1473" s="131"/>
      <c r="E1473" s="129"/>
      <c r="F1473" s="131"/>
      <c r="G1473" s="130"/>
      <c r="H1473" s="131"/>
      <c r="I1473" s="132"/>
      <c r="J1473" s="129"/>
      <c r="K1473" s="140"/>
      <c r="L1473" s="133"/>
      <c r="M1473" s="140"/>
      <c r="N1473" s="140"/>
      <c r="P1473" s="141"/>
    </row>
    <row r="1474" spans="1:16" x14ac:dyDescent="0.2">
      <c r="A1474" s="129"/>
      <c r="B1474" s="130"/>
      <c r="C1474" s="140"/>
      <c r="D1474" s="131"/>
      <c r="E1474" s="129"/>
      <c r="F1474" s="131"/>
      <c r="G1474" s="130"/>
      <c r="H1474" s="131"/>
      <c r="I1474" s="132"/>
      <c r="J1474" s="129"/>
      <c r="K1474" s="140"/>
      <c r="L1474" s="133"/>
      <c r="M1474" s="140"/>
      <c r="N1474" s="140"/>
      <c r="P1474" s="141"/>
    </row>
    <row r="1475" spans="1:16" x14ac:dyDescent="0.2">
      <c r="A1475" s="129"/>
      <c r="B1475" s="130"/>
      <c r="C1475" s="140"/>
      <c r="D1475" s="131"/>
      <c r="E1475" s="129"/>
      <c r="F1475" s="131"/>
      <c r="G1475" s="130"/>
      <c r="H1475" s="131"/>
      <c r="I1475" s="132"/>
      <c r="J1475" s="129"/>
      <c r="K1475" s="140"/>
      <c r="L1475" s="133"/>
      <c r="M1475" s="140"/>
      <c r="N1475" s="140"/>
      <c r="P1475" s="141"/>
    </row>
    <row r="1476" spans="1:16" x14ac:dyDescent="0.2">
      <c r="A1476" s="129"/>
      <c r="B1476" s="130"/>
      <c r="C1476" s="140"/>
      <c r="D1476" s="131"/>
      <c r="E1476" s="129"/>
      <c r="F1476" s="131"/>
      <c r="G1476" s="130"/>
      <c r="H1476" s="131"/>
      <c r="I1476" s="132"/>
      <c r="J1476" s="129"/>
      <c r="K1476" s="140"/>
      <c r="L1476" s="133"/>
      <c r="M1476" s="140"/>
      <c r="N1476" s="140"/>
      <c r="P1476" s="141"/>
    </row>
    <row r="1477" spans="1:16" x14ac:dyDescent="0.2">
      <c r="A1477" s="129"/>
      <c r="B1477" s="130"/>
      <c r="C1477" s="140"/>
      <c r="D1477" s="131"/>
      <c r="E1477" s="129"/>
      <c r="F1477" s="131"/>
      <c r="G1477" s="130"/>
      <c r="H1477" s="131"/>
      <c r="I1477" s="132"/>
      <c r="J1477" s="129"/>
      <c r="K1477" s="140"/>
      <c r="L1477" s="133"/>
      <c r="M1477" s="140"/>
      <c r="N1477" s="140"/>
      <c r="P1477" s="141"/>
    </row>
    <row r="1478" spans="1:16" x14ac:dyDescent="0.2">
      <c r="A1478" s="129"/>
      <c r="B1478" s="130"/>
      <c r="C1478" s="140"/>
      <c r="D1478" s="131"/>
      <c r="E1478" s="129"/>
      <c r="F1478" s="131"/>
      <c r="G1478" s="130"/>
      <c r="H1478" s="131"/>
      <c r="I1478" s="132"/>
      <c r="J1478" s="129"/>
      <c r="K1478" s="140"/>
      <c r="L1478" s="133"/>
      <c r="M1478" s="140"/>
      <c r="N1478" s="140"/>
      <c r="P1478" s="141"/>
    </row>
    <row r="1479" spans="1:16" x14ac:dyDescent="0.2">
      <c r="A1479" s="129"/>
      <c r="B1479" s="130"/>
      <c r="C1479" s="140"/>
      <c r="D1479" s="131"/>
      <c r="E1479" s="129"/>
      <c r="F1479" s="131"/>
      <c r="G1479" s="130"/>
      <c r="H1479" s="131"/>
      <c r="I1479" s="132"/>
      <c r="J1479" s="129"/>
      <c r="K1479" s="140"/>
      <c r="L1479" s="133"/>
      <c r="M1479" s="140"/>
      <c r="N1479" s="140"/>
      <c r="P1479" s="141"/>
    </row>
    <row r="1480" spans="1:16" x14ac:dyDescent="0.2">
      <c r="A1480" s="129"/>
      <c r="B1480" s="130"/>
      <c r="C1480" s="140"/>
      <c r="D1480" s="131"/>
      <c r="E1480" s="129"/>
      <c r="F1480" s="131"/>
      <c r="G1480" s="130"/>
      <c r="H1480" s="131"/>
      <c r="I1480" s="132"/>
      <c r="J1480" s="129"/>
      <c r="K1480" s="140"/>
      <c r="L1480" s="133"/>
      <c r="M1480" s="140"/>
      <c r="N1480" s="140"/>
      <c r="P1480" s="141"/>
    </row>
    <row r="1481" spans="1:16" x14ac:dyDescent="0.2">
      <c r="A1481" s="129"/>
      <c r="B1481" s="130"/>
      <c r="C1481" s="140"/>
      <c r="D1481" s="131"/>
      <c r="E1481" s="129"/>
      <c r="F1481" s="131"/>
      <c r="G1481" s="130"/>
      <c r="H1481" s="131"/>
      <c r="I1481" s="132"/>
      <c r="J1481" s="129"/>
      <c r="K1481" s="140"/>
      <c r="L1481" s="133"/>
      <c r="M1481" s="140"/>
      <c r="N1481" s="140"/>
      <c r="P1481" s="141"/>
    </row>
    <row r="1482" spans="1:16" x14ac:dyDescent="0.2">
      <c r="A1482" s="129"/>
      <c r="B1482" s="130"/>
      <c r="C1482" s="140"/>
      <c r="D1482" s="131"/>
      <c r="E1482" s="129"/>
      <c r="F1482" s="131"/>
      <c r="G1482" s="130"/>
      <c r="H1482" s="131"/>
      <c r="I1482" s="132"/>
      <c r="J1482" s="129"/>
      <c r="K1482" s="140"/>
      <c r="L1482" s="133"/>
      <c r="M1482" s="140"/>
      <c r="N1482" s="140"/>
      <c r="P1482" s="141"/>
    </row>
    <row r="1483" spans="1:16" x14ac:dyDescent="0.2">
      <c r="A1483" s="129"/>
      <c r="B1483" s="130"/>
      <c r="C1483" s="140"/>
      <c r="D1483" s="131"/>
      <c r="E1483" s="129"/>
      <c r="F1483" s="131"/>
      <c r="G1483" s="130"/>
      <c r="H1483" s="131"/>
      <c r="I1483" s="132"/>
      <c r="J1483" s="129"/>
      <c r="K1483" s="140"/>
      <c r="L1483" s="133"/>
      <c r="M1483" s="140"/>
      <c r="N1483" s="140"/>
      <c r="P1483" s="141"/>
    </row>
    <row r="1484" spans="1:16" x14ac:dyDescent="0.2">
      <c r="A1484" s="129"/>
      <c r="B1484" s="130"/>
      <c r="C1484" s="140"/>
      <c r="D1484" s="131"/>
      <c r="E1484" s="129"/>
      <c r="F1484" s="131"/>
      <c r="G1484" s="130"/>
      <c r="H1484" s="131"/>
      <c r="I1484" s="132"/>
      <c r="J1484" s="129"/>
      <c r="K1484" s="140"/>
      <c r="L1484" s="133"/>
      <c r="M1484" s="140"/>
      <c r="N1484" s="140"/>
      <c r="P1484" s="141"/>
    </row>
    <row r="1485" spans="1:16" x14ac:dyDescent="0.2">
      <c r="A1485" s="129"/>
      <c r="B1485" s="130"/>
      <c r="C1485" s="140"/>
      <c r="D1485" s="131"/>
      <c r="E1485" s="129"/>
      <c r="F1485" s="131"/>
      <c r="G1485" s="130"/>
      <c r="H1485" s="131"/>
      <c r="I1485" s="132"/>
      <c r="J1485" s="129"/>
      <c r="K1485" s="140"/>
      <c r="L1485" s="133"/>
      <c r="M1485" s="140"/>
      <c r="N1485" s="140"/>
      <c r="P1485" s="141"/>
    </row>
    <row r="1486" spans="1:16" x14ac:dyDescent="0.2">
      <c r="A1486" s="129"/>
      <c r="B1486" s="130"/>
      <c r="C1486" s="140"/>
      <c r="D1486" s="131"/>
      <c r="E1486" s="129"/>
      <c r="F1486" s="131"/>
      <c r="G1486" s="130"/>
      <c r="H1486" s="131"/>
      <c r="I1486" s="132"/>
      <c r="J1486" s="129"/>
      <c r="K1486" s="140"/>
      <c r="L1486" s="133"/>
      <c r="M1486" s="140"/>
      <c r="N1486" s="140"/>
      <c r="P1486" s="141"/>
    </row>
    <row r="1487" spans="1:16" x14ac:dyDescent="0.2">
      <c r="A1487" s="129"/>
      <c r="B1487" s="130"/>
      <c r="C1487" s="140"/>
      <c r="D1487" s="131"/>
      <c r="E1487" s="129"/>
      <c r="F1487" s="131"/>
      <c r="G1487" s="130"/>
      <c r="H1487" s="131"/>
      <c r="I1487" s="132"/>
      <c r="J1487" s="129"/>
      <c r="K1487" s="140"/>
      <c r="L1487" s="133"/>
      <c r="M1487" s="140"/>
      <c r="N1487" s="140"/>
      <c r="P1487" s="141"/>
    </row>
    <row r="1488" spans="1:16" x14ac:dyDescent="0.2">
      <c r="A1488" s="129"/>
      <c r="B1488" s="130"/>
      <c r="C1488" s="140"/>
      <c r="D1488" s="131"/>
      <c r="E1488" s="129"/>
      <c r="F1488" s="131"/>
      <c r="G1488" s="130"/>
      <c r="H1488" s="131"/>
      <c r="I1488" s="132"/>
      <c r="J1488" s="129"/>
      <c r="K1488" s="140"/>
      <c r="L1488" s="133"/>
      <c r="M1488" s="140"/>
      <c r="N1488" s="140"/>
      <c r="P1488" s="141"/>
    </row>
    <row r="1489" spans="1:16" x14ac:dyDescent="0.2">
      <c r="A1489" s="129"/>
      <c r="B1489" s="130"/>
      <c r="C1489" s="140"/>
      <c r="D1489" s="131"/>
      <c r="E1489" s="129"/>
      <c r="F1489" s="131"/>
      <c r="G1489" s="130"/>
      <c r="H1489" s="131"/>
      <c r="I1489" s="132"/>
      <c r="J1489" s="129"/>
      <c r="K1489" s="140"/>
      <c r="L1489" s="133"/>
      <c r="M1489" s="140"/>
      <c r="N1489" s="140"/>
      <c r="P1489" s="141"/>
    </row>
    <row r="1490" spans="1:16" x14ac:dyDescent="0.2">
      <c r="A1490" s="129"/>
      <c r="B1490" s="130"/>
      <c r="C1490" s="140"/>
      <c r="D1490" s="131"/>
      <c r="E1490" s="129"/>
      <c r="F1490" s="131"/>
      <c r="G1490" s="130"/>
      <c r="H1490" s="131"/>
      <c r="I1490" s="132"/>
      <c r="J1490" s="129"/>
      <c r="K1490" s="140"/>
      <c r="L1490" s="133"/>
      <c r="M1490" s="140"/>
      <c r="N1490" s="140"/>
      <c r="P1490" s="141"/>
    </row>
    <row r="1491" spans="1:16" x14ac:dyDescent="0.2">
      <c r="A1491" s="129"/>
      <c r="B1491" s="130"/>
      <c r="C1491" s="140"/>
      <c r="D1491" s="131"/>
      <c r="E1491" s="129"/>
      <c r="F1491" s="131"/>
      <c r="G1491" s="130"/>
      <c r="H1491" s="131"/>
      <c r="I1491" s="132"/>
      <c r="J1491" s="129"/>
      <c r="K1491" s="140"/>
      <c r="L1491" s="133"/>
      <c r="M1491" s="140"/>
      <c r="N1491" s="140"/>
      <c r="P1491" s="141"/>
    </row>
    <row r="1492" spans="1:16" x14ac:dyDescent="0.2">
      <c r="A1492" s="129"/>
      <c r="B1492" s="130"/>
      <c r="C1492" s="140"/>
      <c r="D1492" s="131"/>
      <c r="E1492" s="129"/>
      <c r="F1492" s="131"/>
      <c r="G1492" s="130"/>
      <c r="H1492" s="131"/>
      <c r="I1492" s="132"/>
      <c r="J1492" s="129"/>
      <c r="K1492" s="140"/>
      <c r="L1492" s="133"/>
      <c r="M1492" s="140"/>
      <c r="N1492" s="140"/>
      <c r="P1492" s="141"/>
    </row>
    <row r="1493" spans="1:16" x14ac:dyDescent="0.2">
      <c r="A1493" s="129"/>
      <c r="B1493" s="130"/>
      <c r="C1493" s="140"/>
      <c r="D1493" s="131"/>
      <c r="E1493" s="129"/>
      <c r="F1493" s="131"/>
      <c r="G1493" s="130"/>
      <c r="H1493" s="131"/>
      <c r="I1493" s="132"/>
      <c r="J1493" s="129"/>
      <c r="K1493" s="140"/>
      <c r="L1493" s="133"/>
      <c r="M1493" s="140"/>
      <c r="N1493" s="140"/>
      <c r="P1493" s="141"/>
    </row>
    <row r="1494" spans="1:16" x14ac:dyDescent="0.2">
      <c r="A1494" s="129"/>
      <c r="B1494" s="130"/>
      <c r="C1494" s="140"/>
      <c r="D1494" s="131"/>
      <c r="E1494" s="129"/>
      <c r="F1494" s="131"/>
      <c r="G1494" s="130"/>
      <c r="H1494" s="131"/>
      <c r="I1494" s="132"/>
      <c r="J1494" s="129"/>
      <c r="K1494" s="140"/>
      <c r="L1494" s="133"/>
      <c r="M1494" s="140"/>
      <c r="N1494" s="140"/>
      <c r="P1494" s="141"/>
    </row>
    <row r="1495" spans="1:16" x14ac:dyDescent="0.2">
      <c r="A1495" s="129"/>
      <c r="B1495" s="130"/>
      <c r="C1495" s="140"/>
      <c r="D1495" s="131"/>
      <c r="E1495" s="129"/>
      <c r="F1495" s="131"/>
      <c r="G1495" s="130"/>
      <c r="H1495" s="131"/>
      <c r="I1495" s="132"/>
      <c r="J1495" s="129"/>
      <c r="K1495" s="140"/>
      <c r="L1495" s="133"/>
      <c r="M1495" s="140"/>
      <c r="N1495" s="140"/>
      <c r="P1495" s="141"/>
    </row>
    <row r="1496" spans="1:16" x14ac:dyDescent="0.2">
      <c r="A1496" s="129"/>
      <c r="B1496" s="130"/>
      <c r="C1496" s="140"/>
      <c r="D1496" s="131"/>
      <c r="E1496" s="129"/>
      <c r="F1496" s="131"/>
      <c r="G1496" s="130"/>
      <c r="H1496" s="131"/>
      <c r="I1496" s="132"/>
      <c r="J1496" s="129"/>
      <c r="K1496" s="140"/>
      <c r="L1496" s="133"/>
      <c r="M1496" s="140"/>
      <c r="N1496" s="140"/>
      <c r="P1496" s="141"/>
    </row>
    <row r="1497" spans="1:16" x14ac:dyDescent="0.2">
      <c r="A1497" s="129"/>
      <c r="B1497" s="130"/>
      <c r="C1497" s="140"/>
      <c r="D1497" s="131"/>
      <c r="E1497" s="129"/>
      <c r="F1497" s="131"/>
      <c r="G1497" s="130"/>
      <c r="H1497" s="131"/>
      <c r="I1497" s="132"/>
      <c r="J1497" s="129"/>
      <c r="K1497" s="140"/>
      <c r="L1497" s="133"/>
      <c r="M1497" s="140"/>
      <c r="N1497" s="140"/>
      <c r="P1497" s="141"/>
    </row>
    <row r="1498" spans="1:16" x14ac:dyDescent="0.2">
      <c r="A1498" s="129"/>
      <c r="B1498" s="130"/>
      <c r="C1498" s="140"/>
      <c r="D1498" s="131"/>
      <c r="E1498" s="129"/>
      <c r="F1498" s="131"/>
      <c r="G1498" s="130"/>
      <c r="H1498" s="131"/>
      <c r="I1498" s="132"/>
      <c r="J1498" s="129"/>
      <c r="K1498" s="140"/>
      <c r="L1498" s="133"/>
      <c r="M1498" s="140"/>
      <c r="N1498" s="140"/>
      <c r="P1498" s="141"/>
    </row>
    <row r="1499" spans="1:16" x14ac:dyDescent="0.2">
      <c r="A1499" s="129"/>
      <c r="B1499" s="130"/>
      <c r="C1499" s="140"/>
      <c r="D1499" s="131"/>
      <c r="E1499" s="129"/>
      <c r="F1499" s="131"/>
      <c r="G1499" s="130"/>
      <c r="H1499" s="131"/>
      <c r="I1499" s="132"/>
      <c r="J1499" s="129"/>
      <c r="K1499" s="140"/>
      <c r="L1499" s="133"/>
      <c r="M1499" s="140"/>
      <c r="N1499" s="140"/>
      <c r="P1499" s="141"/>
    </row>
    <row r="1500" spans="1:16" x14ac:dyDescent="0.2">
      <c r="A1500" s="129"/>
      <c r="B1500" s="130"/>
      <c r="C1500" s="140"/>
      <c r="D1500" s="131"/>
      <c r="E1500" s="129"/>
      <c r="F1500" s="131"/>
      <c r="G1500" s="130"/>
      <c r="H1500" s="131"/>
      <c r="I1500" s="132"/>
      <c r="J1500" s="129"/>
      <c r="K1500" s="140"/>
      <c r="L1500" s="133"/>
      <c r="M1500" s="140"/>
      <c r="N1500" s="140"/>
      <c r="P1500" s="141"/>
    </row>
    <row r="1501" spans="1:16" x14ac:dyDescent="0.2">
      <c r="A1501" s="129"/>
      <c r="B1501" s="130"/>
      <c r="C1501" s="140"/>
      <c r="D1501" s="131"/>
      <c r="E1501" s="129"/>
      <c r="F1501" s="131"/>
      <c r="G1501" s="130"/>
      <c r="H1501" s="131"/>
      <c r="I1501" s="132"/>
      <c r="J1501" s="129"/>
      <c r="K1501" s="140"/>
      <c r="L1501" s="133"/>
      <c r="M1501" s="140"/>
      <c r="N1501" s="140"/>
      <c r="P1501" s="141"/>
    </row>
    <row r="1502" spans="1:16" x14ac:dyDescent="0.2">
      <c r="A1502" s="129"/>
      <c r="B1502" s="130"/>
      <c r="C1502" s="140"/>
      <c r="D1502" s="131"/>
      <c r="E1502" s="129"/>
      <c r="F1502" s="131"/>
      <c r="G1502" s="130"/>
      <c r="H1502" s="131"/>
      <c r="I1502" s="132"/>
      <c r="J1502" s="129"/>
      <c r="K1502" s="140"/>
      <c r="L1502" s="133"/>
      <c r="M1502" s="140"/>
      <c r="N1502" s="140"/>
      <c r="P1502" s="141"/>
    </row>
    <row r="1503" spans="1:16" x14ac:dyDescent="0.2">
      <c r="A1503" s="129"/>
      <c r="B1503" s="130"/>
      <c r="C1503" s="140"/>
      <c r="D1503" s="131"/>
      <c r="E1503" s="129"/>
      <c r="F1503" s="131"/>
      <c r="G1503" s="130"/>
      <c r="H1503" s="131"/>
      <c r="I1503" s="132"/>
      <c r="J1503" s="129"/>
      <c r="K1503" s="140"/>
      <c r="L1503" s="133"/>
      <c r="M1503" s="140"/>
      <c r="N1503" s="140"/>
      <c r="P1503" s="141"/>
    </row>
    <row r="1504" spans="1:16" x14ac:dyDescent="0.2">
      <c r="A1504" s="129"/>
      <c r="B1504" s="130"/>
      <c r="C1504" s="140"/>
      <c r="D1504" s="131"/>
      <c r="E1504" s="129"/>
      <c r="F1504" s="131"/>
      <c r="G1504" s="130"/>
      <c r="H1504" s="131"/>
      <c r="I1504" s="132"/>
      <c r="J1504" s="129"/>
      <c r="K1504" s="140"/>
      <c r="L1504" s="133"/>
      <c r="M1504" s="140"/>
      <c r="N1504" s="140"/>
      <c r="P1504" s="141"/>
    </row>
    <row r="1505" spans="1:16" x14ac:dyDescent="0.2">
      <c r="A1505" s="129"/>
      <c r="B1505" s="130"/>
      <c r="C1505" s="140"/>
      <c r="D1505" s="131"/>
      <c r="E1505" s="129"/>
      <c r="F1505" s="131"/>
      <c r="G1505" s="130"/>
      <c r="H1505" s="131"/>
      <c r="I1505" s="132"/>
      <c r="J1505" s="129"/>
      <c r="K1505" s="140"/>
      <c r="L1505" s="133"/>
      <c r="M1505" s="140"/>
      <c r="N1505" s="140"/>
      <c r="P1505" s="141"/>
    </row>
    <row r="1506" spans="1:16" x14ac:dyDescent="0.2">
      <c r="A1506" s="129"/>
      <c r="B1506" s="130"/>
      <c r="C1506" s="140"/>
      <c r="D1506" s="131"/>
      <c r="E1506" s="129"/>
      <c r="F1506" s="131"/>
      <c r="G1506" s="130"/>
      <c r="H1506" s="131"/>
      <c r="I1506" s="132"/>
      <c r="J1506" s="129"/>
      <c r="K1506" s="140"/>
      <c r="L1506" s="133"/>
      <c r="M1506" s="140"/>
      <c r="N1506" s="140"/>
      <c r="P1506" s="141"/>
    </row>
    <row r="1507" spans="1:16" x14ac:dyDescent="0.2">
      <c r="A1507" s="129"/>
      <c r="B1507" s="130"/>
      <c r="C1507" s="140"/>
      <c r="D1507" s="131"/>
      <c r="E1507" s="129"/>
      <c r="F1507" s="131"/>
      <c r="G1507" s="130"/>
      <c r="H1507" s="131"/>
      <c r="I1507" s="132"/>
      <c r="J1507" s="129"/>
      <c r="K1507" s="140"/>
      <c r="L1507" s="133"/>
      <c r="M1507" s="140"/>
      <c r="N1507" s="140"/>
      <c r="P1507" s="141"/>
    </row>
    <row r="1508" spans="1:16" x14ac:dyDescent="0.2">
      <c r="A1508" s="129"/>
      <c r="B1508" s="130"/>
      <c r="C1508" s="140"/>
      <c r="D1508" s="131"/>
      <c r="E1508" s="129"/>
      <c r="F1508" s="131"/>
      <c r="G1508" s="130"/>
      <c r="H1508" s="131"/>
      <c r="I1508" s="132"/>
      <c r="J1508" s="129"/>
      <c r="K1508" s="140"/>
      <c r="L1508" s="133"/>
      <c r="M1508" s="140"/>
      <c r="N1508" s="140"/>
      <c r="P1508" s="141"/>
    </row>
    <row r="1509" spans="1:16" x14ac:dyDescent="0.2">
      <c r="A1509" s="129"/>
      <c r="B1509" s="130"/>
      <c r="C1509" s="140"/>
      <c r="D1509" s="131"/>
      <c r="E1509" s="129"/>
      <c r="F1509" s="131"/>
      <c r="G1509" s="130"/>
      <c r="H1509" s="131"/>
      <c r="I1509" s="132"/>
      <c r="J1509" s="129"/>
      <c r="K1509" s="140"/>
      <c r="L1509" s="133"/>
      <c r="M1509" s="140"/>
      <c r="N1509" s="140"/>
      <c r="P1509" s="141"/>
    </row>
    <row r="1510" spans="1:16" x14ac:dyDescent="0.2">
      <c r="A1510" s="129"/>
      <c r="B1510" s="130"/>
      <c r="C1510" s="140"/>
      <c r="D1510" s="131"/>
      <c r="E1510" s="129"/>
      <c r="F1510" s="131"/>
      <c r="G1510" s="130"/>
      <c r="H1510" s="131"/>
      <c r="I1510" s="132"/>
      <c r="J1510" s="129"/>
      <c r="K1510" s="140"/>
      <c r="L1510" s="133"/>
      <c r="M1510" s="140"/>
      <c r="N1510" s="140"/>
      <c r="P1510" s="141"/>
    </row>
    <row r="1511" spans="1:16" x14ac:dyDescent="0.2">
      <c r="A1511" s="129"/>
      <c r="B1511" s="130"/>
      <c r="C1511" s="140"/>
      <c r="D1511" s="131"/>
      <c r="E1511" s="129"/>
      <c r="F1511" s="131"/>
      <c r="G1511" s="130"/>
      <c r="H1511" s="131"/>
      <c r="I1511" s="132"/>
      <c r="J1511" s="129"/>
      <c r="K1511" s="140"/>
      <c r="L1511" s="133"/>
      <c r="M1511" s="140"/>
      <c r="N1511" s="140"/>
      <c r="P1511" s="141"/>
    </row>
    <row r="1512" spans="1:16" x14ac:dyDescent="0.2">
      <c r="A1512" s="129"/>
      <c r="B1512" s="130"/>
      <c r="C1512" s="140"/>
      <c r="D1512" s="131"/>
      <c r="E1512" s="129"/>
      <c r="F1512" s="131"/>
      <c r="G1512" s="130"/>
      <c r="H1512" s="131"/>
      <c r="I1512" s="132"/>
      <c r="J1512" s="129"/>
      <c r="K1512" s="140"/>
      <c r="L1512" s="133"/>
      <c r="M1512" s="140"/>
      <c r="N1512" s="140"/>
      <c r="P1512" s="141"/>
    </row>
    <row r="1513" spans="1:16" x14ac:dyDescent="0.2">
      <c r="A1513" s="129"/>
      <c r="B1513" s="130"/>
      <c r="C1513" s="140"/>
      <c r="D1513" s="131"/>
      <c r="E1513" s="129"/>
      <c r="F1513" s="131"/>
      <c r="G1513" s="130"/>
      <c r="H1513" s="131"/>
      <c r="I1513" s="132"/>
      <c r="J1513" s="129"/>
      <c r="K1513" s="140"/>
      <c r="L1513" s="133"/>
      <c r="M1513" s="140"/>
      <c r="N1513" s="140"/>
      <c r="P1513" s="141"/>
    </row>
    <row r="1514" spans="1:16" x14ac:dyDescent="0.2">
      <c r="A1514" s="129"/>
      <c r="B1514" s="130"/>
      <c r="C1514" s="140"/>
      <c r="D1514" s="131"/>
      <c r="E1514" s="129"/>
      <c r="F1514" s="131"/>
      <c r="G1514" s="130"/>
      <c r="H1514" s="131"/>
      <c r="I1514" s="132"/>
      <c r="J1514" s="129"/>
      <c r="K1514" s="140"/>
      <c r="L1514" s="133"/>
      <c r="M1514" s="140"/>
      <c r="N1514" s="140"/>
      <c r="P1514" s="141"/>
    </row>
    <row r="1515" spans="1:16" x14ac:dyDescent="0.2">
      <c r="A1515" s="129"/>
      <c r="B1515" s="130"/>
      <c r="C1515" s="140"/>
      <c r="D1515" s="131"/>
      <c r="E1515" s="129"/>
      <c r="F1515" s="131"/>
      <c r="G1515" s="130"/>
      <c r="H1515" s="131"/>
      <c r="I1515" s="132"/>
      <c r="J1515" s="129"/>
      <c r="K1515" s="140"/>
      <c r="L1515" s="133"/>
      <c r="M1515" s="140"/>
      <c r="N1515" s="140"/>
      <c r="P1515" s="141"/>
    </row>
    <row r="1516" spans="1:16" x14ac:dyDescent="0.2">
      <c r="A1516" s="129"/>
      <c r="B1516" s="130"/>
      <c r="C1516" s="140"/>
      <c r="D1516" s="131"/>
      <c r="E1516" s="129"/>
      <c r="F1516" s="131"/>
      <c r="G1516" s="130"/>
      <c r="H1516" s="131"/>
      <c r="I1516" s="132"/>
      <c r="J1516" s="129"/>
      <c r="K1516" s="140"/>
      <c r="L1516" s="133"/>
      <c r="M1516" s="140"/>
      <c r="N1516" s="140"/>
      <c r="P1516" s="141"/>
    </row>
    <row r="1517" spans="1:16" x14ac:dyDescent="0.2">
      <c r="A1517" s="129"/>
      <c r="B1517" s="130"/>
      <c r="C1517" s="140"/>
      <c r="D1517" s="131"/>
      <c r="E1517" s="129"/>
      <c r="F1517" s="131"/>
      <c r="G1517" s="130"/>
      <c r="H1517" s="131"/>
      <c r="I1517" s="132"/>
      <c r="J1517" s="129"/>
      <c r="K1517" s="140"/>
      <c r="L1517" s="133"/>
      <c r="M1517" s="140"/>
      <c r="N1517" s="140"/>
      <c r="P1517" s="141"/>
    </row>
    <row r="1518" spans="1:16" x14ac:dyDescent="0.2">
      <c r="A1518" s="129"/>
      <c r="B1518" s="130"/>
      <c r="C1518" s="140"/>
      <c r="D1518" s="131"/>
      <c r="E1518" s="129"/>
      <c r="F1518" s="131"/>
      <c r="G1518" s="130"/>
      <c r="H1518" s="131"/>
      <c r="I1518" s="132"/>
      <c r="J1518" s="129"/>
      <c r="K1518" s="140"/>
      <c r="L1518" s="133"/>
      <c r="M1518" s="140"/>
      <c r="N1518" s="140"/>
      <c r="P1518" s="141"/>
    </row>
    <row r="1519" spans="1:16" x14ac:dyDescent="0.2">
      <c r="A1519" s="129"/>
      <c r="B1519" s="130"/>
      <c r="C1519" s="140"/>
      <c r="D1519" s="131"/>
      <c r="E1519" s="129"/>
      <c r="F1519" s="131"/>
      <c r="G1519" s="130"/>
      <c r="H1519" s="131"/>
      <c r="I1519" s="132"/>
      <c r="J1519" s="129"/>
      <c r="K1519" s="140"/>
      <c r="L1519" s="133"/>
      <c r="M1519" s="140"/>
      <c r="N1519" s="140"/>
      <c r="P1519" s="141"/>
    </row>
    <row r="1520" spans="1:16" x14ac:dyDescent="0.2">
      <c r="A1520" s="129"/>
      <c r="B1520" s="130"/>
      <c r="C1520" s="140"/>
      <c r="D1520" s="131"/>
      <c r="E1520" s="129"/>
      <c r="F1520" s="131"/>
      <c r="G1520" s="130"/>
      <c r="H1520" s="131"/>
      <c r="I1520" s="132"/>
      <c r="J1520" s="129"/>
      <c r="K1520" s="140"/>
      <c r="L1520" s="133"/>
      <c r="M1520" s="140"/>
      <c r="N1520" s="140"/>
      <c r="P1520" s="141"/>
    </row>
    <row r="1521" spans="1:16" x14ac:dyDescent="0.2">
      <c r="A1521" s="129"/>
      <c r="B1521" s="130"/>
      <c r="C1521" s="140"/>
      <c r="D1521" s="131"/>
      <c r="E1521" s="129"/>
      <c r="F1521" s="131"/>
      <c r="G1521" s="130"/>
      <c r="H1521" s="131"/>
      <c r="I1521" s="132"/>
      <c r="J1521" s="129"/>
      <c r="K1521" s="140"/>
      <c r="L1521" s="133"/>
      <c r="M1521" s="140"/>
      <c r="N1521" s="140"/>
      <c r="P1521" s="141"/>
    </row>
    <row r="1522" spans="1:16" x14ac:dyDescent="0.2">
      <c r="A1522" s="129"/>
      <c r="B1522" s="130"/>
      <c r="C1522" s="140"/>
      <c r="D1522" s="131"/>
      <c r="E1522" s="129"/>
      <c r="F1522" s="131"/>
      <c r="G1522" s="130"/>
      <c r="H1522" s="131"/>
      <c r="I1522" s="132"/>
      <c r="J1522" s="129"/>
      <c r="K1522" s="140"/>
      <c r="L1522" s="133"/>
      <c r="M1522" s="140"/>
      <c r="N1522" s="140"/>
      <c r="P1522" s="141"/>
    </row>
    <row r="1523" spans="1:16" x14ac:dyDescent="0.2">
      <c r="A1523" s="129"/>
      <c r="B1523" s="130"/>
      <c r="C1523" s="140"/>
      <c r="D1523" s="131"/>
      <c r="E1523" s="129"/>
      <c r="F1523" s="131"/>
      <c r="G1523" s="130"/>
      <c r="H1523" s="131"/>
      <c r="I1523" s="132"/>
      <c r="J1523" s="129"/>
      <c r="K1523" s="140"/>
      <c r="L1523" s="133"/>
      <c r="M1523" s="140"/>
      <c r="N1523" s="140"/>
      <c r="P1523" s="141"/>
    </row>
    <row r="1524" spans="1:16" x14ac:dyDescent="0.2">
      <c r="A1524" s="129"/>
      <c r="B1524" s="130"/>
      <c r="C1524" s="140"/>
      <c r="D1524" s="131"/>
      <c r="E1524" s="129"/>
      <c r="F1524" s="131"/>
      <c r="G1524" s="130"/>
      <c r="H1524" s="131"/>
      <c r="I1524" s="132"/>
      <c r="J1524" s="129"/>
      <c r="K1524" s="140"/>
      <c r="L1524" s="133"/>
      <c r="M1524" s="140"/>
      <c r="N1524" s="140"/>
      <c r="P1524" s="141"/>
    </row>
    <row r="1525" spans="1:16" x14ac:dyDescent="0.2">
      <c r="A1525" s="129"/>
      <c r="B1525" s="130"/>
      <c r="C1525" s="140"/>
      <c r="D1525" s="131"/>
      <c r="E1525" s="129"/>
      <c r="F1525" s="131"/>
      <c r="G1525" s="130"/>
      <c r="H1525" s="131"/>
      <c r="I1525" s="132"/>
      <c r="J1525" s="129"/>
      <c r="K1525" s="140"/>
      <c r="L1525" s="133"/>
      <c r="M1525" s="140"/>
      <c r="N1525" s="140"/>
      <c r="P1525" s="141"/>
    </row>
    <row r="1526" spans="1:16" x14ac:dyDescent="0.2">
      <c r="A1526" s="129"/>
      <c r="B1526" s="130"/>
      <c r="C1526" s="140"/>
      <c r="D1526" s="131"/>
      <c r="E1526" s="129"/>
      <c r="F1526" s="131"/>
      <c r="G1526" s="130"/>
      <c r="H1526" s="131"/>
      <c r="I1526" s="132"/>
      <c r="J1526" s="129"/>
      <c r="K1526" s="140"/>
      <c r="L1526" s="133"/>
      <c r="M1526" s="140"/>
      <c r="N1526" s="140"/>
      <c r="P1526" s="141"/>
    </row>
    <row r="1527" spans="1:16" x14ac:dyDescent="0.2">
      <c r="A1527" s="129"/>
      <c r="B1527" s="130"/>
      <c r="C1527" s="140"/>
      <c r="D1527" s="131"/>
      <c r="E1527" s="129"/>
      <c r="F1527" s="131"/>
      <c r="G1527" s="130"/>
      <c r="H1527" s="131"/>
      <c r="I1527" s="132"/>
      <c r="J1527" s="129"/>
      <c r="K1527" s="140"/>
      <c r="L1527" s="133"/>
      <c r="M1527" s="140"/>
      <c r="N1527" s="140"/>
      <c r="P1527" s="141"/>
    </row>
    <row r="1528" spans="1:16" x14ac:dyDescent="0.2">
      <c r="A1528" s="129"/>
      <c r="B1528" s="130"/>
      <c r="C1528" s="140"/>
      <c r="D1528" s="131"/>
      <c r="E1528" s="129"/>
      <c r="F1528" s="131"/>
      <c r="G1528" s="130"/>
      <c r="H1528" s="131"/>
      <c r="I1528" s="132"/>
      <c r="J1528" s="129"/>
      <c r="K1528" s="140"/>
      <c r="L1528" s="133"/>
      <c r="M1528" s="140"/>
      <c r="N1528" s="140"/>
      <c r="P1528" s="141"/>
    </row>
    <row r="1529" spans="1:16" x14ac:dyDescent="0.2">
      <c r="A1529" s="129"/>
      <c r="B1529" s="130"/>
      <c r="C1529" s="140"/>
      <c r="D1529" s="131"/>
      <c r="E1529" s="129"/>
      <c r="F1529" s="131"/>
      <c r="G1529" s="130"/>
      <c r="H1529" s="131"/>
      <c r="I1529" s="132"/>
      <c r="J1529" s="129"/>
      <c r="K1529" s="140"/>
      <c r="L1529" s="133"/>
      <c r="M1529" s="140"/>
      <c r="N1529" s="140"/>
      <c r="P1529" s="141"/>
    </row>
    <row r="1530" spans="1:16" x14ac:dyDescent="0.2">
      <c r="A1530" s="129"/>
      <c r="B1530" s="130"/>
      <c r="C1530" s="140"/>
      <c r="D1530" s="131"/>
      <c r="E1530" s="129"/>
      <c r="F1530" s="131"/>
      <c r="G1530" s="130"/>
      <c r="H1530" s="131"/>
      <c r="I1530" s="132"/>
      <c r="J1530" s="129"/>
      <c r="K1530" s="140"/>
      <c r="L1530" s="133"/>
      <c r="M1530" s="140"/>
      <c r="N1530" s="140"/>
      <c r="P1530" s="141"/>
    </row>
    <row r="1531" spans="1:16" x14ac:dyDescent="0.2">
      <c r="A1531" s="129"/>
      <c r="B1531" s="130"/>
      <c r="C1531" s="140"/>
      <c r="D1531" s="131"/>
      <c r="E1531" s="129"/>
      <c r="F1531" s="131"/>
      <c r="G1531" s="130"/>
      <c r="H1531" s="131"/>
      <c r="I1531" s="132"/>
      <c r="J1531" s="129"/>
      <c r="K1531" s="140"/>
      <c r="L1531" s="133"/>
      <c r="M1531" s="140"/>
      <c r="N1531" s="140"/>
      <c r="P1531" s="141"/>
    </row>
    <row r="1532" spans="1:16" x14ac:dyDescent="0.2">
      <c r="A1532" s="129"/>
      <c r="B1532" s="130"/>
      <c r="C1532" s="140"/>
      <c r="D1532" s="131"/>
      <c r="E1532" s="129"/>
      <c r="F1532" s="131"/>
      <c r="G1532" s="130"/>
      <c r="H1532" s="131"/>
      <c r="I1532" s="132"/>
      <c r="J1532" s="129"/>
      <c r="K1532" s="140"/>
      <c r="L1532" s="133"/>
      <c r="M1532" s="140"/>
      <c r="N1532" s="140"/>
      <c r="P1532" s="141"/>
    </row>
    <row r="1533" spans="1:16" x14ac:dyDescent="0.2">
      <c r="A1533" s="129"/>
      <c r="B1533" s="130"/>
      <c r="C1533" s="140"/>
      <c r="D1533" s="131"/>
      <c r="E1533" s="129"/>
      <c r="F1533" s="131"/>
      <c r="G1533" s="130"/>
      <c r="H1533" s="131"/>
      <c r="I1533" s="132"/>
      <c r="J1533" s="129"/>
      <c r="K1533" s="140"/>
      <c r="L1533" s="133"/>
      <c r="M1533" s="140"/>
      <c r="N1533" s="140"/>
      <c r="P1533" s="141"/>
    </row>
    <row r="1534" spans="1:16" x14ac:dyDescent="0.2">
      <c r="A1534" s="129"/>
      <c r="B1534" s="130"/>
      <c r="C1534" s="140"/>
      <c r="D1534" s="131"/>
      <c r="E1534" s="129"/>
      <c r="F1534" s="131"/>
      <c r="G1534" s="130"/>
      <c r="H1534" s="131"/>
      <c r="I1534" s="132"/>
      <c r="J1534" s="129"/>
      <c r="K1534" s="140"/>
      <c r="L1534" s="133"/>
      <c r="M1534" s="140"/>
      <c r="N1534" s="140"/>
      <c r="P1534" s="141"/>
    </row>
    <row r="1535" spans="1:16" x14ac:dyDescent="0.2">
      <c r="A1535" s="129"/>
      <c r="B1535" s="130"/>
      <c r="C1535" s="140"/>
      <c r="D1535" s="131"/>
      <c r="E1535" s="129"/>
      <c r="F1535" s="131"/>
      <c r="G1535" s="130"/>
      <c r="H1535" s="131"/>
      <c r="I1535" s="132"/>
      <c r="J1535" s="129"/>
      <c r="K1535" s="140"/>
      <c r="L1535" s="133"/>
      <c r="M1535" s="140"/>
      <c r="N1535" s="140"/>
      <c r="P1535" s="141"/>
    </row>
    <row r="1536" spans="1:16" x14ac:dyDescent="0.2">
      <c r="A1536" s="129"/>
      <c r="B1536" s="130"/>
      <c r="C1536" s="140"/>
      <c r="D1536" s="131"/>
      <c r="E1536" s="129"/>
      <c r="F1536" s="131"/>
      <c r="G1536" s="130"/>
      <c r="H1536" s="131"/>
      <c r="I1536" s="132"/>
      <c r="J1536" s="129"/>
      <c r="K1536" s="140"/>
      <c r="L1536" s="133"/>
      <c r="M1536" s="140"/>
      <c r="N1536" s="140"/>
      <c r="P1536" s="141"/>
    </row>
    <row r="1537" spans="1:16" x14ac:dyDescent="0.2">
      <c r="A1537" s="129"/>
      <c r="B1537" s="130"/>
      <c r="C1537" s="140"/>
      <c r="D1537" s="131"/>
      <c r="E1537" s="129"/>
      <c r="F1537" s="131"/>
      <c r="G1537" s="130"/>
      <c r="H1537" s="131"/>
      <c r="I1537" s="132"/>
      <c r="J1537" s="129"/>
      <c r="K1537" s="140"/>
      <c r="L1537" s="133"/>
      <c r="M1537" s="140"/>
      <c r="N1537" s="140"/>
      <c r="P1537" s="141"/>
    </row>
    <row r="1538" spans="1:16" x14ac:dyDescent="0.2">
      <c r="A1538" s="129"/>
      <c r="B1538" s="130"/>
      <c r="C1538" s="140"/>
      <c r="D1538" s="131"/>
      <c r="E1538" s="129"/>
      <c r="F1538" s="131"/>
      <c r="G1538" s="130"/>
      <c r="H1538" s="131"/>
      <c r="I1538" s="132"/>
      <c r="J1538" s="129"/>
      <c r="K1538" s="140"/>
      <c r="L1538" s="133"/>
      <c r="M1538" s="140"/>
      <c r="N1538" s="140"/>
      <c r="P1538" s="141"/>
    </row>
    <row r="1539" spans="1:16" x14ac:dyDescent="0.2">
      <c r="A1539" s="129"/>
      <c r="B1539" s="130"/>
      <c r="C1539" s="140"/>
      <c r="D1539" s="131"/>
      <c r="E1539" s="129"/>
      <c r="F1539" s="131"/>
      <c r="G1539" s="130"/>
      <c r="H1539" s="131"/>
      <c r="I1539" s="132"/>
      <c r="J1539" s="129"/>
      <c r="K1539" s="140"/>
      <c r="L1539" s="133"/>
      <c r="M1539" s="140"/>
      <c r="N1539" s="140"/>
      <c r="P1539" s="141"/>
    </row>
    <row r="1540" spans="1:16" x14ac:dyDescent="0.2">
      <c r="A1540" s="129"/>
      <c r="B1540" s="130"/>
      <c r="C1540" s="140"/>
      <c r="D1540" s="131"/>
      <c r="E1540" s="129"/>
      <c r="F1540" s="131"/>
      <c r="G1540" s="130"/>
      <c r="H1540" s="131"/>
      <c r="I1540" s="132"/>
      <c r="J1540" s="129"/>
      <c r="K1540" s="140"/>
      <c r="L1540" s="133"/>
      <c r="M1540" s="140"/>
      <c r="N1540" s="140"/>
      <c r="P1540" s="141"/>
    </row>
    <row r="1541" spans="1:16" x14ac:dyDescent="0.2">
      <c r="A1541" s="129"/>
      <c r="B1541" s="130"/>
      <c r="C1541" s="140"/>
      <c r="D1541" s="131"/>
      <c r="E1541" s="129"/>
      <c r="F1541" s="131"/>
      <c r="G1541" s="130"/>
      <c r="H1541" s="131"/>
      <c r="I1541" s="132"/>
      <c r="J1541" s="129"/>
      <c r="K1541" s="140"/>
      <c r="L1541" s="133"/>
      <c r="M1541" s="140"/>
      <c r="N1541" s="140"/>
      <c r="P1541" s="141"/>
    </row>
    <row r="1542" spans="1:16" x14ac:dyDescent="0.2">
      <c r="A1542" s="129"/>
      <c r="B1542" s="130"/>
      <c r="C1542" s="140"/>
      <c r="D1542" s="131"/>
      <c r="E1542" s="129"/>
      <c r="F1542" s="131"/>
      <c r="G1542" s="130"/>
      <c r="H1542" s="131"/>
      <c r="I1542" s="132"/>
      <c r="J1542" s="129"/>
      <c r="K1542" s="140"/>
      <c r="L1542" s="133"/>
      <c r="M1542" s="140"/>
      <c r="N1542" s="140"/>
      <c r="P1542" s="141"/>
    </row>
    <row r="1543" spans="1:16" x14ac:dyDescent="0.2">
      <c r="A1543" s="129"/>
      <c r="B1543" s="130"/>
      <c r="C1543" s="140"/>
      <c r="D1543" s="131"/>
      <c r="E1543" s="129"/>
      <c r="F1543" s="131"/>
      <c r="G1543" s="130"/>
      <c r="H1543" s="131"/>
      <c r="I1543" s="132"/>
      <c r="J1543" s="129"/>
      <c r="K1543" s="140"/>
      <c r="L1543" s="133"/>
      <c r="M1543" s="140"/>
      <c r="N1543" s="140"/>
      <c r="P1543" s="141"/>
    </row>
    <row r="1544" spans="1:16" x14ac:dyDescent="0.2">
      <c r="A1544" s="129"/>
      <c r="B1544" s="130"/>
      <c r="C1544" s="140"/>
      <c r="D1544" s="131"/>
      <c r="E1544" s="129"/>
      <c r="F1544" s="131"/>
      <c r="G1544" s="130"/>
      <c r="H1544" s="131"/>
      <c r="I1544" s="132"/>
      <c r="J1544" s="129"/>
      <c r="K1544" s="140"/>
      <c r="L1544" s="133"/>
      <c r="M1544" s="140"/>
      <c r="N1544" s="140"/>
      <c r="P1544" s="141"/>
    </row>
    <row r="1545" spans="1:16" x14ac:dyDescent="0.2">
      <c r="A1545" s="129"/>
      <c r="B1545" s="130"/>
      <c r="C1545" s="140"/>
      <c r="D1545" s="131"/>
      <c r="E1545" s="129"/>
      <c r="F1545" s="131"/>
      <c r="G1545" s="130"/>
      <c r="H1545" s="131"/>
      <c r="I1545" s="132"/>
      <c r="J1545" s="129"/>
      <c r="K1545" s="140"/>
      <c r="L1545" s="133"/>
      <c r="M1545" s="140"/>
      <c r="N1545" s="140"/>
      <c r="P1545" s="141"/>
    </row>
    <row r="1546" spans="1:16" x14ac:dyDescent="0.2">
      <c r="A1546" s="129"/>
      <c r="B1546" s="130"/>
      <c r="C1546" s="140"/>
      <c r="D1546" s="131"/>
      <c r="E1546" s="129"/>
      <c r="F1546" s="131"/>
      <c r="G1546" s="130"/>
      <c r="H1546" s="131"/>
      <c r="I1546" s="132"/>
      <c r="J1546" s="129"/>
      <c r="K1546" s="140"/>
      <c r="L1546" s="133"/>
      <c r="M1546" s="140"/>
      <c r="N1546" s="140"/>
      <c r="P1546" s="141"/>
    </row>
    <row r="1547" spans="1:16" x14ac:dyDescent="0.2">
      <c r="A1547" s="129"/>
      <c r="B1547" s="130"/>
      <c r="C1547" s="140"/>
      <c r="D1547" s="131"/>
      <c r="E1547" s="129"/>
      <c r="F1547" s="131"/>
      <c r="G1547" s="130"/>
      <c r="H1547" s="131"/>
      <c r="I1547" s="132"/>
      <c r="J1547" s="129"/>
      <c r="K1547" s="140"/>
      <c r="L1547" s="133"/>
      <c r="M1547" s="140"/>
      <c r="N1547" s="140"/>
      <c r="P1547" s="141"/>
    </row>
    <row r="1548" spans="1:16" x14ac:dyDescent="0.2">
      <c r="A1548" s="129"/>
      <c r="B1548" s="130"/>
      <c r="C1548" s="140"/>
      <c r="D1548" s="131"/>
      <c r="E1548" s="129"/>
      <c r="F1548" s="131"/>
      <c r="G1548" s="130"/>
      <c r="H1548" s="131"/>
      <c r="I1548" s="132"/>
      <c r="J1548" s="129"/>
      <c r="K1548" s="140"/>
      <c r="L1548" s="133"/>
      <c r="M1548" s="140"/>
      <c r="N1548" s="140"/>
      <c r="P1548" s="141"/>
    </row>
    <row r="1549" spans="1:16" x14ac:dyDescent="0.2">
      <c r="A1549" s="129"/>
      <c r="B1549" s="130"/>
      <c r="C1549" s="140"/>
      <c r="D1549" s="131"/>
      <c r="E1549" s="129"/>
      <c r="F1549" s="131"/>
      <c r="G1549" s="130"/>
      <c r="H1549" s="131"/>
      <c r="I1549" s="132"/>
      <c r="J1549" s="129"/>
      <c r="K1549" s="140"/>
      <c r="L1549" s="133"/>
      <c r="M1549" s="140"/>
      <c r="N1549" s="140"/>
      <c r="P1549" s="141"/>
    </row>
    <row r="1550" spans="1:16" x14ac:dyDescent="0.2">
      <c r="A1550" s="129"/>
      <c r="B1550" s="130"/>
      <c r="C1550" s="140"/>
      <c r="D1550" s="131"/>
      <c r="E1550" s="129"/>
      <c r="F1550" s="131"/>
      <c r="G1550" s="130"/>
      <c r="H1550" s="131"/>
      <c r="I1550" s="132"/>
      <c r="J1550" s="129"/>
      <c r="K1550" s="140"/>
      <c r="L1550" s="133"/>
      <c r="M1550" s="140"/>
      <c r="N1550" s="140"/>
      <c r="P1550" s="141"/>
    </row>
    <row r="1551" spans="1:16" x14ac:dyDescent="0.2">
      <c r="A1551" s="129"/>
      <c r="B1551" s="130"/>
      <c r="C1551" s="140"/>
      <c r="D1551" s="131"/>
      <c r="E1551" s="129"/>
      <c r="F1551" s="131"/>
      <c r="G1551" s="130"/>
      <c r="H1551" s="131"/>
      <c r="I1551" s="132"/>
      <c r="J1551" s="129"/>
      <c r="K1551" s="140"/>
      <c r="L1551" s="133"/>
      <c r="M1551" s="140"/>
      <c r="N1551" s="140"/>
      <c r="P1551" s="141"/>
    </row>
    <row r="1552" spans="1:16" x14ac:dyDescent="0.2">
      <c r="A1552" s="129"/>
      <c r="B1552" s="130"/>
      <c r="C1552" s="140"/>
      <c r="D1552" s="131"/>
      <c r="E1552" s="129"/>
      <c r="F1552" s="131"/>
      <c r="G1552" s="130"/>
      <c r="H1552" s="131"/>
      <c r="I1552" s="132"/>
      <c r="J1552" s="129"/>
      <c r="K1552" s="140"/>
      <c r="L1552" s="133"/>
      <c r="M1552" s="140"/>
      <c r="N1552" s="140"/>
      <c r="P1552" s="141"/>
    </row>
    <row r="1553" spans="1:16" x14ac:dyDescent="0.2">
      <c r="A1553" s="129"/>
      <c r="B1553" s="130"/>
      <c r="C1553" s="140"/>
      <c r="D1553" s="131"/>
      <c r="E1553" s="129"/>
      <c r="F1553" s="131"/>
      <c r="G1553" s="130"/>
      <c r="H1553" s="131"/>
      <c r="I1553" s="132"/>
      <c r="J1553" s="129"/>
      <c r="K1553" s="140"/>
      <c r="L1553" s="133"/>
      <c r="M1553" s="140"/>
      <c r="N1553" s="140"/>
      <c r="P1553" s="141"/>
    </row>
    <row r="1554" spans="1:16" x14ac:dyDescent="0.2">
      <c r="A1554" s="129"/>
      <c r="B1554" s="130"/>
      <c r="C1554" s="140"/>
      <c r="D1554" s="131"/>
      <c r="E1554" s="129"/>
      <c r="F1554" s="131"/>
      <c r="G1554" s="130"/>
      <c r="H1554" s="131"/>
      <c r="I1554" s="132"/>
      <c r="J1554" s="129"/>
      <c r="K1554" s="140"/>
      <c r="L1554" s="133"/>
      <c r="M1554" s="140"/>
      <c r="N1554" s="140"/>
      <c r="P1554" s="141"/>
    </row>
    <row r="1555" spans="1:16" x14ac:dyDescent="0.2">
      <c r="A1555" s="129"/>
      <c r="B1555" s="130"/>
      <c r="C1555" s="140"/>
      <c r="D1555" s="131"/>
      <c r="E1555" s="129"/>
      <c r="F1555" s="131"/>
      <c r="G1555" s="130"/>
      <c r="H1555" s="131"/>
      <c r="I1555" s="132"/>
      <c r="J1555" s="129"/>
      <c r="K1555" s="140"/>
      <c r="L1555" s="133"/>
      <c r="M1555" s="140"/>
      <c r="N1555" s="140"/>
      <c r="P1555" s="141"/>
    </row>
    <row r="1556" spans="1:16" x14ac:dyDescent="0.2">
      <c r="A1556" s="129"/>
      <c r="B1556" s="130"/>
      <c r="C1556" s="140"/>
      <c r="D1556" s="131"/>
      <c r="E1556" s="129"/>
      <c r="F1556" s="131"/>
      <c r="G1556" s="130"/>
      <c r="H1556" s="131"/>
      <c r="I1556" s="132"/>
      <c r="J1556" s="129"/>
      <c r="K1556" s="140"/>
      <c r="L1556" s="133"/>
      <c r="M1556" s="140"/>
      <c r="N1556" s="140"/>
      <c r="P1556" s="141"/>
    </row>
    <row r="1557" spans="1:16" x14ac:dyDescent="0.2">
      <c r="A1557" s="129"/>
      <c r="B1557" s="130"/>
      <c r="C1557" s="140"/>
      <c r="D1557" s="131"/>
      <c r="E1557" s="129"/>
      <c r="F1557" s="131"/>
      <c r="G1557" s="130"/>
      <c r="H1557" s="131"/>
      <c r="I1557" s="132"/>
      <c r="J1557" s="129"/>
      <c r="K1557" s="140"/>
      <c r="L1557" s="133"/>
      <c r="M1557" s="140"/>
      <c r="N1557" s="140"/>
      <c r="P1557" s="141"/>
    </row>
    <row r="1558" spans="1:16" x14ac:dyDescent="0.2">
      <c r="A1558" s="129"/>
      <c r="B1558" s="130"/>
      <c r="C1558" s="140"/>
      <c r="D1558" s="131"/>
      <c r="E1558" s="129"/>
      <c r="F1558" s="131"/>
      <c r="G1558" s="130"/>
      <c r="H1558" s="131"/>
      <c r="I1558" s="132"/>
      <c r="J1558" s="129"/>
      <c r="K1558" s="140"/>
      <c r="L1558" s="133"/>
      <c r="M1558" s="140"/>
      <c r="N1558" s="140"/>
      <c r="P1558" s="141"/>
    </row>
    <row r="1559" spans="1:16" x14ac:dyDescent="0.2">
      <c r="A1559" s="129"/>
      <c r="B1559" s="130"/>
      <c r="C1559" s="140"/>
      <c r="D1559" s="131"/>
      <c r="E1559" s="129"/>
      <c r="F1559" s="131"/>
      <c r="G1559" s="130"/>
      <c r="H1559" s="131"/>
      <c r="I1559" s="132"/>
      <c r="J1559" s="129"/>
      <c r="K1559" s="140"/>
      <c r="L1559" s="133"/>
      <c r="M1559" s="140"/>
      <c r="N1559" s="140"/>
      <c r="P1559" s="141"/>
    </row>
    <row r="1560" spans="1:16" x14ac:dyDescent="0.2">
      <c r="A1560" s="129"/>
      <c r="B1560" s="130"/>
      <c r="C1560" s="140"/>
      <c r="D1560" s="131"/>
      <c r="E1560" s="129"/>
      <c r="F1560" s="131"/>
      <c r="G1560" s="130"/>
      <c r="H1560" s="131"/>
      <c r="I1560" s="132"/>
      <c r="J1560" s="129"/>
      <c r="K1560" s="140"/>
      <c r="L1560" s="133"/>
      <c r="M1560" s="140"/>
      <c r="N1560" s="140"/>
      <c r="P1560" s="141"/>
    </row>
    <row r="1561" spans="1:16" x14ac:dyDescent="0.2">
      <c r="A1561" s="129"/>
      <c r="B1561" s="130"/>
      <c r="C1561" s="140"/>
      <c r="D1561" s="131"/>
      <c r="E1561" s="129"/>
      <c r="F1561" s="131"/>
      <c r="G1561" s="130"/>
      <c r="H1561" s="131"/>
      <c r="I1561" s="132"/>
      <c r="J1561" s="129"/>
      <c r="K1561" s="140"/>
      <c r="L1561" s="133"/>
      <c r="M1561" s="140"/>
      <c r="N1561" s="140"/>
      <c r="P1561" s="141"/>
    </row>
    <row r="1562" spans="1:16" x14ac:dyDescent="0.2">
      <c r="A1562" s="129"/>
      <c r="B1562" s="130"/>
      <c r="C1562" s="140"/>
      <c r="D1562" s="131"/>
      <c r="E1562" s="129"/>
      <c r="F1562" s="131"/>
      <c r="G1562" s="130"/>
      <c r="H1562" s="131"/>
      <c r="I1562" s="132"/>
      <c r="J1562" s="129"/>
      <c r="K1562" s="140"/>
      <c r="L1562" s="133"/>
      <c r="M1562" s="140"/>
      <c r="N1562" s="140"/>
      <c r="P1562" s="141"/>
    </row>
    <row r="1563" spans="1:16" x14ac:dyDescent="0.2">
      <c r="A1563" s="129"/>
      <c r="B1563" s="130"/>
      <c r="C1563" s="140"/>
      <c r="D1563" s="131"/>
      <c r="E1563" s="129"/>
      <c r="F1563" s="131"/>
      <c r="G1563" s="130"/>
      <c r="H1563" s="131"/>
      <c r="I1563" s="132"/>
      <c r="J1563" s="129"/>
      <c r="K1563" s="140"/>
      <c r="L1563" s="133"/>
      <c r="M1563" s="140"/>
      <c r="N1563" s="140"/>
      <c r="P1563" s="141"/>
    </row>
    <row r="1564" spans="1:16" x14ac:dyDescent="0.2">
      <c r="A1564" s="129"/>
      <c r="B1564" s="130"/>
      <c r="C1564" s="140"/>
      <c r="D1564" s="131"/>
      <c r="E1564" s="129"/>
      <c r="F1564" s="131"/>
      <c r="G1564" s="130"/>
      <c r="H1564" s="131"/>
      <c r="I1564" s="132"/>
      <c r="J1564" s="129"/>
      <c r="K1564" s="140"/>
      <c r="L1564" s="133"/>
      <c r="M1564" s="140"/>
      <c r="N1564" s="140"/>
      <c r="P1564" s="141"/>
    </row>
    <row r="1565" spans="1:16" x14ac:dyDescent="0.2">
      <c r="A1565" s="129"/>
      <c r="B1565" s="130"/>
      <c r="C1565" s="140"/>
      <c r="D1565" s="131"/>
      <c r="E1565" s="129"/>
      <c r="F1565" s="131"/>
      <c r="G1565" s="130"/>
      <c r="H1565" s="131"/>
      <c r="I1565" s="132"/>
      <c r="J1565" s="129"/>
      <c r="K1565" s="140"/>
      <c r="L1565" s="133"/>
      <c r="M1565" s="140"/>
      <c r="N1565" s="140"/>
      <c r="P1565" s="141"/>
    </row>
    <row r="1566" spans="1:16" x14ac:dyDescent="0.2">
      <c r="A1566" s="129"/>
      <c r="B1566" s="130"/>
      <c r="C1566" s="140"/>
      <c r="D1566" s="131"/>
      <c r="E1566" s="129"/>
      <c r="F1566" s="131"/>
      <c r="G1566" s="130"/>
      <c r="H1566" s="131"/>
      <c r="I1566" s="132"/>
      <c r="J1566" s="129"/>
      <c r="K1566" s="140"/>
      <c r="L1566" s="133"/>
      <c r="M1566" s="140"/>
      <c r="N1566" s="140"/>
      <c r="P1566" s="141"/>
    </row>
    <row r="1567" spans="1:16" x14ac:dyDescent="0.2">
      <c r="A1567" s="129"/>
      <c r="B1567" s="130"/>
      <c r="C1567" s="140"/>
      <c r="D1567" s="131"/>
      <c r="E1567" s="129"/>
      <c r="F1567" s="131"/>
      <c r="G1567" s="130"/>
      <c r="H1567" s="131"/>
      <c r="I1567" s="132"/>
      <c r="J1567" s="129"/>
      <c r="K1567" s="140"/>
      <c r="L1567" s="133"/>
      <c r="M1567" s="140"/>
      <c r="N1567" s="140"/>
      <c r="P1567" s="141"/>
    </row>
    <row r="1568" spans="1:16" x14ac:dyDescent="0.2">
      <c r="A1568" s="129"/>
      <c r="B1568" s="130"/>
      <c r="C1568" s="140"/>
      <c r="D1568" s="131"/>
      <c r="E1568" s="129"/>
      <c r="F1568" s="131"/>
      <c r="G1568" s="130"/>
      <c r="H1568" s="131"/>
      <c r="I1568" s="132"/>
      <c r="J1568" s="129"/>
      <c r="K1568" s="140"/>
      <c r="L1568" s="133"/>
      <c r="M1568" s="140"/>
      <c r="N1568" s="140"/>
      <c r="P1568" s="141"/>
    </row>
    <row r="1569" spans="1:16" x14ac:dyDescent="0.2">
      <c r="A1569" s="129"/>
      <c r="B1569" s="130"/>
      <c r="C1569" s="140"/>
      <c r="D1569" s="131"/>
      <c r="E1569" s="129"/>
      <c r="F1569" s="131"/>
      <c r="G1569" s="130"/>
      <c r="H1569" s="131"/>
      <c r="I1569" s="132"/>
      <c r="J1569" s="129"/>
      <c r="K1569" s="140"/>
      <c r="L1569" s="133"/>
      <c r="M1569" s="140"/>
      <c r="N1569" s="140"/>
      <c r="P1569" s="141"/>
    </row>
    <row r="1570" spans="1:16" x14ac:dyDescent="0.2">
      <c r="A1570" s="129"/>
      <c r="B1570" s="130"/>
      <c r="C1570" s="140"/>
      <c r="D1570" s="131"/>
      <c r="E1570" s="129"/>
      <c r="F1570" s="131"/>
      <c r="G1570" s="130"/>
      <c r="H1570" s="131"/>
      <c r="I1570" s="132"/>
      <c r="J1570" s="129"/>
      <c r="K1570" s="140"/>
      <c r="L1570" s="133"/>
      <c r="M1570" s="140"/>
      <c r="N1570" s="140"/>
      <c r="P1570" s="141"/>
    </row>
    <row r="1571" spans="1:16" x14ac:dyDescent="0.2">
      <c r="A1571" s="129"/>
      <c r="B1571" s="130"/>
      <c r="C1571" s="140"/>
      <c r="D1571" s="131"/>
      <c r="E1571" s="129"/>
      <c r="F1571" s="131"/>
      <c r="G1571" s="130"/>
      <c r="H1571" s="131"/>
      <c r="I1571" s="132"/>
      <c r="J1571" s="129"/>
      <c r="K1571" s="140"/>
      <c r="L1571" s="133"/>
      <c r="M1571" s="140"/>
      <c r="N1571" s="140"/>
      <c r="P1571" s="141"/>
    </row>
    <row r="1572" spans="1:16" x14ac:dyDescent="0.2">
      <c r="A1572" s="129"/>
      <c r="B1572" s="130"/>
      <c r="C1572" s="140"/>
      <c r="D1572" s="131"/>
      <c r="E1572" s="129"/>
      <c r="F1572" s="131"/>
      <c r="G1572" s="130"/>
      <c r="H1572" s="131"/>
      <c r="I1572" s="132"/>
      <c r="J1572" s="129"/>
      <c r="K1572" s="140"/>
      <c r="L1572" s="133"/>
      <c r="M1572" s="140"/>
      <c r="N1572" s="140"/>
      <c r="P1572" s="141"/>
    </row>
    <row r="1573" spans="1:16" x14ac:dyDescent="0.2">
      <c r="A1573" s="129"/>
      <c r="B1573" s="130"/>
      <c r="C1573" s="140"/>
      <c r="D1573" s="131"/>
      <c r="E1573" s="129"/>
      <c r="F1573" s="131"/>
      <c r="G1573" s="130"/>
      <c r="H1573" s="131"/>
      <c r="I1573" s="132"/>
      <c r="J1573" s="129"/>
      <c r="K1573" s="140"/>
      <c r="L1573" s="133"/>
      <c r="M1573" s="140"/>
      <c r="N1573" s="140"/>
      <c r="P1573" s="141"/>
    </row>
    <row r="1574" spans="1:16" x14ac:dyDescent="0.2">
      <c r="A1574" s="129"/>
      <c r="B1574" s="130"/>
      <c r="C1574" s="140"/>
      <c r="D1574" s="131"/>
      <c r="E1574" s="129"/>
      <c r="F1574" s="131"/>
      <c r="G1574" s="130"/>
      <c r="H1574" s="131"/>
      <c r="I1574" s="132"/>
      <c r="J1574" s="129"/>
      <c r="K1574" s="140"/>
      <c r="L1574" s="133"/>
      <c r="M1574" s="140"/>
      <c r="N1574" s="140"/>
      <c r="P1574" s="141"/>
    </row>
    <row r="1575" spans="1:16" x14ac:dyDescent="0.2">
      <c r="A1575" s="129"/>
      <c r="B1575" s="130"/>
      <c r="C1575" s="140"/>
      <c r="D1575" s="131"/>
      <c r="E1575" s="129"/>
      <c r="F1575" s="131"/>
      <c r="G1575" s="130"/>
      <c r="H1575" s="131"/>
      <c r="I1575" s="132"/>
      <c r="J1575" s="129"/>
      <c r="K1575" s="140"/>
      <c r="L1575" s="133"/>
      <c r="M1575" s="140"/>
      <c r="N1575" s="140"/>
      <c r="P1575" s="141"/>
    </row>
    <row r="1576" spans="1:16" x14ac:dyDescent="0.2">
      <c r="A1576" s="129"/>
      <c r="B1576" s="130"/>
      <c r="C1576" s="140"/>
      <c r="D1576" s="131"/>
      <c r="E1576" s="129"/>
      <c r="F1576" s="131"/>
      <c r="G1576" s="130"/>
      <c r="H1576" s="131"/>
      <c r="I1576" s="132"/>
      <c r="J1576" s="129"/>
      <c r="K1576" s="140"/>
      <c r="L1576" s="133"/>
      <c r="M1576" s="140"/>
      <c r="N1576" s="140"/>
      <c r="P1576" s="141"/>
    </row>
    <row r="1577" spans="1:16" x14ac:dyDescent="0.2">
      <c r="A1577" s="129"/>
      <c r="B1577" s="130"/>
      <c r="C1577" s="140"/>
      <c r="D1577" s="131"/>
      <c r="E1577" s="129"/>
      <c r="F1577" s="131"/>
      <c r="G1577" s="130"/>
      <c r="H1577" s="131"/>
      <c r="I1577" s="132"/>
      <c r="J1577" s="129"/>
      <c r="K1577" s="140"/>
      <c r="L1577" s="133"/>
      <c r="M1577" s="140"/>
      <c r="N1577" s="140"/>
      <c r="P1577" s="141"/>
    </row>
    <row r="1578" spans="1:16" x14ac:dyDescent="0.2">
      <c r="A1578" s="129"/>
      <c r="B1578" s="130"/>
      <c r="C1578" s="140"/>
      <c r="D1578" s="131"/>
      <c r="E1578" s="129"/>
      <c r="F1578" s="131"/>
      <c r="G1578" s="130"/>
      <c r="H1578" s="131"/>
      <c r="I1578" s="132"/>
      <c r="J1578" s="129"/>
      <c r="K1578" s="140"/>
      <c r="L1578" s="133"/>
      <c r="M1578" s="140"/>
      <c r="N1578" s="140"/>
      <c r="P1578" s="141"/>
    </row>
    <row r="1579" spans="1:16" x14ac:dyDescent="0.2">
      <c r="A1579" s="129"/>
      <c r="B1579" s="130"/>
      <c r="C1579" s="140"/>
      <c r="D1579" s="131"/>
      <c r="E1579" s="129"/>
      <c r="F1579" s="131"/>
      <c r="G1579" s="130"/>
      <c r="H1579" s="131"/>
      <c r="I1579" s="132"/>
      <c r="J1579" s="129"/>
      <c r="K1579" s="140"/>
      <c r="L1579" s="133"/>
      <c r="M1579" s="140"/>
      <c r="N1579" s="140"/>
      <c r="P1579" s="141"/>
    </row>
    <row r="1580" spans="1:16" x14ac:dyDescent="0.2">
      <c r="A1580" s="129"/>
      <c r="B1580" s="130"/>
      <c r="C1580" s="140"/>
      <c r="D1580" s="131"/>
      <c r="E1580" s="129"/>
      <c r="F1580" s="131"/>
      <c r="G1580" s="130"/>
      <c r="H1580" s="131"/>
      <c r="I1580" s="132"/>
      <c r="J1580" s="129"/>
      <c r="K1580" s="140"/>
      <c r="L1580" s="133"/>
      <c r="M1580" s="140"/>
      <c r="N1580" s="140"/>
      <c r="P1580" s="141"/>
    </row>
    <row r="1581" spans="1:16" x14ac:dyDescent="0.2">
      <c r="A1581" s="129"/>
      <c r="B1581" s="130"/>
      <c r="C1581" s="140"/>
      <c r="D1581" s="131"/>
      <c r="E1581" s="129"/>
      <c r="F1581" s="131"/>
      <c r="G1581" s="130"/>
      <c r="H1581" s="131"/>
      <c r="I1581" s="132"/>
      <c r="J1581" s="129"/>
      <c r="K1581" s="140"/>
      <c r="L1581" s="133"/>
      <c r="M1581" s="140"/>
      <c r="N1581" s="140"/>
      <c r="P1581" s="141"/>
    </row>
    <row r="1582" spans="1:16" x14ac:dyDescent="0.2">
      <c r="A1582" s="129"/>
      <c r="B1582" s="130"/>
      <c r="C1582" s="140"/>
      <c r="D1582" s="131"/>
      <c r="E1582" s="129"/>
      <c r="F1582" s="131"/>
      <c r="G1582" s="130"/>
      <c r="H1582" s="131"/>
      <c r="I1582" s="132"/>
      <c r="J1582" s="129"/>
      <c r="K1582" s="140"/>
      <c r="L1582" s="133"/>
      <c r="M1582" s="140"/>
      <c r="N1582" s="140"/>
      <c r="P1582" s="141"/>
    </row>
    <row r="1583" spans="1:16" x14ac:dyDescent="0.2">
      <c r="A1583" s="129"/>
      <c r="B1583" s="130"/>
      <c r="C1583" s="140"/>
      <c r="D1583" s="131"/>
      <c r="E1583" s="129"/>
      <c r="F1583" s="131"/>
      <c r="G1583" s="130"/>
      <c r="H1583" s="131"/>
      <c r="I1583" s="132"/>
      <c r="J1583" s="129"/>
      <c r="K1583" s="140"/>
      <c r="L1583" s="133"/>
      <c r="M1583" s="140"/>
      <c r="N1583" s="140"/>
      <c r="P1583" s="141"/>
    </row>
    <row r="1584" spans="1:16" x14ac:dyDescent="0.2">
      <c r="A1584" s="129"/>
      <c r="B1584" s="130"/>
      <c r="C1584" s="140"/>
      <c r="D1584" s="131"/>
      <c r="E1584" s="129"/>
      <c r="F1584" s="131"/>
      <c r="G1584" s="130"/>
      <c r="H1584" s="131"/>
      <c r="I1584" s="132"/>
      <c r="J1584" s="129"/>
      <c r="K1584" s="140"/>
      <c r="L1584" s="133"/>
      <c r="M1584" s="140"/>
      <c r="N1584" s="140"/>
      <c r="P1584" s="141"/>
    </row>
    <row r="1585" spans="1:16" x14ac:dyDescent="0.2">
      <c r="A1585" s="129"/>
      <c r="B1585" s="130"/>
      <c r="C1585" s="140"/>
      <c r="D1585" s="131"/>
      <c r="E1585" s="129"/>
      <c r="F1585" s="131"/>
      <c r="G1585" s="130"/>
      <c r="H1585" s="131"/>
      <c r="I1585" s="132"/>
      <c r="J1585" s="129"/>
      <c r="K1585" s="140"/>
      <c r="L1585" s="133"/>
      <c r="M1585" s="140"/>
      <c r="N1585" s="140"/>
      <c r="P1585" s="141"/>
    </row>
    <row r="1586" spans="1:16" x14ac:dyDescent="0.2">
      <c r="A1586" s="129"/>
      <c r="B1586" s="130"/>
      <c r="C1586" s="140"/>
      <c r="D1586" s="131"/>
      <c r="E1586" s="129"/>
      <c r="F1586" s="131"/>
      <c r="G1586" s="130"/>
      <c r="H1586" s="131"/>
      <c r="I1586" s="132"/>
      <c r="J1586" s="129"/>
      <c r="K1586" s="140"/>
      <c r="L1586" s="133"/>
      <c r="M1586" s="140"/>
      <c r="N1586" s="140"/>
      <c r="P1586" s="141"/>
    </row>
    <row r="1587" spans="1:16" x14ac:dyDescent="0.2">
      <c r="A1587" s="129"/>
      <c r="B1587" s="130"/>
      <c r="C1587" s="140"/>
      <c r="D1587" s="131"/>
      <c r="E1587" s="129"/>
      <c r="F1587" s="131"/>
      <c r="G1587" s="130"/>
      <c r="H1587" s="131"/>
      <c r="I1587" s="132"/>
      <c r="J1587" s="129"/>
      <c r="K1587" s="140"/>
      <c r="L1587" s="133"/>
      <c r="M1587" s="140"/>
      <c r="N1587" s="140"/>
      <c r="P1587" s="141"/>
    </row>
    <row r="1588" spans="1:16" x14ac:dyDescent="0.2">
      <c r="A1588" s="129"/>
      <c r="B1588" s="130"/>
      <c r="C1588" s="140"/>
      <c r="D1588" s="131"/>
      <c r="E1588" s="129"/>
      <c r="F1588" s="131"/>
      <c r="G1588" s="130"/>
      <c r="H1588" s="131"/>
      <c r="I1588" s="132"/>
      <c r="J1588" s="129"/>
      <c r="K1588" s="140"/>
      <c r="L1588" s="133"/>
      <c r="M1588" s="140"/>
      <c r="N1588" s="140"/>
      <c r="P1588" s="141"/>
    </row>
    <row r="1589" spans="1:16" x14ac:dyDescent="0.2">
      <c r="A1589" s="129"/>
      <c r="B1589" s="130"/>
      <c r="C1589" s="140"/>
      <c r="D1589" s="131"/>
      <c r="E1589" s="129"/>
      <c r="F1589" s="131"/>
      <c r="G1589" s="130"/>
      <c r="H1589" s="131"/>
      <c r="I1589" s="132"/>
      <c r="J1589" s="129"/>
      <c r="K1589" s="140"/>
      <c r="L1589" s="133"/>
      <c r="M1589" s="140"/>
      <c r="N1589" s="140"/>
      <c r="P1589" s="141"/>
    </row>
    <row r="1590" spans="1:16" x14ac:dyDescent="0.2">
      <c r="A1590" s="129"/>
      <c r="B1590" s="130"/>
      <c r="C1590" s="140"/>
      <c r="D1590" s="131"/>
      <c r="E1590" s="129"/>
      <c r="F1590" s="131"/>
      <c r="G1590" s="130"/>
      <c r="H1590" s="131"/>
      <c r="I1590" s="132"/>
      <c r="J1590" s="129"/>
      <c r="K1590" s="140"/>
      <c r="L1590" s="133"/>
      <c r="M1590" s="140"/>
      <c r="N1590" s="140"/>
      <c r="P1590" s="141"/>
    </row>
    <row r="1591" spans="1:16" x14ac:dyDescent="0.2">
      <c r="A1591" s="129"/>
      <c r="B1591" s="130"/>
      <c r="C1591" s="140"/>
      <c r="D1591" s="131"/>
      <c r="E1591" s="129"/>
      <c r="F1591" s="131"/>
      <c r="G1591" s="130"/>
      <c r="H1591" s="131"/>
      <c r="I1591" s="132"/>
      <c r="J1591" s="129"/>
      <c r="K1591" s="140"/>
      <c r="L1591" s="133"/>
      <c r="M1591" s="140"/>
      <c r="N1591" s="140"/>
      <c r="P1591" s="141"/>
    </row>
    <row r="1592" spans="1:16" x14ac:dyDescent="0.2">
      <c r="A1592" s="129"/>
      <c r="B1592" s="130"/>
      <c r="C1592" s="140"/>
      <c r="D1592" s="131"/>
      <c r="E1592" s="129"/>
      <c r="F1592" s="131"/>
      <c r="G1592" s="130"/>
      <c r="H1592" s="131"/>
      <c r="I1592" s="132"/>
      <c r="J1592" s="129"/>
      <c r="K1592" s="140"/>
      <c r="L1592" s="133"/>
      <c r="M1592" s="140"/>
      <c r="N1592" s="140"/>
      <c r="P1592" s="141"/>
    </row>
    <row r="1593" spans="1:16" x14ac:dyDescent="0.2">
      <c r="A1593" s="129"/>
      <c r="B1593" s="130"/>
      <c r="C1593" s="140"/>
      <c r="D1593" s="131"/>
      <c r="E1593" s="129"/>
      <c r="F1593" s="131"/>
      <c r="G1593" s="130"/>
      <c r="H1593" s="131"/>
      <c r="I1593" s="132"/>
      <c r="J1593" s="129"/>
      <c r="K1593" s="140"/>
      <c r="L1593" s="133"/>
      <c r="M1593" s="140"/>
      <c r="N1593" s="140"/>
      <c r="P1593" s="141"/>
    </row>
    <row r="1594" spans="1:16" x14ac:dyDescent="0.2">
      <c r="A1594" s="129"/>
      <c r="B1594" s="130"/>
      <c r="C1594" s="140"/>
      <c r="D1594" s="131"/>
      <c r="E1594" s="129"/>
      <c r="F1594" s="131"/>
      <c r="G1594" s="130"/>
      <c r="H1594" s="131"/>
      <c r="I1594" s="132"/>
      <c r="J1594" s="129"/>
      <c r="K1594" s="140"/>
      <c r="L1594" s="133"/>
      <c r="M1594" s="140"/>
      <c r="N1594" s="140"/>
      <c r="P1594" s="141"/>
    </row>
    <row r="1595" spans="1:16" x14ac:dyDescent="0.2">
      <c r="A1595" s="129"/>
      <c r="B1595" s="130"/>
      <c r="C1595" s="140"/>
      <c r="D1595" s="131"/>
      <c r="E1595" s="129"/>
      <c r="F1595" s="131"/>
      <c r="G1595" s="130"/>
      <c r="H1595" s="131"/>
      <c r="I1595" s="132"/>
      <c r="J1595" s="129"/>
      <c r="K1595" s="140"/>
      <c r="L1595" s="133"/>
      <c r="M1595" s="140"/>
      <c r="N1595" s="140"/>
      <c r="P1595" s="141"/>
    </row>
    <row r="1596" spans="1:16" x14ac:dyDescent="0.2">
      <c r="A1596" s="129"/>
      <c r="B1596" s="130"/>
      <c r="C1596" s="140"/>
      <c r="D1596" s="131"/>
      <c r="E1596" s="129"/>
      <c r="F1596" s="131"/>
      <c r="G1596" s="130"/>
      <c r="H1596" s="131"/>
      <c r="I1596" s="132"/>
      <c r="J1596" s="129"/>
      <c r="K1596" s="140"/>
      <c r="L1596" s="133"/>
      <c r="M1596" s="140"/>
      <c r="N1596" s="140"/>
      <c r="P1596" s="141"/>
    </row>
    <row r="1597" spans="1:16" x14ac:dyDescent="0.2">
      <c r="A1597" s="129"/>
      <c r="B1597" s="130"/>
      <c r="C1597" s="140"/>
      <c r="D1597" s="131"/>
      <c r="E1597" s="129"/>
      <c r="F1597" s="131"/>
      <c r="G1597" s="130"/>
      <c r="H1597" s="131"/>
      <c r="I1597" s="132"/>
      <c r="J1597" s="129"/>
      <c r="K1597" s="140"/>
      <c r="L1597" s="133"/>
      <c r="M1597" s="140"/>
      <c r="N1597" s="140"/>
      <c r="P1597" s="141"/>
    </row>
    <row r="1598" spans="1:16" x14ac:dyDescent="0.2">
      <c r="A1598" s="129"/>
      <c r="B1598" s="130"/>
      <c r="C1598" s="140"/>
      <c r="D1598" s="131"/>
      <c r="E1598" s="129"/>
      <c r="F1598" s="131"/>
      <c r="G1598" s="130"/>
      <c r="H1598" s="131"/>
      <c r="I1598" s="132"/>
      <c r="J1598" s="129"/>
      <c r="K1598" s="140"/>
      <c r="L1598" s="133"/>
      <c r="M1598" s="140"/>
      <c r="N1598" s="140"/>
      <c r="P1598" s="141"/>
    </row>
    <row r="1599" spans="1:16" x14ac:dyDescent="0.2">
      <c r="A1599" s="129"/>
      <c r="B1599" s="130"/>
      <c r="C1599" s="140"/>
      <c r="D1599" s="131"/>
      <c r="E1599" s="129"/>
      <c r="F1599" s="131"/>
      <c r="G1599" s="130"/>
      <c r="H1599" s="131"/>
      <c r="I1599" s="132"/>
      <c r="J1599" s="129"/>
      <c r="K1599" s="140"/>
      <c r="L1599" s="133"/>
      <c r="M1599" s="140"/>
      <c r="N1599" s="140"/>
      <c r="P1599" s="141"/>
    </row>
    <row r="1600" spans="1:16" x14ac:dyDescent="0.2">
      <c r="A1600" s="129"/>
      <c r="B1600" s="130"/>
      <c r="C1600" s="140"/>
      <c r="D1600" s="131"/>
      <c r="E1600" s="129"/>
      <c r="F1600" s="131"/>
      <c r="G1600" s="130"/>
      <c r="H1600" s="131"/>
      <c r="I1600" s="132"/>
      <c r="J1600" s="129"/>
      <c r="K1600" s="140"/>
      <c r="L1600" s="133"/>
      <c r="M1600" s="140"/>
      <c r="N1600" s="140"/>
      <c r="P1600" s="141"/>
    </row>
    <row r="1601" spans="1:16" x14ac:dyDescent="0.2">
      <c r="A1601" s="129"/>
      <c r="B1601" s="130"/>
      <c r="C1601" s="140"/>
      <c r="D1601" s="131"/>
      <c r="E1601" s="129"/>
      <c r="F1601" s="131"/>
      <c r="G1601" s="130"/>
      <c r="H1601" s="131"/>
      <c r="I1601" s="132"/>
      <c r="J1601" s="129"/>
      <c r="K1601" s="140"/>
      <c r="L1601" s="133"/>
      <c r="M1601" s="140"/>
      <c r="N1601" s="140"/>
      <c r="P1601" s="141"/>
    </row>
    <row r="1602" spans="1:16" x14ac:dyDescent="0.2">
      <c r="A1602" s="129"/>
      <c r="B1602" s="130"/>
      <c r="C1602" s="140"/>
      <c r="D1602" s="131"/>
      <c r="E1602" s="129"/>
      <c r="F1602" s="131"/>
      <c r="G1602" s="130"/>
      <c r="H1602" s="131"/>
      <c r="I1602" s="132"/>
      <c r="J1602" s="129"/>
      <c r="K1602" s="140"/>
      <c r="L1602" s="133"/>
      <c r="M1602" s="140"/>
      <c r="N1602" s="140"/>
      <c r="P1602" s="141"/>
    </row>
    <row r="1603" spans="1:16" x14ac:dyDescent="0.2">
      <c r="A1603" s="129"/>
      <c r="B1603" s="130"/>
      <c r="C1603" s="140"/>
      <c r="D1603" s="131"/>
      <c r="E1603" s="129"/>
      <c r="F1603" s="131"/>
      <c r="G1603" s="130"/>
      <c r="H1603" s="131"/>
      <c r="I1603" s="132"/>
      <c r="J1603" s="129"/>
      <c r="K1603" s="140"/>
      <c r="L1603" s="133"/>
      <c r="M1603" s="140"/>
      <c r="N1603" s="140"/>
      <c r="P1603" s="141"/>
    </row>
    <row r="1604" spans="1:16" x14ac:dyDescent="0.2">
      <c r="A1604" s="129"/>
      <c r="B1604" s="130"/>
      <c r="C1604" s="140"/>
      <c r="D1604" s="131"/>
      <c r="E1604" s="129"/>
      <c r="F1604" s="131"/>
      <c r="G1604" s="130"/>
      <c r="H1604" s="131"/>
      <c r="I1604" s="132"/>
      <c r="J1604" s="129"/>
      <c r="K1604" s="140"/>
      <c r="L1604" s="133"/>
      <c r="M1604" s="140"/>
      <c r="N1604" s="140"/>
      <c r="P1604" s="141"/>
    </row>
    <row r="1605" spans="1:16" x14ac:dyDescent="0.2">
      <c r="A1605" s="129"/>
      <c r="B1605" s="130"/>
      <c r="C1605" s="140"/>
      <c r="D1605" s="131"/>
      <c r="E1605" s="129"/>
      <c r="F1605" s="131"/>
      <c r="G1605" s="130"/>
      <c r="H1605" s="131"/>
      <c r="I1605" s="132"/>
      <c r="J1605" s="129"/>
      <c r="K1605" s="140"/>
      <c r="L1605" s="133"/>
      <c r="M1605" s="140"/>
      <c r="N1605" s="140"/>
      <c r="P1605" s="141"/>
    </row>
    <row r="1606" spans="1:16" x14ac:dyDescent="0.2">
      <c r="A1606" s="129"/>
      <c r="B1606" s="130"/>
      <c r="C1606" s="140"/>
      <c r="D1606" s="131"/>
      <c r="E1606" s="129"/>
      <c r="F1606" s="131"/>
      <c r="G1606" s="130"/>
      <c r="H1606" s="131"/>
      <c r="I1606" s="132"/>
      <c r="J1606" s="129"/>
      <c r="K1606" s="140"/>
      <c r="L1606" s="133"/>
      <c r="M1606" s="140"/>
      <c r="N1606" s="140"/>
      <c r="P1606" s="141"/>
    </row>
    <row r="1607" spans="1:16" x14ac:dyDescent="0.2">
      <c r="A1607" s="129"/>
      <c r="B1607" s="130"/>
      <c r="C1607" s="140"/>
      <c r="D1607" s="131"/>
      <c r="E1607" s="129"/>
      <c r="F1607" s="131"/>
      <c r="G1607" s="130"/>
      <c r="H1607" s="131"/>
      <c r="I1607" s="132"/>
      <c r="J1607" s="129"/>
      <c r="K1607" s="140"/>
      <c r="L1607" s="133"/>
      <c r="M1607" s="140"/>
      <c r="N1607" s="140"/>
      <c r="P1607" s="141"/>
    </row>
    <row r="1608" spans="1:16" x14ac:dyDescent="0.2">
      <c r="A1608" s="129"/>
      <c r="B1608" s="130"/>
      <c r="C1608" s="140"/>
      <c r="D1608" s="131"/>
      <c r="E1608" s="129"/>
      <c r="F1608" s="131"/>
      <c r="G1608" s="130"/>
      <c r="H1608" s="131"/>
      <c r="I1608" s="132"/>
      <c r="J1608" s="129"/>
      <c r="K1608" s="140"/>
      <c r="L1608" s="133"/>
      <c r="M1608" s="140"/>
      <c r="N1608" s="140"/>
      <c r="P1608" s="141"/>
    </row>
    <row r="1609" spans="1:16" x14ac:dyDescent="0.2">
      <c r="A1609" s="129"/>
      <c r="B1609" s="130"/>
      <c r="C1609" s="140"/>
      <c r="D1609" s="131"/>
      <c r="E1609" s="129"/>
      <c r="F1609" s="131"/>
      <c r="G1609" s="130"/>
      <c r="H1609" s="131"/>
      <c r="I1609" s="132"/>
      <c r="J1609" s="129"/>
      <c r="K1609" s="140"/>
      <c r="L1609" s="133"/>
      <c r="M1609" s="140"/>
      <c r="N1609" s="140"/>
      <c r="P1609" s="141"/>
    </row>
    <row r="1610" spans="1:16" x14ac:dyDescent="0.2">
      <c r="A1610" s="129"/>
      <c r="B1610" s="130"/>
      <c r="C1610" s="140"/>
      <c r="D1610" s="131"/>
      <c r="E1610" s="129"/>
      <c r="F1610" s="131"/>
      <c r="G1610" s="130"/>
      <c r="H1610" s="131"/>
      <c r="I1610" s="132"/>
      <c r="J1610" s="129"/>
      <c r="K1610" s="140"/>
      <c r="L1610" s="133"/>
      <c r="M1610" s="140"/>
      <c r="N1610" s="140"/>
      <c r="P1610" s="141"/>
    </row>
    <row r="1611" spans="1:16" x14ac:dyDescent="0.2">
      <c r="A1611" s="129"/>
      <c r="B1611" s="130"/>
      <c r="C1611" s="140"/>
      <c r="D1611" s="131"/>
      <c r="E1611" s="129"/>
      <c r="F1611" s="131"/>
      <c r="G1611" s="130"/>
      <c r="H1611" s="131"/>
      <c r="I1611" s="132"/>
      <c r="J1611" s="129"/>
      <c r="K1611" s="140"/>
      <c r="L1611" s="133"/>
      <c r="M1611" s="140"/>
      <c r="N1611" s="140"/>
      <c r="P1611" s="141"/>
    </row>
    <row r="1612" spans="1:16" x14ac:dyDescent="0.2">
      <c r="A1612" s="129"/>
      <c r="B1612" s="130"/>
      <c r="C1612" s="140"/>
      <c r="D1612" s="131"/>
      <c r="E1612" s="129"/>
      <c r="F1612" s="131"/>
      <c r="G1612" s="130"/>
      <c r="H1612" s="131"/>
      <c r="I1612" s="132"/>
      <c r="J1612" s="129"/>
      <c r="K1612" s="140"/>
      <c r="L1612" s="133"/>
      <c r="M1612" s="140"/>
      <c r="N1612" s="140"/>
      <c r="P1612" s="141"/>
    </row>
    <row r="1613" spans="1:16" x14ac:dyDescent="0.2">
      <c r="A1613" s="129"/>
      <c r="B1613" s="130"/>
      <c r="C1613" s="140"/>
      <c r="D1613" s="131"/>
      <c r="E1613" s="129"/>
      <c r="F1613" s="131"/>
      <c r="G1613" s="130"/>
      <c r="H1613" s="131"/>
      <c r="I1613" s="132"/>
      <c r="J1613" s="129"/>
      <c r="K1613" s="140"/>
      <c r="L1613" s="133"/>
      <c r="M1613" s="140"/>
      <c r="N1613" s="140"/>
      <c r="P1613" s="141"/>
    </row>
    <row r="1614" spans="1:16" x14ac:dyDescent="0.2">
      <c r="A1614" s="129"/>
      <c r="B1614" s="130"/>
      <c r="C1614" s="140"/>
      <c r="D1614" s="131"/>
      <c r="E1614" s="129"/>
      <c r="F1614" s="131"/>
      <c r="G1614" s="130"/>
      <c r="H1614" s="131"/>
      <c r="I1614" s="132"/>
      <c r="J1614" s="129"/>
      <c r="K1614" s="140"/>
      <c r="L1614" s="133"/>
      <c r="M1614" s="140"/>
      <c r="N1614" s="140"/>
      <c r="P1614" s="141"/>
    </row>
    <row r="1615" spans="1:16" x14ac:dyDescent="0.2">
      <c r="A1615" s="129"/>
      <c r="B1615" s="130"/>
      <c r="C1615" s="140"/>
      <c r="D1615" s="131"/>
      <c r="E1615" s="129"/>
      <c r="F1615" s="131"/>
      <c r="G1615" s="130"/>
      <c r="H1615" s="131"/>
      <c r="I1615" s="132"/>
      <c r="J1615" s="129"/>
      <c r="K1615" s="140"/>
      <c r="L1615" s="133"/>
      <c r="M1615" s="140"/>
      <c r="N1615" s="140"/>
      <c r="P1615" s="141"/>
    </row>
    <row r="1616" spans="1:16" x14ac:dyDescent="0.2">
      <c r="A1616" s="129"/>
      <c r="B1616" s="130"/>
      <c r="C1616" s="140"/>
      <c r="D1616" s="131"/>
      <c r="E1616" s="129"/>
      <c r="F1616" s="131"/>
      <c r="G1616" s="130"/>
      <c r="H1616" s="131"/>
      <c r="I1616" s="132"/>
      <c r="J1616" s="129"/>
      <c r="K1616" s="140"/>
      <c r="L1616" s="133"/>
      <c r="M1616" s="140"/>
      <c r="N1616" s="140"/>
      <c r="P1616" s="141"/>
    </row>
    <row r="1617" spans="1:16" x14ac:dyDescent="0.2">
      <c r="A1617" s="129"/>
      <c r="B1617" s="130"/>
      <c r="C1617" s="140"/>
      <c r="D1617" s="131"/>
      <c r="E1617" s="129"/>
      <c r="F1617" s="131"/>
      <c r="G1617" s="130"/>
      <c r="H1617" s="131"/>
      <c r="I1617" s="132"/>
      <c r="J1617" s="129"/>
      <c r="K1617" s="140"/>
      <c r="L1617" s="133"/>
      <c r="M1617" s="140"/>
      <c r="N1617" s="140"/>
      <c r="P1617" s="141"/>
    </row>
    <row r="1618" spans="1:16" x14ac:dyDescent="0.2">
      <c r="A1618" s="129"/>
      <c r="B1618" s="130"/>
      <c r="C1618" s="140"/>
      <c r="D1618" s="131"/>
      <c r="E1618" s="129"/>
      <c r="F1618" s="131"/>
      <c r="G1618" s="130"/>
      <c r="H1618" s="131"/>
      <c r="I1618" s="132"/>
      <c r="J1618" s="129"/>
      <c r="K1618" s="140"/>
      <c r="L1618" s="133"/>
      <c r="M1618" s="140"/>
      <c r="N1618" s="140"/>
      <c r="P1618" s="141"/>
    </row>
    <row r="1619" spans="1:16" x14ac:dyDescent="0.2">
      <c r="A1619" s="129"/>
      <c r="B1619" s="130"/>
      <c r="C1619" s="140"/>
      <c r="D1619" s="131"/>
      <c r="E1619" s="129"/>
      <c r="F1619" s="131"/>
      <c r="G1619" s="130"/>
      <c r="H1619" s="131"/>
      <c r="I1619" s="132"/>
      <c r="J1619" s="129"/>
      <c r="K1619" s="140"/>
      <c r="L1619" s="133"/>
      <c r="M1619" s="140"/>
      <c r="N1619" s="140"/>
      <c r="P1619" s="141"/>
    </row>
    <row r="1620" spans="1:16" x14ac:dyDescent="0.2">
      <c r="A1620" s="129"/>
      <c r="B1620" s="130"/>
      <c r="C1620" s="140"/>
      <c r="D1620" s="131"/>
      <c r="E1620" s="129"/>
      <c r="F1620" s="131"/>
      <c r="G1620" s="130"/>
      <c r="H1620" s="131"/>
      <c r="I1620" s="132"/>
      <c r="J1620" s="129"/>
      <c r="K1620" s="140"/>
      <c r="L1620" s="133"/>
      <c r="M1620" s="140"/>
      <c r="N1620" s="140"/>
      <c r="P1620" s="141"/>
    </row>
    <row r="1621" spans="1:16" x14ac:dyDescent="0.2">
      <c r="A1621" s="129"/>
      <c r="B1621" s="130"/>
      <c r="C1621" s="140"/>
      <c r="D1621" s="131"/>
      <c r="E1621" s="129"/>
      <c r="F1621" s="131"/>
      <c r="G1621" s="130"/>
      <c r="H1621" s="131"/>
      <c r="I1621" s="132"/>
      <c r="J1621" s="129"/>
      <c r="K1621" s="140"/>
      <c r="L1621" s="133"/>
      <c r="M1621" s="140"/>
      <c r="N1621" s="140"/>
      <c r="P1621" s="141"/>
    </row>
    <row r="1622" spans="1:16" x14ac:dyDescent="0.2">
      <c r="A1622" s="129"/>
      <c r="B1622" s="130"/>
      <c r="C1622" s="140"/>
      <c r="D1622" s="131"/>
      <c r="E1622" s="129"/>
      <c r="F1622" s="131"/>
      <c r="G1622" s="130"/>
      <c r="H1622" s="131"/>
      <c r="I1622" s="132"/>
      <c r="J1622" s="129"/>
      <c r="K1622" s="140"/>
      <c r="L1622" s="133"/>
      <c r="M1622" s="140"/>
      <c r="N1622" s="140"/>
      <c r="P1622" s="141"/>
    </row>
    <row r="1623" spans="1:16" x14ac:dyDescent="0.2">
      <c r="A1623" s="129"/>
      <c r="B1623" s="130"/>
      <c r="C1623" s="140"/>
      <c r="D1623" s="131"/>
      <c r="E1623" s="129"/>
      <c r="F1623" s="131"/>
      <c r="G1623" s="130"/>
      <c r="H1623" s="131"/>
      <c r="I1623" s="132"/>
      <c r="J1623" s="129"/>
      <c r="K1623" s="140"/>
      <c r="L1623" s="133"/>
      <c r="M1623" s="140"/>
      <c r="N1623" s="140"/>
      <c r="P1623" s="141"/>
    </row>
    <row r="1624" spans="1:16" x14ac:dyDescent="0.2">
      <c r="A1624" s="129"/>
      <c r="B1624" s="130"/>
      <c r="C1624" s="140"/>
      <c r="D1624" s="131"/>
      <c r="E1624" s="129"/>
      <c r="F1624" s="131"/>
      <c r="G1624" s="130"/>
      <c r="H1624" s="131"/>
      <c r="I1624" s="132"/>
      <c r="J1624" s="129"/>
      <c r="K1624" s="140"/>
      <c r="L1624" s="133"/>
      <c r="M1624" s="140"/>
      <c r="N1624" s="140"/>
      <c r="P1624" s="141"/>
    </row>
    <row r="1625" spans="1:16" x14ac:dyDescent="0.2">
      <c r="A1625" s="129"/>
      <c r="B1625" s="130"/>
      <c r="C1625" s="140"/>
      <c r="D1625" s="131"/>
      <c r="E1625" s="129"/>
      <c r="F1625" s="131"/>
      <c r="G1625" s="130"/>
      <c r="H1625" s="131"/>
      <c r="I1625" s="132"/>
      <c r="J1625" s="129"/>
      <c r="K1625" s="140"/>
      <c r="L1625" s="133"/>
      <c r="M1625" s="140"/>
      <c r="N1625" s="140"/>
      <c r="P1625" s="141"/>
    </row>
    <row r="1626" spans="1:16" x14ac:dyDescent="0.2">
      <c r="A1626" s="129"/>
      <c r="B1626" s="130"/>
      <c r="C1626" s="140"/>
      <c r="D1626" s="131"/>
      <c r="E1626" s="129"/>
      <c r="F1626" s="131"/>
      <c r="G1626" s="130"/>
      <c r="H1626" s="131"/>
      <c r="I1626" s="132"/>
      <c r="J1626" s="129"/>
      <c r="K1626" s="140"/>
      <c r="L1626" s="133"/>
      <c r="M1626" s="140"/>
      <c r="N1626" s="140"/>
      <c r="P1626" s="141"/>
    </row>
    <row r="1627" spans="1:16" x14ac:dyDescent="0.2">
      <c r="A1627" s="129"/>
      <c r="B1627" s="130"/>
      <c r="C1627" s="140"/>
      <c r="D1627" s="131"/>
      <c r="E1627" s="129"/>
      <c r="F1627" s="131"/>
      <c r="G1627" s="130"/>
      <c r="H1627" s="131"/>
      <c r="I1627" s="132"/>
      <c r="J1627" s="129"/>
      <c r="K1627" s="140"/>
      <c r="L1627" s="133"/>
      <c r="M1627" s="140"/>
      <c r="N1627" s="140"/>
      <c r="P1627" s="141"/>
    </row>
    <row r="1628" spans="1:16" x14ac:dyDescent="0.2">
      <c r="A1628" s="129"/>
      <c r="B1628" s="130"/>
      <c r="C1628" s="140"/>
      <c r="D1628" s="131"/>
      <c r="E1628" s="129"/>
      <c r="F1628" s="131"/>
      <c r="G1628" s="130"/>
      <c r="H1628" s="131"/>
      <c r="I1628" s="132"/>
      <c r="J1628" s="129"/>
      <c r="K1628" s="140"/>
      <c r="L1628" s="133"/>
      <c r="M1628" s="140"/>
      <c r="N1628" s="140"/>
      <c r="P1628" s="141"/>
    </row>
    <row r="1629" spans="1:16" x14ac:dyDescent="0.2">
      <c r="A1629" s="129"/>
      <c r="B1629" s="130"/>
      <c r="C1629" s="140"/>
      <c r="D1629" s="131"/>
      <c r="E1629" s="129"/>
      <c r="F1629" s="131"/>
      <c r="G1629" s="130"/>
      <c r="H1629" s="131"/>
      <c r="I1629" s="132"/>
      <c r="J1629" s="129"/>
      <c r="K1629" s="140"/>
      <c r="L1629" s="133"/>
      <c r="M1629" s="140"/>
      <c r="N1629" s="140"/>
      <c r="P1629" s="141"/>
    </row>
    <row r="1630" spans="1:16" x14ac:dyDescent="0.2">
      <c r="A1630" s="129"/>
      <c r="B1630" s="130"/>
      <c r="C1630" s="140"/>
      <c r="D1630" s="131"/>
      <c r="E1630" s="129"/>
      <c r="F1630" s="131"/>
      <c r="G1630" s="130"/>
      <c r="H1630" s="131"/>
      <c r="I1630" s="132"/>
      <c r="J1630" s="129"/>
      <c r="K1630" s="140"/>
      <c r="L1630" s="133"/>
      <c r="M1630" s="140"/>
      <c r="N1630" s="140"/>
      <c r="P1630" s="141"/>
    </row>
    <row r="1631" spans="1:16" x14ac:dyDescent="0.2">
      <c r="A1631" s="129"/>
      <c r="B1631" s="130"/>
      <c r="C1631" s="140"/>
      <c r="D1631" s="131"/>
      <c r="E1631" s="129"/>
      <c r="F1631" s="131"/>
      <c r="G1631" s="130"/>
      <c r="H1631" s="131"/>
      <c r="I1631" s="132"/>
      <c r="J1631" s="129"/>
      <c r="K1631" s="140"/>
      <c r="L1631" s="133"/>
      <c r="M1631" s="140"/>
      <c r="N1631" s="140"/>
      <c r="P1631" s="141"/>
    </row>
    <row r="1632" spans="1:16" x14ac:dyDescent="0.2">
      <c r="A1632" s="129"/>
      <c r="B1632" s="130"/>
      <c r="C1632" s="140"/>
      <c r="D1632" s="131"/>
      <c r="E1632" s="129"/>
      <c r="F1632" s="131"/>
      <c r="G1632" s="130"/>
      <c r="H1632" s="131"/>
      <c r="I1632" s="132"/>
      <c r="J1632" s="129"/>
      <c r="K1632" s="140"/>
      <c r="L1632" s="133"/>
      <c r="M1632" s="140"/>
      <c r="N1632" s="140"/>
      <c r="P1632" s="141"/>
    </row>
    <row r="1633" spans="1:16" x14ac:dyDescent="0.2">
      <c r="A1633" s="129"/>
      <c r="B1633" s="130"/>
      <c r="C1633" s="140"/>
      <c r="D1633" s="131"/>
      <c r="E1633" s="129"/>
      <c r="F1633" s="131"/>
      <c r="G1633" s="130"/>
      <c r="H1633" s="131"/>
      <c r="I1633" s="132"/>
      <c r="J1633" s="129"/>
      <c r="K1633" s="140"/>
      <c r="L1633" s="133"/>
      <c r="M1633" s="140"/>
      <c r="N1633" s="140"/>
      <c r="P1633" s="141"/>
    </row>
    <row r="1634" spans="1:16" x14ac:dyDescent="0.2">
      <c r="A1634" s="129"/>
      <c r="B1634" s="130"/>
      <c r="C1634" s="140"/>
      <c r="D1634" s="131"/>
      <c r="E1634" s="129"/>
      <c r="F1634" s="131"/>
      <c r="G1634" s="130"/>
      <c r="H1634" s="131"/>
      <c r="I1634" s="132"/>
      <c r="J1634" s="129"/>
      <c r="K1634" s="140"/>
      <c r="L1634" s="133"/>
      <c r="M1634" s="140"/>
      <c r="N1634" s="140"/>
      <c r="P1634" s="141"/>
    </row>
    <row r="1635" spans="1:16" x14ac:dyDescent="0.2">
      <c r="A1635" s="129"/>
      <c r="B1635" s="130"/>
      <c r="C1635" s="140"/>
      <c r="D1635" s="131"/>
      <c r="E1635" s="129"/>
      <c r="F1635" s="131"/>
      <c r="G1635" s="130"/>
      <c r="H1635" s="131"/>
      <c r="I1635" s="132"/>
      <c r="J1635" s="129"/>
      <c r="K1635" s="140"/>
      <c r="L1635" s="133"/>
      <c r="M1635" s="140"/>
      <c r="N1635" s="140"/>
      <c r="P1635" s="141"/>
    </row>
    <row r="1636" spans="1:16" x14ac:dyDescent="0.2">
      <c r="A1636" s="129"/>
      <c r="B1636" s="130"/>
      <c r="C1636" s="140"/>
      <c r="D1636" s="131"/>
      <c r="E1636" s="129"/>
      <c r="F1636" s="131"/>
      <c r="G1636" s="130"/>
      <c r="H1636" s="131"/>
      <c r="I1636" s="132"/>
      <c r="J1636" s="129"/>
      <c r="K1636" s="140"/>
      <c r="L1636" s="133"/>
      <c r="M1636" s="140"/>
      <c r="N1636" s="140"/>
      <c r="P1636" s="141"/>
    </row>
    <row r="1637" spans="1:16" x14ac:dyDescent="0.2">
      <c r="A1637" s="129"/>
      <c r="B1637" s="130"/>
      <c r="C1637" s="140"/>
      <c r="D1637" s="131"/>
      <c r="E1637" s="129"/>
      <c r="F1637" s="131"/>
      <c r="G1637" s="130"/>
      <c r="H1637" s="131"/>
      <c r="I1637" s="132"/>
      <c r="J1637" s="129"/>
      <c r="K1637" s="140"/>
      <c r="L1637" s="133"/>
      <c r="M1637" s="140"/>
      <c r="N1637" s="140"/>
      <c r="P1637" s="141"/>
    </row>
    <row r="1638" spans="1:16" x14ac:dyDescent="0.2">
      <c r="A1638" s="129"/>
      <c r="B1638" s="130"/>
      <c r="C1638" s="140"/>
      <c r="D1638" s="131"/>
      <c r="E1638" s="129"/>
      <c r="F1638" s="131"/>
      <c r="G1638" s="130"/>
      <c r="H1638" s="131"/>
      <c r="I1638" s="132"/>
      <c r="J1638" s="129"/>
      <c r="K1638" s="140"/>
      <c r="L1638" s="133"/>
      <c r="M1638" s="140"/>
      <c r="N1638" s="140"/>
      <c r="P1638" s="141"/>
    </row>
    <row r="1639" spans="1:16" x14ac:dyDescent="0.2">
      <c r="A1639" s="129"/>
      <c r="B1639" s="130"/>
      <c r="C1639" s="140"/>
      <c r="D1639" s="131"/>
      <c r="E1639" s="129"/>
      <c r="F1639" s="131"/>
      <c r="G1639" s="130"/>
      <c r="H1639" s="131"/>
      <c r="I1639" s="132"/>
      <c r="J1639" s="129"/>
      <c r="K1639" s="140"/>
      <c r="L1639" s="133"/>
      <c r="M1639" s="140"/>
      <c r="N1639" s="140"/>
      <c r="P1639" s="141"/>
    </row>
    <row r="1640" spans="1:16" x14ac:dyDescent="0.2">
      <c r="A1640" s="129"/>
      <c r="B1640" s="130"/>
      <c r="C1640" s="140"/>
      <c r="D1640" s="131"/>
      <c r="E1640" s="129"/>
      <c r="F1640" s="131"/>
      <c r="G1640" s="130"/>
      <c r="H1640" s="131"/>
      <c r="I1640" s="132"/>
      <c r="J1640" s="129"/>
      <c r="K1640" s="140"/>
      <c r="L1640" s="133"/>
      <c r="M1640" s="140"/>
      <c r="N1640" s="140"/>
      <c r="P1640" s="141"/>
    </row>
    <row r="1641" spans="1:16" x14ac:dyDescent="0.2">
      <c r="A1641" s="129"/>
      <c r="B1641" s="130"/>
      <c r="C1641" s="140"/>
      <c r="D1641" s="131"/>
      <c r="E1641" s="129"/>
      <c r="F1641" s="131"/>
      <c r="G1641" s="130"/>
      <c r="H1641" s="131"/>
      <c r="I1641" s="132"/>
      <c r="J1641" s="129"/>
      <c r="K1641" s="140"/>
      <c r="L1641" s="133"/>
      <c r="M1641" s="140"/>
      <c r="N1641" s="140"/>
      <c r="P1641" s="141"/>
    </row>
    <row r="1642" spans="1:16" x14ac:dyDescent="0.2">
      <c r="A1642" s="129"/>
      <c r="B1642" s="130"/>
      <c r="C1642" s="140"/>
      <c r="D1642" s="131"/>
      <c r="E1642" s="129"/>
      <c r="F1642" s="131"/>
      <c r="G1642" s="130"/>
      <c r="H1642" s="131"/>
      <c r="I1642" s="132"/>
      <c r="J1642" s="129"/>
      <c r="K1642" s="140"/>
      <c r="L1642" s="133"/>
      <c r="M1642" s="140"/>
      <c r="N1642" s="140"/>
      <c r="P1642" s="141"/>
    </row>
    <row r="1643" spans="1:16" x14ac:dyDescent="0.2">
      <c r="A1643" s="129"/>
      <c r="B1643" s="130"/>
      <c r="C1643" s="140"/>
      <c r="D1643" s="131"/>
      <c r="E1643" s="129"/>
      <c r="F1643" s="131"/>
      <c r="G1643" s="130"/>
      <c r="H1643" s="131"/>
      <c r="I1643" s="132"/>
      <c r="J1643" s="129"/>
      <c r="K1643" s="140"/>
      <c r="L1643" s="133"/>
      <c r="M1643" s="140"/>
      <c r="N1643" s="140"/>
      <c r="P1643" s="141"/>
    </row>
    <row r="1644" spans="1:16" x14ac:dyDescent="0.2">
      <c r="A1644" s="129"/>
      <c r="B1644" s="130"/>
      <c r="C1644" s="140"/>
      <c r="D1644" s="131"/>
      <c r="E1644" s="129"/>
      <c r="F1644" s="131"/>
      <c r="G1644" s="130"/>
      <c r="H1644" s="131"/>
      <c r="I1644" s="132"/>
      <c r="J1644" s="129"/>
      <c r="K1644" s="140"/>
      <c r="L1644" s="133"/>
      <c r="M1644" s="140"/>
      <c r="N1644" s="140"/>
      <c r="P1644" s="141"/>
    </row>
    <row r="1645" spans="1:16" x14ac:dyDescent="0.2">
      <c r="A1645" s="129"/>
      <c r="B1645" s="130"/>
      <c r="C1645" s="140"/>
      <c r="D1645" s="131"/>
      <c r="E1645" s="129"/>
      <c r="F1645" s="131"/>
      <c r="G1645" s="130"/>
      <c r="H1645" s="131"/>
      <c r="I1645" s="132"/>
      <c r="J1645" s="129"/>
      <c r="K1645" s="140"/>
      <c r="L1645" s="133"/>
      <c r="M1645" s="140"/>
      <c r="N1645" s="140"/>
      <c r="P1645" s="141"/>
    </row>
    <row r="1646" spans="1:16" x14ac:dyDescent="0.2">
      <c r="A1646" s="129"/>
      <c r="B1646" s="130"/>
      <c r="C1646" s="140"/>
      <c r="D1646" s="131"/>
      <c r="E1646" s="129"/>
      <c r="F1646" s="131"/>
      <c r="G1646" s="130"/>
      <c r="H1646" s="131"/>
      <c r="I1646" s="132"/>
      <c r="J1646" s="129"/>
      <c r="K1646" s="140"/>
      <c r="L1646" s="133"/>
      <c r="M1646" s="140"/>
      <c r="N1646" s="140"/>
      <c r="P1646" s="141"/>
    </row>
    <row r="1647" spans="1:16" x14ac:dyDescent="0.2">
      <c r="A1647" s="129"/>
      <c r="B1647" s="130"/>
      <c r="C1647" s="140"/>
      <c r="D1647" s="131"/>
      <c r="E1647" s="129"/>
      <c r="F1647" s="131"/>
      <c r="G1647" s="130"/>
      <c r="H1647" s="131"/>
      <c r="I1647" s="132"/>
      <c r="J1647" s="129"/>
      <c r="K1647" s="140"/>
      <c r="L1647" s="133"/>
      <c r="M1647" s="140"/>
      <c r="N1647" s="140"/>
      <c r="P1647" s="141"/>
    </row>
    <row r="1648" spans="1:16" x14ac:dyDescent="0.2">
      <c r="A1648" s="129"/>
      <c r="B1648" s="130"/>
      <c r="C1648" s="140"/>
      <c r="D1648" s="131"/>
      <c r="E1648" s="129"/>
      <c r="F1648" s="131"/>
      <c r="G1648" s="130"/>
      <c r="H1648" s="131"/>
      <c r="I1648" s="132"/>
      <c r="J1648" s="129"/>
      <c r="K1648" s="140"/>
      <c r="L1648" s="133"/>
      <c r="M1648" s="140"/>
      <c r="N1648" s="140"/>
      <c r="P1648" s="141"/>
    </row>
    <row r="1649" spans="1:16" x14ac:dyDescent="0.2">
      <c r="A1649" s="129"/>
      <c r="B1649" s="130"/>
      <c r="C1649" s="140"/>
      <c r="D1649" s="131"/>
      <c r="E1649" s="129"/>
      <c r="F1649" s="131"/>
      <c r="G1649" s="130"/>
      <c r="H1649" s="131"/>
      <c r="I1649" s="132"/>
      <c r="J1649" s="129"/>
      <c r="K1649" s="140"/>
      <c r="L1649" s="133"/>
      <c r="M1649" s="140"/>
      <c r="N1649" s="140"/>
      <c r="P1649" s="141"/>
    </row>
    <row r="1650" spans="1:16" x14ac:dyDescent="0.2">
      <c r="A1650" s="129"/>
      <c r="B1650" s="130"/>
      <c r="C1650" s="140"/>
      <c r="D1650" s="131"/>
      <c r="E1650" s="129"/>
      <c r="F1650" s="131"/>
      <c r="G1650" s="130"/>
      <c r="H1650" s="131"/>
      <c r="I1650" s="132"/>
      <c r="J1650" s="129"/>
      <c r="K1650" s="140"/>
      <c r="L1650" s="133"/>
      <c r="M1650" s="140"/>
      <c r="N1650" s="140"/>
      <c r="P1650" s="141"/>
    </row>
    <row r="1651" spans="1:16" x14ac:dyDescent="0.2">
      <c r="A1651" s="129"/>
      <c r="B1651" s="130"/>
      <c r="C1651" s="140"/>
      <c r="D1651" s="131"/>
      <c r="E1651" s="129"/>
      <c r="F1651" s="131"/>
      <c r="G1651" s="130"/>
      <c r="H1651" s="131"/>
      <c r="I1651" s="132"/>
      <c r="J1651" s="129"/>
      <c r="K1651" s="140"/>
      <c r="L1651" s="133"/>
      <c r="M1651" s="140"/>
      <c r="N1651" s="140"/>
      <c r="P1651" s="141"/>
    </row>
    <row r="1652" spans="1:16" x14ac:dyDescent="0.2">
      <c r="A1652" s="129"/>
      <c r="B1652" s="130"/>
      <c r="C1652" s="140"/>
      <c r="D1652" s="131"/>
      <c r="E1652" s="129"/>
      <c r="F1652" s="131"/>
      <c r="G1652" s="130"/>
      <c r="H1652" s="131"/>
      <c r="I1652" s="132"/>
      <c r="J1652" s="129"/>
      <c r="K1652" s="140"/>
      <c r="L1652" s="133"/>
      <c r="M1652" s="140"/>
      <c r="N1652" s="140"/>
      <c r="P1652" s="141"/>
    </row>
    <row r="1653" spans="1:16" x14ac:dyDescent="0.2">
      <c r="A1653" s="129"/>
      <c r="B1653" s="130"/>
      <c r="C1653" s="140"/>
      <c r="D1653" s="131"/>
      <c r="E1653" s="129"/>
      <c r="F1653" s="131"/>
      <c r="G1653" s="130"/>
      <c r="H1653" s="131"/>
      <c r="I1653" s="132"/>
      <c r="J1653" s="129"/>
      <c r="K1653" s="140"/>
      <c r="L1653" s="133"/>
      <c r="M1653" s="140"/>
      <c r="N1653" s="140"/>
      <c r="P1653" s="141"/>
    </row>
    <row r="1654" spans="1:16" x14ac:dyDescent="0.2">
      <c r="A1654" s="129"/>
      <c r="B1654" s="130"/>
      <c r="C1654" s="140"/>
      <c r="D1654" s="131"/>
      <c r="E1654" s="129"/>
      <c r="F1654" s="131"/>
      <c r="G1654" s="130"/>
      <c r="H1654" s="131"/>
      <c r="I1654" s="132"/>
      <c r="J1654" s="129"/>
      <c r="K1654" s="140"/>
      <c r="L1654" s="133"/>
      <c r="M1654" s="140"/>
      <c r="N1654" s="140"/>
      <c r="P1654" s="141"/>
    </row>
    <row r="1655" spans="1:16" x14ac:dyDescent="0.2">
      <c r="A1655" s="129"/>
      <c r="B1655" s="130"/>
      <c r="C1655" s="140"/>
      <c r="D1655" s="131"/>
      <c r="E1655" s="129"/>
      <c r="F1655" s="131"/>
      <c r="G1655" s="130"/>
      <c r="H1655" s="131"/>
      <c r="I1655" s="132"/>
      <c r="J1655" s="129"/>
      <c r="K1655" s="140"/>
      <c r="L1655" s="133"/>
      <c r="M1655" s="140"/>
      <c r="N1655" s="140"/>
      <c r="P1655" s="141"/>
    </row>
    <row r="1656" spans="1:16" x14ac:dyDescent="0.2">
      <c r="A1656" s="129"/>
      <c r="B1656" s="130"/>
      <c r="C1656" s="140"/>
      <c r="D1656" s="131"/>
      <c r="E1656" s="129"/>
      <c r="F1656" s="131"/>
      <c r="G1656" s="130"/>
      <c r="H1656" s="131"/>
      <c r="I1656" s="132"/>
      <c r="J1656" s="129"/>
      <c r="K1656" s="140"/>
      <c r="L1656" s="133"/>
      <c r="M1656" s="140"/>
      <c r="N1656" s="140"/>
      <c r="P1656" s="141"/>
    </row>
    <row r="1657" spans="1:16" x14ac:dyDescent="0.2">
      <c r="A1657" s="129"/>
      <c r="B1657" s="130"/>
      <c r="C1657" s="140"/>
      <c r="D1657" s="131"/>
      <c r="E1657" s="129"/>
      <c r="F1657" s="131"/>
      <c r="G1657" s="130"/>
      <c r="H1657" s="131"/>
      <c r="I1657" s="132"/>
      <c r="J1657" s="129"/>
      <c r="K1657" s="140"/>
      <c r="L1657" s="133"/>
      <c r="M1657" s="140"/>
      <c r="N1657" s="140"/>
      <c r="P1657" s="141"/>
    </row>
    <row r="1658" spans="1:16" x14ac:dyDescent="0.2">
      <c r="A1658" s="129"/>
      <c r="B1658" s="130"/>
      <c r="C1658" s="140"/>
      <c r="D1658" s="131"/>
      <c r="E1658" s="129"/>
      <c r="F1658" s="131"/>
      <c r="G1658" s="130"/>
      <c r="H1658" s="131"/>
      <c r="I1658" s="132"/>
      <c r="J1658" s="129"/>
      <c r="K1658" s="140"/>
      <c r="L1658" s="133"/>
      <c r="M1658" s="140"/>
      <c r="N1658" s="140"/>
      <c r="P1658" s="141"/>
    </row>
    <row r="1659" spans="1:16" x14ac:dyDescent="0.2">
      <c r="A1659" s="129"/>
      <c r="B1659" s="130"/>
      <c r="C1659" s="140"/>
      <c r="D1659" s="131"/>
      <c r="E1659" s="129"/>
      <c r="F1659" s="131"/>
      <c r="G1659" s="130"/>
      <c r="H1659" s="131"/>
      <c r="I1659" s="132"/>
      <c r="J1659" s="129"/>
      <c r="K1659" s="140"/>
      <c r="L1659" s="133"/>
      <c r="M1659" s="140"/>
      <c r="N1659" s="140"/>
      <c r="P1659" s="141"/>
    </row>
    <row r="1660" spans="1:16" x14ac:dyDescent="0.2">
      <c r="A1660" s="129"/>
      <c r="B1660" s="130"/>
      <c r="C1660" s="140"/>
      <c r="D1660" s="131"/>
      <c r="E1660" s="129"/>
      <c r="F1660" s="131"/>
      <c r="G1660" s="130"/>
      <c r="H1660" s="131"/>
      <c r="I1660" s="132"/>
      <c r="J1660" s="129"/>
      <c r="K1660" s="140"/>
      <c r="L1660" s="133"/>
      <c r="M1660" s="140"/>
      <c r="N1660" s="140"/>
      <c r="P1660" s="141"/>
    </row>
    <row r="1661" spans="1:16" x14ac:dyDescent="0.2">
      <c r="A1661" s="129"/>
      <c r="B1661" s="130"/>
      <c r="C1661" s="140"/>
      <c r="D1661" s="131"/>
      <c r="E1661" s="129"/>
      <c r="F1661" s="131"/>
      <c r="G1661" s="130"/>
      <c r="H1661" s="131"/>
      <c r="I1661" s="132"/>
      <c r="J1661" s="129"/>
      <c r="K1661" s="140"/>
      <c r="L1661" s="133"/>
      <c r="M1661" s="140"/>
      <c r="N1661" s="140"/>
      <c r="P1661" s="141"/>
    </row>
    <row r="1662" spans="1:16" x14ac:dyDescent="0.2">
      <c r="A1662" s="129"/>
      <c r="B1662" s="130"/>
      <c r="C1662" s="140"/>
      <c r="D1662" s="131"/>
      <c r="E1662" s="129"/>
      <c r="F1662" s="131"/>
      <c r="G1662" s="130"/>
      <c r="H1662" s="131"/>
      <c r="I1662" s="132"/>
      <c r="J1662" s="129"/>
      <c r="K1662" s="140"/>
      <c r="L1662" s="133"/>
      <c r="M1662" s="140"/>
      <c r="N1662" s="140"/>
      <c r="P1662" s="141"/>
    </row>
    <row r="1663" spans="1:16" x14ac:dyDescent="0.2">
      <c r="A1663" s="129"/>
      <c r="B1663" s="130"/>
      <c r="C1663" s="140"/>
      <c r="D1663" s="131"/>
      <c r="E1663" s="129"/>
      <c r="F1663" s="131"/>
      <c r="G1663" s="130"/>
      <c r="H1663" s="131"/>
      <c r="I1663" s="132"/>
      <c r="J1663" s="129"/>
      <c r="K1663" s="140"/>
      <c r="L1663" s="133"/>
      <c r="M1663" s="140"/>
      <c r="N1663" s="140"/>
      <c r="P1663" s="141"/>
    </row>
    <row r="1664" spans="1:16" x14ac:dyDescent="0.2">
      <c r="A1664" s="129"/>
      <c r="B1664" s="130"/>
      <c r="C1664" s="140"/>
      <c r="D1664" s="131"/>
      <c r="E1664" s="129"/>
      <c r="F1664" s="131"/>
      <c r="G1664" s="130"/>
      <c r="H1664" s="131"/>
      <c r="I1664" s="132"/>
      <c r="J1664" s="129"/>
      <c r="K1664" s="140"/>
      <c r="L1664" s="133"/>
      <c r="M1664" s="140"/>
      <c r="N1664" s="140"/>
      <c r="P1664" s="141"/>
    </row>
    <row r="1665" spans="1:16" x14ac:dyDescent="0.2">
      <c r="A1665" s="129"/>
      <c r="B1665" s="130"/>
      <c r="C1665" s="140"/>
      <c r="D1665" s="131"/>
      <c r="E1665" s="129"/>
      <c r="F1665" s="131"/>
      <c r="G1665" s="130"/>
      <c r="H1665" s="131"/>
      <c r="I1665" s="132"/>
      <c r="J1665" s="129"/>
      <c r="K1665" s="140"/>
      <c r="L1665" s="133"/>
      <c r="M1665" s="140"/>
      <c r="N1665" s="140"/>
      <c r="P1665" s="141"/>
    </row>
    <row r="1666" spans="1:16" x14ac:dyDescent="0.2">
      <c r="A1666" s="129"/>
      <c r="B1666" s="130"/>
      <c r="C1666" s="140"/>
      <c r="D1666" s="131"/>
      <c r="E1666" s="129"/>
      <c r="F1666" s="131"/>
      <c r="G1666" s="130"/>
      <c r="H1666" s="131"/>
      <c r="I1666" s="132"/>
      <c r="J1666" s="129"/>
      <c r="K1666" s="140"/>
      <c r="L1666" s="133"/>
      <c r="M1666" s="140"/>
      <c r="N1666" s="140"/>
      <c r="P1666" s="141"/>
    </row>
    <row r="1667" spans="1:16" x14ac:dyDescent="0.2">
      <c r="A1667" s="129"/>
      <c r="B1667" s="130"/>
      <c r="C1667" s="140"/>
      <c r="D1667" s="131"/>
      <c r="E1667" s="129"/>
      <c r="F1667" s="131"/>
      <c r="G1667" s="130"/>
      <c r="H1667" s="131"/>
      <c r="I1667" s="132"/>
      <c r="J1667" s="129"/>
      <c r="K1667" s="140"/>
      <c r="L1667" s="133"/>
      <c r="M1667" s="140"/>
      <c r="N1667" s="140"/>
      <c r="P1667" s="141"/>
    </row>
    <row r="1668" spans="1:16" x14ac:dyDescent="0.2">
      <c r="A1668" s="129"/>
      <c r="B1668" s="130"/>
      <c r="C1668" s="140"/>
      <c r="D1668" s="131"/>
      <c r="E1668" s="129"/>
      <c r="F1668" s="131"/>
      <c r="G1668" s="130"/>
      <c r="H1668" s="131"/>
      <c r="I1668" s="132"/>
      <c r="J1668" s="129"/>
      <c r="K1668" s="140"/>
      <c r="L1668" s="133"/>
      <c r="M1668" s="140"/>
      <c r="N1668" s="140"/>
      <c r="P1668" s="141"/>
    </row>
    <row r="1669" spans="1:16" x14ac:dyDescent="0.2">
      <c r="A1669" s="129"/>
      <c r="B1669" s="130"/>
      <c r="C1669" s="140"/>
      <c r="D1669" s="131"/>
      <c r="E1669" s="129"/>
      <c r="F1669" s="131"/>
      <c r="G1669" s="130"/>
      <c r="H1669" s="131"/>
      <c r="I1669" s="132"/>
      <c r="J1669" s="129"/>
      <c r="K1669" s="140"/>
      <c r="L1669" s="133"/>
      <c r="M1669" s="140"/>
      <c r="N1669" s="140"/>
      <c r="P1669" s="141"/>
    </row>
    <row r="1670" spans="1:16" x14ac:dyDescent="0.2">
      <c r="A1670" s="129"/>
      <c r="B1670" s="130"/>
      <c r="C1670" s="140"/>
      <c r="D1670" s="131"/>
      <c r="E1670" s="129"/>
      <c r="F1670" s="131"/>
      <c r="G1670" s="130"/>
      <c r="H1670" s="131"/>
      <c r="I1670" s="132"/>
      <c r="J1670" s="129"/>
      <c r="K1670" s="140"/>
      <c r="L1670" s="133"/>
      <c r="M1670" s="140"/>
      <c r="N1670" s="140"/>
      <c r="P1670" s="141"/>
    </row>
    <row r="1671" spans="1:16" x14ac:dyDescent="0.2">
      <c r="A1671" s="129"/>
      <c r="B1671" s="130"/>
      <c r="C1671" s="140"/>
      <c r="D1671" s="131"/>
      <c r="E1671" s="129"/>
      <c r="F1671" s="131"/>
      <c r="G1671" s="130"/>
      <c r="H1671" s="131"/>
      <c r="I1671" s="132"/>
      <c r="J1671" s="129"/>
      <c r="K1671" s="140"/>
      <c r="L1671" s="133"/>
      <c r="M1671" s="140"/>
      <c r="N1671" s="140"/>
      <c r="P1671" s="141"/>
    </row>
    <row r="1672" spans="1:16" x14ac:dyDescent="0.2">
      <c r="A1672" s="129"/>
      <c r="B1672" s="130"/>
      <c r="C1672" s="140"/>
      <c r="D1672" s="131"/>
      <c r="E1672" s="129"/>
      <c r="F1672" s="131"/>
      <c r="G1672" s="130"/>
      <c r="H1672" s="131"/>
      <c r="I1672" s="132"/>
      <c r="J1672" s="129"/>
      <c r="K1672" s="140"/>
      <c r="L1672" s="133"/>
      <c r="M1672" s="140"/>
      <c r="N1672" s="140"/>
      <c r="P1672" s="141"/>
    </row>
    <row r="1673" spans="1:16" x14ac:dyDescent="0.2">
      <c r="A1673" s="129"/>
      <c r="B1673" s="130"/>
      <c r="C1673" s="140"/>
      <c r="D1673" s="131"/>
      <c r="E1673" s="129"/>
      <c r="F1673" s="131"/>
      <c r="G1673" s="130"/>
      <c r="H1673" s="131"/>
      <c r="I1673" s="132"/>
      <c r="J1673" s="129"/>
      <c r="K1673" s="140"/>
      <c r="L1673" s="133"/>
      <c r="M1673" s="140"/>
      <c r="N1673" s="140"/>
      <c r="P1673" s="141"/>
    </row>
    <row r="1674" spans="1:16" x14ac:dyDescent="0.2">
      <c r="A1674" s="129"/>
      <c r="B1674" s="130"/>
      <c r="C1674" s="140"/>
      <c r="D1674" s="131"/>
      <c r="E1674" s="129"/>
      <c r="F1674" s="131"/>
      <c r="G1674" s="130"/>
      <c r="H1674" s="131"/>
      <c r="I1674" s="132"/>
      <c r="J1674" s="129"/>
      <c r="K1674" s="140"/>
      <c r="L1674" s="133"/>
      <c r="M1674" s="140"/>
      <c r="N1674" s="140"/>
      <c r="P1674" s="141"/>
    </row>
    <row r="1675" spans="1:16" x14ac:dyDescent="0.2">
      <c r="A1675" s="129"/>
      <c r="B1675" s="130"/>
      <c r="C1675" s="140"/>
      <c r="D1675" s="131"/>
      <c r="E1675" s="129"/>
      <c r="F1675" s="131"/>
      <c r="G1675" s="130"/>
      <c r="H1675" s="131"/>
      <c r="I1675" s="132"/>
      <c r="J1675" s="129"/>
      <c r="K1675" s="140"/>
      <c r="L1675" s="133"/>
      <c r="M1675" s="140"/>
      <c r="N1675" s="140"/>
      <c r="P1675" s="141"/>
    </row>
    <row r="1676" spans="1:16" x14ac:dyDescent="0.2">
      <c r="A1676" s="129"/>
      <c r="B1676" s="130"/>
      <c r="C1676" s="140"/>
      <c r="D1676" s="131"/>
      <c r="E1676" s="129"/>
      <c r="F1676" s="131"/>
      <c r="G1676" s="130"/>
      <c r="H1676" s="131"/>
      <c r="I1676" s="132"/>
      <c r="J1676" s="129"/>
      <c r="K1676" s="140"/>
      <c r="L1676" s="133"/>
      <c r="M1676" s="140"/>
      <c r="N1676" s="140"/>
      <c r="P1676" s="141"/>
    </row>
    <row r="1677" spans="1:16" x14ac:dyDescent="0.2">
      <c r="A1677" s="129"/>
      <c r="B1677" s="130"/>
      <c r="C1677" s="140"/>
      <c r="D1677" s="131"/>
      <c r="E1677" s="129"/>
      <c r="F1677" s="131"/>
      <c r="G1677" s="130"/>
      <c r="H1677" s="131"/>
      <c r="I1677" s="132"/>
      <c r="J1677" s="129"/>
      <c r="K1677" s="140"/>
      <c r="L1677" s="133"/>
      <c r="M1677" s="140"/>
      <c r="N1677" s="140"/>
      <c r="P1677" s="141"/>
    </row>
    <row r="1678" spans="1:16" x14ac:dyDescent="0.2">
      <c r="A1678" s="129"/>
      <c r="B1678" s="130"/>
      <c r="C1678" s="140"/>
      <c r="D1678" s="131"/>
      <c r="E1678" s="129"/>
      <c r="F1678" s="131"/>
      <c r="G1678" s="130"/>
      <c r="H1678" s="131"/>
      <c r="I1678" s="132"/>
      <c r="J1678" s="129"/>
      <c r="K1678" s="140"/>
      <c r="L1678" s="133"/>
      <c r="M1678" s="140"/>
      <c r="N1678" s="140"/>
      <c r="P1678" s="141"/>
    </row>
    <row r="1679" spans="1:16" x14ac:dyDescent="0.2">
      <c r="A1679" s="129"/>
      <c r="B1679" s="130"/>
      <c r="C1679" s="140"/>
      <c r="D1679" s="131"/>
      <c r="E1679" s="129"/>
      <c r="F1679" s="131"/>
      <c r="G1679" s="130"/>
      <c r="H1679" s="131"/>
      <c r="I1679" s="132"/>
      <c r="J1679" s="129"/>
      <c r="K1679" s="140"/>
      <c r="L1679" s="133"/>
      <c r="M1679" s="140"/>
      <c r="N1679" s="140"/>
      <c r="P1679" s="141"/>
    </row>
    <row r="1680" spans="1:16" x14ac:dyDescent="0.2">
      <c r="A1680" s="129"/>
      <c r="B1680" s="130"/>
      <c r="C1680" s="140"/>
      <c r="D1680" s="131"/>
      <c r="E1680" s="129"/>
      <c r="F1680" s="131"/>
      <c r="G1680" s="130"/>
      <c r="H1680" s="131"/>
      <c r="I1680" s="132"/>
      <c r="J1680" s="129"/>
      <c r="K1680" s="140"/>
      <c r="L1680" s="133"/>
      <c r="M1680" s="140"/>
      <c r="N1680" s="140"/>
      <c r="P1680" s="141"/>
    </row>
    <row r="1681" spans="1:16" x14ac:dyDescent="0.2">
      <c r="A1681" s="129"/>
      <c r="B1681" s="130"/>
      <c r="C1681" s="140"/>
      <c r="D1681" s="131"/>
      <c r="E1681" s="129"/>
      <c r="F1681" s="131"/>
      <c r="G1681" s="130"/>
      <c r="H1681" s="131"/>
      <c r="I1681" s="132"/>
      <c r="J1681" s="129"/>
      <c r="K1681" s="140"/>
      <c r="L1681" s="133"/>
      <c r="M1681" s="140"/>
      <c r="N1681" s="140"/>
      <c r="P1681" s="141"/>
    </row>
    <row r="1682" spans="1:16" x14ac:dyDescent="0.2">
      <c r="A1682" s="129"/>
      <c r="B1682" s="130"/>
      <c r="C1682" s="140"/>
      <c r="D1682" s="131"/>
      <c r="E1682" s="129"/>
      <c r="F1682" s="131"/>
      <c r="G1682" s="130"/>
      <c r="H1682" s="131"/>
      <c r="I1682" s="132"/>
      <c r="J1682" s="129"/>
      <c r="K1682" s="140"/>
      <c r="L1682" s="133"/>
      <c r="M1682" s="140"/>
      <c r="N1682" s="140"/>
      <c r="P1682" s="141"/>
    </row>
    <row r="1683" spans="1:16" x14ac:dyDescent="0.2">
      <c r="A1683" s="129"/>
      <c r="B1683" s="130"/>
      <c r="C1683" s="140"/>
      <c r="D1683" s="131"/>
      <c r="E1683" s="129"/>
      <c r="F1683" s="131"/>
      <c r="G1683" s="130"/>
      <c r="H1683" s="131"/>
      <c r="I1683" s="132"/>
      <c r="J1683" s="129"/>
      <c r="K1683" s="140"/>
      <c r="L1683" s="133"/>
      <c r="M1683" s="140"/>
      <c r="N1683" s="140"/>
      <c r="P1683" s="141"/>
    </row>
    <row r="1684" spans="1:16" x14ac:dyDescent="0.2">
      <c r="A1684" s="129"/>
      <c r="B1684" s="130"/>
      <c r="C1684" s="140"/>
      <c r="D1684" s="131"/>
      <c r="E1684" s="129"/>
      <c r="F1684" s="131"/>
      <c r="G1684" s="130"/>
      <c r="H1684" s="131"/>
      <c r="I1684" s="132"/>
      <c r="J1684" s="129"/>
      <c r="K1684" s="140"/>
      <c r="L1684" s="133"/>
      <c r="M1684" s="140"/>
      <c r="N1684" s="140"/>
      <c r="P1684" s="141"/>
    </row>
    <row r="1685" spans="1:16" x14ac:dyDescent="0.2">
      <c r="A1685" s="129"/>
      <c r="B1685" s="130"/>
      <c r="C1685" s="140"/>
      <c r="D1685" s="131"/>
      <c r="E1685" s="129"/>
      <c r="F1685" s="131"/>
      <c r="G1685" s="130"/>
      <c r="H1685" s="131"/>
      <c r="I1685" s="132"/>
      <c r="J1685" s="129"/>
      <c r="K1685" s="140"/>
      <c r="L1685" s="133"/>
      <c r="M1685" s="140"/>
      <c r="N1685" s="140"/>
      <c r="P1685" s="141"/>
    </row>
    <row r="1686" spans="1:16" x14ac:dyDescent="0.2">
      <c r="A1686" s="129"/>
      <c r="B1686" s="130"/>
      <c r="C1686" s="140"/>
      <c r="D1686" s="131"/>
      <c r="E1686" s="129"/>
      <c r="F1686" s="131"/>
      <c r="G1686" s="130"/>
      <c r="H1686" s="131"/>
      <c r="I1686" s="132"/>
      <c r="J1686" s="129"/>
      <c r="K1686" s="140"/>
      <c r="L1686" s="133"/>
      <c r="M1686" s="140"/>
      <c r="N1686" s="140"/>
      <c r="P1686" s="141"/>
    </row>
    <row r="1687" spans="1:16" x14ac:dyDescent="0.2">
      <c r="A1687" s="129"/>
      <c r="B1687" s="130"/>
      <c r="C1687" s="140"/>
      <c r="D1687" s="131"/>
      <c r="E1687" s="129"/>
      <c r="F1687" s="131"/>
      <c r="G1687" s="130"/>
      <c r="H1687" s="131"/>
      <c r="I1687" s="132"/>
      <c r="J1687" s="129"/>
      <c r="K1687" s="140"/>
      <c r="L1687" s="133"/>
      <c r="M1687" s="140"/>
      <c r="N1687" s="140"/>
      <c r="P1687" s="141"/>
    </row>
    <row r="1688" spans="1:16" x14ac:dyDescent="0.2">
      <c r="A1688" s="129"/>
      <c r="B1688" s="130"/>
      <c r="C1688" s="140"/>
      <c r="D1688" s="131"/>
      <c r="E1688" s="129"/>
      <c r="F1688" s="131"/>
      <c r="G1688" s="130"/>
      <c r="H1688" s="131"/>
      <c r="I1688" s="132"/>
      <c r="J1688" s="129"/>
      <c r="K1688" s="140"/>
      <c r="L1688" s="133"/>
      <c r="M1688" s="140"/>
      <c r="N1688" s="140"/>
      <c r="P1688" s="141"/>
    </row>
    <row r="1689" spans="1:16" x14ac:dyDescent="0.2">
      <c r="A1689" s="129"/>
      <c r="B1689" s="130"/>
      <c r="C1689" s="140"/>
      <c r="D1689" s="131"/>
      <c r="E1689" s="129"/>
      <c r="F1689" s="131"/>
      <c r="G1689" s="130"/>
      <c r="H1689" s="131"/>
      <c r="I1689" s="132"/>
      <c r="J1689" s="129"/>
      <c r="K1689" s="140"/>
      <c r="L1689" s="133"/>
      <c r="M1689" s="140"/>
      <c r="N1689" s="140"/>
      <c r="P1689" s="141"/>
    </row>
    <row r="1690" spans="1:16" x14ac:dyDescent="0.2">
      <c r="A1690" s="129"/>
      <c r="B1690" s="130"/>
      <c r="C1690" s="140"/>
      <c r="D1690" s="131"/>
      <c r="E1690" s="129"/>
      <c r="F1690" s="131"/>
      <c r="G1690" s="130"/>
      <c r="H1690" s="131"/>
      <c r="I1690" s="132"/>
      <c r="J1690" s="129"/>
      <c r="K1690" s="140"/>
      <c r="L1690" s="133"/>
      <c r="M1690" s="140"/>
      <c r="N1690" s="140"/>
      <c r="P1690" s="141"/>
    </row>
    <row r="1691" spans="1:16" x14ac:dyDescent="0.2">
      <c r="A1691" s="129"/>
      <c r="B1691" s="130"/>
      <c r="C1691" s="140"/>
      <c r="D1691" s="131"/>
      <c r="E1691" s="129"/>
      <c r="F1691" s="131"/>
      <c r="G1691" s="130"/>
      <c r="H1691" s="131"/>
      <c r="I1691" s="132"/>
      <c r="J1691" s="129"/>
      <c r="K1691" s="140"/>
      <c r="L1691" s="133"/>
      <c r="M1691" s="140"/>
      <c r="N1691" s="140"/>
      <c r="P1691" s="141"/>
    </row>
    <row r="1692" spans="1:16" x14ac:dyDescent="0.2">
      <c r="A1692" s="129"/>
      <c r="B1692" s="130"/>
      <c r="C1692" s="140"/>
      <c r="D1692" s="131"/>
      <c r="E1692" s="129"/>
      <c r="F1692" s="131"/>
      <c r="G1692" s="130"/>
      <c r="H1692" s="131"/>
      <c r="I1692" s="132"/>
      <c r="J1692" s="129"/>
      <c r="K1692" s="140"/>
      <c r="L1692" s="133"/>
      <c r="M1692" s="140"/>
      <c r="N1692" s="140"/>
      <c r="P1692" s="141"/>
    </row>
    <row r="1693" spans="1:16" x14ac:dyDescent="0.2">
      <c r="A1693" s="129"/>
      <c r="B1693" s="130"/>
      <c r="C1693" s="140"/>
      <c r="D1693" s="131"/>
      <c r="E1693" s="129"/>
      <c r="F1693" s="131"/>
      <c r="G1693" s="130"/>
      <c r="H1693" s="131"/>
      <c r="I1693" s="132"/>
      <c r="J1693" s="129"/>
      <c r="K1693" s="140"/>
      <c r="L1693" s="133"/>
      <c r="M1693" s="140"/>
      <c r="N1693" s="140"/>
      <c r="P1693" s="141"/>
    </row>
    <row r="1694" spans="1:16" x14ac:dyDescent="0.2">
      <c r="A1694" s="129"/>
      <c r="B1694" s="130"/>
      <c r="C1694" s="140"/>
      <c r="D1694" s="131"/>
      <c r="E1694" s="129"/>
      <c r="F1694" s="131"/>
      <c r="G1694" s="130"/>
      <c r="H1694" s="131"/>
      <c r="I1694" s="132"/>
      <c r="J1694" s="129"/>
      <c r="K1694" s="140"/>
      <c r="L1694" s="133"/>
      <c r="M1694" s="140"/>
      <c r="N1694" s="140"/>
      <c r="P1694" s="141"/>
    </row>
    <row r="1695" spans="1:16" x14ac:dyDescent="0.2">
      <c r="A1695" s="129"/>
      <c r="B1695" s="130"/>
      <c r="C1695" s="140"/>
      <c r="D1695" s="131"/>
      <c r="E1695" s="129"/>
      <c r="F1695" s="131"/>
      <c r="G1695" s="130"/>
      <c r="H1695" s="131"/>
      <c r="I1695" s="132"/>
      <c r="J1695" s="129"/>
      <c r="K1695" s="140"/>
      <c r="L1695" s="133"/>
      <c r="M1695" s="140"/>
      <c r="N1695" s="140"/>
      <c r="P1695" s="141"/>
    </row>
    <row r="1696" spans="1:16" x14ac:dyDescent="0.2">
      <c r="A1696" s="129"/>
      <c r="B1696" s="130"/>
      <c r="C1696" s="140"/>
      <c r="D1696" s="131"/>
      <c r="E1696" s="129"/>
      <c r="F1696" s="131"/>
      <c r="G1696" s="130"/>
      <c r="H1696" s="131"/>
      <c r="I1696" s="132"/>
      <c r="J1696" s="129"/>
      <c r="K1696" s="140"/>
      <c r="L1696" s="133"/>
      <c r="M1696" s="140"/>
      <c r="N1696" s="140"/>
      <c r="P1696" s="141"/>
    </row>
    <row r="1697" spans="1:16" x14ac:dyDescent="0.2">
      <c r="A1697" s="129"/>
      <c r="B1697" s="130"/>
      <c r="C1697" s="140"/>
      <c r="D1697" s="131"/>
      <c r="E1697" s="129"/>
      <c r="F1697" s="131"/>
      <c r="G1697" s="130"/>
      <c r="H1697" s="131"/>
      <c r="I1697" s="132"/>
      <c r="J1697" s="129"/>
      <c r="K1697" s="140"/>
      <c r="L1697" s="133"/>
      <c r="M1697" s="140"/>
      <c r="N1697" s="140"/>
      <c r="P1697" s="141"/>
    </row>
    <row r="1698" spans="1:16" x14ac:dyDescent="0.2">
      <c r="A1698" s="129"/>
      <c r="B1698" s="130"/>
      <c r="C1698" s="140"/>
      <c r="D1698" s="131"/>
      <c r="E1698" s="129"/>
      <c r="F1698" s="131"/>
      <c r="G1698" s="130"/>
      <c r="H1698" s="131"/>
      <c r="I1698" s="132"/>
      <c r="J1698" s="129"/>
      <c r="K1698" s="140"/>
      <c r="L1698" s="133"/>
      <c r="M1698" s="140"/>
      <c r="N1698" s="140"/>
      <c r="P1698" s="141"/>
    </row>
    <row r="1699" spans="1:16" x14ac:dyDescent="0.2">
      <c r="A1699" s="129"/>
      <c r="B1699" s="130"/>
      <c r="C1699" s="140"/>
      <c r="D1699" s="131"/>
      <c r="E1699" s="129"/>
      <c r="F1699" s="131"/>
      <c r="G1699" s="130"/>
      <c r="H1699" s="131"/>
      <c r="I1699" s="132"/>
      <c r="J1699" s="129"/>
      <c r="K1699" s="140"/>
      <c r="L1699" s="133"/>
      <c r="M1699" s="140"/>
      <c r="N1699" s="140"/>
      <c r="P1699" s="141"/>
    </row>
    <row r="1700" spans="1:16" x14ac:dyDescent="0.2">
      <c r="A1700" s="129"/>
      <c r="B1700" s="130"/>
      <c r="C1700" s="140"/>
      <c r="D1700" s="131"/>
      <c r="E1700" s="129"/>
      <c r="F1700" s="131"/>
      <c r="G1700" s="130"/>
      <c r="H1700" s="131"/>
      <c r="I1700" s="132"/>
      <c r="J1700" s="129"/>
      <c r="K1700" s="140"/>
      <c r="L1700" s="133"/>
      <c r="M1700" s="140"/>
      <c r="N1700" s="140"/>
      <c r="P1700" s="141"/>
    </row>
    <row r="1701" spans="1:16" x14ac:dyDescent="0.2">
      <c r="A1701" s="129"/>
      <c r="B1701" s="130"/>
      <c r="C1701" s="140"/>
      <c r="D1701" s="131"/>
      <c r="E1701" s="129"/>
      <c r="F1701" s="131"/>
      <c r="G1701" s="130"/>
      <c r="H1701" s="131"/>
      <c r="I1701" s="132"/>
      <c r="J1701" s="129"/>
      <c r="K1701" s="140"/>
      <c r="L1701" s="133"/>
      <c r="M1701" s="140"/>
      <c r="N1701" s="140"/>
      <c r="P1701" s="141"/>
    </row>
    <row r="1702" spans="1:16" x14ac:dyDescent="0.2">
      <c r="A1702" s="129"/>
      <c r="B1702" s="130"/>
      <c r="C1702" s="140"/>
      <c r="D1702" s="131"/>
      <c r="E1702" s="129"/>
      <c r="F1702" s="131"/>
      <c r="G1702" s="130"/>
      <c r="H1702" s="131"/>
      <c r="I1702" s="132"/>
      <c r="J1702" s="129"/>
      <c r="K1702" s="140"/>
      <c r="L1702" s="133"/>
      <c r="M1702" s="140"/>
      <c r="N1702" s="140"/>
      <c r="P1702" s="141"/>
    </row>
    <row r="1703" spans="1:16" x14ac:dyDescent="0.2">
      <c r="A1703" s="129"/>
      <c r="B1703" s="130"/>
      <c r="C1703" s="140"/>
      <c r="D1703" s="131"/>
      <c r="E1703" s="129"/>
      <c r="F1703" s="131"/>
      <c r="G1703" s="130"/>
      <c r="H1703" s="131"/>
      <c r="I1703" s="132"/>
      <c r="J1703" s="129"/>
      <c r="K1703" s="140"/>
      <c r="L1703" s="133"/>
      <c r="M1703" s="140"/>
      <c r="N1703" s="140"/>
      <c r="P1703" s="141"/>
    </row>
    <row r="1704" spans="1:16" x14ac:dyDescent="0.2">
      <c r="A1704" s="129"/>
      <c r="B1704" s="130"/>
      <c r="C1704" s="140"/>
      <c r="D1704" s="131"/>
      <c r="E1704" s="129"/>
      <c r="F1704" s="131"/>
      <c r="G1704" s="130"/>
      <c r="H1704" s="131"/>
      <c r="I1704" s="132"/>
      <c r="J1704" s="129"/>
      <c r="K1704" s="140"/>
      <c r="L1704" s="133"/>
      <c r="M1704" s="140"/>
      <c r="N1704" s="140"/>
      <c r="P1704" s="141"/>
    </row>
    <row r="1705" spans="1:16" x14ac:dyDescent="0.2">
      <c r="A1705" s="129"/>
      <c r="B1705" s="130"/>
      <c r="C1705" s="140"/>
      <c r="D1705" s="131"/>
      <c r="E1705" s="129"/>
      <c r="F1705" s="131"/>
      <c r="G1705" s="130"/>
      <c r="H1705" s="131"/>
      <c r="I1705" s="132"/>
      <c r="J1705" s="129"/>
      <c r="K1705" s="140"/>
      <c r="L1705" s="133"/>
      <c r="M1705" s="140"/>
      <c r="N1705" s="140"/>
      <c r="P1705" s="141"/>
    </row>
    <row r="1706" spans="1:16" x14ac:dyDescent="0.2">
      <c r="A1706" s="129"/>
      <c r="B1706" s="130"/>
      <c r="C1706" s="140"/>
      <c r="D1706" s="131"/>
      <c r="E1706" s="129"/>
      <c r="F1706" s="131"/>
      <c r="G1706" s="130"/>
      <c r="H1706" s="131"/>
      <c r="I1706" s="132"/>
      <c r="J1706" s="129"/>
      <c r="K1706" s="140"/>
      <c r="L1706" s="133"/>
      <c r="M1706" s="140"/>
      <c r="N1706" s="140"/>
      <c r="P1706" s="141"/>
    </row>
    <row r="1707" spans="1:16" x14ac:dyDescent="0.2">
      <c r="A1707" s="129"/>
      <c r="B1707" s="130"/>
      <c r="C1707" s="140"/>
      <c r="D1707" s="131"/>
      <c r="E1707" s="129"/>
      <c r="F1707" s="131"/>
      <c r="G1707" s="130"/>
      <c r="H1707" s="131"/>
      <c r="I1707" s="132"/>
      <c r="J1707" s="129"/>
      <c r="K1707" s="140"/>
      <c r="L1707" s="133"/>
      <c r="M1707" s="140"/>
      <c r="N1707" s="140"/>
      <c r="P1707" s="141"/>
    </row>
    <row r="1708" spans="1:16" x14ac:dyDescent="0.2">
      <c r="A1708" s="129"/>
      <c r="B1708" s="130"/>
      <c r="C1708" s="140"/>
      <c r="D1708" s="131"/>
      <c r="E1708" s="129"/>
      <c r="F1708" s="131"/>
      <c r="G1708" s="130"/>
      <c r="H1708" s="131"/>
      <c r="I1708" s="132"/>
      <c r="J1708" s="129"/>
      <c r="K1708" s="140"/>
      <c r="L1708" s="133"/>
      <c r="M1708" s="140"/>
      <c r="N1708" s="140"/>
      <c r="P1708" s="141"/>
    </row>
    <row r="1709" spans="1:16" x14ac:dyDescent="0.2">
      <c r="A1709" s="129"/>
      <c r="B1709" s="130"/>
      <c r="C1709" s="140"/>
      <c r="D1709" s="131"/>
      <c r="E1709" s="129"/>
      <c r="F1709" s="131"/>
      <c r="G1709" s="130"/>
      <c r="H1709" s="131"/>
      <c r="I1709" s="132"/>
      <c r="J1709" s="129"/>
      <c r="K1709" s="140"/>
      <c r="L1709" s="133"/>
      <c r="M1709" s="140"/>
      <c r="N1709" s="140"/>
      <c r="P1709" s="141"/>
    </row>
    <row r="1710" spans="1:16" x14ac:dyDescent="0.2">
      <c r="A1710" s="129"/>
      <c r="B1710" s="130"/>
      <c r="C1710" s="140"/>
      <c r="D1710" s="131"/>
      <c r="E1710" s="129"/>
      <c r="F1710" s="131"/>
      <c r="G1710" s="130"/>
      <c r="H1710" s="131"/>
      <c r="I1710" s="132"/>
      <c r="J1710" s="129"/>
      <c r="K1710" s="140"/>
      <c r="L1710" s="133"/>
      <c r="M1710" s="140"/>
      <c r="N1710" s="140"/>
      <c r="P1710" s="141"/>
    </row>
    <row r="1711" spans="1:16" x14ac:dyDescent="0.2">
      <c r="A1711" s="129"/>
      <c r="B1711" s="130"/>
      <c r="C1711" s="140"/>
      <c r="D1711" s="131"/>
      <c r="E1711" s="129"/>
      <c r="F1711" s="131"/>
      <c r="G1711" s="130"/>
      <c r="H1711" s="131"/>
      <c r="I1711" s="132"/>
      <c r="J1711" s="129"/>
      <c r="K1711" s="140"/>
      <c r="L1711" s="133"/>
      <c r="M1711" s="140"/>
      <c r="N1711" s="140"/>
      <c r="P1711" s="141"/>
    </row>
    <row r="1712" spans="1:16" x14ac:dyDescent="0.2">
      <c r="A1712" s="129"/>
      <c r="B1712" s="130"/>
      <c r="C1712" s="140"/>
      <c r="D1712" s="131"/>
      <c r="E1712" s="129"/>
      <c r="F1712" s="131"/>
      <c r="G1712" s="130"/>
      <c r="H1712" s="131"/>
      <c r="I1712" s="132"/>
      <c r="J1712" s="129"/>
      <c r="K1712" s="140"/>
      <c r="L1712" s="133"/>
      <c r="M1712" s="140"/>
      <c r="N1712" s="140"/>
      <c r="P1712" s="141"/>
    </row>
    <row r="1713" spans="1:16" x14ac:dyDescent="0.2">
      <c r="A1713" s="129"/>
      <c r="B1713" s="130"/>
      <c r="C1713" s="140"/>
      <c r="D1713" s="131"/>
      <c r="E1713" s="129"/>
      <c r="F1713" s="131"/>
      <c r="G1713" s="130"/>
      <c r="H1713" s="131"/>
      <c r="I1713" s="132"/>
      <c r="J1713" s="129"/>
      <c r="K1713" s="140"/>
      <c r="L1713" s="133"/>
      <c r="M1713" s="140"/>
      <c r="N1713" s="140"/>
      <c r="P1713" s="141"/>
    </row>
    <row r="1714" spans="1:16" x14ac:dyDescent="0.2">
      <c r="A1714" s="129"/>
      <c r="B1714" s="130"/>
      <c r="C1714" s="140"/>
      <c r="D1714" s="131"/>
      <c r="E1714" s="129"/>
      <c r="F1714" s="131"/>
      <c r="G1714" s="130"/>
      <c r="H1714" s="131"/>
      <c r="I1714" s="132"/>
      <c r="J1714" s="129"/>
      <c r="K1714" s="140"/>
      <c r="L1714" s="133"/>
      <c r="M1714" s="140"/>
      <c r="N1714" s="140"/>
      <c r="P1714" s="141"/>
    </row>
    <row r="1715" spans="1:16" x14ac:dyDescent="0.2">
      <c r="A1715" s="129"/>
      <c r="B1715" s="130"/>
      <c r="C1715" s="140"/>
      <c r="D1715" s="131"/>
      <c r="E1715" s="129"/>
      <c r="F1715" s="131"/>
      <c r="G1715" s="130"/>
      <c r="H1715" s="131"/>
      <c r="I1715" s="132"/>
      <c r="J1715" s="129"/>
      <c r="K1715" s="140"/>
      <c r="L1715" s="133"/>
      <c r="M1715" s="140"/>
      <c r="N1715" s="140"/>
      <c r="P1715" s="141"/>
    </row>
    <row r="1716" spans="1:16" x14ac:dyDescent="0.2">
      <c r="A1716" s="129"/>
      <c r="B1716" s="130"/>
      <c r="C1716" s="140"/>
      <c r="D1716" s="131"/>
      <c r="E1716" s="129"/>
      <c r="F1716" s="131"/>
      <c r="G1716" s="130"/>
      <c r="H1716" s="131"/>
      <c r="I1716" s="132"/>
      <c r="J1716" s="129"/>
      <c r="K1716" s="140"/>
      <c r="L1716" s="133"/>
      <c r="M1716" s="140"/>
      <c r="N1716" s="140"/>
      <c r="P1716" s="141"/>
    </row>
    <row r="1717" spans="1:16" x14ac:dyDescent="0.2">
      <c r="A1717" s="129"/>
      <c r="B1717" s="130"/>
      <c r="C1717" s="140"/>
      <c r="D1717" s="131"/>
      <c r="E1717" s="129"/>
      <c r="F1717" s="131"/>
      <c r="G1717" s="130"/>
      <c r="H1717" s="131"/>
      <c r="I1717" s="132"/>
      <c r="J1717" s="129"/>
      <c r="K1717" s="140"/>
      <c r="L1717" s="133"/>
      <c r="M1717" s="140"/>
      <c r="N1717" s="140"/>
      <c r="P1717" s="141"/>
    </row>
    <row r="1718" spans="1:16" x14ac:dyDescent="0.2">
      <c r="A1718" s="129"/>
      <c r="B1718" s="130"/>
      <c r="C1718" s="140"/>
      <c r="D1718" s="131"/>
      <c r="E1718" s="129"/>
      <c r="F1718" s="131"/>
      <c r="G1718" s="130"/>
      <c r="H1718" s="131"/>
      <c r="I1718" s="132"/>
      <c r="J1718" s="129"/>
      <c r="K1718" s="140"/>
      <c r="L1718" s="133"/>
      <c r="M1718" s="140"/>
      <c r="N1718" s="140"/>
      <c r="P1718" s="141"/>
    </row>
    <row r="1719" spans="1:16" x14ac:dyDescent="0.2">
      <c r="A1719" s="129"/>
      <c r="B1719" s="130"/>
      <c r="C1719" s="140"/>
      <c r="D1719" s="131"/>
      <c r="E1719" s="129"/>
      <c r="F1719" s="131"/>
      <c r="G1719" s="130"/>
      <c r="H1719" s="131"/>
      <c r="I1719" s="132"/>
      <c r="J1719" s="129"/>
      <c r="K1719" s="140"/>
      <c r="L1719" s="133"/>
      <c r="M1719" s="140"/>
      <c r="N1719" s="140"/>
      <c r="P1719" s="141"/>
    </row>
    <row r="1720" spans="1:16" x14ac:dyDescent="0.2">
      <c r="A1720" s="129"/>
      <c r="B1720" s="130"/>
      <c r="C1720" s="140"/>
      <c r="D1720" s="131"/>
      <c r="E1720" s="129"/>
      <c r="F1720" s="131"/>
      <c r="G1720" s="130"/>
      <c r="H1720" s="131"/>
      <c r="I1720" s="132"/>
      <c r="J1720" s="129"/>
      <c r="K1720" s="140"/>
      <c r="L1720" s="133"/>
      <c r="M1720" s="140"/>
      <c r="N1720" s="140"/>
      <c r="P1720" s="141"/>
    </row>
    <row r="1721" spans="1:16" x14ac:dyDescent="0.2">
      <c r="A1721" s="129"/>
      <c r="B1721" s="130"/>
      <c r="C1721" s="140"/>
      <c r="D1721" s="131"/>
      <c r="E1721" s="129"/>
      <c r="F1721" s="131"/>
      <c r="G1721" s="130"/>
      <c r="H1721" s="131"/>
      <c r="I1721" s="132"/>
      <c r="J1721" s="129"/>
      <c r="K1721" s="140"/>
      <c r="L1721" s="133"/>
      <c r="M1721" s="140"/>
      <c r="N1721" s="140"/>
      <c r="P1721" s="141"/>
    </row>
    <row r="1722" spans="1:16" x14ac:dyDescent="0.2">
      <c r="A1722" s="129"/>
      <c r="B1722" s="130"/>
      <c r="C1722" s="140"/>
      <c r="D1722" s="131"/>
      <c r="E1722" s="129"/>
      <c r="F1722" s="131"/>
      <c r="G1722" s="130"/>
      <c r="H1722" s="131"/>
      <c r="I1722" s="132"/>
      <c r="J1722" s="129"/>
      <c r="K1722" s="140"/>
      <c r="L1722" s="133"/>
      <c r="M1722" s="140"/>
      <c r="N1722" s="140"/>
      <c r="P1722" s="141"/>
    </row>
    <row r="1723" spans="1:16" x14ac:dyDescent="0.2">
      <c r="A1723" s="129"/>
      <c r="B1723" s="130"/>
      <c r="C1723" s="140"/>
      <c r="D1723" s="131"/>
      <c r="E1723" s="129"/>
      <c r="F1723" s="131"/>
      <c r="G1723" s="130"/>
      <c r="H1723" s="131"/>
      <c r="I1723" s="132"/>
      <c r="J1723" s="129"/>
      <c r="K1723" s="140"/>
      <c r="L1723" s="133"/>
      <c r="M1723" s="140"/>
      <c r="N1723" s="140"/>
      <c r="P1723" s="141"/>
    </row>
    <row r="1724" spans="1:16" x14ac:dyDescent="0.2">
      <c r="A1724" s="129"/>
      <c r="B1724" s="130"/>
      <c r="C1724" s="140"/>
      <c r="D1724" s="131"/>
      <c r="E1724" s="129"/>
      <c r="F1724" s="131"/>
      <c r="G1724" s="130"/>
      <c r="H1724" s="131"/>
      <c r="I1724" s="132"/>
      <c r="J1724" s="129"/>
      <c r="K1724" s="140"/>
      <c r="L1724" s="133"/>
      <c r="M1724" s="140"/>
      <c r="N1724" s="140"/>
      <c r="P1724" s="141"/>
    </row>
    <row r="1725" spans="1:16" x14ac:dyDescent="0.2">
      <c r="A1725" s="129"/>
      <c r="B1725" s="130"/>
      <c r="C1725" s="140"/>
      <c r="D1725" s="131"/>
      <c r="E1725" s="129"/>
      <c r="F1725" s="131"/>
      <c r="G1725" s="130"/>
      <c r="H1725" s="131"/>
      <c r="I1725" s="132"/>
      <c r="J1725" s="129"/>
      <c r="K1725" s="140"/>
      <c r="L1725" s="133"/>
      <c r="M1725" s="140"/>
      <c r="N1725" s="140"/>
      <c r="P1725" s="141"/>
    </row>
    <row r="1726" spans="1:16" x14ac:dyDescent="0.2">
      <c r="A1726" s="129"/>
      <c r="B1726" s="130"/>
      <c r="C1726" s="140"/>
      <c r="D1726" s="131"/>
      <c r="E1726" s="129"/>
      <c r="F1726" s="131"/>
      <c r="G1726" s="130"/>
      <c r="H1726" s="131"/>
      <c r="I1726" s="132"/>
      <c r="J1726" s="129"/>
      <c r="K1726" s="140"/>
      <c r="L1726" s="133"/>
      <c r="M1726" s="140"/>
      <c r="N1726" s="140"/>
      <c r="P1726" s="141"/>
    </row>
    <row r="1727" spans="1:16" x14ac:dyDescent="0.2">
      <c r="A1727" s="129"/>
      <c r="B1727" s="130"/>
      <c r="C1727" s="140"/>
      <c r="D1727" s="131"/>
      <c r="E1727" s="129"/>
      <c r="F1727" s="131"/>
      <c r="G1727" s="130"/>
      <c r="H1727" s="131"/>
      <c r="I1727" s="132"/>
      <c r="J1727" s="129"/>
      <c r="K1727" s="140"/>
      <c r="L1727" s="133"/>
      <c r="M1727" s="140"/>
      <c r="N1727" s="140"/>
      <c r="P1727" s="141"/>
    </row>
    <row r="1728" spans="1:16" x14ac:dyDescent="0.2">
      <c r="A1728" s="129"/>
      <c r="B1728" s="130"/>
      <c r="C1728" s="140"/>
      <c r="D1728" s="131"/>
      <c r="E1728" s="129"/>
      <c r="F1728" s="131"/>
      <c r="G1728" s="130"/>
      <c r="H1728" s="131"/>
      <c r="I1728" s="132"/>
      <c r="J1728" s="129"/>
      <c r="K1728" s="140"/>
      <c r="L1728" s="133"/>
      <c r="M1728" s="140"/>
      <c r="N1728" s="140"/>
      <c r="P1728" s="141"/>
    </row>
    <row r="1729" spans="1:16" x14ac:dyDescent="0.2">
      <c r="A1729" s="129"/>
      <c r="B1729" s="130"/>
      <c r="C1729" s="140"/>
      <c r="D1729" s="131"/>
      <c r="E1729" s="129"/>
      <c r="F1729" s="131"/>
      <c r="G1729" s="130"/>
      <c r="H1729" s="131"/>
      <c r="I1729" s="132"/>
      <c r="J1729" s="129"/>
      <c r="K1729" s="140"/>
      <c r="L1729" s="133"/>
      <c r="M1729" s="140"/>
      <c r="N1729" s="140"/>
      <c r="P1729" s="141"/>
    </row>
    <row r="1730" spans="1:16" x14ac:dyDescent="0.2">
      <c r="A1730" s="129"/>
      <c r="B1730" s="130"/>
      <c r="C1730" s="140"/>
      <c r="D1730" s="131"/>
      <c r="E1730" s="129"/>
      <c r="F1730" s="131"/>
      <c r="G1730" s="130"/>
      <c r="H1730" s="131"/>
      <c r="I1730" s="132"/>
      <c r="J1730" s="129"/>
      <c r="K1730" s="140"/>
      <c r="L1730" s="133"/>
      <c r="M1730" s="140"/>
      <c r="N1730" s="140"/>
      <c r="P1730" s="141"/>
    </row>
    <row r="1731" spans="1:16" x14ac:dyDescent="0.2">
      <c r="A1731" s="129"/>
      <c r="B1731" s="130"/>
      <c r="C1731" s="140"/>
      <c r="D1731" s="131"/>
      <c r="E1731" s="129"/>
      <c r="F1731" s="131"/>
      <c r="G1731" s="130"/>
      <c r="H1731" s="131"/>
      <c r="I1731" s="132"/>
      <c r="J1731" s="129"/>
      <c r="K1731" s="140"/>
      <c r="L1731" s="133"/>
      <c r="M1731" s="140"/>
      <c r="N1731" s="140"/>
      <c r="P1731" s="141"/>
    </row>
    <row r="1732" spans="1:16" x14ac:dyDescent="0.2">
      <c r="A1732" s="129"/>
      <c r="B1732" s="130"/>
      <c r="C1732" s="140"/>
      <c r="D1732" s="131"/>
      <c r="E1732" s="129"/>
      <c r="F1732" s="131"/>
      <c r="G1732" s="130"/>
      <c r="H1732" s="131"/>
      <c r="I1732" s="132"/>
      <c r="J1732" s="129"/>
      <c r="K1732" s="140"/>
      <c r="L1732" s="133"/>
      <c r="M1732" s="140"/>
      <c r="N1732" s="140"/>
      <c r="P1732" s="141"/>
    </row>
    <row r="1733" spans="1:16" x14ac:dyDescent="0.2">
      <c r="A1733" s="129"/>
      <c r="B1733" s="130"/>
      <c r="C1733" s="140"/>
      <c r="D1733" s="131"/>
      <c r="E1733" s="129"/>
      <c r="F1733" s="131"/>
      <c r="G1733" s="130"/>
      <c r="H1733" s="131"/>
      <c r="I1733" s="132"/>
      <c r="J1733" s="129"/>
      <c r="K1733" s="140"/>
      <c r="L1733" s="133"/>
      <c r="M1733" s="140"/>
      <c r="N1733" s="140"/>
      <c r="P1733" s="141"/>
    </row>
    <row r="1734" spans="1:16" x14ac:dyDescent="0.2">
      <c r="A1734" s="129"/>
      <c r="B1734" s="130"/>
      <c r="C1734" s="140"/>
      <c r="D1734" s="131"/>
      <c r="E1734" s="129"/>
      <c r="F1734" s="131"/>
      <c r="G1734" s="130"/>
      <c r="H1734" s="131"/>
      <c r="I1734" s="132"/>
      <c r="J1734" s="129"/>
      <c r="K1734" s="140"/>
      <c r="L1734" s="133"/>
      <c r="M1734" s="140"/>
      <c r="N1734" s="140"/>
      <c r="P1734" s="141"/>
    </row>
    <row r="1735" spans="1:16" x14ac:dyDescent="0.2">
      <c r="A1735" s="129"/>
      <c r="B1735" s="130"/>
      <c r="C1735" s="140"/>
      <c r="D1735" s="131"/>
      <c r="E1735" s="129"/>
      <c r="F1735" s="131"/>
      <c r="G1735" s="130"/>
      <c r="H1735" s="131"/>
      <c r="I1735" s="132"/>
      <c r="J1735" s="129"/>
      <c r="K1735" s="140"/>
      <c r="L1735" s="133"/>
      <c r="M1735" s="140"/>
      <c r="N1735" s="140"/>
      <c r="P1735" s="141"/>
    </row>
    <row r="1736" spans="1:16" x14ac:dyDescent="0.2">
      <c r="A1736" s="129"/>
      <c r="B1736" s="130"/>
      <c r="C1736" s="140"/>
      <c r="D1736" s="131"/>
      <c r="E1736" s="129"/>
      <c r="F1736" s="131"/>
      <c r="G1736" s="130"/>
      <c r="H1736" s="131"/>
      <c r="I1736" s="132"/>
      <c r="J1736" s="129"/>
      <c r="K1736" s="140"/>
      <c r="L1736" s="133"/>
      <c r="M1736" s="140"/>
      <c r="N1736" s="140"/>
      <c r="P1736" s="141"/>
    </row>
    <row r="1737" spans="1:16" x14ac:dyDescent="0.2">
      <c r="A1737" s="129"/>
      <c r="B1737" s="130"/>
      <c r="C1737" s="140"/>
      <c r="D1737" s="131"/>
      <c r="E1737" s="129"/>
      <c r="F1737" s="131"/>
      <c r="G1737" s="130"/>
      <c r="H1737" s="131"/>
      <c r="I1737" s="132"/>
      <c r="J1737" s="129"/>
      <c r="K1737" s="140"/>
      <c r="L1737" s="133"/>
      <c r="M1737" s="140"/>
      <c r="N1737" s="140"/>
      <c r="P1737" s="141"/>
    </row>
    <row r="1738" spans="1:16" x14ac:dyDescent="0.2">
      <c r="A1738" s="129"/>
      <c r="B1738" s="130"/>
      <c r="C1738" s="140"/>
      <c r="D1738" s="131"/>
      <c r="E1738" s="129"/>
      <c r="F1738" s="131"/>
      <c r="G1738" s="130"/>
      <c r="H1738" s="131"/>
      <c r="I1738" s="132"/>
      <c r="J1738" s="129"/>
      <c r="K1738" s="140"/>
      <c r="L1738" s="133"/>
      <c r="M1738" s="140"/>
      <c r="N1738" s="140"/>
      <c r="P1738" s="141"/>
    </row>
    <row r="1739" spans="1:16" x14ac:dyDescent="0.2">
      <c r="A1739" s="129"/>
      <c r="B1739" s="130"/>
      <c r="C1739" s="140"/>
      <c r="D1739" s="131"/>
      <c r="E1739" s="129"/>
      <c r="F1739" s="131"/>
      <c r="G1739" s="130"/>
      <c r="H1739" s="131"/>
      <c r="I1739" s="132"/>
      <c r="J1739" s="129"/>
      <c r="K1739" s="140"/>
      <c r="L1739" s="133"/>
      <c r="M1739" s="140"/>
      <c r="N1739" s="140"/>
      <c r="P1739" s="141"/>
    </row>
    <row r="1740" spans="1:16" x14ac:dyDescent="0.2">
      <c r="A1740" s="129"/>
      <c r="B1740" s="130"/>
      <c r="C1740" s="140"/>
      <c r="D1740" s="131"/>
      <c r="E1740" s="129"/>
      <c r="F1740" s="131"/>
      <c r="G1740" s="130"/>
      <c r="H1740" s="131"/>
      <c r="I1740" s="132"/>
      <c r="J1740" s="129"/>
      <c r="K1740" s="140"/>
      <c r="L1740" s="133"/>
      <c r="M1740" s="140"/>
      <c r="N1740" s="140"/>
      <c r="P1740" s="141"/>
    </row>
    <row r="1741" spans="1:16" x14ac:dyDescent="0.2">
      <c r="A1741" s="129"/>
      <c r="B1741" s="130"/>
      <c r="C1741" s="140"/>
      <c r="D1741" s="131"/>
      <c r="E1741" s="129"/>
      <c r="F1741" s="131"/>
      <c r="G1741" s="130"/>
      <c r="H1741" s="131"/>
      <c r="I1741" s="132"/>
      <c r="J1741" s="129"/>
      <c r="K1741" s="140"/>
      <c r="L1741" s="133"/>
      <c r="M1741" s="140"/>
      <c r="N1741" s="140"/>
      <c r="P1741" s="141"/>
    </row>
    <row r="1742" spans="1:16" x14ac:dyDescent="0.2">
      <c r="A1742" s="129"/>
      <c r="B1742" s="130"/>
      <c r="C1742" s="140"/>
      <c r="D1742" s="131"/>
      <c r="E1742" s="129"/>
      <c r="F1742" s="131"/>
      <c r="G1742" s="130"/>
      <c r="H1742" s="131"/>
      <c r="I1742" s="132"/>
      <c r="J1742" s="129"/>
      <c r="K1742" s="140"/>
      <c r="L1742" s="133"/>
      <c r="M1742" s="140"/>
      <c r="N1742" s="140"/>
      <c r="P1742" s="141"/>
    </row>
    <row r="1743" spans="1:16" x14ac:dyDescent="0.2">
      <c r="A1743" s="129"/>
      <c r="B1743" s="130"/>
      <c r="C1743" s="140"/>
      <c r="D1743" s="131"/>
      <c r="E1743" s="129"/>
      <c r="F1743" s="131"/>
      <c r="G1743" s="130"/>
      <c r="H1743" s="131"/>
      <c r="I1743" s="132"/>
      <c r="J1743" s="129"/>
      <c r="K1743" s="140"/>
      <c r="L1743" s="133"/>
      <c r="M1743" s="140"/>
      <c r="N1743" s="140"/>
      <c r="P1743" s="141"/>
    </row>
    <row r="1744" spans="1:16" x14ac:dyDescent="0.2">
      <c r="A1744" s="129"/>
      <c r="B1744" s="130"/>
      <c r="C1744" s="140"/>
      <c r="D1744" s="131"/>
      <c r="E1744" s="129"/>
      <c r="F1744" s="131"/>
      <c r="G1744" s="130"/>
      <c r="H1744" s="131"/>
      <c r="I1744" s="132"/>
      <c r="J1744" s="129"/>
      <c r="K1744" s="140"/>
      <c r="L1744" s="133"/>
      <c r="M1744" s="140"/>
      <c r="N1744" s="140"/>
      <c r="P1744" s="141"/>
    </row>
    <row r="1745" spans="1:16" x14ac:dyDescent="0.2">
      <c r="A1745" s="129"/>
      <c r="B1745" s="130"/>
      <c r="C1745" s="140"/>
      <c r="D1745" s="131"/>
      <c r="E1745" s="129"/>
      <c r="F1745" s="131"/>
      <c r="G1745" s="130"/>
      <c r="H1745" s="131"/>
      <c r="I1745" s="132"/>
      <c r="J1745" s="129"/>
      <c r="K1745" s="140"/>
      <c r="L1745" s="133"/>
      <c r="M1745" s="140"/>
      <c r="N1745" s="140"/>
      <c r="P1745" s="141"/>
    </row>
    <row r="1746" spans="1:16" x14ac:dyDescent="0.2">
      <c r="A1746" s="129"/>
      <c r="B1746" s="130"/>
      <c r="C1746" s="140"/>
      <c r="D1746" s="131"/>
      <c r="E1746" s="129"/>
      <c r="F1746" s="131"/>
      <c r="G1746" s="130"/>
      <c r="H1746" s="131"/>
      <c r="I1746" s="132"/>
      <c r="J1746" s="129"/>
      <c r="K1746" s="140"/>
      <c r="L1746" s="133"/>
      <c r="M1746" s="140"/>
      <c r="N1746" s="140"/>
      <c r="P1746" s="141"/>
    </row>
    <row r="1747" spans="1:16" x14ac:dyDescent="0.2">
      <c r="A1747" s="129"/>
      <c r="B1747" s="130"/>
      <c r="C1747" s="140"/>
      <c r="D1747" s="131"/>
      <c r="E1747" s="129"/>
      <c r="F1747" s="131"/>
      <c r="G1747" s="130"/>
      <c r="H1747" s="131"/>
      <c r="I1747" s="132"/>
      <c r="J1747" s="129"/>
      <c r="K1747" s="140"/>
      <c r="L1747" s="133"/>
      <c r="M1747" s="140"/>
      <c r="N1747" s="140"/>
      <c r="P1747" s="141"/>
    </row>
    <row r="1748" spans="1:16" x14ac:dyDescent="0.2">
      <c r="A1748" s="129"/>
      <c r="B1748" s="130"/>
      <c r="C1748" s="140"/>
      <c r="D1748" s="131"/>
      <c r="E1748" s="129"/>
      <c r="F1748" s="131"/>
      <c r="G1748" s="130"/>
      <c r="H1748" s="131"/>
      <c r="I1748" s="132"/>
      <c r="J1748" s="129"/>
      <c r="K1748" s="140"/>
      <c r="L1748" s="133"/>
      <c r="M1748" s="140"/>
      <c r="N1748" s="140"/>
      <c r="P1748" s="141"/>
    </row>
    <row r="1749" spans="1:16" x14ac:dyDescent="0.2">
      <c r="A1749" s="129"/>
      <c r="B1749" s="130"/>
      <c r="C1749" s="140"/>
      <c r="D1749" s="131"/>
      <c r="E1749" s="129"/>
      <c r="F1749" s="131"/>
      <c r="G1749" s="130"/>
      <c r="H1749" s="131"/>
      <c r="I1749" s="132"/>
      <c r="J1749" s="129"/>
      <c r="K1749" s="140"/>
      <c r="L1749" s="133"/>
      <c r="M1749" s="140"/>
      <c r="N1749" s="140"/>
      <c r="P1749" s="141"/>
    </row>
    <row r="1750" spans="1:16" x14ac:dyDescent="0.2">
      <c r="A1750" s="129"/>
      <c r="B1750" s="130"/>
      <c r="C1750" s="140"/>
      <c r="D1750" s="131"/>
      <c r="E1750" s="129"/>
      <c r="F1750" s="131"/>
      <c r="G1750" s="130"/>
      <c r="H1750" s="131"/>
      <c r="I1750" s="132"/>
      <c r="J1750" s="129"/>
      <c r="K1750" s="140"/>
      <c r="L1750" s="133"/>
      <c r="M1750" s="140"/>
      <c r="N1750" s="140"/>
      <c r="P1750" s="141"/>
    </row>
    <row r="1751" spans="1:16" x14ac:dyDescent="0.2">
      <c r="A1751" s="129"/>
      <c r="B1751" s="130"/>
      <c r="C1751" s="140"/>
      <c r="D1751" s="131"/>
      <c r="E1751" s="129"/>
      <c r="F1751" s="131"/>
      <c r="G1751" s="130"/>
      <c r="H1751" s="131"/>
      <c r="I1751" s="132"/>
      <c r="J1751" s="129"/>
      <c r="K1751" s="140"/>
      <c r="L1751" s="133"/>
      <c r="M1751" s="140"/>
      <c r="N1751" s="140"/>
      <c r="P1751" s="141"/>
    </row>
    <row r="1752" spans="1:16" x14ac:dyDescent="0.2">
      <c r="A1752" s="129"/>
      <c r="B1752" s="130"/>
      <c r="C1752" s="140"/>
      <c r="D1752" s="131"/>
      <c r="E1752" s="129"/>
      <c r="F1752" s="131"/>
      <c r="G1752" s="130"/>
      <c r="H1752" s="131"/>
      <c r="I1752" s="132"/>
      <c r="J1752" s="129"/>
      <c r="K1752" s="140"/>
      <c r="L1752" s="133"/>
      <c r="M1752" s="140"/>
      <c r="N1752" s="140"/>
      <c r="P1752" s="141"/>
    </row>
    <row r="1753" spans="1:16" x14ac:dyDescent="0.2">
      <c r="A1753" s="129"/>
      <c r="B1753" s="130"/>
      <c r="C1753" s="140"/>
      <c r="D1753" s="131"/>
      <c r="E1753" s="129"/>
      <c r="F1753" s="131"/>
      <c r="G1753" s="130"/>
      <c r="H1753" s="131"/>
      <c r="I1753" s="132"/>
      <c r="J1753" s="129"/>
      <c r="K1753" s="140"/>
      <c r="L1753" s="133"/>
      <c r="M1753" s="140"/>
      <c r="N1753" s="140"/>
      <c r="P1753" s="141"/>
    </row>
    <row r="1754" spans="1:16" x14ac:dyDescent="0.2">
      <c r="A1754" s="129"/>
      <c r="B1754" s="130"/>
      <c r="C1754" s="140"/>
      <c r="D1754" s="131"/>
      <c r="E1754" s="129"/>
      <c r="F1754" s="131"/>
      <c r="G1754" s="130"/>
      <c r="H1754" s="131"/>
      <c r="I1754" s="132"/>
      <c r="J1754" s="129"/>
      <c r="K1754" s="140"/>
      <c r="L1754" s="133"/>
      <c r="M1754" s="140"/>
      <c r="N1754" s="140"/>
      <c r="P1754" s="141"/>
    </row>
    <row r="1755" spans="1:16" x14ac:dyDescent="0.2">
      <c r="A1755" s="129"/>
      <c r="B1755" s="130"/>
      <c r="C1755" s="140"/>
      <c r="D1755" s="131"/>
      <c r="E1755" s="129"/>
      <c r="F1755" s="131"/>
      <c r="G1755" s="130"/>
      <c r="H1755" s="131"/>
      <c r="I1755" s="132"/>
      <c r="J1755" s="129"/>
      <c r="K1755" s="140"/>
      <c r="L1755" s="133"/>
      <c r="M1755" s="140"/>
      <c r="N1755" s="140"/>
      <c r="P1755" s="141"/>
    </row>
    <row r="1756" spans="1:16" x14ac:dyDescent="0.2">
      <c r="A1756" s="129"/>
      <c r="B1756" s="130"/>
      <c r="C1756" s="140"/>
      <c r="D1756" s="131"/>
      <c r="E1756" s="129"/>
      <c r="F1756" s="131"/>
      <c r="G1756" s="130"/>
      <c r="H1756" s="131"/>
      <c r="I1756" s="132"/>
      <c r="J1756" s="129"/>
      <c r="K1756" s="140"/>
      <c r="L1756" s="133"/>
      <c r="M1756" s="140"/>
      <c r="N1756" s="140"/>
      <c r="P1756" s="141"/>
    </row>
    <row r="1757" spans="1:16" x14ac:dyDescent="0.2">
      <c r="A1757" s="129"/>
      <c r="B1757" s="130"/>
      <c r="C1757" s="140"/>
      <c r="D1757" s="131"/>
      <c r="E1757" s="129"/>
      <c r="F1757" s="131"/>
      <c r="G1757" s="130"/>
      <c r="H1757" s="131"/>
      <c r="I1757" s="132"/>
      <c r="J1757" s="129"/>
      <c r="K1757" s="140"/>
      <c r="L1757" s="133"/>
      <c r="M1757" s="140"/>
      <c r="N1757" s="140"/>
      <c r="P1757" s="141"/>
    </row>
    <row r="1758" spans="1:16" x14ac:dyDescent="0.2">
      <c r="A1758" s="129"/>
      <c r="B1758" s="130"/>
      <c r="C1758" s="140"/>
      <c r="D1758" s="131"/>
      <c r="E1758" s="129"/>
      <c r="F1758" s="131"/>
      <c r="G1758" s="130"/>
      <c r="H1758" s="131"/>
      <c r="I1758" s="132"/>
      <c r="J1758" s="129"/>
      <c r="K1758" s="140"/>
      <c r="L1758" s="133"/>
      <c r="M1758" s="140"/>
      <c r="N1758" s="140"/>
      <c r="P1758" s="141"/>
    </row>
    <row r="1759" spans="1:16" x14ac:dyDescent="0.2">
      <c r="A1759" s="129"/>
      <c r="B1759" s="130"/>
      <c r="C1759" s="140"/>
      <c r="D1759" s="131"/>
      <c r="E1759" s="129"/>
      <c r="F1759" s="131"/>
      <c r="G1759" s="130"/>
      <c r="H1759" s="131"/>
      <c r="I1759" s="132"/>
      <c r="J1759" s="129"/>
      <c r="K1759" s="140"/>
      <c r="L1759" s="133"/>
      <c r="M1759" s="140"/>
      <c r="N1759" s="140"/>
      <c r="P1759" s="141"/>
    </row>
    <row r="1760" spans="1:16" x14ac:dyDescent="0.2">
      <c r="A1760" s="129"/>
      <c r="B1760" s="130"/>
      <c r="C1760" s="140"/>
      <c r="D1760" s="131"/>
      <c r="E1760" s="129"/>
      <c r="F1760" s="131"/>
      <c r="G1760" s="130"/>
      <c r="H1760" s="131"/>
      <c r="I1760" s="132"/>
      <c r="J1760" s="129"/>
      <c r="K1760" s="140"/>
      <c r="L1760" s="133"/>
      <c r="M1760" s="140"/>
      <c r="N1760" s="140"/>
      <c r="P1760" s="141"/>
    </row>
    <row r="1761" spans="1:16" x14ac:dyDescent="0.2">
      <c r="A1761" s="129"/>
      <c r="B1761" s="130"/>
      <c r="C1761" s="140"/>
      <c r="D1761" s="131"/>
      <c r="E1761" s="129"/>
      <c r="F1761" s="131"/>
      <c r="G1761" s="130"/>
      <c r="H1761" s="131"/>
      <c r="I1761" s="132"/>
      <c r="J1761" s="129"/>
      <c r="K1761" s="140"/>
      <c r="L1761" s="133"/>
      <c r="M1761" s="140"/>
      <c r="N1761" s="140"/>
      <c r="P1761" s="141"/>
    </row>
    <row r="1762" spans="1:16" x14ac:dyDescent="0.2">
      <c r="A1762" s="129"/>
      <c r="B1762" s="130"/>
      <c r="C1762" s="140"/>
      <c r="D1762" s="131"/>
      <c r="E1762" s="129"/>
      <c r="F1762" s="131"/>
      <c r="G1762" s="130"/>
      <c r="H1762" s="131"/>
      <c r="I1762" s="132"/>
      <c r="J1762" s="129"/>
      <c r="K1762" s="140"/>
      <c r="L1762" s="133"/>
      <c r="M1762" s="140"/>
      <c r="N1762" s="140"/>
      <c r="P1762" s="141"/>
    </row>
    <row r="1763" spans="1:16" x14ac:dyDescent="0.2">
      <c r="A1763" s="129"/>
      <c r="B1763" s="130"/>
      <c r="C1763" s="140"/>
      <c r="D1763" s="131"/>
      <c r="E1763" s="129"/>
      <c r="F1763" s="131"/>
      <c r="G1763" s="130"/>
      <c r="H1763" s="131"/>
      <c r="I1763" s="132"/>
      <c r="J1763" s="129"/>
      <c r="K1763" s="140"/>
      <c r="L1763" s="133"/>
      <c r="M1763" s="140"/>
      <c r="N1763" s="140"/>
      <c r="P1763" s="141"/>
    </row>
    <row r="1764" spans="1:16" x14ac:dyDescent="0.2">
      <c r="A1764" s="129"/>
      <c r="B1764" s="130"/>
      <c r="C1764" s="140"/>
      <c r="D1764" s="131"/>
      <c r="E1764" s="129"/>
      <c r="F1764" s="131"/>
      <c r="G1764" s="130"/>
      <c r="H1764" s="131"/>
      <c r="I1764" s="132"/>
      <c r="J1764" s="129"/>
      <c r="K1764" s="140"/>
      <c r="L1764" s="133"/>
      <c r="M1764" s="140"/>
      <c r="N1764" s="140"/>
      <c r="P1764" s="141"/>
    </row>
    <row r="1765" spans="1:16" x14ac:dyDescent="0.2">
      <c r="A1765" s="129"/>
      <c r="B1765" s="130"/>
      <c r="C1765" s="140"/>
      <c r="D1765" s="131"/>
      <c r="E1765" s="129"/>
      <c r="F1765" s="131"/>
      <c r="G1765" s="130"/>
      <c r="H1765" s="131"/>
      <c r="I1765" s="132"/>
      <c r="J1765" s="129"/>
      <c r="K1765" s="140"/>
      <c r="L1765" s="133"/>
      <c r="M1765" s="140"/>
      <c r="N1765" s="140"/>
      <c r="P1765" s="141"/>
    </row>
    <row r="1766" spans="1:16" x14ac:dyDescent="0.2">
      <c r="A1766" s="129"/>
      <c r="B1766" s="130"/>
      <c r="C1766" s="140"/>
      <c r="D1766" s="131"/>
      <c r="E1766" s="129"/>
      <c r="F1766" s="131"/>
      <c r="G1766" s="130"/>
      <c r="H1766" s="131"/>
      <c r="I1766" s="132"/>
      <c r="J1766" s="129"/>
      <c r="K1766" s="140"/>
      <c r="L1766" s="133"/>
      <c r="M1766" s="140"/>
      <c r="N1766" s="140"/>
      <c r="P1766" s="141"/>
    </row>
    <row r="1767" spans="1:16" x14ac:dyDescent="0.2">
      <c r="A1767" s="129"/>
      <c r="B1767" s="130"/>
      <c r="C1767" s="140"/>
      <c r="D1767" s="131"/>
      <c r="E1767" s="129"/>
      <c r="F1767" s="131"/>
      <c r="G1767" s="130"/>
      <c r="H1767" s="131"/>
      <c r="I1767" s="132"/>
      <c r="J1767" s="129"/>
      <c r="K1767" s="140"/>
      <c r="L1767" s="133"/>
      <c r="M1767" s="140"/>
      <c r="N1767" s="140"/>
      <c r="P1767" s="141"/>
    </row>
    <row r="1768" spans="1:16" x14ac:dyDescent="0.2">
      <c r="A1768" s="129"/>
      <c r="B1768" s="130"/>
      <c r="C1768" s="140"/>
      <c r="D1768" s="131"/>
      <c r="E1768" s="129"/>
      <c r="F1768" s="131"/>
      <c r="G1768" s="130"/>
      <c r="H1768" s="131"/>
      <c r="I1768" s="132"/>
      <c r="J1768" s="129"/>
      <c r="K1768" s="140"/>
      <c r="L1768" s="133"/>
      <c r="M1768" s="140"/>
      <c r="N1768" s="140"/>
      <c r="P1768" s="141"/>
    </row>
    <row r="1769" spans="1:16" x14ac:dyDescent="0.2">
      <c r="A1769" s="129"/>
      <c r="B1769" s="130"/>
      <c r="C1769" s="140"/>
      <c r="D1769" s="131"/>
      <c r="E1769" s="129"/>
      <c r="F1769" s="131"/>
      <c r="G1769" s="130"/>
      <c r="H1769" s="131"/>
      <c r="I1769" s="132"/>
      <c r="J1769" s="129"/>
      <c r="K1769" s="140"/>
      <c r="L1769" s="133"/>
      <c r="M1769" s="140"/>
      <c r="N1769" s="140"/>
      <c r="P1769" s="141"/>
    </row>
    <row r="1770" spans="1:16" x14ac:dyDescent="0.2">
      <c r="A1770" s="129"/>
      <c r="B1770" s="130"/>
      <c r="C1770" s="140"/>
      <c r="D1770" s="131"/>
      <c r="E1770" s="129"/>
      <c r="F1770" s="131"/>
      <c r="G1770" s="130"/>
      <c r="H1770" s="131"/>
      <c r="I1770" s="132"/>
      <c r="J1770" s="129"/>
      <c r="K1770" s="140"/>
      <c r="L1770" s="133"/>
      <c r="M1770" s="140"/>
      <c r="N1770" s="140"/>
      <c r="P1770" s="141"/>
    </row>
    <row r="1771" spans="1:16" x14ac:dyDescent="0.2">
      <c r="A1771" s="129"/>
      <c r="B1771" s="130"/>
      <c r="C1771" s="140"/>
      <c r="D1771" s="131"/>
      <c r="E1771" s="129"/>
      <c r="F1771" s="131"/>
      <c r="G1771" s="130"/>
      <c r="H1771" s="131"/>
      <c r="I1771" s="132"/>
      <c r="J1771" s="129"/>
      <c r="K1771" s="140"/>
      <c r="L1771" s="133"/>
      <c r="M1771" s="140"/>
      <c r="N1771" s="140"/>
      <c r="P1771" s="141"/>
    </row>
    <row r="1772" spans="1:16" x14ac:dyDescent="0.2">
      <c r="A1772" s="129"/>
      <c r="B1772" s="130"/>
      <c r="C1772" s="140"/>
      <c r="D1772" s="131"/>
      <c r="E1772" s="129"/>
      <c r="F1772" s="131"/>
      <c r="G1772" s="130"/>
      <c r="H1772" s="131"/>
      <c r="I1772" s="132"/>
      <c r="J1772" s="129"/>
      <c r="K1772" s="140"/>
      <c r="L1772" s="133"/>
      <c r="M1772" s="140"/>
      <c r="N1772" s="140"/>
      <c r="P1772" s="141"/>
    </row>
    <row r="1773" spans="1:16" x14ac:dyDescent="0.2">
      <c r="A1773" s="129"/>
      <c r="B1773" s="130"/>
      <c r="C1773" s="140"/>
      <c r="D1773" s="131"/>
      <c r="E1773" s="129"/>
      <c r="F1773" s="131"/>
      <c r="G1773" s="130"/>
      <c r="H1773" s="131"/>
      <c r="I1773" s="132"/>
      <c r="J1773" s="129"/>
      <c r="K1773" s="140"/>
      <c r="L1773" s="133"/>
      <c r="M1773" s="140"/>
      <c r="N1773" s="140"/>
      <c r="P1773" s="141"/>
    </row>
    <row r="1774" spans="1:16" x14ac:dyDescent="0.2">
      <c r="A1774" s="129"/>
      <c r="B1774" s="130"/>
      <c r="C1774" s="140"/>
      <c r="D1774" s="131"/>
      <c r="E1774" s="129"/>
      <c r="F1774" s="131"/>
      <c r="G1774" s="130"/>
      <c r="H1774" s="131"/>
      <c r="I1774" s="132"/>
      <c r="J1774" s="129"/>
      <c r="K1774" s="140"/>
      <c r="L1774" s="133"/>
      <c r="M1774" s="140"/>
      <c r="N1774" s="140"/>
      <c r="P1774" s="141"/>
    </row>
    <row r="1775" spans="1:16" x14ac:dyDescent="0.2">
      <c r="A1775" s="129"/>
      <c r="B1775" s="130"/>
      <c r="C1775" s="140"/>
      <c r="D1775" s="131"/>
      <c r="E1775" s="129"/>
      <c r="F1775" s="131"/>
      <c r="G1775" s="130"/>
      <c r="H1775" s="131"/>
      <c r="I1775" s="132"/>
      <c r="J1775" s="129"/>
      <c r="K1775" s="140"/>
      <c r="L1775" s="133"/>
      <c r="M1775" s="140"/>
      <c r="N1775" s="140"/>
      <c r="P1775" s="141"/>
    </row>
    <row r="1776" spans="1:16" x14ac:dyDescent="0.2">
      <c r="A1776" s="129"/>
      <c r="B1776" s="130"/>
      <c r="C1776" s="140"/>
      <c r="D1776" s="131"/>
      <c r="E1776" s="129"/>
      <c r="F1776" s="131"/>
      <c r="G1776" s="130"/>
      <c r="H1776" s="131"/>
      <c r="I1776" s="132"/>
      <c r="J1776" s="129"/>
      <c r="K1776" s="140"/>
      <c r="L1776" s="133"/>
      <c r="M1776" s="140"/>
      <c r="N1776" s="140"/>
      <c r="P1776" s="141"/>
    </row>
    <row r="1777" spans="1:16" x14ac:dyDescent="0.2">
      <c r="A1777" s="129"/>
      <c r="B1777" s="130"/>
      <c r="C1777" s="140"/>
      <c r="D1777" s="131"/>
      <c r="E1777" s="129"/>
      <c r="F1777" s="131"/>
      <c r="G1777" s="130"/>
      <c r="H1777" s="131"/>
      <c r="I1777" s="132"/>
      <c r="J1777" s="129"/>
      <c r="K1777" s="140"/>
      <c r="L1777" s="133"/>
      <c r="M1777" s="140"/>
      <c r="N1777" s="140"/>
      <c r="P1777" s="141"/>
    </row>
    <row r="1778" spans="1:16" x14ac:dyDescent="0.2">
      <c r="A1778" s="129"/>
      <c r="B1778" s="130"/>
      <c r="C1778" s="140"/>
      <c r="D1778" s="131"/>
      <c r="E1778" s="129"/>
      <c r="F1778" s="131"/>
      <c r="G1778" s="130"/>
      <c r="H1778" s="131"/>
      <c r="I1778" s="132"/>
      <c r="J1778" s="129"/>
      <c r="K1778" s="140"/>
      <c r="L1778" s="133"/>
      <c r="M1778" s="140"/>
      <c r="N1778" s="140"/>
      <c r="P1778" s="141"/>
    </row>
    <row r="1779" spans="1:16" x14ac:dyDescent="0.2">
      <c r="A1779" s="129"/>
      <c r="B1779" s="130"/>
      <c r="C1779" s="140"/>
      <c r="D1779" s="131"/>
      <c r="E1779" s="129"/>
      <c r="F1779" s="131"/>
      <c r="G1779" s="130"/>
      <c r="H1779" s="131"/>
      <c r="I1779" s="132"/>
      <c r="J1779" s="129"/>
      <c r="K1779" s="140"/>
      <c r="L1779" s="133"/>
      <c r="M1779" s="140"/>
      <c r="N1779" s="140"/>
      <c r="P1779" s="141"/>
    </row>
    <row r="1780" spans="1:16" x14ac:dyDescent="0.2">
      <c r="A1780" s="129"/>
      <c r="B1780" s="130"/>
      <c r="C1780" s="140"/>
      <c r="D1780" s="131"/>
      <c r="E1780" s="129"/>
      <c r="F1780" s="131"/>
      <c r="G1780" s="130"/>
      <c r="H1780" s="131"/>
      <c r="I1780" s="132"/>
      <c r="J1780" s="129"/>
      <c r="K1780" s="140"/>
      <c r="L1780" s="133"/>
      <c r="M1780" s="140"/>
      <c r="N1780" s="140"/>
      <c r="P1780" s="141"/>
    </row>
    <row r="1781" spans="1:16" x14ac:dyDescent="0.2">
      <c r="A1781" s="129"/>
      <c r="B1781" s="130"/>
      <c r="C1781" s="140"/>
      <c r="D1781" s="131"/>
      <c r="E1781" s="129"/>
      <c r="F1781" s="131"/>
      <c r="G1781" s="130"/>
      <c r="H1781" s="131"/>
      <c r="I1781" s="132"/>
      <c r="J1781" s="129"/>
      <c r="K1781" s="140"/>
      <c r="L1781" s="133"/>
      <c r="M1781" s="140"/>
      <c r="N1781" s="140"/>
      <c r="P1781" s="141"/>
    </row>
    <row r="1782" spans="1:16" x14ac:dyDescent="0.2">
      <c r="A1782" s="129"/>
      <c r="B1782" s="130"/>
      <c r="C1782" s="140"/>
      <c r="D1782" s="131"/>
      <c r="E1782" s="129"/>
      <c r="F1782" s="131"/>
      <c r="G1782" s="130"/>
      <c r="H1782" s="131"/>
      <c r="I1782" s="132"/>
      <c r="J1782" s="129"/>
      <c r="K1782" s="140"/>
      <c r="L1782" s="133"/>
      <c r="M1782" s="140"/>
      <c r="N1782" s="140"/>
      <c r="P1782" s="141"/>
    </row>
    <row r="1783" spans="1:16" x14ac:dyDescent="0.2">
      <c r="A1783" s="129"/>
      <c r="B1783" s="130"/>
      <c r="C1783" s="140"/>
      <c r="D1783" s="131"/>
      <c r="E1783" s="129"/>
      <c r="F1783" s="131"/>
      <c r="G1783" s="130"/>
      <c r="H1783" s="131"/>
      <c r="I1783" s="132"/>
      <c r="J1783" s="129"/>
      <c r="K1783" s="140"/>
      <c r="L1783" s="133"/>
      <c r="M1783" s="140"/>
      <c r="N1783" s="140"/>
      <c r="P1783" s="141"/>
    </row>
    <row r="1784" spans="1:16" x14ac:dyDescent="0.2">
      <c r="A1784" s="129"/>
      <c r="B1784" s="130"/>
      <c r="C1784" s="140"/>
      <c r="D1784" s="131"/>
      <c r="E1784" s="129"/>
      <c r="F1784" s="131"/>
      <c r="G1784" s="130"/>
      <c r="H1784" s="131"/>
      <c r="I1784" s="132"/>
      <c r="J1784" s="129"/>
      <c r="K1784" s="140"/>
      <c r="L1784" s="133"/>
      <c r="M1784" s="140"/>
      <c r="N1784" s="140"/>
      <c r="P1784" s="141"/>
    </row>
    <row r="1785" spans="1:16" x14ac:dyDescent="0.2">
      <c r="A1785" s="129"/>
      <c r="B1785" s="130"/>
      <c r="C1785" s="140"/>
      <c r="D1785" s="131"/>
      <c r="E1785" s="129"/>
      <c r="F1785" s="131"/>
      <c r="G1785" s="130"/>
      <c r="H1785" s="131"/>
      <c r="I1785" s="132"/>
      <c r="J1785" s="129"/>
      <c r="K1785" s="140"/>
      <c r="L1785" s="133"/>
      <c r="M1785" s="140"/>
      <c r="N1785" s="140"/>
      <c r="P1785" s="141"/>
    </row>
    <row r="1786" spans="1:16" x14ac:dyDescent="0.2">
      <c r="A1786" s="129"/>
      <c r="B1786" s="130"/>
      <c r="C1786" s="140"/>
      <c r="D1786" s="131"/>
      <c r="E1786" s="129"/>
      <c r="F1786" s="131"/>
      <c r="G1786" s="130"/>
      <c r="H1786" s="131"/>
      <c r="I1786" s="132"/>
      <c r="J1786" s="129"/>
      <c r="K1786" s="140"/>
      <c r="L1786" s="133"/>
      <c r="M1786" s="140"/>
      <c r="N1786" s="140"/>
      <c r="P1786" s="141"/>
    </row>
    <row r="1787" spans="1:16" x14ac:dyDescent="0.2">
      <c r="A1787" s="129"/>
      <c r="B1787" s="130"/>
      <c r="C1787" s="140"/>
      <c r="D1787" s="131"/>
      <c r="E1787" s="129"/>
      <c r="F1787" s="131"/>
      <c r="G1787" s="130"/>
      <c r="H1787" s="131"/>
      <c r="I1787" s="132"/>
      <c r="J1787" s="129"/>
      <c r="K1787" s="140"/>
      <c r="L1787" s="133"/>
      <c r="M1787" s="140"/>
      <c r="N1787" s="140"/>
      <c r="P1787" s="141"/>
    </row>
    <row r="1788" spans="1:16" x14ac:dyDescent="0.2">
      <c r="A1788" s="129"/>
      <c r="B1788" s="130"/>
      <c r="C1788" s="140"/>
      <c r="D1788" s="131"/>
      <c r="E1788" s="129"/>
      <c r="F1788" s="131"/>
      <c r="G1788" s="130"/>
      <c r="H1788" s="131"/>
      <c r="I1788" s="132"/>
      <c r="J1788" s="129"/>
      <c r="K1788" s="140"/>
      <c r="L1788" s="133"/>
      <c r="M1788" s="140"/>
      <c r="N1788" s="140"/>
      <c r="P1788" s="141"/>
    </row>
    <row r="1789" spans="1:16" x14ac:dyDescent="0.2">
      <c r="A1789" s="129"/>
      <c r="B1789" s="130"/>
      <c r="C1789" s="140"/>
      <c r="D1789" s="131"/>
      <c r="E1789" s="129"/>
      <c r="F1789" s="131"/>
      <c r="G1789" s="130"/>
      <c r="H1789" s="131"/>
      <c r="I1789" s="132"/>
      <c r="J1789" s="129"/>
      <c r="K1789" s="140"/>
      <c r="L1789" s="133"/>
      <c r="M1789" s="140"/>
      <c r="N1789" s="140"/>
      <c r="P1789" s="141"/>
    </row>
    <row r="1790" spans="1:16" x14ac:dyDescent="0.2">
      <c r="A1790" s="129"/>
      <c r="B1790" s="130"/>
      <c r="C1790" s="140"/>
      <c r="D1790" s="131"/>
      <c r="E1790" s="129"/>
      <c r="F1790" s="131"/>
      <c r="G1790" s="130"/>
      <c r="H1790" s="131"/>
      <c r="I1790" s="132"/>
      <c r="J1790" s="129"/>
      <c r="K1790" s="140"/>
      <c r="L1790" s="133"/>
      <c r="M1790" s="140"/>
      <c r="N1790" s="140"/>
      <c r="P1790" s="141"/>
    </row>
    <row r="1791" spans="1:16" x14ac:dyDescent="0.2">
      <c r="A1791" s="129"/>
      <c r="B1791" s="130"/>
      <c r="C1791" s="140"/>
      <c r="D1791" s="131"/>
      <c r="E1791" s="129"/>
      <c r="F1791" s="131"/>
      <c r="G1791" s="130"/>
      <c r="H1791" s="131"/>
      <c r="I1791" s="132"/>
      <c r="J1791" s="129"/>
      <c r="K1791" s="140"/>
      <c r="L1791" s="133"/>
      <c r="M1791" s="140"/>
      <c r="N1791" s="140"/>
      <c r="P1791" s="141"/>
    </row>
    <row r="1792" spans="1:16" x14ac:dyDescent="0.2">
      <c r="A1792" s="129"/>
      <c r="B1792" s="130"/>
      <c r="C1792" s="140"/>
      <c r="D1792" s="131"/>
      <c r="E1792" s="129"/>
      <c r="F1792" s="131"/>
      <c r="G1792" s="130"/>
      <c r="H1792" s="131"/>
      <c r="I1792" s="132"/>
      <c r="J1792" s="129"/>
      <c r="K1792" s="140"/>
      <c r="L1792" s="133"/>
      <c r="M1792" s="140"/>
      <c r="N1792" s="140"/>
      <c r="P1792" s="141"/>
    </row>
    <row r="1793" spans="1:16" x14ac:dyDescent="0.2">
      <c r="A1793" s="129"/>
      <c r="B1793" s="130"/>
      <c r="C1793" s="140"/>
      <c r="D1793" s="131"/>
      <c r="E1793" s="129"/>
      <c r="F1793" s="131"/>
      <c r="G1793" s="130"/>
      <c r="H1793" s="131"/>
      <c r="I1793" s="132"/>
      <c r="J1793" s="129"/>
      <c r="K1793" s="140"/>
      <c r="L1793" s="133"/>
      <c r="M1793" s="140"/>
      <c r="N1793" s="140"/>
      <c r="P1793" s="141"/>
    </row>
    <row r="1794" spans="1:16" x14ac:dyDescent="0.2">
      <c r="A1794" s="129"/>
      <c r="B1794" s="130"/>
      <c r="C1794" s="140"/>
      <c r="D1794" s="131"/>
      <c r="E1794" s="129"/>
      <c r="F1794" s="131"/>
      <c r="G1794" s="130"/>
      <c r="H1794" s="131"/>
      <c r="I1794" s="132"/>
      <c r="J1794" s="129"/>
      <c r="K1794" s="140"/>
      <c r="L1794" s="133"/>
      <c r="M1794" s="140"/>
      <c r="N1794" s="140"/>
      <c r="P1794" s="141"/>
    </row>
    <row r="1795" spans="1:16" x14ac:dyDescent="0.2">
      <c r="A1795" s="129"/>
      <c r="B1795" s="130"/>
      <c r="C1795" s="140"/>
      <c r="D1795" s="131"/>
      <c r="E1795" s="129"/>
      <c r="F1795" s="131"/>
      <c r="G1795" s="130"/>
      <c r="H1795" s="131"/>
      <c r="I1795" s="132"/>
      <c r="J1795" s="129"/>
      <c r="K1795" s="140"/>
      <c r="L1795" s="133"/>
      <c r="M1795" s="140"/>
      <c r="N1795" s="140"/>
      <c r="P1795" s="141"/>
    </row>
    <row r="1796" spans="1:16" x14ac:dyDescent="0.2">
      <c r="A1796" s="129"/>
      <c r="B1796" s="130"/>
      <c r="C1796" s="140"/>
      <c r="D1796" s="131"/>
      <c r="E1796" s="129"/>
      <c r="F1796" s="131"/>
      <c r="G1796" s="130"/>
      <c r="H1796" s="131"/>
      <c r="I1796" s="132"/>
      <c r="J1796" s="129"/>
      <c r="K1796" s="140"/>
      <c r="L1796" s="133"/>
      <c r="M1796" s="140"/>
      <c r="N1796" s="140"/>
      <c r="P1796" s="141"/>
    </row>
    <row r="1797" spans="1:16" x14ac:dyDescent="0.2">
      <c r="A1797" s="129"/>
      <c r="B1797" s="130"/>
      <c r="C1797" s="140"/>
      <c r="D1797" s="131"/>
      <c r="E1797" s="129"/>
      <c r="F1797" s="131"/>
      <c r="G1797" s="130"/>
      <c r="H1797" s="131"/>
      <c r="I1797" s="132"/>
      <c r="J1797" s="129"/>
      <c r="K1797" s="140"/>
      <c r="L1797" s="133"/>
      <c r="M1797" s="140"/>
      <c r="N1797" s="140"/>
      <c r="P1797" s="141"/>
    </row>
    <row r="1798" spans="1:16" x14ac:dyDescent="0.2">
      <c r="A1798" s="129"/>
      <c r="B1798" s="130"/>
      <c r="C1798" s="140"/>
      <c r="D1798" s="131"/>
      <c r="E1798" s="129"/>
      <c r="F1798" s="131"/>
      <c r="G1798" s="130"/>
      <c r="H1798" s="131"/>
      <c r="I1798" s="132"/>
      <c r="J1798" s="129"/>
      <c r="K1798" s="140"/>
      <c r="L1798" s="133"/>
      <c r="M1798" s="140"/>
      <c r="N1798" s="140"/>
      <c r="P1798" s="141"/>
    </row>
    <row r="1799" spans="1:16" x14ac:dyDescent="0.2">
      <c r="A1799" s="129"/>
      <c r="B1799" s="130"/>
      <c r="C1799" s="140"/>
      <c r="D1799" s="131"/>
      <c r="E1799" s="129"/>
      <c r="F1799" s="131"/>
      <c r="G1799" s="130"/>
      <c r="H1799" s="131"/>
      <c r="I1799" s="132"/>
      <c r="J1799" s="129"/>
      <c r="K1799" s="140"/>
      <c r="L1799" s="133"/>
      <c r="M1799" s="140"/>
      <c r="N1799" s="140"/>
      <c r="P1799" s="141"/>
    </row>
    <row r="1800" spans="1:16" x14ac:dyDescent="0.2">
      <c r="A1800" s="129"/>
      <c r="B1800" s="130"/>
      <c r="C1800" s="140"/>
      <c r="D1800" s="131"/>
      <c r="E1800" s="129"/>
      <c r="F1800" s="131"/>
      <c r="G1800" s="130"/>
      <c r="H1800" s="131"/>
      <c r="I1800" s="132"/>
      <c r="J1800" s="129"/>
      <c r="K1800" s="140"/>
      <c r="L1800" s="133"/>
      <c r="M1800" s="140"/>
      <c r="N1800" s="140"/>
      <c r="P1800" s="141"/>
    </row>
    <row r="1801" spans="1:16" x14ac:dyDescent="0.2">
      <c r="A1801" s="129"/>
      <c r="B1801" s="130"/>
      <c r="C1801" s="140"/>
      <c r="D1801" s="131"/>
      <c r="E1801" s="129"/>
      <c r="F1801" s="131"/>
      <c r="G1801" s="130"/>
      <c r="H1801" s="131"/>
      <c r="I1801" s="132"/>
      <c r="J1801" s="129"/>
      <c r="K1801" s="140"/>
      <c r="L1801" s="133"/>
      <c r="M1801" s="140"/>
      <c r="N1801" s="140"/>
      <c r="P1801" s="141"/>
    </row>
    <row r="1802" spans="1:16" x14ac:dyDescent="0.2">
      <c r="A1802" s="129"/>
      <c r="B1802" s="130"/>
      <c r="C1802" s="140"/>
      <c r="D1802" s="131"/>
      <c r="E1802" s="129"/>
      <c r="F1802" s="131"/>
      <c r="G1802" s="130"/>
      <c r="H1802" s="131"/>
      <c r="I1802" s="132"/>
      <c r="J1802" s="129"/>
      <c r="K1802" s="140"/>
      <c r="L1802" s="133"/>
      <c r="M1802" s="140"/>
      <c r="N1802" s="140"/>
      <c r="P1802" s="141"/>
    </row>
    <row r="1803" spans="1:16" x14ac:dyDescent="0.2">
      <c r="A1803" s="129"/>
      <c r="B1803" s="130"/>
      <c r="C1803" s="140"/>
      <c r="D1803" s="131"/>
      <c r="E1803" s="129"/>
      <c r="F1803" s="131"/>
      <c r="G1803" s="130"/>
      <c r="H1803" s="131"/>
      <c r="I1803" s="132"/>
      <c r="J1803" s="129"/>
      <c r="K1803" s="140"/>
      <c r="L1803" s="133"/>
      <c r="M1803" s="140"/>
      <c r="N1803" s="140"/>
      <c r="P1803" s="141"/>
    </row>
    <row r="1804" spans="1:16" x14ac:dyDescent="0.2">
      <c r="A1804" s="129"/>
      <c r="B1804" s="130"/>
      <c r="C1804" s="140"/>
      <c r="D1804" s="131"/>
      <c r="E1804" s="129"/>
      <c r="F1804" s="131"/>
      <c r="G1804" s="130"/>
      <c r="H1804" s="131"/>
      <c r="I1804" s="132"/>
      <c r="J1804" s="129"/>
      <c r="K1804" s="140"/>
      <c r="L1804" s="133"/>
      <c r="M1804" s="140"/>
      <c r="N1804" s="140"/>
      <c r="P1804" s="141"/>
    </row>
    <row r="1805" spans="1:16" x14ac:dyDescent="0.2">
      <c r="A1805" s="129"/>
      <c r="B1805" s="130"/>
      <c r="C1805" s="140"/>
      <c r="D1805" s="131"/>
      <c r="E1805" s="129"/>
      <c r="F1805" s="131"/>
      <c r="G1805" s="130"/>
      <c r="H1805" s="131"/>
      <c r="I1805" s="132"/>
      <c r="J1805" s="129"/>
      <c r="K1805" s="140"/>
      <c r="L1805" s="133"/>
      <c r="M1805" s="140"/>
      <c r="N1805" s="140"/>
      <c r="P1805" s="141"/>
    </row>
    <row r="1806" spans="1:16" x14ac:dyDescent="0.2">
      <c r="A1806" s="129"/>
      <c r="B1806" s="130"/>
      <c r="C1806" s="140"/>
      <c r="D1806" s="131"/>
      <c r="E1806" s="129"/>
      <c r="F1806" s="131"/>
      <c r="G1806" s="130"/>
      <c r="H1806" s="131"/>
      <c r="I1806" s="132"/>
      <c r="J1806" s="129"/>
      <c r="K1806" s="140"/>
      <c r="L1806" s="133"/>
      <c r="M1806" s="140"/>
      <c r="N1806" s="140"/>
      <c r="P1806" s="141"/>
    </row>
    <row r="1807" spans="1:16" x14ac:dyDescent="0.2">
      <c r="A1807" s="129"/>
      <c r="B1807" s="130"/>
      <c r="C1807" s="140"/>
      <c r="D1807" s="131"/>
      <c r="E1807" s="129"/>
      <c r="F1807" s="131"/>
      <c r="G1807" s="130"/>
      <c r="H1807" s="131"/>
      <c r="I1807" s="132"/>
      <c r="J1807" s="129"/>
      <c r="K1807" s="140"/>
      <c r="L1807" s="133"/>
      <c r="M1807" s="140"/>
      <c r="N1807" s="140"/>
      <c r="P1807" s="141"/>
    </row>
    <row r="1808" spans="1:16" x14ac:dyDescent="0.2">
      <c r="A1808" s="129"/>
      <c r="B1808" s="130"/>
      <c r="C1808" s="140"/>
      <c r="D1808" s="131"/>
      <c r="E1808" s="129"/>
      <c r="F1808" s="131"/>
      <c r="G1808" s="130"/>
      <c r="H1808" s="131"/>
      <c r="I1808" s="132"/>
      <c r="J1808" s="129"/>
      <c r="K1808" s="140"/>
      <c r="L1808" s="133"/>
      <c r="M1808" s="140"/>
      <c r="N1808" s="140"/>
      <c r="P1808" s="141"/>
    </row>
    <row r="1809" spans="1:16" x14ac:dyDescent="0.2">
      <c r="A1809" s="129"/>
      <c r="B1809" s="130"/>
      <c r="C1809" s="140"/>
      <c r="D1809" s="131"/>
      <c r="E1809" s="129"/>
      <c r="F1809" s="131"/>
      <c r="G1809" s="130"/>
      <c r="H1809" s="131"/>
      <c r="I1809" s="132"/>
      <c r="J1809" s="129"/>
      <c r="K1809" s="140"/>
      <c r="L1809" s="133"/>
      <c r="M1809" s="140"/>
      <c r="N1809" s="140"/>
      <c r="P1809" s="141"/>
    </row>
    <row r="1810" spans="1:16" x14ac:dyDescent="0.2">
      <c r="A1810" s="129"/>
      <c r="B1810" s="130"/>
      <c r="C1810" s="140"/>
      <c r="D1810" s="131"/>
      <c r="E1810" s="129"/>
      <c r="F1810" s="131"/>
      <c r="G1810" s="130"/>
      <c r="H1810" s="131"/>
      <c r="I1810" s="132"/>
      <c r="J1810" s="129"/>
      <c r="K1810" s="140"/>
      <c r="L1810" s="133"/>
      <c r="M1810" s="140"/>
      <c r="N1810" s="140"/>
      <c r="P1810" s="141"/>
    </row>
    <row r="1811" spans="1:16" x14ac:dyDescent="0.2">
      <c r="A1811" s="129"/>
      <c r="B1811" s="130"/>
      <c r="C1811" s="140"/>
      <c r="D1811" s="131"/>
      <c r="E1811" s="129"/>
      <c r="F1811" s="131"/>
      <c r="G1811" s="130"/>
      <c r="H1811" s="131"/>
      <c r="I1811" s="132"/>
      <c r="J1811" s="129"/>
      <c r="K1811" s="140"/>
      <c r="L1811" s="133"/>
      <c r="M1811" s="140"/>
      <c r="N1811" s="140"/>
      <c r="P1811" s="141"/>
    </row>
    <row r="1812" spans="1:16" x14ac:dyDescent="0.2">
      <c r="A1812" s="129"/>
      <c r="B1812" s="130"/>
      <c r="C1812" s="140"/>
      <c r="D1812" s="131"/>
      <c r="E1812" s="129"/>
      <c r="F1812" s="131"/>
      <c r="G1812" s="130"/>
      <c r="H1812" s="131"/>
      <c r="I1812" s="132"/>
      <c r="J1812" s="129"/>
      <c r="K1812" s="140"/>
      <c r="L1812" s="133"/>
      <c r="M1812" s="140"/>
      <c r="N1812" s="140"/>
      <c r="P1812" s="141"/>
    </row>
    <row r="1813" spans="1:16" x14ac:dyDescent="0.2">
      <c r="A1813" s="129"/>
      <c r="B1813" s="130"/>
      <c r="C1813" s="140"/>
      <c r="D1813" s="131"/>
      <c r="E1813" s="129"/>
      <c r="F1813" s="131"/>
      <c r="G1813" s="130"/>
      <c r="H1813" s="131"/>
      <c r="I1813" s="132"/>
      <c r="J1813" s="129"/>
      <c r="K1813" s="140"/>
      <c r="L1813" s="133"/>
      <c r="M1813" s="140"/>
      <c r="N1813" s="140"/>
      <c r="P1813" s="141"/>
    </row>
    <row r="1814" spans="1:16" x14ac:dyDescent="0.2">
      <c r="A1814" s="129"/>
      <c r="B1814" s="130"/>
      <c r="C1814" s="140"/>
      <c r="D1814" s="131"/>
      <c r="E1814" s="129"/>
      <c r="F1814" s="131"/>
      <c r="G1814" s="130"/>
      <c r="H1814" s="131"/>
      <c r="I1814" s="132"/>
      <c r="J1814" s="129"/>
      <c r="K1814" s="140"/>
      <c r="L1814" s="133"/>
      <c r="M1814" s="140"/>
      <c r="N1814" s="140"/>
      <c r="P1814" s="141"/>
    </row>
    <row r="1815" spans="1:16" x14ac:dyDescent="0.2">
      <c r="A1815" s="129"/>
      <c r="B1815" s="130"/>
      <c r="C1815" s="140"/>
      <c r="D1815" s="131"/>
      <c r="E1815" s="129"/>
      <c r="F1815" s="131"/>
      <c r="G1815" s="130"/>
      <c r="H1815" s="131"/>
      <c r="I1815" s="132"/>
      <c r="J1815" s="129"/>
      <c r="K1815" s="140"/>
      <c r="L1815" s="133"/>
      <c r="M1815" s="140"/>
      <c r="N1815" s="140"/>
      <c r="P1815" s="141"/>
    </row>
    <row r="1816" spans="1:16" x14ac:dyDescent="0.2">
      <c r="A1816" s="129"/>
      <c r="B1816" s="130"/>
      <c r="C1816" s="140"/>
      <c r="D1816" s="131"/>
      <c r="E1816" s="129"/>
      <c r="F1816" s="131"/>
      <c r="G1816" s="130"/>
      <c r="H1816" s="131"/>
      <c r="I1816" s="132"/>
      <c r="J1816" s="129"/>
      <c r="K1816" s="140"/>
      <c r="L1816" s="133"/>
      <c r="M1816" s="140"/>
      <c r="N1816" s="140"/>
      <c r="P1816" s="141"/>
    </row>
    <row r="1817" spans="1:16" x14ac:dyDescent="0.2">
      <c r="A1817" s="129"/>
      <c r="B1817" s="130"/>
      <c r="C1817" s="140"/>
      <c r="D1817" s="131"/>
      <c r="E1817" s="129"/>
      <c r="F1817" s="131"/>
      <c r="G1817" s="130"/>
      <c r="H1817" s="131"/>
      <c r="I1817" s="132"/>
      <c r="J1817" s="129"/>
      <c r="K1817" s="140"/>
      <c r="L1817" s="133"/>
      <c r="M1817" s="140"/>
      <c r="N1817" s="140"/>
      <c r="P1817" s="141"/>
    </row>
    <row r="1818" spans="1:16" x14ac:dyDescent="0.2">
      <c r="A1818" s="129"/>
      <c r="B1818" s="130"/>
      <c r="C1818" s="140"/>
      <c r="D1818" s="131"/>
      <c r="E1818" s="129"/>
      <c r="F1818" s="131"/>
      <c r="G1818" s="130"/>
      <c r="H1818" s="131"/>
      <c r="I1818" s="132"/>
      <c r="J1818" s="129"/>
      <c r="K1818" s="140"/>
      <c r="L1818" s="133"/>
      <c r="M1818" s="140"/>
      <c r="N1818" s="140"/>
      <c r="P1818" s="141"/>
    </row>
    <row r="1819" spans="1:16" x14ac:dyDescent="0.2">
      <c r="A1819" s="129"/>
      <c r="B1819" s="130"/>
      <c r="C1819" s="140"/>
      <c r="D1819" s="131"/>
      <c r="E1819" s="129"/>
      <c r="F1819" s="131"/>
      <c r="G1819" s="130"/>
      <c r="H1819" s="131"/>
      <c r="I1819" s="132"/>
      <c r="J1819" s="129"/>
      <c r="K1819" s="140"/>
      <c r="L1819" s="133"/>
      <c r="M1819" s="140"/>
      <c r="N1819" s="140"/>
      <c r="P1819" s="141"/>
    </row>
    <row r="1820" spans="1:16" x14ac:dyDescent="0.2">
      <c r="A1820" s="129"/>
      <c r="B1820" s="130"/>
      <c r="C1820" s="140"/>
      <c r="D1820" s="131"/>
      <c r="E1820" s="129"/>
      <c r="F1820" s="131"/>
      <c r="G1820" s="130"/>
      <c r="H1820" s="131"/>
      <c r="I1820" s="132"/>
      <c r="J1820" s="129"/>
      <c r="K1820" s="140"/>
      <c r="L1820" s="133"/>
      <c r="M1820" s="140"/>
      <c r="N1820" s="140"/>
      <c r="P1820" s="141"/>
    </row>
    <row r="1821" spans="1:16" x14ac:dyDescent="0.2">
      <c r="A1821" s="129"/>
      <c r="B1821" s="130"/>
      <c r="C1821" s="140"/>
      <c r="D1821" s="131"/>
      <c r="E1821" s="129"/>
      <c r="F1821" s="131"/>
      <c r="G1821" s="130"/>
      <c r="H1821" s="131"/>
      <c r="I1821" s="132"/>
      <c r="J1821" s="129"/>
      <c r="K1821" s="140"/>
      <c r="L1821" s="133"/>
      <c r="M1821" s="140"/>
      <c r="N1821" s="140"/>
      <c r="P1821" s="141"/>
    </row>
    <row r="1822" spans="1:16" x14ac:dyDescent="0.2">
      <c r="A1822" s="129"/>
      <c r="B1822" s="130"/>
      <c r="C1822" s="140"/>
      <c r="D1822" s="131"/>
      <c r="E1822" s="129"/>
      <c r="F1822" s="131"/>
      <c r="G1822" s="130"/>
      <c r="H1822" s="131"/>
      <c r="I1822" s="132"/>
      <c r="J1822" s="129"/>
      <c r="K1822" s="140"/>
      <c r="L1822" s="133"/>
      <c r="M1822" s="140"/>
      <c r="N1822" s="140"/>
      <c r="P1822" s="141"/>
    </row>
    <row r="1823" spans="1:16" x14ac:dyDescent="0.2">
      <c r="A1823" s="129"/>
      <c r="B1823" s="130"/>
      <c r="C1823" s="140"/>
      <c r="D1823" s="131"/>
      <c r="E1823" s="129"/>
      <c r="F1823" s="131"/>
      <c r="G1823" s="130"/>
      <c r="H1823" s="131"/>
      <c r="I1823" s="132"/>
      <c r="J1823" s="129"/>
      <c r="K1823" s="140"/>
      <c r="L1823" s="133"/>
      <c r="M1823" s="140"/>
      <c r="N1823" s="140"/>
      <c r="P1823" s="141"/>
    </row>
    <row r="1824" spans="1:16" x14ac:dyDescent="0.2">
      <c r="A1824" s="129"/>
      <c r="B1824" s="130"/>
      <c r="C1824" s="140"/>
      <c r="D1824" s="131"/>
      <c r="E1824" s="129"/>
      <c r="F1824" s="131"/>
      <c r="G1824" s="130"/>
      <c r="H1824" s="131"/>
      <c r="I1824" s="132"/>
      <c r="J1824" s="129"/>
      <c r="K1824" s="140"/>
      <c r="L1824" s="133"/>
      <c r="M1824" s="140"/>
      <c r="N1824" s="140"/>
      <c r="P1824" s="141"/>
    </row>
    <row r="1825" spans="1:16" x14ac:dyDescent="0.2">
      <c r="A1825" s="129"/>
      <c r="B1825" s="130"/>
      <c r="C1825" s="140"/>
      <c r="D1825" s="131"/>
      <c r="E1825" s="129"/>
      <c r="F1825" s="131"/>
      <c r="G1825" s="130"/>
      <c r="H1825" s="131"/>
      <c r="I1825" s="132"/>
      <c r="J1825" s="129"/>
      <c r="K1825" s="140"/>
      <c r="L1825" s="133"/>
      <c r="M1825" s="140"/>
      <c r="N1825" s="140"/>
      <c r="P1825" s="141"/>
    </row>
    <row r="1826" spans="1:16" x14ac:dyDescent="0.2">
      <c r="A1826" s="129"/>
      <c r="B1826" s="130"/>
      <c r="C1826" s="140"/>
      <c r="D1826" s="131"/>
      <c r="E1826" s="129"/>
      <c r="F1826" s="131"/>
      <c r="G1826" s="130"/>
      <c r="H1826" s="131"/>
      <c r="I1826" s="132"/>
      <c r="J1826" s="129"/>
      <c r="K1826" s="140"/>
      <c r="L1826" s="133"/>
      <c r="M1826" s="140"/>
      <c r="N1826" s="140"/>
      <c r="P1826" s="141"/>
    </row>
    <row r="1827" spans="1:16" x14ac:dyDescent="0.2">
      <c r="A1827" s="129"/>
      <c r="B1827" s="130"/>
      <c r="C1827" s="140"/>
      <c r="D1827" s="131"/>
      <c r="E1827" s="129"/>
      <c r="F1827" s="131"/>
      <c r="G1827" s="130"/>
      <c r="H1827" s="131"/>
      <c r="I1827" s="132"/>
      <c r="J1827" s="129"/>
      <c r="K1827" s="140"/>
      <c r="L1827" s="133"/>
      <c r="M1827" s="140"/>
      <c r="N1827" s="140"/>
      <c r="P1827" s="141"/>
    </row>
    <row r="1828" spans="1:16" x14ac:dyDescent="0.2">
      <c r="A1828" s="129"/>
      <c r="B1828" s="130"/>
      <c r="C1828" s="140"/>
      <c r="D1828" s="131"/>
      <c r="E1828" s="129"/>
      <c r="F1828" s="131"/>
      <c r="G1828" s="130"/>
      <c r="H1828" s="131"/>
      <c r="I1828" s="132"/>
      <c r="J1828" s="129"/>
      <c r="K1828" s="140"/>
      <c r="L1828" s="133"/>
      <c r="M1828" s="140"/>
      <c r="N1828" s="140"/>
      <c r="P1828" s="141"/>
    </row>
    <row r="1829" spans="1:16" x14ac:dyDescent="0.2">
      <c r="A1829" s="129"/>
      <c r="B1829" s="130"/>
      <c r="C1829" s="140"/>
      <c r="D1829" s="131"/>
      <c r="E1829" s="129"/>
      <c r="F1829" s="131"/>
      <c r="G1829" s="130"/>
      <c r="H1829" s="131"/>
      <c r="I1829" s="132"/>
      <c r="J1829" s="129"/>
      <c r="K1829" s="140"/>
      <c r="L1829" s="133"/>
      <c r="M1829" s="140"/>
      <c r="N1829" s="140"/>
      <c r="P1829" s="141"/>
    </row>
    <row r="1830" spans="1:16" x14ac:dyDescent="0.2">
      <c r="A1830" s="129"/>
      <c r="B1830" s="130"/>
      <c r="C1830" s="140"/>
      <c r="D1830" s="131"/>
      <c r="E1830" s="129"/>
      <c r="F1830" s="131"/>
      <c r="G1830" s="130"/>
      <c r="H1830" s="131"/>
      <c r="I1830" s="132"/>
      <c r="J1830" s="129"/>
      <c r="K1830" s="140"/>
      <c r="L1830" s="133"/>
      <c r="M1830" s="140"/>
      <c r="N1830" s="140"/>
      <c r="P1830" s="141"/>
    </row>
    <row r="1831" spans="1:16" x14ac:dyDescent="0.2">
      <c r="A1831" s="129"/>
      <c r="B1831" s="130"/>
      <c r="C1831" s="140"/>
      <c r="D1831" s="131"/>
      <c r="E1831" s="129"/>
      <c r="F1831" s="131"/>
      <c r="G1831" s="130"/>
      <c r="H1831" s="131"/>
      <c r="I1831" s="132"/>
      <c r="J1831" s="129"/>
      <c r="K1831" s="140"/>
      <c r="L1831" s="133"/>
      <c r="M1831" s="140"/>
      <c r="N1831" s="140"/>
      <c r="P1831" s="141"/>
    </row>
    <row r="1832" spans="1:16" x14ac:dyDescent="0.2">
      <c r="A1832" s="129"/>
      <c r="B1832" s="130"/>
      <c r="C1832" s="140"/>
      <c r="D1832" s="131"/>
      <c r="E1832" s="129"/>
      <c r="F1832" s="131"/>
      <c r="G1832" s="130"/>
      <c r="H1832" s="131"/>
      <c r="I1832" s="132"/>
      <c r="J1832" s="129"/>
      <c r="K1832" s="140"/>
      <c r="L1832" s="133"/>
      <c r="M1832" s="140"/>
      <c r="N1832" s="140"/>
      <c r="P1832" s="141"/>
    </row>
    <row r="1833" spans="1:16" x14ac:dyDescent="0.2">
      <c r="A1833" s="129"/>
      <c r="B1833" s="130"/>
      <c r="C1833" s="140"/>
      <c r="D1833" s="131"/>
      <c r="E1833" s="129"/>
      <c r="F1833" s="131"/>
      <c r="G1833" s="130"/>
      <c r="H1833" s="131"/>
      <c r="I1833" s="132"/>
      <c r="J1833" s="129"/>
      <c r="K1833" s="140"/>
      <c r="L1833" s="133"/>
      <c r="M1833" s="140"/>
      <c r="N1833" s="140"/>
      <c r="P1833" s="141"/>
    </row>
    <row r="1834" spans="1:16" x14ac:dyDescent="0.2">
      <c r="A1834" s="129"/>
      <c r="B1834" s="130"/>
      <c r="C1834" s="140"/>
      <c r="D1834" s="131"/>
      <c r="E1834" s="129"/>
      <c r="F1834" s="131"/>
      <c r="G1834" s="130"/>
      <c r="H1834" s="131"/>
      <c r="I1834" s="132"/>
      <c r="J1834" s="129"/>
      <c r="K1834" s="140"/>
      <c r="L1834" s="133"/>
      <c r="M1834" s="140"/>
      <c r="N1834" s="140"/>
      <c r="P1834" s="141"/>
    </row>
    <row r="1835" spans="1:16" x14ac:dyDescent="0.2">
      <c r="A1835" s="129"/>
      <c r="B1835" s="130"/>
      <c r="C1835" s="140"/>
      <c r="D1835" s="131"/>
      <c r="E1835" s="129"/>
      <c r="F1835" s="131"/>
      <c r="G1835" s="130"/>
      <c r="H1835" s="131"/>
      <c r="I1835" s="132"/>
      <c r="J1835" s="129"/>
      <c r="K1835" s="140"/>
      <c r="L1835" s="133"/>
      <c r="M1835" s="140"/>
      <c r="N1835" s="140"/>
      <c r="P1835" s="141"/>
    </row>
    <row r="1836" spans="1:16" x14ac:dyDescent="0.2">
      <c r="A1836" s="129"/>
      <c r="B1836" s="130"/>
      <c r="C1836" s="140"/>
      <c r="D1836" s="131"/>
      <c r="E1836" s="129"/>
      <c r="F1836" s="131"/>
      <c r="G1836" s="130"/>
      <c r="H1836" s="131"/>
      <c r="I1836" s="132"/>
      <c r="J1836" s="129"/>
      <c r="K1836" s="140"/>
      <c r="L1836" s="133"/>
      <c r="M1836" s="140"/>
      <c r="N1836" s="140"/>
      <c r="P1836" s="141"/>
    </row>
    <row r="1837" spans="1:16" x14ac:dyDescent="0.2">
      <c r="A1837" s="129"/>
      <c r="B1837" s="130"/>
      <c r="C1837" s="140"/>
      <c r="D1837" s="131"/>
      <c r="E1837" s="129"/>
      <c r="F1837" s="131"/>
      <c r="G1837" s="130"/>
      <c r="H1837" s="131"/>
      <c r="I1837" s="132"/>
      <c r="J1837" s="129"/>
      <c r="K1837" s="140"/>
      <c r="L1837" s="133"/>
      <c r="M1837" s="140"/>
      <c r="N1837" s="140"/>
      <c r="P1837" s="141"/>
    </row>
    <row r="1838" spans="1:16" x14ac:dyDescent="0.2">
      <c r="A1838" s="129"/>
      <c r="B1838" s="130"/>
      <c r="C1838" s="140"/>
      <c r="D1838" s="131"/>
      <c r="E1838" s="129"/>
      <c r="F1838" s="131"/>
      <c r="G1838" s="130"/>
      <c r="H1838" s="131"/>
      <c r="I1838" s="132"/>
      <c r="J1838" s="129"/>
      <c r="K1838" s="140"/>
      <c r="L1838" s="133"/>
      <c r="M1838" s="140"/>
      <c r="N1838" s="140"/>
      <c r="P1838" s="141"/>
    </row>
    <row r="1839" spans="1:16" x14ac:dyDescent="0.2">
      <c r="A1839" s="129"/>
      <c r="B1839" s="130"/>
      <c r="C1839" s="140"/>
      <c r="D1839" s="131"/>
      <c r="E1839" s="129"/>
      <c r="F1839" s="131"/>
      <c r="G1839" s="130"/>
      <c r="H1839" s="131"/>
      <c r="I1839" s="132"/>
      <c r="J1839" s="129"/>
      <c r="K1839" s="140"/>
      <c r="L1839" s="133"/>
      <c r="M1839" s="140"/>
      <c r="N1839" s="140"/>
      <c r="P1839" s="141"/>
    </row>
    <row r="1840" spans="1:16" x14ac:dyDescent="0.2">
      <c r="A1840" s="129"/>
      <c r="B1840" s="130"/>
      <c r="C1840" s="140"/>
      <c r="D1840" s="131"/>
      <c r="E1840" s="129"/>
      <c r="F1840" s="131"/>
      <c r="G1840" s="130"/>
      <c r="H1840" s="131"/>
      <c r="I1840" s="132"/>
      <c r="J1840" s="129"/>
      <c r="K1840" s="140"/>
      <c r="L1840" s="133"/>
      <c r="M1840" s="140"/>
      <c r="N1840" s="140"/>
      <c r="P1840" s="141"/>
    </row>
    <row r="1841" spans="1:16" x14ac:dyDescent="0.2">
      <c r="A1841" s="129"/>
      <c r="B1841" s="130"/>
      <c r="C1841" s="140"/>
      <c r="D1841" s="131"/>
      <c r="E1841" s="129"/>
      <c r="F1841" s="131"/>
      <c r="G1841" s="130"/>
      <c r="H1841" s="131"/>
      <c r="I1841" s="132"/>
      <c r="J1841" s="129"/>
      <c r="K1841" s="140"/>
      <c r="L1841" s="133"/>
      <c r="M1841" s="140"/>
      <c r="N1841" s="140"/>
      <c r="P1841" s="141"/>
    </row>
    <row r="1842" spans="1:16" x14ac:dyDescent="0.2">
      <c r="A1842" s="129"/>
      <c r="B1842" s="130"/>
      <c r="C1842" s="140"/>
      <c r="D1842" s="131"/>
      <c r="E1842" s="129"/>
      <c r="F1842" s="131"/>
      <c r="G1842" s="130"/>
      <c r="H1842" s="131"/>
      <c r="I1842" s="132"/>
      <c r="J1842" s="129"/>
      <c r="K1842" s="140"/>
      <c r="L1842" s="133"/>
      <c r="M1842" s="140"/>
      <c r="N1842" s="140"/>
      <c r="P1842" s="141"/>
    </row>
    <row r="1843" spans="1:16" x14ac:dyDescent="0.2">
      <c r="A1843" s="129"/>
      <c r="B1843" s="130"/>
      <c r="C1843" s="140"/>
      <c r="D1843" s="131"/>
      <c r="E1843" s="129"/>
      <c r="F1843" s="131"/>
      <c r="G1843" s="130"/>
      <c r="H1843" s="131"/>
      <c r="I1843" s="132"/>
      <c r="J1843" s="129"/>
      <c r="K1843" s="140"/>
      <c r="L1843" s="133"/>
      <c r="M1843" s="140"/>
      <c r="N1843" s="140"/>
      <c r="P1843" s="141"/>
    </row>
    <row r="1844" spans="1:16" x14ac:dyDescent="0.2">
      <c r="A1844" s="129"/>
      <c r="B1844" s="130"/>
      <c r="C1844" s="140"/>
      <c r="D1844" s="131"/>
      <c r="E1844" s="129"/>
      <c r="F1844" s="131"/>
      <c r="G1844" s="130"/>
      <c r="H1844" s="131"/>
      <c r="I1844" s="132"/>
      <c r="J1844" s="129"/>
      <c r="K1844" s="140"/>
      <c r="L1844" s="133"/>
      <c r="M1844" s="140"/>
      <c r="N1844" s="140"/>
      <c r="P1844" s="141"/>
    </row>
    <row r="1845" spans="1:16" x14ac:dyDescent="0.2">
      <c r="A1845" s="129"/>
      <c r="B1845" s="130"/>
      <c r="C1845" s="140"/>
      <c r="D1845" s="131"/>
      <c r="E1845" s="129"/>
      <c r="F1845" s="131"/>
      <c r="G1845" s="130"/>
      <c r="H1845" s="131"/>
      <c r="I1845" s="132"/>
      <c r="J1845" s="129"/>
      <c r="K1845" s="140"/>
      <c r="L1845" s="133"/>
      <c r="M1845" s="140"/>
      <c r="N1845" s="140"/>
      <c r="P1845" s="141"/>
    </row>
    <row r="1846" spans="1:16" x14ac:dyDescent="0.2">
      <c r="A1846" s="129"/>
      <c r="B1846" s="130"/>
      <c r="C1846" s="140"/>
      <c r="D1846" s="131"/>
      <c r="E1846" s="129"/>
      <c r="F1846" s="131"/>
      <c r="G1846" s="130"/>
      <c r="H1846" s="131"/>
      <c r="I1846" s="132"/>
      <c r="J1846" s="129"/>
      <c r="K1846" s="140"/>
      <c r="L1846" s="133"/>
      <c r="M1846" s="140"/>
      <c r="N1846" s="140"/>
      <c r="P1846" s="141"/>
    </row>
    <row r="1847" spans="1:16" x14ac:dyDescent="0.2">
      <c r="A1847" s="129"/>
      <c r="B1847" s="130"/>
      <c r="C1847" s="140"/>
      <c r="D1847" s="131"/>
      <c r="E1847" s="129"/>
      <c r="F1847" s="131"/>
      <c r="G1847" s="130"/>
      <c r="H1847" s="131"/>
      <c r="I1847" s="132"/>
      <c r="J1847" s="129"/>
      <c r="K1847" s="140"/>
      <c r="L1847" s="133"/>
      <c r="M1847" s="140"/>
      <c r="N1847" s="140"/>
      <c r="P1847" s="141"/>
    </row>
    <row r="1848" spans="1:16" x14ac:dyDescent="0.2">
      <c r="A1848" s="129"/>
      <c r="B1848" s="130"/>
      <c r="C1848" s="140"/>
      <c r="D1848" s="131"/>
      <c r="E1848" s="129"/>
      <c r="F1848" s="131"/>
      <c r="G1848" s="130"/>
      <c r="H1848" s="131"/>
      <c r="I1848" s="132"/>
      <c r="J1848" s="129"/>
      <c r="K1848" s="140"/>
      <c r="L1848" s="133"/>
      <c r="M1848" s="140"/>
      <c r="N1848" s="140"/>
      <c r="P1848" s="141"/>
    </row>
    <row r="1849" spans="1:16" x14ac:dyDescent="0.2">
      <c r="A1849" s="129"/>
      <c r="B1849" s="130"/>
      <c r="C1849" s="140"/>
      <c r="D1849" s="131"/>
      <c r="E1849" s="129"/>
      <c r="F1849" s="131"/>
      <c r="G1849" s="130"/>
      <c r="H1849" s="131"/>
      <c r="I1849" s="132"/>
      <c r="J1849" s="129"/>
      <c r="K1849" s="140"/>
      <c r="L1849" s="133"/>
      <c r="M1849" s="140"/>
      <c r="N1849" s="140"/>
      <c r="P1849" s="141"/>
    </row>
    <row r="1850" spans="1:16" x14ac:dyDescent="0.2">
      <c r="A1850" s="129"/>
      <c r="B1850" s="130"/>
      <c r="C1850" s="140"/>
      <c r="D1850" s="131"/>
      <c r="E1850" s="129"/>
      <c r="F1850" s="131"/>
      <c r="G1850" s="130"/>
      <c r="H1850" s="131"/>
      <c r="I1850" s="132"/>
      <c r="J1850" s="129"/>
      <c r="K1850" s="140"/>
      <c r="L1850" s="133"/>
      <c r="M1850" s="140"/>
      <c r="N1850" s="140"/>
      <c r="P1850" s="141"/>
    </row>
    <row r="1851" spans="1:16" x14ac:dyDescent="0.2">
      <c r="A1851" s="129"/>
      <c r="B1851" s="130"/>
      <c r="C1851" s="140"/>
      <c r="D1851" s="131"/>
      <c r="E1851" s="129"/>
      <c r="F1851" s="131"/>
      <c r="G1851" s="130"/>
      <c r="H1851" s="131"/>
      <c r="I1851" s="132"/>
      <c r="J1851" s="129"/>
      <c r="K1851" s="140"/>
      <c r="L1851" s="133"/>
      <c r="M1851" s="140"/>
      <c r="N1851" s="140"/>
      <c r="P1851" s="141"/>
    </row>
    <row r="1852" spans="1:16" x14ac:dyDescent="0.2">
      <c r="A1852" s="129"/>
      <c r="B1852" s="130"/>
      <c r="C1852" s="140"/>
      <c r="D1852" s="131"/>
      <c r="E1852" s="129"/>
      <c r="F1852" s="131"/>
      <c r="G1852" s="130"/>
      <c r="H1852" s="131"/>
      <c r="I1852" s="132"/>
      <c r="J1852" s="129"/>
      <c r="K1852" s="140"/>
      <c r="L1852" s="133"/>
      <c r="M1852" s="140"/>
      <c r="N1852" s="140"/>
      <c r="P1852" s="141"/>
    </row>
    <row r="1853" spans="1:16" x14ac:dyDescent="0.2">
      <c r="A1853" s="129"/>
      <c r="B1853" s="130"/>
      <c r="C1853" s="140"/>
      <c r="D1853" s="131"/>
      <c r="E1853" s="129"/>
      <c r="F1853" s="131"/>
      <c r="G1853" s="130"/>
      <c r="H1853" s="131"/>
      <c r="I1853" s="132"/>
      <c r="J1853" s="129"/>
      <c r="K1853" s="140"/>
      <c r="L1853" s="133"/>
      <c r="M1853" s="140"/>
      <c r="N1853" s="140"/>
      <c r="P1853" s="141"/>
    </row>
    <row r="1854" spans="1:16" x14ac:dyDescent="0.2">
      <c r="A1854" s="129"/>
      <c r="B1854" s="130"/>
      <c r="C1854" s="140"/>
      <c r="D1854" s="131"/>
      <c r="E1854" s="129"/>
      <c r="F1854" s="131"/>
      <c r="G1854" s="130"/>
      <c r="H1854" s="131"/>
      <c r="I1854" s="132"/>
      <c r="J1854" s="129"/>
      <c r="K1854" s="140"/>
      <c r="L1854" s="133"/>
      <c r="M1854" s="140"/>
      <c r="N1854" s="140"/>
      <c r="P1854" s="141"/>
    </row>
    <row r="1855" spans="1:16" x14ac:dyDescent="0.2">
      <c r="A1855" s="129"/>
      <c r="B1855" s="130"/>
      <c r="C1855" s="140"/>
      <c r="D1855" s="131"/>
      <c r="E1855" s="129"/>
      <c r="F1855" s="131"/>
      <c r="G1855" s="130"/>
      <c r="H1855" s="131"/>
      <c r="I1855" s="132"/>
      <c r="J1855" s="129"/>
      <c r="K1855" s="140"/>
      <c r="L1855" s="133"/>
      <c r="M1855" s="140"/>
      <c r="N1855" s="140"/>
      <c r="P1855" s="141"/>
    </row>
    <row r="1856" spans="1:16" x14ac:dyDescent="0.2">
      <c r="A1856" s="129"/>
      <c r="B1856" s="130"/>
      <c r="C1856" s="140"/>
      <c r="D1856" s="131"/>
      <c r="E1856" s="129"/>
      <c r="F1856" s="131"/>
      <c r="G1856" s="130"/>
      <c r="H1856" s="131"/>
      <c r="I1856" s="132"/>
      <c r="J1856" s="129"/>
      <c r="K1856" s="140"/>
      <c r="L1856" s="133"/>
      <c r="M1856" s="140"/>
      <c r="N1856" s="140"/>
      <c r="P1856" s="141"/>
    </row>
    <row r="1857" spans="1:16" x14ac:dyDescent="0.2">
      <c r="A1857" s="129"/>
      <c r="B1857" s="130"/>
      <c r="C1857" s="140"/>
      <c r="D1857" s="131"/>
      <c r="E1857" s="129"/>
      <c r="F1857" s="131"/>
      <c r="G1857" s="130"/>
      <c r="H1857" s="131"/>
      <c r="I1857" s="132"/>
      <c r="J1857" s="129"/>
      <c r="K1857" s="140"/>
      <c r="L1857" s="133"/>
      <c r="M1857" s="140"/>
      <c r="N1857" s="140"/>
      <c r="P1857" s="141"/>
    </row>
    <row r="1858" spans="1:16" x14ac:dyDescent="0.2">
      <c r="A1858" s="129"/>
      <c r="B1858" s="130"/>
      <c r="C1858" s="140"/>
      <c r="D1858" s="131"/>
      <c r="E1858" s="129"/>
      <c r="F1858" s="131"/>
      <c r="G1858" s="130"/>
      <c r="H1858" s="131"/>
      <c r="I1858" s="132"/>
      <c r="J1858" s="129"/>
      <c r="K1858" s="140"/>
      <c r="L1858" s="133"/>
      <c r="M1858" s="140"/>
      <c r="N1858" s="140"/>
      <c r="P1858" s="141"/>
    </row>
    <row r="1859" spans="1:16" x14ac:dyDescent="0.2">
      <c r="A1859" s="129"/>
      <c r="B1859" s="130"/>
      <c r="C1859" s="140"/>
      <c r="D1859" s="131"/>
      <c r="E1859" s="129"/>
      <c r="F1859" s="131"/>
      <c r="G1859" s="130"/>
      <c r="H1859" s="131"/>
      <c r="I1859" s="132"/>
      <c r="J1859" s="129"/>
      <c r="K1859" s="140"/>
      <c r="L1859" s="133"/>
      <c r="M1859" s="140"/>
      <c r="N1859" s="140"/>
      <c r="P1859" s="141"/>
    </row>
    <row r="1860" spans="1:16" x14ac:dyDescent="0.2">
      <c r="A1860" s="129"/>
      <c r="B1860" s="130"/>
      <c r="C1860" s="140"/>
      <c r="D1860" s="131"/>
      <c r="E1860" s="129"/>
      <c r="F1860" s="131"/>
      <c r="G1860" s="130"/>
      <c r="H1860" s="131"/>
      <c r="I1860" s="132"/>
      <c r="J1860" s="129"/>
      <c r="K1860" s="140"/>
      <c r="L1860" s="133"/>
      <c r="M1860" s="140"/>
      <c r="N1860" s="140"/>
      <c r="P1860" s="141"/>
    </row>
    <row r="1861" spans="1:16" x14ac:dyDescent="0.2">
      <c r="A1861" s="129"/>
      <c r="B1861" s="130"/>
      <c r="C1861" s="140"/>
      <c r="D1861" s="131"/>
      <c r="E1861" s="129"/>
      <c r="F1861" s="131"/>
      <c r="G1861" s="130"/>
      <c r="H1861" s="131"/>
      <c r="I1861" s="132"/>
      <c r="J1861" s="129"/>
      <c r="K1861" s="140"/>
      <c r="L1861" s="133"/>
      <c r="M1861" s="140"/>
      <c r="N1861" s="140"/>
      <c r="P1861" s="141"/>
    </row>
    <row r="1862" spans="1:16" x14ac:dyDescent="0.2">
      <c r="A1862" s="129"/>
      <c r="B1862" s="130"/>
      <c r="C1862" s="140"/>
      <c r="D1862" s="131"/>
      <c r="E1862" s="129"/>
      <c r="F1862" s="131"/>
      <c r="G1862" s="130"/>
      <c r="H1862" s="131"/>
      <c r="I1862" s="132"/>
      <c r="J1862" s="129"/>
      <c r="K1862" s="140"/>
      <c r="L1862" s="133"/>
      <c r="M1862" s="140"/>
      <c r="N1862" s="140"/>
      <c r="P1862" s="141"/>
    </row>
    <row r="1863" spans="1:16" x14ac:dyDescent="0.2">
      <c r="A1863" s="129"/>
      <c r="B1863" s="130"/>
      <c r="C1863" s="140"/>
      <c r="D1863" s="131"/>
      <c r="E1863" s="129"/>
      <c r="F1863" s="131"/>
      <c r="G1863" s="130"/>
      <c r="H1863" s="131"/>
      <c r="I1863" s="132"/>
      <c r="J1863" s="129"/>
      <c r="K1863" s="140"/>
      <c r="L1863" s="133"/>
      <c r="M1863" s="140"/>
      <c r="N1863" s="140"/>
      <c r="P1863" s="141"/>
    </row>
    <row r="1864" spans="1:16" x14ac:dyDescent="0.2">
      <c r="A1864" s="129"/>
      <c r="B1864" s="130"/>
      <c r="C1864" s="140"/>
      <c r="D1864" s="131"/>
      <c r="E1864" s="129"/>
      <c r="F1864" s="131"/>
      <c r="G1864" s="130"/>
      <c r="H1864" s="131"/>
      <c r="I1864" s="132"/>
      <c r="J1864" s="129"/>
      <c r="K1864" s="140"/>
      <c r="L1864" s="133"/>
      <c r="M1864" s="140"/>
      <c r="N1864" s="140"/>
      <c r="P1864" s="141"/>
    </row>
    <row r="1865" spans="1:16" x14ac:dyDescent="0.2">
      <c r="A1865" s="129"/>
      <c r="B1865" s="130"/>
      <c r="C1865" s="140"/>
      <c r="D1865" s="131"/>
      <c r="E1865" s="129"/>
      <c r="F1865" s="131"/>
      <c r="G1865" s="130"/>
      <c r="H1865" s="131"/>
      <c r="I1865" s="132"/>
      <c r="J1865" s="129"/>
      <c r="K1865" s="140"/>
      <c r="L1865" s="133"/>
      <c r="M1865" s="140"/>
      <c r="N1865" s="140"/>
      <c r="P1865" s="141"/>
    </row>
    <row r="1866" spans="1:16" x14ac:dyDescent="0.2">
      <c r="A1866" s="129"/>
      <c r="B1866" s="130"/>
      <c r="C1866" s="140"/>
      <c r="D1866" s="131"/>
      <c r="E1866" s="129"/>
      <c r="F1866" s="131"/>
      <c r="G1866" s="130"/>
      <c r="H1866" s="131"/>
      <c r="I1866" s="132"/>
      <c r="J1866" s="129"/>
      <c r="K1866" s="140"/>
      <c r="L1866" s="133"/>
      <c r="M1866" s="140"/>
      <c r="N1866" s="140"/>
      <c r="P1866" s="141"/>
    </row>
    <row r="1867" spans="1:16" x14ac:dyDescent="0.2">
      <c r="A1867" s="129"/>
      <c r="B1867" s="130"/>
      <c r="C1867" s="140"/>
      <c r="D1867" s="131"/>
      <c r="E1867" s="129"/>
      <c r="F1867" s="131"/>
      <c r="G1867" s="130"/>
      <c r="H1867" s="131"/>
      <c r="I1867" s="132"/>
      <c r="J1867" s="129"/>
      <c r="K1867" s="140"/>
      <c r="L1867" s="133"/>
      <c r="M1867" s="140"/>
      <c r="N1867" s="140"/>
      <c r="P1867" s="141"/>
    </row>
    <row r="1868" spans="1:16" x14ac:dyDescent="0.2">
      <c r="A1868" s="129"/>
      <c r="B1868" s="130"/>
      <c r="C1868" s="140"/>
      <c r="D1868" s="131"/>
      <c r="E1868" s="129"/>
      <c r="F1868" s="131"/>
      <c r="G1868" s="130"/>
      <c r="H1868" s="131"/>
      <c r="I1868" s="132"/>
      <c r="J1868" s="129"/>
      <c r="K1868" s="140"/>
      <c r="L1868" s="133"/>
      <c r="M1868" s="140"/>
      <c r="N1868" s="140"/>
      <c r="P1868" s="141"/>
    </row>
    <row r="1869" spans="1:16" x14ac:dyDescent="0.2">
      <c r="A1869" s="129"/>
      <c r="B1869" s="130"/>
      <c r="C1869" s="140"/>
      <c r="D1869" s="131"/>
      <c r="E1869" s="129"/>
      <c r="F1869" s="131"/>
      <c r="G1869" s="130"/>
      <c r="H1869" s="131"/>
      <c r="I1869" s="132"/>
      <c r="J1869" s="129"/>
      <c r="K1869" s="140"/>
      <c r="L1869" s="133"/>
      <c r="M1869" s="140"/>
      <c r="N1869" s="140"/>
      <c r="P1869" s="141"/>
    </row>
    <row r="1870" spans="1:16" x14ac:dyDescent="0.2">
      <c r="A1870" s="129"/>
      <c r="B1870" s="130"/>
      <c r="C1870" s="140"/>
      <c r="D1870" s="131"/>
      <c r="E1870" s="129"/>
      <c r="F1870" s="131"/>
      <c r="G1870" s="130"/>
      <c r="H1870" s="131"/>
      <c r="I1870" s="132"/>
      <c r="J1870" s="129"/>
      <c r="K1870" s="140"/>
      <c r="L1870" s="133"/>
      <c r="M1870" s="140"/>
      <c r="N1870" s="140"/>
      <c r="P1870" s="141"/>
    </row>
    <row r="1871" spans="1:16" x14ac:dyDescent="0.2">
      <c r="A1871" s="129"/>
      <c r="B1871" s="130"/>
      <c r="C1871" s="140"/>
      <c r="D1871" s="131"/>
      <c r="E1871" s="129"/>
      <c r="F1871" s="131"/>
      <c r="G1871" s="130"/>
      <c r="H1871" s="131"/>
      <c r="I1871" s="132"/>
      <c r="J1871" s="129"/>
      <c r="K1871" s="140"/>
      <c r="L1871" s="133"/>
      <c r="M1871" s="140"/>
      <c r="N1871" s="140"/>
      <c r="P1871" s="141"/>
    </row>
    <row r="1872" spans="1:16" x14ac:dyDescent="0.2">
      <c r="A1872" s="129"/>
      <c r="B1872" s="130"/>
      <c r="C1872" s="140"/>
      <c r="D1872" s="131"/>
      <c r="E1872" s="129"/>
      <c r="F1872" s="131"/>
      <c r="G1872" s="130"/>
      <c r="H1872" s="131"/>
      <c r="I1872" s="132"/>
      <c r="J1872" s="129"/>
      <c r="K1872" s="140"/>
      <c r="L1872" s="133"/>
      <c r="M1872" s="140"/>
      <c r="N1872" s="140"/>
      <c r="P1872" s="141"/>
    </row>
    <row r="1873" spans="1:16" x14ac:dyDescent="0.2">
      <c r="A1873" s="129"/>
      <c r="B1873" s="130"/>
      <c r="C1873" s="140"/>
      <c r="D1873" s="131"/>
      <c r="E1873" s="129"/>
      <c r="F1873" s="131"/>
      <c r="G1873" s="130"/>
      <c r="H1873" s="131"/>
      <c r="I1873" s="132"/>
      <c r="J1873" s="129"/>
      <c r="K1873" s="140"/>
      <c r="L1873" s="133"/>
      <c r="M1873" s="140"/>
      <c r="N1873" s="140"/>
      <c r="P1873" s="141"/>
    </row>
    <row r="1874" spans="1:16" x14ac:dyDescent="0.2">
      <c r="A1874" s="129"/>
      <c r="B1874" s="130"/>
      <c r="C1874" s="140"/>
      <c r="D1874" s="131"/>
      <c r="E1874" s="129"/>
      <c r="F1874" s="131"/>
      <c r="G1874" s="130"/>
      <c r="H1874" s="131"/>
      <c r="I1874" s="132"/>
      <c r="J1874" s="129"/>
      <c r="K1874" s="140"/>
      <c r="L1874" s="133"/>
      <c r="M1874" s="140"/>
      <c r="N1874" s="140"/>
      <c r="P1874" s="141"/>
    </row>
    <row r="1875" spans="1:16" x14ac:dyDescent="0.2">
      <c r="A1875" s="129"/>
      <c r="B1875" s="130"/>
      <c r="C1875" s="140"/>
      <c r="D1875" s="131"/>
      <c r="E1875" s="129"/>
      <c r="F1875" s="131"/>
      <c r="G1875" s="130"/>
      <c r="H1875" s="131"/>
      <c r="I1875" s="132"/>
      <c r="J1875" s="129"/>
      <c r="K1875" s="140"/>
      <c r="L1875" s="133"/>
      <c r="M1875" s="140"/>
      <c r="N1875" s="140"/>
      <c r="P1875" s="141"/>
    </row>
    <row r="1876" spans="1:16" x14ac:dyDescent="0.2">
      <c r="A1876" s="129"/>
      <c r="B1876" s="130"/>
      <c r="C1876" s="140"/>
      <c r="D1876" s="131"/>
      <c r="E1876" s="129"/>
      <c r="F1876" s="131"/>
      <c r="G1876" s="130"/>
      <c r="H1876" s="131"/>
      <c r="I1876" s="132"/>
      <c r="J1876" s="129"/>
      <c r="K1876" s="140"/>
      <c r="L1876" s="133"/>
      <c r="M1876" s="140"/>
      <c r="N1876" s="140"/>
      <c r="P1876" s="141"/>
    </row>
    <row r="1877" spans="1:16" x14ac:dyDescent="0.2">
      <c r="A1877" s="129"/>
      <c r="B1877" s="130"/>
      <c r="C1877" s="140"/>
      <c r="D1877" s="131"/>
      <c r="E1877" s="129"/>
      <c r="F1877" s="131"/>
      <c r="G1877" s="130"/>
      <c r="H1877" s="131"/>
      <c r="I1877" s="132"/>
      <c r="J1877" s="129"/>
      <c r="K1877" s="140"/>
      <c r="L1877" s="133"/>
      <c r="M1877" s="140"/>
      <c r="N1877" s="140"/>
      <c r="P1877" s="141"/>
    </row>
    <row r="1878" spans="1:16" x14ac:dyDescent="0.2">
      <c r="A1878" s="129"/>
      <c r="B1878" s="130"/>
      <c r="C1878" s="140"/>
      <c r="D1878" s="131"/>
      <c r="E1878" s="129"/>
      <c r="F1878" s="131"/>
      <c r="G1878" s="130"/>
      <c r="H1878" s="131"/>
      <c r="I1878" s="132"/>
      <c r="J1878" s="129"/>
      <c r="K1878" s="140"/>
      <c r="L1878" s="133"/>
      <c r="M1878" s="140"/>
      <c r="N1878" s="140"/>
      <c r="P1878" s="141"/>
    </row>
    <row r="1879" spans="1:16" x14ac:dyDescent="0.2">
      <c r="A1879" s="129"/>
      <c r="B1879" s="130"/>
      <c r="C1879" s="140"/>
      <c r="D1879" s="131"/>
      <c r="E1879" s="129"/>
      <c r="F1879" s="131"/>
      <c r="G1879" s="130"/>
      <c r="H1879" s="131"/>
      <c r="I1879" s="132"/>
      <c r="J1879" s="129"/>
      <c r="K1879" s="140"/>
      <c r="L1879" s="133"/>
      <c r="M1879" s="140"/>
      <c r="N1879" s="140"/>
      <c r="P1879" s="141"/>
    </row>
    <row r="1880" spans="1:16" x14ac:dyDescent="0.2">
      <c r="A1880" s="129"/>
      <c r="B1880" s="130"/>
      <c r="C1880" s="140"/>
      <c r="D1880" s="131"/>
      <c r="E1880" s="129"/>
      <c r="F1880" s="131"/>
      <c r="G1880" s="130"/>
      <c r="H1880" s="131"/>
      <c r="I1880" s="132"/>
      <c r="J1880" s="129"/>
      <c r="K1880" s="140"/>
      <c r="L1880" s="133"/>
      <c r="M1880" s="140"/>
      <c r="N1880" s="140"/>
      <c r="P1880" s="141"/>
    </row>
    <row r="1881" spans="1:16" x14ac:dyDescent="0.2">
      <c r="A1881" s="129"/>
      <c r="B1881" s="130"/>
      <c r="C1881" s="140"/>
      <c r="D1881" s="131"/>
      <c r="E1881" s="129"/>
      <c r="F1881" s="131"/>
      <c r="G1881" s="130"/>
      <c r="H1881" s="131"/>
      <c r="I1881" s="132"/>
      <c r="J1881" s="129"/>
      <c r="K1881" s="140"/>
      <c r="L1881" s="133"/>
      <c r="M1881" s="140"/>
      <c r="N1881" s="140"/>
      <c r="P1881" s="141"/>
    </row>
    <row r="1882" spans="1:16" x14ac:dyDescent="0.2">
      <c r="A1882" s="129"/>
      <c r="B1882" s="130"/>
      <c r="C1882" s="140"/>
      <c r="D1882" s="131"/>
      <c r="E1882" s="129"/>
      <c r="F1882" s="131"/>
      <c r="G1882" s="130"/>
      <c r="H1882" s="131"/>
      <c r="I1882" s="132"/>
      <c r="J1882" s="129"/>
      <c r="K1882" s="140"/>
      <c r="L1882" s="133"/>
      <c r="M1882" s="140"/>
      <c r="N1882" s="140"/>
      <c r="P1882" s="141"/>
    </row>
    <row r="1883" spans="1:16" x14ac:dyDescent="0.2">
      <c r="A1883" s="129"/>
      <c r="B1883" s="130"/>
      <c r="C1883" s="140"/>
      <c r="D1883" s="131"/>
      <c r="E1883" s="129"/>
      <c r="F1883" s="131"/>
      <c r="G1883" s="130"/>
      <c r="H1883" s="131"/>
      <c r="I1883" s="132"/>
      <c r="J1883" s="129"/>
      <c r="K1883" s="140"/>
      <c r="L1883" s="133"/>
      <c r="M1883" s="140"/>
      <c r="N1883" s="140"/>
      <c r="P1883" s="141"/>
    </row>
    <row r="1884" spans="1:16" x14ac:dyDescent="0.2">
      <c r="A1884" s="129"/>
      <c r="B1884" s="130"/>
      <c r="C1884" s="140"/>
      <c r="D1884" s="131"/>
      <c r="E1884" s="129"/>
      <c r="F1884" s="131"/>
      <c r="G1884" s="130"/>
      <c r="H1884" s="131"/>
      <c r="I1884" s="132"/>
      <c r="J1884" s="129"/>
      <c r="K1884" s="140"/>
      <c r="L1884" s="133"/>
      <c r="M1884" s="140"/>
      <c r="N1884" s="140"/>
      <c r="P1884" s="141"/>
    </row>
    <row r="1885" spans="1:16" x14ac:dyDescent="0.2">
      <c r="A1885" s="129"/>
      <c r="B1885" s="130"/>
      <c r="C1885" s="140"/>
      <c r="D1885" s="131"/>
      <c r="E1885" s="129"/>
      <c r="F1885" s="131"/>
      <c r="G1885" s="130"/>
      <c r="H1885" s="131"/>
      <c r="I1885" s="132"/>
      <c r="J1885" s="129"/>
      <c r="K1885" s="140"/>
      <c r="L1885" s="133"/>
      <c r="M1885" s="140"/>
      <c r="N1885" s="140"/>
      <c r="P1885" s="141"/>
    </row>
    <row r="1886" spans="1:16" x14ac:dyDescent="0.2">
      <c r="A1886" s="129"/>
      <c r="B1886" s="130"/>
      <c r="C1886" s="140"/>
      <c r="D1886" s="131"/>
      <c r="E1886" s="129"/>
      <c r="F1886" s="131"/>
      <c r="G1886" s="130"/>
      <c r="H1886" s="131"/>
      <c r="I1886" s="132"/>
      <c r="J1886" s="129"/>
      <c r="K1886" s="140"/>
      <c r="L1886" s="133"/>
      <c r="M1886" s="140"/>
      <c r="N1886" s="140"/>
      <c r="P1886" s="141"/>
    </row>
    <row r="1887" spans="1:16" x14ac:dyDescent="0.2">
      <c r="A1887" s="129"/>
      <c r="B1887" s="130"/>
      <c r="C1887" s="140"/>
      <c r="D1887" s="131"/>
      <c r="E1887" s="129"/>
      <c r="F1887" s="131"/>
      <c r="G1887" s="130"/>
      <c r="H1887" s="131"/>
      <c r="I1887" s="132"/>
      <c r="J1887" s="129"/>
      <c r="K1887" s="140"/>
      <c r="L1887" s="133"/>
      <c r="M1887" s="140"/>
      <c r="N1887" s="140"/>
      <c r="P1887" s="141"/>
    </row>
    <row r="1888" spans="1:16" x14ac:dyDescent="0.2">
      <c r="A1888" s="129"/>
      <c r="B1888" s="130"/>
      <c r="C1888" s="140"/>
      <c r="D1888" s="131"/>
      <c r="E1888" s="129"/>
      <c r="F1888" s="131"/>
      <c r="G1888" s="130"/>
      <c r="H1888" s="131"/>
      <c r="I1888" s="132"/>
      <c r="J1888" s="129"/>
      <c r="K1888" s="140"/>
      <c r="L1888" s="133"/>
      <c r="M1888" s="140"/>
      <c r="N1888" s="140"/>
      <c r="P1888" s="141"/>
    </row>
    <row r="1889" spans="1:16" x14ac:dyDescent="0.2">
      <c r="A1889" s="129"/>
      <c r="B1889" s="130"/>
      <c r="C1889" s="140"/>
      <c r="D1889" s="131"/>
      <c r="E1889" s="129"/>
      <c r="F1889" s="131"/>
      <c r="G1889" s="130"/>
      <c r="H1889" s="131"/>
      <c r="I1889" s="132"/>
      <c r="J1889" s="129"/>
      <c r="K1889" s="140"/>
      <c r="L1889" s="133"/>
      <c r="M1889" s="140"/>
      <c r="N1889" s="140"/>
      <c r="P1889" s="141"/>
    </row>
    <row r="1890" spans="1:16" x14ac:dyDescent="0.2">
      <c r="A1890" s="129"/>
      <c r="B1890" s="130"/>
      <c r="C1890" s="140"/>
      <c r="D1890" s="131"/>
      <c r="E1890" s="129"/>
      <c r="F1890" s="131"/>
      <c r="G1890" s="130"/>
      <c r="H1890" s="131"/>
      <c r="I1890" s="132"/>
      <c r="J1890" s="129"/>
      <c r="K1890" s="140"/>
      <c r="L1890" s="133"/>
      <c r="M1890" s="140"/>
      <c r="N1890" s="140"/>
      <c r="P1890" s="141"/>
    </row>
    <row r="1891" spans="1:16" x14ac:dyDescent="0.2">
      <c r="A1891" s="129"/>
      <c r="B1891" s="130"/>
      <c r="C1891" s="140"/>
      <c r="D1891" s="131"/>
      <c r="E1891" s="129"/>
      <c r="F1891" s="131"/>
      <c r="G1891" s="130"/>
      <c r="H1891" s="131"/>
      <c r="I1891" s="132"/>
      <c r="J1891" s="129"/>
      <c r="K1891" s="140"/>
      <c r="L1891" s="133"/>
      <c r="M1891" s="140"/>
      <c r="N1891" s="140"/>
      <c r="P1891" s="141"/>
    </row>
    <row r="1892" spans="1:16" x14ac:dyDescent="0.2">
      <c r="A1892" s="129"/>
      <c r="B1892" s="130"/>
      <c r="C1892" s="140"/>
      <c r="D1892" s="131"/>
      <c r="E1892" s="129"/>
      <c r="F1892" s="131"/>
      <c r="G1892" s="130"/>
      <c r="H1892" s="131"/>
      <c r="I1892" s="132"/>
      <c r="J1892" s="129"/>
      <c r="K1892" s="140"/>
      <c r="L1892" s="133"/>
      <c r="M1892" s="140"/>
      <c r="N1892" s="140"/>
      <c r="P1892" s="141"/>
    </row>
    <row r="1893" spans="1:16" x14ac:dyDescent="0.2">
      <c r="A1893" s="129"/>
      <c r="B1893" s="130"/>
      <c r="C1893" s="140"/>
      <c r="D1893" s="131"/>
      <c r="E1893" s="129"/>
      <c r="F1893" s="131"/>
      <c r="G1893" s="130"/>
      <c r="H1893" s="131"/>
      <c r="I1893" s="132"/>
      <c r="J1893" s="129"/>
      <c r="K1893" s="140"/>
      <c r="L1893" s="133"/>
      <c r="M1893" s="140"/>
      <c r="N1893" s="140"/>
      <c r="P1893" s="141"/>
    </row>
    <row r="1894" spans="1:16" x14ac:dyDescent="0.2">
      <c r="A1894" s="129"/>
      <c r="B1894" s="130"/>
      <c r="C1894" s="140"/>
      <c r="D1894" s="131"/>
      <c r="E1894" s="129"/>
      <c r="F1894" s="131"/>
      <c r="G1894" s="130"/>
      <c r="H1894" s="131"/>
      <c r="I1894" s="132"/>
      <c r="J1894" s="129"/>
      <c r="K1894" s="140"/>
      <c r="L1894" s="133"/>
      <c r="M1894" s="140"/>
      <c r="N1894" s="140"/>
      <c r="P1894" s="141"/>
    </row>
    <row r="1895" spans="1:16" x14ac:dyDescent="0.2">
      <c r="A1895" s="129"/>
      <c r="B1895" s="130"/>
      <c r="C1895" s="140"/>
      <c r="D1895" s="131"/>
      <c r="E1895" s="129"/>
      <c r="F1895" s="131"/>
      <c r="G1895" s="130"/>
      <c r="H1895" s="131"/>
      <c r="I1895" s="132"/>
      <c r="J1895" s="129"/>
      <c r="K1895" s="140"/>
      <c r="L1895" s="133"/>
      <c r="M1895" s="140"/>
      <c r="N1895" s="140"/>
      <c r="P1895" s="141"/>
    </row>
    <row r="1896" spans="1:16" x14ac:dyDescent="0.2">
      <c r="A1896" s="129"/>
      <c r="B1896" s="130"/>
      <c r="C1896" s="140"/>
      <c r="D1896" s="131"/>
      <c r="E1896" s="129"/>
      <c r="F1896" s="131"/>
      <c r="G1896" s="130"/>
      <c r="H1896" s="131"/>
      <c r="I1896" s="132"/>
      <c r="J1896" s="129"/>
      <c r="K1896" s="140"/>
      <c r="L1896" s="133"/>
      <c r="M1896" s="140"/>
      <c r="N1896" s="140"/>
      <c r="P1896" s="141"/>
    </row>
    <row r="1897" spans="1:16" x14ac:dyDescent="0.2">
      <c r="A1897" s="129"/>
      <c r="B1897" s="130"/>
      <c r="C1897" s="140"/>
      <c r="D1897" s="131"/>
      <c r="E1897" s="129"/>
      <c r="F1897" s="131"/>
      <c r="G1897" s="130"/>
      <c r="H1897" s="131"/>
      <c r="I1897" s="132"/>
      <c r="J1897" s="129"/>
      <c r="K1897" s="140"/>
      <c r="L1897" s="133"/>
      <c r="M1897" s="140"/>
      <c r="N1897" s="140"/>
      <c r="P1897" s="141"/>
    </row>
    <row r="1898" spans="1:16" x14ac:dyDescent="0.2">
      <c r="A1898" s="129"/>
      <c r="B1898" s="130"/>
      <c r="C1898" s="140"/>
      <c r="D1898" s="131"/>
      <c r="E1898" s="129"/>
      <c r="F1898" s="131"/>
      <c r="G1898" s="130"/>
      <c r="H1898" s="131"/>
      <c r="I1898" s="132"/>
      <c r="J1898" s="129"/>
      <c r="K1898" s="140"/>
      <c r="L1898" s="133"/>
      <c r="M1898" s="140"/>
      <c r="N1898" s="140"/>
      <c r="P1898" s="141"/>
    </row>
    <row r="1899" spans="1:16" x14ac:dyDescent="0.2">
      <c r="A1899" s="129"/>
      <c r="B1899" s="130"/>
      <c r="C1899" s="140"/>
      <c r="D1899" s="131"/>
      <c r="E1899" s="129"/>
      <c r="F1899" s="131"/>
      <c r="G1899" s="130"/>
      <c r="H1899" s="131"/>
      <c r="I1899" s="132"/>
      <c r="J1899" s="129"/>
      <c r="K1899" s="140"/>
      <c r="L1899" s="133"/>
      <c r="M1899" s="140"/>
      <c r="N1899" s="140"/>
      <c r="P1899" s="141"/>
    </row>
    <row r="1900" spans="1:16" x14ac:dyDescent="0.2">
      <c r="A1900" s="129"/>
      <c r="B1900" s="130"/>
      <c r="C1900" s="140"/>
      <c r="D1900" s="131"/>
      <c r="E1900" s="129"/>
      <c r="F1900" s="131"/>
      <c r="G1900" s="130"/>
      <c r="H1900" s="131"/>
      <c r="I1900" s="132"/>
      <c r="J1900" s="129"/>
      <c r="K1900" s="140"/>
      <c r="L1900" s="133"/>
      <c r="M1900" s="140"/>
      <c r="N1900" s="140"/>
      <c r="P1900" s="141"/>
    </row>
    <row r="1901" spans="1:16" x14ac:dyDescent="0.2">
      <c r="A1901" s="129"/>
      <c r="B1901" s="130"/>
      <c r="C1901" s="140"/>
      <c r="D1901" s="131"/>
      <c r="E1901" s="129"/>
      <c r="F1901" s="131"/>
      <c r="G1901" s="130"/>
      <c r="H1901" s="131"/>
      <c r="I1901" s="132"/>
      <c r="J1901" s="129"/>
      <c r="K1901" s="140"/>
      <c r="L1901" s="133"/>
      <c r="M1901" s="140"/>
      <c r="N1901" s="140"/>
      <c r="P1901" s="141"/>
    </row>
    <row r="1902" spans="1:16" x14ac:dyDescent="0.2">
      <c r="A1902" s="129"/>
      <c r="B1902" s="130"/>
      <c r="C1902" s="140"/>
      <c r="D1902" s="131"/>
      <c r="E1902" s="129"/>
      <c r="F1902" s="131"/>
      <c r="G1902" s="130"/>
      <c r="H1902" s="131"/>
      <c r="I1902" s="132"/>
      <c r="J1902" s="129"/>
      <c r="K1902" s="140"/>
      <c r="L1902" s="133"/>
      <c r="M1902" s="140"/>
      <c r="N1902" s="140"/>
      <c r="P1902" s="141"/>
    </row>
    <row r="1903" spans="1:16" x14ac:dyDescent="0.2">
      <c r="A1903" s="129"/>
      <c r="B1903" s="130"/>
      <c r="C1903" s="140"/>
      <c r="D1903" s="131"/>
      <c r="E1903" s="129"/>
      <c r="F1903" s="131"/>
      <c r="G1903" s="130"/>
      <c r="H1903" s="131"/>
      <c r="I1903" s="132"/>
      <c r="J1903" s="129"/>
      <c r="K1903" s="140"/>
      <c r="L1903" s="133"/>
      <c r="M1903" s="140"/>
      <c r="N1903" s="140"/>
      <c r="P1903" s="141"/>
    </row>
    <row r="1904" spans="1:16" x14ac:dyDescent="0.2">
      <c r="A1904" s="129"/>
      <c r="B1904" s="130"/>
      <c r="C1904" s="140"/>
      <c r="D1904" s="131"/>
      <c r="E1904" s="129"/>
      <c r="F1904" s="131"/>
      <c r="G1904" s="130"/>
      <c r="H1904" s="131"/>
      <c r="I1904" s="132"/>
      <c r="J1904" s="129"/>
      <c r="K1904" s="140"/>
      <c r="L1904" s="133"/>
      <c r="M1904" s="140"/>
      <c r="N1904" s="140"/>
      <c r="P1904" s="141"/>
    </row>
    <row r="1905" spans="1:16" x14ac:dyDescent="0.2">
      <c r="A1905" s="129"/>
      <c r="B1905" s="130"/>
      <c r="C1905" s="140"/>
      <c r="D1905" s="131"/>
      <c r="E1905" s="129"/>
      <c r="F1905" s="131"/>
      <c r="G1905" s="130"/>
      <c r="H1905" s="131"/>
      <c r="I1905" s="132"/>
      <c r="J1905" s="129"/>
      <c r="K1905" s="140"/>
      <c r="L1905" s="133"/>
      <c r="M1905" s="140"/>
      <c r="N1905" s="140"/>
      <c r="P1905" s="141"/>
    </row>
    <row r="1906" spans="1:16" x14ac:dyDescent="0.2">
      <c r="A1906" s="129"/>
      <c r="B1906" s="130"/>
      <c r="C1906" s="140"/>
      <c r="D1906" s="131"/>
      <c r="E1906" s="129"/>
      <c r="F1906" s="131"/>
      <c r="G1906" s="130"/>
      <c r="H1906" s="131"/>
      <c r="I1906" s="132"/>
      <c r="J1906" s="129"/>
      <c r="K1906" s="140"/>
      <c r="L1906" s="133"/>
      <c r="M1906" s="140"/>
      <c r="N1906" s="140"/>
      <c r="P1906" s="141"/>
    </row>
    <row r="1907" spans="1:16" x14ac:dyDescent="0.2">
      <c r="A1907" s="129"/>
      <c r="B1907" s="130"/>
      <c r="C1907" s="140"/>
      <c r="D1907" s="131"/>
      <c r="E1907" s="129"/>
      <c r="F1907" s="131"/>
      <c r="G1907" s="130"/>
      <c r="H1907" s="131"/>
      <c r="I1907" s="132"/>
      <c r="J1907" s="129"/>
      <c r="K1907" s="140"/>
      <c r="L1907" s="133"/>
      <c r="M1907" s="140"/>
      <c r="N1907" s="140"/>
      <c r="P1907" s="141"/>
    </row>
    <row r="1908" spans="1:16" x14ac:dyDescent="0.2">
      <c r="A1908" s="129"/>
      <c r="B1908" s="130"/>
      <c r="C1908" s="140"/>
      <c r="D1908" s="131"/>
      <c r="E1908" s="129"/>
      <c r="F1908" s="131"/>
      <c r="G1908" s="130"/>
      <c r="H1908" s="131"/>
      <c r="I1908" s="132"/>
      <c r="J1908" s="129"/>
      <c r="K1908" s="140"/>
      <c r="L1908" s="133"/>
      <c r="M1908" s="140"/>
      <c r="N1908" s="140"/>
      <c r="P1908" s="141"/>
    </row>
    <row r="1909" spans="1:16" x14ac:dyDescent="0.2">
      <c r="A1909" s="129"/>
      <c r="B1909" s="130"/>
      <c r="C1909" s="140"/>
      <c r="D1909" s="131"/>
      <c r="E1909" s="129"/>
      <c r="F1909" s="131"/>
      <c r="G1909" s="130"/>
      <c r="H1909" s="131"/>
      <c r="I1909" s="132"/>
      <c r="J1909" s="129"/>
      <c r="K1909" s="140"/>
      <c r="L1909" s="133"/>
      <c r="M1909" s="140"/>
      <c r="N1909" s="140"/>
      <c r="P1909" s="141"/>
    </row>
    <row r="1910" spans="1:16" x14ac:dyDescent="0.2">
      <c r="A1910" s="129"/>
      <c r="B1910" s="130"/>
      <c r="C1910" s="140"/>
      <c r="D1910" s="131"/>
      <c r="E1910" s="129"/>
      <c r="F1910" s="131"/>
      <c r="G1910" s="130"/>
      <c r="H1910" s="131"/>
      <c r="I1910" s="132"/>
      <c r="J1910" s="129"/>
      <c r="K1910" s="140"/>
      <c r="L1910" s="133"/>
      <c r="M1910" s="140"/>
      <c r="N1910" s="140"/>
      <c r="P1910" s="141"/>
    </row>
    <row r="1911" spans="1:16" x14ac:dyDescent="0.2">
      <c r="A1911" s="129"/>
      <c r="B1911" s="130"/>
      <c r="C1911" s="140"/>
      <c r="D1911" s="131"/>
      <c r="E1911" s="129"/>
      <c r="F1911" s="131"/>
      <c r="G1911" s="130"/>
      <c r="H1911" s="131"/>
      <c r="I1911" s="132"/>
      <c r="J1911" s="129"/>
      <c r="K1911" s="140"/>
      <c r="L1911" s="133"/>
      <c r="M1911" s="140"/>
      <c r="N1911" s="140"/>
      <c r="P1911" s="141"/>
    </row>
    <row r="1912" spans="1:16" x14ac:dyDescent="0.2">
      <c r="A1912" s="129"/>
      <c r="B1912" s="130"/>
      <c r="C1912" s="140"/>
      <c r="D1912" s="131"/>
      <c r="E1912" s="129"/>
      <c r="F1912" s="131"/>
      <c r="G1912" s="130"/>
      <c r="H1912" s="131"/>
      <c r="I1912" s="132"/>
      <c r="J1912" s="129"/>
      <c r="K1912" s="140"/>
      <c r="L1912" s="133"/>
      <c r="M1912" s="140"/>
      <c r="N1912" s="140"/>
      <c r="P1912" s="141"/>
    </row>
    <row r="1913" spans="1:16" x14ac:dyDescent="0.2">
      <c r="A1913" s="129"/>
      <c r="B1913" s="130"/>
      <c r="C1913" s="140"/>
      <c r="D1913" s="131"/>
      <c r="E1913" s="129"/>
      <c r="F1913" s="131"/>
      <c r="G1913" s="130"/>
      <c r="H1913" s="131"/>
      <c r="I1913" s="132"/>
      <c r="J1913" s="129"/>
      <c r="K1913" s="140"/>
      <c r="L1913" s="133"/>
      <c r="M1913" s="140"/>
      <c r="N1913" s="140"/>
      <c r="P1913" s="141"/>
    </row>
    <row r="1914" spans="1:16" x14ac:dyDescent="0.2">
      <c r="A1914" s="129"/>
      <c r="B1914" s="130"/>
      <c r="C1914" s="140"/>
      <c r="D1914" s="131"/>
      <c r="E1914" s="129"/>
      <c r="F1914" s="131"/>
      <c r="G1914" s="130"/>
      <c r="H1914" s="131"/>
      <c r="I1914" s="132"/>
      <c r="J1914" s="129"/>
      <c r="K1914" s="140"/>
      <c r="L1914" s="133"/>
      <c r="M1914" s="140"/>
      <c r="N1914" s="140"/>
      <c r="P1914" s="141"/>
    </row>
    <row r="1915" spans="1:16" x14ac:dyDescent="0.2">
      <c r="A1915" s="129"/>
      <c r="B1915" s="130"/>
      <c r="C1915" s="140"/>
      <c r="D1915" s="131"/>
      <c r="E1915" s="129"/>
      <c r="F1915" s="131"/>
      <c r="G1915" s="130"/>
      <c r="H1915" s="131"/>
      <c r="I1915" s="132"/>
      <c r="J1915" s="129"/>
      <c r="K1915" s="140"/>
      <c r="L1915" s="133"/>
      <c r="M1915" s="140"/>
      <c r="N1915" s="140"/>
      <c r="P1915" s="141"/>
    </row>
    <row r="1916" spans="1:16" x14ac:dyDescent="0.2">
      <c r="A1916" s="129"/>
      <c r="B1916" s="130"/>
      <c r="C1916" s="140"/>
      <c r="D1916" s="131"/>
      <c r="E1916" s="129"/>
      <c r="F1916" s="131"/>
      <c r="G1916" s="130"/>
      <c r="H1916" s="131"/>
      <c r="I1916" s="132"/>
      <c r="J1916" s="129"/>
      <c r="K1916" s="140"/>
      <c r="L1916" s="133"/>
      <c r="M1916" s="140"/>
      <c r="N1916" s="140"/>
      <c r="P1916" s="141"/>
    </row>
    <row r="1917" spans="1:16" x14ac:dyDescent="0.2">
      <c r="A1917" s="129"/>
      <c r="B1917" s="130"/>
      <c r="C1917" s="140"/>
      <c r="D1917" s="131"/>
      <c r="E1917" s="129"/>
      <c r="F1917" s="131"/>
      <c r="G1917" s="130"/>
      <c r="H1917" s="131"/>
      <c r="I1917" s="132"/>
      <c r="J1917" s="129"/>
      <c r="K1917" s="140"/>
      <c r="L1917" s="133"/>
      <c r="M1917" s="140"/>
      <c r="N1917" s="140"/>
      <c r="P1917" s="141"/>
    </row>
    <row r="1918" spans="1:16" x14ac:dyDescent="0.2">
      <c r="A1918" s="129"/>
      <c r="B1918" s="130"/>
      <c r="C1918" s="140"/>
      <c r="D1918" s="131"/>
      <c r="E1918" s="129"/>
      <c r="F1918" s="131"/>
      <c r="G1918" s="130"/>
      <c r="H1918" s="131"/>
      <c r="I1918" s="132"/>
      <c r="J1918" s="129"/>
      <c r="K1918" s="140"/>
      <c r="L1918" s="133"/>
      <c r="M1918" s="140"/>
      <c r="N1918" s="140"/>
      <c r="P1918" s="141"/>
    </row>
    <row r="1919" spans="1:16" x14ac:dyDescent="0.2">
      <c r="A1919" s="129"/>
      <c r="B1919" s="130"/>
      <c r="C1919" s="140"/>
      <c r="D1919" s="131"/>
      <c r="E1919" s="129"/>
      <c r="F1919" s="131"/>
      <c r="G1919" s="130"/>
      <c r="H1919" s="131"/>
      <c r="I1919" s="132"/>
      <c r="J1919" s="129"/>
      <c r="K1919" s="140"/>
      <c r="L1919" s="133"/>
      <c r="M1919" s="140"/>
      <c r="N1919" s="140"/>
      <c r="P1919" s="141"/>
    </row>
    <row r="1920" spans="1:16" x14ac:dyDescent="0.2">
      <c r="A1920" s="129"/>
      <c r="B1920" s="130"/>
      <c r="C1920" s="140"/>
      <c r="D1920" s="131"/>
      <c r="E1920" s="129"/>
      <c r="F1920" s="131"/>
      <c r="G1920" s="130"/>
      <c r="H1920" s="131"/>
      <c r="I1920" s="132"/>
      <c r="J1920" s="129"/>
      <c r="K1920" s="140"/>
      <c r="L1920" s="133"/>
      <c r="M1920" s="140"/>
      <c r="N1920" s="140"/>
      <c r="P1920" s="141"/>
    </row>
    <row r="1921" spans="1:16" x14ac:dyDescent="0.2">
      <c r="A1921" s="129"/>
      <c r="B1921" s="130"/>
      <c r="C1921" s="140"/>
      <c r="D1921" s="131"/>
      <c r="E1921" s="129"/>
      <c r="F1921" s="131"/>
      <c r="G1921" s="130"/>
      <c r="H1921" s="131"/>
      <c r="I1921" s="132"/>
      <c r="J1921" s="129"/>
      <c r="K1921" s="140"/>
      <c r="L1921" s="133"/>
      <c r="M1921" s="140"/>
      <c r="N1921" s="140"/>
      <c r="P1921" s="141"/>
    </row>
    <row r="1922" spans="1:16" x14ac:dyDescent="0.2">
      <c r="A1922" s="129"/>
      <c r="B1922" s="130"/>
      <c r="C1922" s="140"/>
      <c r="D1922" s="131"/>
      <c r="E1922" s="129"/>
      <c r="F1922" s="131"/>
      <c r="G1922" s="130"/>
      <c r="H1922" s="131"/>
      <c r="I1922" s="132"/>
      <c r="J1922" s="129"/>
      <c r="K1922" s="140"/>
      <c r="L1922" s="133"/>
      <c r="M1922" s="140"/>
      <c r="N1922" s="140"/>
      <c r="P1922" s="141"/>
    </row>
    <row r="1923" spans="1:16" x14ac:dyDescent="0.2">
      <c r="A1923" s="129"/>
      <c r="B1923" s="130"/>
      <c r="C1923" s="140"/>
      <c r="D1923" s="131"/>
      <c r="E1923" s="129"/>
      <c r="F1923" s="131"/>
      <c r="G1923" s="130"/>
      <c r="H1923" s="131"/>
      <c r="I1923" s="132"/>
      <c r="J1923" s="129"/>
      <c r="K1923" s="140"/>
      <c r="L1923" s="133"/>
      <c r="M1923" s="140"/>
      <c r="N1923" s="140"/>
      <c r="P1923" s="141"/>
    </row>
    <row r="1924" spans="1:16" x14ac:dyDescent="0.2">
      <c r="A1924" s="129"/>
      <c r="B1924" s="130"/>
      <c r="C1924" s="140"/>
      <c r="D1924" s="131"/>
      <c r="E1924" s="129"/>
      <c r="F1924" s="131"/>
      <c r="G1924" s="130"/>
      <c r="H1924" s="131"/>
      <c r="I1924" s="132"/>
      <c r="J1924" s="129"/>
      <c r="K1924" s="140"/>
      <c r="L1924" s="133"/>
      <c r="M1924" s="140"/>
      <c r="N1924" s="140"/>
      <c r="P1924" s="141"/>
    </row>
    <row r="1925" spans="1:16" x14ac:dyDescent="0.2">
      <c r="A1925" s="129"/>
      <c r="B1925" s="130"/>
      <c r="C1925" s="140"/>
      <c r="D1925" s="131"/>
      <c r="E1925" s="129"/>
      <c r="F1925" s="131"/>
      <c r="G1925" s="130"/>
      <c r="H1925" s="131"/>
      <c r="I1925" s="132"/>
      <c r="J1925" s="129"/>
      <c r="K1925" s="140"/>
      <c r="L1925" s="133"/>
      <c r="M1925" s="140"/>
      <c r="N1925" s="140"/>
      <c r="P1925" s="141"/>
    </row>
    <row r="1926" spans="1:16" x14ac:dyDescent="0.2">
      <c r="A1926" s="129"/>
      <c r="B1926" s="130"/>
      <c r="C1926" s="140"/>
      <c r="D1926" s="131"/>
      <c r="E1926" s="129"/>
      <c r="F1926" s="131"/>
      <c r="G1926" s="130"/>
      <c r="H1926" s="131"/>
      <c r="I1926" s="132"/>
      <c r="J1926" s="129"/>
      <c r="K1926" s="140"/>
      <c r="L1926" s="133"/>
      <c r="M1926" s="140"/>
      <c r="N1926" s="140"/>
      <c r="P1926" s="141"/>
    </row>
    <row r="1927" spans="1:16" x14ac:dyDescent="0.2">
      <c r="A1927" s="129"/>
      <c r="B1927" s="130"/>
      <c r="C1927" s="140"/>
      <c r="D1927" s="131"/>
      <c r="E1927" s="129"/>
      <c r="F1927" s="131"/>
      <c r="G1927" s="130"/>
      <c r="H1927" s="131"/>
      <c r="I1927" s="132"/>
      <c r="J1927" s="129"/>
      <c r="K1927" s="140"/>
      <c r="L1927" s="133"/>
      <c r="M1927" s="140"/>
      <c r="N1927" s="140"/>
      <c r="P1927" s="141"/>
    </row>
    <row r="1928" spans="1:16" x14ac:dyDescent="0.2">
      <c r="A1928" s="129"/>
      <c r="B1928" s="130"/>
      <c r="C1928" s="140"/>
      <c r="D1928" s="131"/>
      <c r="E1928" s="129"/>
      <c r="F1928" s="131"/>
      <c r="G1928" s="130"/>
      <c r="H1928" s="131"/>
      <c r="I1928" s="132"/>
      <c r="J1928" s="129"/>
      <c r="K1928" s="140"/>
      <c r="L1928" s="133"/>
      <c r="M1928" s="140"/>
      <c r="N1928" s="140"/>
      <c r="P1928" s="141"/>
    </row>
    <row r="1929" spans="1:16" x14ac:dyDescent="0.2">
      <c r="A1929" s="129"/>
      <c r="B1929" s="130"/>
      <c r="C1929" s="140"/>
      <c r="D1929" s="131"/>
      <c r="E1929" s="129"/>
      <c r="F1929" s="131"/>
      <c r="G1929" s="130"/>
      <c r="H1929" s="131"/>
      <c r="I1929" s="132"/>
      <c r="J1929" s="129"/>
      <c r="K1929" s="140"/>
      <c r="L1929" s="133"/>
      <c r="M1929" s="140"/>
      <c r="N1929" s="140"/>
      <c r="P1929" s="141"/>
    </row>
    <row r="1930" spans="1:16" x14ac:dyDescent="0.2">
      <c r="A1930" s="129"/>
      <c r="B1930" s="130"/>
      <c r="C1930" s="140"/>
      <c r="D1930" s="131"/>
      <c r="E1930" s="129"/>
      <c r="F1930" s="131"/>
      <c r="G1930" s="130"/>
      <c r="H1930" s="131"/>
      <c r="I1930" s="132"/>
      <c r="J1930" s="129"/>
      <c r="K1930" s="140"/>
      <c r="L1930" s="133"/>
      <c r="M1930" s="140"/>
      <c r="N1930" s="140"/>
      <c r="P1930" s="141"/>
    </row>
    <row r="1931" spans="1:16" x14ac:dyDescent="0.2">
      <c r="A1931" s="129"/>
      <c r="B1931" s="130"/>
      <c r="C1931" s="140"/>
      <c r="D1931" s="131"/>
      <c r="E1931" s="129"/>
      <c r="F1931" s="131"/>
      <c r="G1931" s="130"/>
      <c r="H1931" s="131"/>
      <c r="I1931" s="132"/>
      <c r="J1931" s="129"/>
      <c r="K1931" s="140"/>
      <c r="L1931" s="133"/>
      <c r="M1931" s="140"/>
      <c r="N1931" s="140"/>
      <c r="P1931" s="141"/>
    </row>
    <row r="1932" spans="1:16" x14ac:dyDescent="0.2">
      <c r="A1932" s="129"/>
      <c r="B1932" s="130"/>
      <c r="C1932" s="140"/>
      <c r="D1932" s="131"/>
      <c r="E1932" s="129"/>
      <c r="F1932" s="131"/>
      <c r="G1932" s="130"/>
      <c r="H1932" s="131"/>
      <c r="I1932" s="132"/>
      <c r="J1932" s="129"/>
      <c r="K1932" s="140"/>
      <c r="L1932" s="133"/>
      <c r="M1932" s="140"/>
      <c r="N1932" s="140"/>
      <c r="P1932" s="141"/>
    </row>
    <row r="1933" spans="1:16" x14ac:dyDescent="0.2">
      <c r="A1933" s="129"/>
      <c r="B1933" s="130"/>
      <c r="C1933" s="140"/>
      <c r="D1933" s="131"/>
      <c r="E1933" s="129"/>
      <c r="F1933" s="131"/>
      <c r="G1933" s="130"/>
      <c r="H1933" s="131"/>
      <c r="I1933" s="132"/>
      <c r="J1933" s="129"/>
      <c r="K1933" s="140"/>
      <c r="L1933" s="133"/>
      <c r="M1933" s="140"/>
      <c r="N1933" s="140"/>
      <c r="P1933" s="141"/>
    </row>
    <row r="1934" spans="1:16" x14ac:dyDescent="0.2">
      <c r="A1934" s="129"/>
      <c r="B1934" s="130"/>
      <c r="C1934" s="140"/>
      <c r="D1934" s="131"/>
      <c r="E1934" s="129"/>
      <c r="F1934" s="131"/>
      <c r="G1934" s="130"/>
      <c r="H1934" s="131"/>
      <c r="I1934" s="132"/>
      <c r="J1934" s="129"/>
      <c r="K1934" s="140"/>
      <c r="L1934" s="133"/>
      <c r="M1934" s="140"/>
      <c r="N1934" s="140"/>
      <c r="P1934" s="141"/>
    </row>
    <row r="1935" spans="1:16" x14ac:dyDescent="0.2">
      <c r="A1935" s="129"/>
      <c r="B1935" s="130"/>
      <c r="C1935" s="140"/>
      <c r="D1935" s="131"/>
      <c r="E1935" s="129"/>
      <c r="F1935" s="131"/>
      <c r="G1935" s="130"/>
      <c r="H1935" s="131"/>
      <c r="I1935" s="132"/>
      <c r="J1935" s="129"/>
      <c r="K1935" s="140"/>
      <c r="L1935" s="133"/>
      <c r="M1935" s="140"/>
      <c r="N1935" s="140"/>
      <c r="P1935" s="141"/>
    </row>
    <row r="1936" spans="1:16" x14ac:dyDescent="0.2">
      <c r="A1936" s="129"/>
      <c r="B1936" s="130"/>
      <c r="C1936" s="140"/>
      <c r="D1936" s="131"/>
      <c r="E1936" s="129"/>
      <c r="F1936" s="131"/>
      <c r="G1936" s="130"/>
      <c r="H1936" s="131"/>
      <c r="I1936" s="132"/>
      <c r="J1936" s="129"/>
      <c r="K1936" s="140"/>
      <c r="L1936" s="133"/>
      <c r="M1936" s="140"/>
      <c r="N1936" s="140"/>
      <c r="P1936" s="141"/>
    </row>
    <row r="1937" spans="1:16" x14ac:dyDescent="0.2">
      <c r="A1937" s="129"/>
      <c r="B1937" s="130"/>
      <c r="C1937" s="140"/>
      <c r="D1937" s="131"/>
      <c r="E1937" s="129"/>
      <c r="F1937" s="131"/>
      <c r="G1937" s="130"/>
      <c r="H1937" s="131"/>
      <c r="I1937" s="132"/>
      <c r="J1937" s="129"/>
      <c r="K1937" s="140"/>
      <c r="L1937" s="133"/>
      <c r="M1937" s="140"/>
      <c r="N1937" s="140"/>
      <c r="P1937" s="141"/>
    </row>
    <row r="1938" spans="1:16" x14ac:dyDescent="0.2">
      <c r="A1938" s="129"/>
      <c r="B1938" s="130"/>
      <c r="C1938" s="140"/>
      <c r="D1938" s="131"/>
      <c r="E1938" s="129"/>
      <c r="F1938" s="131"/>
      <c r="G1938" s="130"/>
      <c r="H1938" s="131"/>
      <c r="I1938" s="132"/>
      <c r="J1938" s="129"/>
      <c r="K1938" s="140"/>
      <c r="L1938" s="133"/>
      <c r="M1938" s="140"/>
      <c r="N1938" s="140"/>
      <c r="P1938" s="141"/>
    </row>
    <row r="1939" spans="1:16" x14ac:dyDescent="0.2">
      <c r="A1939" s="129"/>
      <c r="B1939" s="130"/>
      <c r="C1939" s="140"/>
      <c r="D1939" s="131"/>
      <c r="E1939" s="129"/>
      <c r="F1939" s="131"/>
      <c r="G1939" s="130"/>
      <c r="H1939" s="131"/>
      <c r="I1939" s="132"/>
      <c r="J1939" s="129"/>
      <c r="K1939" s="140"/>
      <c r="L1939" s="133"/>
      <c r="M1939" s="140"/>
      <c r="N1939" s="140"/>
      <c r="P1939" s="141"/>
    </row>
    <row r="1940" spans="1:16" x14ac:dyDescent="0.2">
      <c r="A1940" s="129"/>
      <c r="B1940" s="130"/>
      <c r="C1940" s="140"/>
      <c r="D1940" s="131"/>
      <c r="E1940" s="129"/>
      <c r="F1940" s="131"/>
      <c r="G1940" s="130"/>
      <c r="H1940" s="131"/>
      <c r="I1940" s="132"/>
      <c r="J1940" s="129"/>
      <c r="K1940" s="140"/>
      <c r="L1940" s="133"/>
      <c r="M1940" s="140"/>
      <c r="N1940" s="140"/>
      <c r="P1940" s="141"/>
    </row>
    <row r="1941" spans="1:16" x14ac:dyDescent="0.2">
      <c r="A1941" s="129"/>
      <c r="B1941" s="130"/>
      <c r="C1941" s="140"/>
      <c r="D1941" s="131"/>
      <c r="E1941" s="129"/>
      <c r="F1941" s="131"/>
      <c r="G1941" s="130"/>
      <c r="H1941" s="131"/>
      <c r="I1941" s="132"/>
      <c r="J1941" s="129"/>
      <c r="K1941" s="140"/>
      <c r="L1941" s="133"/>
      <c r="M1941" s="140"/>
      <c r="N1941" s="140"/>
      <c r="P1941" s="141"/>
    </row>
    <row r="1942" spans="1:16" x14ac:dyDescent="0.2">
      <c r="A1942" s="129"/>
      <c r="B1942" s="130"/>
      <c r="C1942" s="140"/>
      <c r="D1942" s="131"/>
      <c r="E1942" s="129"/>
      <c r="F1942" s="131"/>
      <c r="G1942" s="130"/>
      <c r="H1942" s="131"/>
      <c r="I1942" s="132"/>
      <c r="J1942" s="129"/>
      <c r="K1942" s="140"/>
      <c r="L1942" s="133"/>
      <c r="M1942" s="140"/>
      <c r="N1942" s="140"/>
      <c r="P1942" s="141"/>
    </row>
    <row r="1943" spans="1:16" x14ac:dyDescent="0.2">
      <c r="A1943" s="129"/>
      <c r="B1943" s="130"/>
      <c r="C1943" s="140"/>
      <c r="D1943" s="131"/>
      <c r="E1943" s="129"/>
      <c r="F1943" s="131"/>
      <c r="G1943" s="130"/>
      <c r="H1943" s="131"/>
      <c r="I1943" s="132"/>
      <c r="J1943" s="129"/>
      <c r="K1943" s="140"/>
      <c r="L1943" s="133"/>
      <c r="M1943" s="140"/>
      <c r="N1943" s="140"/>
      <c r="P1943" s="141"/>
    </row>
    <row r="1944" spans="1:16" x14ac:dyDescent="0.2">
      <c r="A1944" s="129"/>
      <c r="B1944" s="130"/>
      <c r="C1944" s="140"/>
      <c r="D1944" s="131"/>
      <c r="E1944" s="129"/>
      <c r="F1944" s="131"/>
      <c r="G1944" s="130"/>
      <c r="H1944" s="131"/>
      <c r="I1944" s="132"/>
      <c r="J1944" s="129"/>
      <c r="K1944" s="140"/>
      <c r="L1944" s="133"/>
      <c r="M1944" s="140"/>
      <c r="N1944" s="140"/>
      <c r="P1944" s="141"/>
    </row>
    <row r="1945" spans="1:16" x14ac:dyDescent="0.2">
      <c r="A1945" s="129"/>
      <c r="B1945" s="130"/>
      <c r="C1945" s="140"/>
      <c r="D1945" s="131"/>
      <c r="E1945" s="129"/>
      <c r="F1945" s="131"/>
      <c r="G1945" s="130"/>
      <c r="H1945" s="131"/>
      <c r="I1945" s="132"/>
      <c r="J1945" s="129"/>
      <c r="K1945" s="140"/>
      <c r="L1945" s="133"/>
      <c r="M1945" s="140"/>
      <c r="N1945" s="140"/>
      <c r="P1945" s="141"/>
    </row>
    <row r="1946" spans="1:16" x14ac:dyDescent="0.2">
      <c r="A1946" s="129"/>
      <c r="B1946" s="130"/>
      <c r="C1946" s="140"/>
      <c r="D1946" s="131"/>
      <c r="E1946" s="129"/>
      <c r="F1946" s="131"/>
      <c r="G1946" s="130"/>
      <c r="H1946" s="131"/>
      <c r="I1946" s="132"/>
      <c r="J1946" s="129"/>
      <c r="K1946" s="140"/>
      <c r="L1946" s="133"/>
      <c r="M1946" s="140"/>
      <c r="N1946" s="140"/>
      <c r="P1946" s="141"/>
    </row>
    <row r="1947" spans="1:16" x14ac:dyDescent="0.2">
      <c r="A1947" s="129"/>
      <c r="B1947" s="130"/>
      <c r="C1947" s="140"/>
      <c r="D1947" s="131"/>
      <c r="E1947" s="129"/>
      <c r="F1947" s="131"/>
      <c r="G1947" s="130"/>
      <c r="H1947" s="131"/>
      <c r="I1947" s="132"/>
      <c r="J1947" s="129"/>
      <c r="K1947" s="140"/>
      <c r="L1947" s="133"/>
      <c r="M1947" s="140"/>
      <c r="N1947" s="140"/>
      <c r="P1947" s="141"/>
    </row>
    <row r="1948" spans="1:16" x14ac:dyDescent="0.2">
      <c r="A1948" s="129"/>
      <c r="B1948" s="130"/>
      <c r="C1948" s="140"/>
      <c r="D1948" s="131"/>
      <c r="E1948" s="129"/>
      <c r="F1948" s="131"/>
      <c r="G1948" s="130"/>
      <c r="H1948" s="131"/>
      <c r="I1948" s="132"/>
      <c r="J1948" s="129"/>
      <c r="K1948" s="140"/>
      <c r="L1948" s="133"/>
      <c r="M1948" s="140"/>
      <c r="N1948" s="140"/>
      <c r="P1948" s="141"/>
    </row>
    <row r="1949" spans="1:16" x14ac:dyDescent="0.2">
      <c r="A1949" s="129"/>
      <c r="B1949" s="130"/>
      <c r="C1949" s="140"/>
      <c r="D1949" s="131"/>
      <c r="E1949" s="129"/>
      <c r="F1949" s="131"/>
      <c r="G1949" s="130"/>
      <c r="H1949" s="131"/>
      <c r="I1949" s="132"/>
      <c r="J1949" s="129"/>
      <c r="K1949" s="140"/>
      <c r="L1949" s="133"/>
      <c r="M1949" s="140"/>
      <c r="N1949" s="140"/>
      <c r="P1949" s="141"/>
    </row>
    <row r="1950" spans="1:16" x14ac:dyDescent="0.2">
      <c r="A1950" s="129"/>
      <c r="B1950" s="130"/>
      <c r="C1950" s="140"/>
      <c r="D1950" s="131"/>
      <c r="E1950" s="129"/>
      <c r="F1950" s="131"/>
      <c r="G1950" s="130"/>
      <c r="H1950" s="131"/>
      <c r="I1950" s="132"/>
      <c r="J1950" s="129"/>
      <c r="K1950" s="140"/>
      <c r="L1950" s="133"/>
      <c r="M1950" s="140"/>
      <c r="N1950" s="140"/>
      <c r="P1950" s="141"/>
    </row>
    <row r="1951" spans="1:16" x14ac:dyDescent="0.2">
      <c r="A1951" s="129"/>
      <c r="B1951" s="130"/>
      <c r="C1951" s="140"/>
      <c r="D1951" s="131"/>
      <c r="E1951" s="129"/>
      <c r="F1951" s="131"/>
      <c r="G1951" s="130"/>
      <c r="H1951" s="131"/>
      <c r="I1951" s="132"/>
      <c r="J1951" s="129"/>
      <c r="K1951" s="140"/>
      <c r="L1951" s="133"/>
      <c r="M1951" s="140"/>
      <c r="N1951" s="140"/>
      <c r="P1951" s="141"/>
    </row>
    <row r="1952" spans="1:16" x14ac:dyDescent="0.2">
      <c r="A1952" s="129"/>
      <c r="B1952" s="130"/>
      <c r="C1952" s="140"/>
      <c r="D1952" s="131"/>
      <c r="E1952" s="129"/>
      <c r="F1952" s="131"/>
      <c r="G1952" s="130"/>
      <c r="H1952" s="131"/>
      <c r="I1952" s="132"/>
      <c r="J1952" s="129"/>
      <c r="K1952" s="140"/>
      <c r="L1952" s="133"/>
      <c r="M1952" s="140"/>
      <c r="N1952" s="140"/>
      <c r="P1952" s="141"/>
    </row>
    <row r="1953" spans="1:16" x14ac:dyDescent="0.2">
      <c r="A1953" s="129"/>
      <c r="B1953" s="130"/>
      <c r="C1953" s="140"/>
      <c r="D1953" s="131"/>
      <c r="E1953" s="129"/>
      <c r="F1953" s="131"/>
      <c r="G1953" s="130"/>
      <c r="H1953" s="131"/>
      <c r="I1953" s="132"/>
      <c r="J1953" s="129"/>
      <c r="K1953" s="140"/>
      <c r="L1953" s="133"/>
      <c r="M1953" s="140"/>
      <c r="N1953" s="140"/>
      <c r="P1953" s="141"/>
    </row>
    <row r="1954" spans="1:16" x14ac:dyDescent="0.2">
      <c r="A1954" s="117"/>
      <c r="C1954" s="117"/>
      <c r="H1954" s="117"/>
      <c r="J1954" s="117"/>
      <c r="K1954" s="117"/>
    </row>
    <row r="1955" spans="1:16" x14ac:dyDescent="0.2">
      <c r="A1955" s="117"/>
      <c r="C1955" s="117"/>
      <c r="H1955" s="117"/>
      <c r="J1955" s="117"/>
      <c r="K1955" s="117"/>
    </row>
    <row r="1956" spans="1:16" x14ac:dyDescent="0.2">
      <c r="A1956" s="117"/>
      <c r="C1956" s="117"/>
      <c r="H1956" s="117"/>
      <c r="J1956" s="117"/>
      <c r="K1956" s="117"/>
    </row>
    <row r="1957" spans="1:16" x14ac:dyDescent="0.2">
      <c r="A1957" s="117"/>
      <c r="C1957" s="117"/>
      <c r="H1957" s="117"/>
      <c r="J1957" s="117"/>
      <c r="K1957" s="117"/>
    </row>
    <row r="1958" spans="1:16" x14ac:dyDescent="0.2">
      <c r="A1958" s="117"/>
      <c r="C1958" s="117"/>
      <c r="H1958" s="117"/>
      <c r="J1958" s="117"/>
      <c r="K1958" s="117"/>
    </row>
    <row r="1959" spans="1:16" x14ac:dyDescent="0.2">
      <c r="A1959" s="117"/>
      <c r="C1959" s="117"/>
      <c r="H1959" s="117"/>
      <c r="J1959" s="117"/>
      <c r="K1959" s="117"/>
    </row>
    <row r="1960" spans="1:16" x14ac:dyDescent="0.2">
      <c r="A1960" s="117"/>
      <c r="C1960" s="117"/>
      <c r="H1960" s="117"/>
      <c r="J1960" s="117"/>
      <c r="K1960" s="117"/>
    </row>
    <row r="1961" spans="1:16" x14ac:dyDescent="0.2">
      <c r="A1961" s="117"/>
      <c r="C1961" s="117"/>
      <c r="H1961" s="117"/>
      <c r="J1961" s="117"/>
      <c r="K1961" s="117"/>
    </row>
    <row r="1962" spans="1:16" x14ac:dyDescent="0.2">
      <c r="A1962" s="117"/>
      <c r="C1962" s="117"/>
      <c r="H1962" s="117"/>
      <c r="J1962" s="117"/>
      <c r="K1962" s="117"/>
    </row>
    <row r="1963" spans="1:16" x14ac:dyDescent="0.2">
      <c r="A1963" s="117"/>
      <c r="C1963" s="117"/>
      <c r="H1963" s="117"/>
      <c r="J1963" s="117"/>
      <c r="K1963" s="117"/>
    </row>
    <row r="1964" spans="1:16" x14ac:dyDescent="0.2">
      <c r="A1964" s="117"/>
      <c r="C1964" s="117"/>
      <c r="H1964" s="117"/>
      <c r="J1964" s="117"/>
      <c r="K1964" s="117"/>
    </row>
    <row r="1965" spans="1:16" x14ac:dyDescent="0.2">
      <c r="A1965" s="117"/>
      <c r="C1965" s="117"/>
      <c r="H1965" s="117"/>
      <c r="J1965" s="117"/>
      <c r="K1965" s="117"/>
    </row>
    <row r="1966" spans="1:16" x14ac:dyDescent="0.2">
      <c r="A1966" s="117"/>
      <c r="C1966" s="117"/>
      <c r="H1966" s="117"/>
      <c r="J1966" s="117"/>
      <c r="K1966" s="117"/>
    </row>
    <row r="1967" spans="1:16" x14ac:dyDescent="0.2">
      <c r="A1967" s="117"/>
      <c r="C1967" s="117"/>
      <c r="H1967" s="117"/>
      <c r="J1967" s="117"/>
      <c r="K1967" s="117"/>
    </row>
    <row r="1968" spans="1:16" x14ac:dyDescent="0.2">
      <c r="A1968" s="117"/>
      <c r="C1968" s="117"/>
      <c r="H1968" s="117"/>
      <c r="J1968" s="117"/>
      <c r="K1968" s="117"/>
    </row>
    <row r="1969" spans="1:11" x14ac:dyDescent="0.2">
      <c r="A1969" s="117"/>
      <c r="C1969" s="117"/>
      <c r="H1969" s="117"/>
      <c r="J1969" s="117"/>
      <c r="K1969" s="117"/>
    </row>
    <row r="1970" spans="1:11" x14ac:dyDescent="0.2">
      <c r="A1970" s="117"/>
      <c r="C1970" s="117"/>
      <c r="H1970" s="117"/>
      <c r="J1970" s="117"/>
      <c r="K1970" s="117"/>
    </row>
    <row r="1971" spans="1:11" x14ac:dyDescent="0.2">
      <c r="A1971" s="117"/>
      <c r="C1971" s="117"/>
      <c r="H1971" s="117"/>
      <c r="J1971" s="117"/>
      <c r="K1971" s="117"/>
    </row>
    <row r="1972" spans="1:11" x14ac:dyDescent="0.2">
      <c r="A1972" s="117"/>
      <c r="C1972" s="117"/>
      <c r="H1972" s="117"/>
      <c r="J1972" s="117"/>
      <c r="K1972" s="117"/>
    </row>
    <row r="1973" spans="1:11" x14ac:dyDescent="0.2">
      <c r="A1973" s="117"/>
      <c r="C1973" s="117"/>
      <c r="H1973" s="117"/>
      <c r="J1973" s="117"/>
      <c r="K1973" s="117"/>
    </row>
    <row r="1974" spans="1:11" x14ac:dyDescent="0.2">
      <c r="A1974" s="117"/>
      <c r="C1974" s="117"/>
      <c r="H1974" s="117"/>
      <c r="J1974" s="117"/>
      <c r="K1974" s="117"/>
    </row>
    <row r="1975" spans="1:11" x14ac:dyDescent="0.2">
      <c r="A1975" s="117"/>
      <c r="C1975" s="117"/>
      <c r="H1975" s="117"/>
      <c r="J1975" s="117"/>
      <c r="K1975" s="117"/>
    </row>
    <row r="1976" spans="1:11" x14ac:dyDescent="0.2">
      <c r="A1976" s="117"/>
      <c r="C1976" s="117"/>
      <c r="H1976" s="117"/>
      <c r="J1976" s="117"/>
      <c r="K1976" s="117"/>
    </row>
    <row r="1977" spans="1:11" x14ac:dyDescent="0.2">
      <c r="A1977" s="117"/>
      <c r="C1977" s="117"/>
      <c r="H1977" s="117"/>
      <c r="J1977" s="117"/>
      <c r="K1977" s="117"/>
    </row>
    <row r="1978" spans="1:11" x14ac:dyDescent="0.2">
      <c r="A1978" s="117"/>
      <c r="C1978" s="117"/>
      <c r="H1978" s="117"/>
      <c r="J1978" s="117"/>
      <c r="K1978" s="117"/>
    </row>
    <row r="1979" spans="1:11" x14ac:dyDescent="0.2">
      <c r="A1979" s="117"/>
      <c r="C1979" s="117"/>
      <c r="H1979" s="117"/>
      <c r="J1979" s="117"/>
      <c r="K1979" s="117"/>
    </row>
    <row r="1980" spans="1:11" x14ac:dyDescent="0.2">
      <c r="A1980" s="117"/>
      <c r="C1980" s="117"/>
      <c r="H1980" s="117"/>
      <c r="J1980" s="117"/>
      <c r="K1980" s="117"/>
    </row>
    <row r="1981" spans="1:11" x14ac:dyDescent="0.2">
      <c r="A1981" s="117"/>
      <c r="C1981" s="117"/>
      <c r="H1981" s="117"/>
      <c r="J1981" s="117"/>
      <c r="K1981" s="117"/>
    </row>
    <row r="1982" spans="1:11" x14ac:dyDescent="0.2">
      <c r="A1982" s="117"/>
      <c r="C1982" s="117"/>
      <c r="H1982" s="117"/>
      <c r="J1982" s="117"/>
      <c r="K1982" s="117"/>
    </row>
    <row r="1983" spans="1:11" x14ac:dyDescent="0.2">
      <c r="A1983" s="117"/>
      <c r="C1983" s="117"/>
      <c r="H1983" s="117"/>
      <c r="J1983" s="117"/>
      <c r="K1983" s="117"/>
    </row>
    <row r="1984" spans="1:11" x14ac:dyDescent="0.2">
      <c r="A1984" s="117"/>
      <c r="C1984" s="117"/>
      <c r="H1984" s="117"/>
      <c r="J1984" s="117"/>
      <c r="K1984" s="117"/>
    </row>
    <row r="1985" spans="1:11" x14ac:dyDescent="0.2">
      <c r="A1985" s="117"/>
      <c r="C1985" s="117"/>
      <c r="H1985" s="117"/>
      <c r="J1985" s="117"/>
      <c r="K1985" s="117"/>
    </row>
    <row r="1986" spans="1:11" x14ac:dyDescent="0.2">
      <c r="A1986" s="117"/>
      <c r="C1986" s="117"/>
      <c r="H1986" s="117"/>
      <c r="J1986" s="117"/>
      <c r="K1986" s="117"/>
    </row>
    <row r="1987" spans="1:11" x14ac:dyDescent="0.2">
      <c r="A1987" s="117"/>
      <c r="C1987" s="117"/>
      <c r="H1987" s="117"/>
      <c r="J1987" s="117"/>
      <c r="K1987" s="117"/>
    </row>
    <row r="1988" spans="1:11" x14ac:dyDescent="0.2">
      <c r="A1988" s="117"/>
      <c r="C1988" s="117"/>
      <c r="H1988" s="117"/>
      <c r="J1988" s="117"/>
      <c r="K1988" s="117"/>
    </row>
    <row r="1989" spans="1:11" x14ac:dyDescent="0.2">
      <c r="A1989" s="117"/>
      <c r="C1989" s="117"/>
      <c r="H1989" s="117"/>
      <c r="J1989" s="117"/>
      <c r="K1989" s="117"/>
    </row>
    <row r="1990" spans="1:11" x14ac:dyDescent="0.2">
      <c r="A1990" s="117"/>
      <c r="C1990" s="117"/>
      <c r="H1990" s="117"/>
      <c r="J1990" s="117"/>
      <c r="K1990" s="117"/>
    </row>
    <row r="1991" spans="1:11" x14ac:dyDescent="0.2">
      <c r="A1991" s="117"/>
      <c r="C1991" s="117"/>
      <c r="H1991" s="117"/>
      <c r="J1991" s="117"/>
      <c r="K1991" s="117"/>
    </row>
    <row r="1992" spans="1:11" x14ac:dyDescent="0.2">
      <c r="A1992" s="117"/>
      <c r="C1992" s="117"/>
      <c r="H1992" s="117"/>
      <c r="J1992" s="117"/>
      <c r="K1992" s="117"/>
    </row>
    <row r="1993" spans="1:11" x14ac:dyDescent="0.2">
      <c r="A1993" s="117"/>
      <c r="C1993" s="117"/>
      <c r="H1993" s="117"/>
      <c r="J1993" s="117"/>
      <c r="K1993" s="117"/>
    </row>
    <row r="1994" spans="1:11" x14ac:dyDescent="0.2">
      <c r="A1994" s="117"/>
      <c r="C1994" s="117"/>
      <c r="H1994" s="117"/>
      <c r="J1994" s="117"/>
      <c r="K1994" s="117"/>
    </row>
    <row r="1995" spans="1:11" x14ac:dyDescent="0.2">
      <c r="A1995" s="117"/>
      <c r="C1995" s="117"/>
      <c r="H1995" s="117"/>
      <c r="J1995" s="117"/>
      <c r="K1995" s="117"/>
    </row>
    <row r="1996" spans="1:11" x14ac:dyDescent="0.2">
      <c r="A1996" s="117"/>
      <c r="C1996" s="117"/>
      <c r="H1996" s="117"/>
      <c r="J1996" s="117"/>
      <c r="K1996" s="117"/>
    </row>
    <row r="1997" spans="1:11" x14ac:dyDescent="0.2">
      <c r="A1997" s="117"/>
      <c r="C1997" s="117"/>
      <c r="H1997" s="117"/>
      <c r="J1997" s="117"/>
      <c r="K1997" s="117"/>
    </row>
    <row r="1998" spans="1:11" x14ac:dyDescent="0.2">
      <c r="A1998" s="117"/>
      <c r="C1998" s="117"/>
      <c r="H1998" s="117"/>
      <c r="J1998" s="117"/>
      <c r="K1998" s="117"/>
    </row>
    <row r="1999" spans="1:11" x14ac:dyDescent="0.2">
      <c r="A1999" s="117"/>
      <c r="C1999" s="117"/>
      <c r="H1999" s="117"/>
      <c r="J1999" s="117"/>
      <c r="K1999" s="117"/>
    </row>
    <row r="2000" spans="1:11" x14ac:dyDescent="0.2">
      <c r="A2000" s="117"/>
      <c r="C2000" s="117"/>
      <c r="H2000" s="117"/>
      <c r="J2000" s="117"/>
      <c r="K2000" s="117"/>
    </row>
    <row r="2001" spans="1:11" x14ac:dyDescent="0.2">
      <c r="A2001" s="117"/>
      <c r="C2001" s="117"/>
      <c r="H2001" s="117"/>
      <c r="J2001" s="117"/>
      <c r="K2001" s="117"/>
    </row>
    <row r="2002" spans="1:11" x14ac:dyDescent="0.2">
      <c r="A2002" s="117"/>
      <c r="C2002" s="117"/>
      <c r="H2002" s="117"/>
      <c r="J2002" s="117"/>
      <c r="K2002" s="117"/>
    </row>
    <row r="2003" spans="1:11" x14ac:dyDescent="0.2">
      <c r="A2003" s="117"/>
      <c r="C2003" s="117"/>
      <c r="H2003" s="117"/>
      <c r="J2003" s="117"/>
      <c r="K2003" s="117"/>
    </row>
    <row r="2004" spans="1:11" x14ac:dyDescent="0.2">
      <c r="A2004" s="117"/>
      <c r="C2004" s="117"/>
      <c r="H2004" s="117"/>
      <c r="J2004" s="117"/>
      <c r="K2004" s="117"/>
    </row>
    <row r="2005" spans="1:11" x14ac:dyDescent="0.2">
      <c r="A2005" s="117"/>
      <c r="C2005" s="117"/>
      <c r="H2005" s="117"/>
      <c r="J2005" s="117"/>
      <c r="K2005" s="117"/>
    </row>
    <row r="2006" spans="1:11" x14ac:dyDescent="0.2">
      <c r="A2006" s="117"/>
      <c r="C2006" s="117"/>
      <c r="H2006" s="117"/>
      <c r="J2006" s="117"/>
      <c r="K2006" s="117"/>
    </row>
    <row r="2007" spans="1:11" x14ac:dyDescent="0.2">
      <c r="A2007" s="117"/>
      <c r="C2007" s="117"/>
      <c r="H2007" s="117"/>
      <c r="J2007" s="117"/>
      <c r="K2007" s="117"/>
    </row>
    <row r="2008" spans="1:11" x14ac:dyDescent="0.2">
      <c r="A2008" s="117"/>
      <c r="C2008" s="117"/>
      <c r="H2008" s="117"/>
      <c r="J2008" s="117"/>
      <c r="K2008" s="117"/>
    </row>
    <row r="2009" spans="1:11" x14ac:dyDescent="0.2">
      <c r="A2009" s="117"/>
      <c r="C2009" s="117"/>
      <c r="H2009" s="117"/>
      <c r="J2009" s="117"/>
      <c r="K2009" s="117"/>
    </row>
    <row r="2010" spans="1:11" x14ac:dyDescent="0.2">
      <c r="A2010" s="117"/>
      <c r="C2010" s="117"/>
      <c r="H2010" s="117"/>
      <c r="J2010" s="117"/>
      <c r="K2010" s="117"/>
    </row>
    <row r="2011" spans="1:11" x14ac:dyDescent="0.2">
      <c r="A2011" s="117"/>
      <c r="C2011" s="117"/>
      <c r="H2011" s="117"/>
      <c r="J2011" s="117"/>
      <c r="K2011" s="117"/>
    </row>
    <row r="2012" spans="1:11" x14ac:dyDescent="0.2">
      <c r="A2012" s="117"/>
      <c r="C2012" s="117"/>
      <c r="H2012" s="117"/>
      <c r="J2012" s="117"/>
      <c r="K2012" s="117"/>
    </row>
    <row r="2013" spans="1:11" x14ac:dyDescent="0.2">
      <c r="A2013" s="117"/>
      <c r="C2013" s="117"/>
      <c r="H2013" s="117"/>
      <c r="J2013" s="117"/>
      <c r="K2013" s="117"/>
    </row>
    <row r="2014" spans="1:11" x14ac:dyDescent="0.2">
      <c r="A2014" s="117"/>
      <c r="C2014" s="117"/>
      <c r="H2014" s="117"/>
      <c r="J2014" s="117"/>
      <c r="K2014" s="117"/>
    </row>
    <row r="2015" spans="1:11" x14ac:dyDescent="0.2">
      <c r="A2015" s="117"/>
      <c r="C2015" s="117"/>
      <c r="H2015" s="117"/>
      <c r="J2015" s="117"/>
      <c r="K2015" s="117"/>
    </row>
    <row r="2016" spans="1:11" x14ac:dyDescent="0.2">
      <c r="A2016" s="117"/>
      <c r="C2016" s="117"/>
      <c r="H2016" s="117"/>
      <c r="J2016" s="117"/>
      <c r="K2016" s="117"/>
    </row>
    <row r="2017" spans="1:11" x14ac:dyDescent="0.2">
      <c r="A2017" s="117"/>
      <c r="C2017" s="117"/>
      <c r="H2017" s="117"/>
      <c r="J2017" s="117"/>
      <c r="K2017" s="117"/>
    </row>
    <row r="2018" spans="1:11" x14ac:dyDescent="0.2">
      <c r="A2018" s="117"/>
      <c r="C2018" s="117"/>
      <c r="H2018" s="117"/>
      <c r="J2018" s="117"/>
      <c r="K2018" s="117"/>
    </row>
    <row r="2019" spans="1:11" x14ac:dyDescent="0.2">
      <c r="A2019" s="117"/>
      <c r="C2019" s="117"/>
      <c r="H2019" s="117"/>
      <c r="J2019" s="117"/>
      <c r="K2019" s="117"/>
    </row>
    <row r="2020" spans="1:11" x14ac:dyDescent="0.2">
      <c r="A2020" s="117"/>
      <c r="C2020" s="117"/>
      <c r="H2020" s="117"/>
      <c r="J2020" s="117"/>
      <c r="K2020" s="117"/>
    </row>
    <row r="2021" spans="1:11" x14ac:dyDescent="0.2">
      <c r="A2021" s="117"/>
      <c r="C2021" s="117"/>
      <c r="H2021" s="117"/>
      <c r="J2021" s="117"/>
      <c r="K2021" s="117"/>
    </row>
    <row r="2022" spans="1:11" x14ac:dyDescent="0.2">
      <c r="A2022" s="117"/>
      <c r="C2022" s="117"/>
      <c r="H2022" s="117"/>
      <c r="J2022" s="117"/>
      <c r="K2022" s="117"/>
    </row>
    <row r="2023" spans="1:11" x14ac:dyDescent="0.2">
      <c r="A2023" s="117"/>
      <c r="C2023" s="117"/>
      <c r="H2023" s="117"/>
      <c r="J2023" s="117"/>
      <c r="K2023" s="117"/>
    </row>
    <row r="2024" spans="1:11" x14ac:dyDescent="0.2">
      <c r="A2024" s="117"/>
      <c r="C2024" s="117"/>
      <c r="H2024" s="117"/>
      <c r="J2024" s="117"/>
      <c r="K2024" s="117"/>
    </row>
    <row r="2025" spans="1:11" x14ac:dyDescent="0.2">
      <c r="A2025" s="117"/>
      <c r="C2025" s="117"/>
      <c r="H2025" s="117"/>
      <c r="J2025" s="117"/>
      <c r="K2025" s="117"/>
    </row>
    <row r="2026" spans="1:11" x14ac:dyDescent="0.2">
      <c r="A2026" s="117"/>
      <c r="C2026" s="117"/>
      <c r="H2026" s="117"/>
      <c r="J2026" s="117"/>
      <c r="K2026" s="117"/>
    </row>
    <row r="2027" spans="1:11" x14ac:dyDescent="0.2">
      <c r="A2027" s="117"/>
      <c r="C2027" s="117"/>
      <c r="H2027" s="117"/>
      <c r="J2027" s="117"/>
      <c r="K2027" s="117"/>
    </row>
    <row r="2028" spans="1:11" x14ac:dyDescent="0.2">
      <c r="A2028" s="117"/>
      <c r="C2028" s="117"/>
      <c r="H2028" s="117"/>
      <c r="J2028" s="117"/>
      <c r="K2028" s="117"/>
    </row>
    <row r="2029" spans="1:11" x14ac:dyDescent="0.2">
      <c r="A2029" s="117"/>
      <c r="C2029" s="117"/>
      <c r="H2029" s="117"/>
      <c r="J2029" s="117"/>
      <c r="K2029" s="117"/>
    </row>
    <row r="2030" spans="1:11" x14ac:dyDescent="0.2">
      <c r="A2030" s="117"/>
      <c r="C2030" s="117"/>
      <c r="H2030" s="117"/>
      <c r="J2030" s="117"/>
      <c r="K2030" s="117"/>
    </row>
    <row r="2031" spans="1:11" x14ac:dyDescent="0.2">
      <c r="A2031" s="117"/>
      <c r="C2031" s="117"/>
      <c r="H2031" s="117"/>
      <c r="J2031" s="117"/>
      <c r="K2031" s="117"/>
    </row>
    <row r="2032" spans="1:11" x14ac:dyDescent="0.2">
      <c r="A2032" s="117"/>
      <c r="C2032" s="117"/>
      <c r="H2032" s="117"/>
      <c r="J2032" s="117"/>
      <c r="K2032" s="117"/>
    </row>
    <row r="2033" spans="1:11" x14ac:dyDescent="0.2">
      <c r="A2033" s="117"/>
      <c r="C2033" s="117"/>
      <c r="H2033" s="117"/>
      <c r="J2033" s="117"/>
      <c r="K2033" s="117"/>
    </row>
    <row r="2034" spans="1:11" x14ac:dyDescent="0.2">
      <c r="A2034" s="117"/>
      <c r="C2034" s="117"/>
      <c r="H2034" s="117"/>
      <c r="J2034" s="117"/>
      <c r="K2034" s="117"/>
    </row>
    <row r="2035" spans="1:11" x14ac:dyDescent="0.2">
      <c r="A2035" s="117"/>
      <c r="C2035" s="117"/>
      <c r="H2035" s="117"/>
      <c r="J2035" s="117"/>
      <c r="K2035" s="117"/>
    </row>
    <row r="2036" spans="1:11" x14ac:dyDescent="0.2">
      <c r="A2036" s="117"/>
      <c r="C2036" s="117"/>
      <c r="H2036" s="117"/>
      <c r="J2036" s="117"/>
      <c r="K2036" s="117"/>
    </row>
    <row r="2037" spans="1:11" x14ac:dyDescent="0.2">
      <c r="A2037" s="117"/>
      <c r="C2037" s="117"/>
      <c r="H2037" s="117"/>
      <c r="J2037" s="117"/>
      <c r="K2037" s="117"/>
    </row>
    <row r="2038" spans="1:11" x14ac:dyDescent="0.2">
      <c r="A2038" s="117"/>
      <c r="C2038" s="117"/>
      <c r="H2038" s="117"/>
      <c r="J2038" s="117"/>
      <c r="K2038" s="117"/>
    </row>
    <row r="2039" spans="1:11" x14ac:dyDescent="0.2">
      <c r="A2039" s="117"/>
      <c r="C2039" s="117"/>
      <c r="H2039" s="117"/>
      <c r="J2039" s="117"/>
      <c r="K2039" s="117"/>
    </row>
    <row r="2040" spans="1:11" x14ac:dyDescent="0.2">
      <c r="A2040" s="117"/>
      <c r="C2040" s="117"/>
      <c r="H2040" s="117"/>
      <c r="J2040" s="117"/>
      <c r="K2040" s="117"/>
    </row>
    <row r="2041" spans="1:11" x14ac:dyDescent="0.2">
      <c r="A2041" s="117"/>
      <c r="C2041" s="117"/>
      <c r="H2041" s="117"/>
      <c r="J2041" s="117"/>
      <c r="K2041" s="117"/>
    </row>
    <row r="2042" spans="1:11" x14ac:dyDescent="0.2">
      <c r="A2042" s="117"/>
      <c r="C2042" s="117"/>
      <c r="H2042" s="117"/>
      <c r="J2042" s="117"/>
      <c r="K2042" s="117"/>
    </row>
    <row r="2043" spans="1:11" x14ac:dyDescent="0.2">
      <c r="A2043" s="117"/>
      <c r="C2043" s="117"/>
      <c r="H2043" s="117"/>
      <c r="J2043" s="117"/>
      <c r="K2043" s="117"/>
    </row>
    <row r="2044" spans="1:11" x14ac:dyDescent="0.2">
      <c r="A2044" s="117"/>
      <c r="C2044" s="117"/>
      <c r="H2044" s="117"/>
      <c r="J2044" s="117"/>
      <c r="K2044" s="117"/>
    </row>
    <row r="2045" spans="1:11" x14ac:dyDescent="0.2">
      <c r="A2045" s="117"/>
      <c r="C2045" s="117"/>
      <c r="H2045" s="117"/>
      <c r="J2045" s="117"/>
      <c r="K2045" s="117"/>
    </row>
    <row r="2046" spans="1:11" x14ac:dyDescent="0.2">
      <c r="A2046" s="117"/>
      <c r="C2046" s="117"/>
      <c r="H2046" s="117"/>
      <c r="J2046" s="117"/>
      <c r="K2046" s="117"/>
    </row>
    <row r="2047" spans="1:11" x14ac:dyDescent="0.2">
      <c r="A2047" s="117"/>
      <c r="C2047" s="117"/>
      <c r="H2047" s="117"/>
      <c r="J2047" s="117"/>
      <c r="K2047" s="117"/>
    </row>
  </sheetData>
  <autoFilter ref="A4:R2043"/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 enableFormatConditionsCalculation="0">
    <tabColor indexed="44"/>
    <pageSetUpPr fitToPage="1"/>
  </sheetPr>
  <dimension ref="A1:AB1957"/>
  <sheetViews>
    <sheetView tabSelected="1" zoomScale="85" zoomScaleNormal="85" workbookViewId="0">
      <pane ySplit="8" topLeftCell="A9" activePane="bottomLeft" state="frozen"/>
      <selection pane="bottomLeft" activeCell="A9" sqref="A9"/>
    </sheetView>
  </sheetViews>
  <sheetFormatPr defaultColWidth="10.7109375" defaultRowHeight="12.75" outlineLevelCol="1" x14ac:dyDescent="0.2"/>
  <cols>
    <col min="1" max="1" width="22.7109375" style="65" customWidth="1"/>
    <col min="2" max="2" width="32.7109375" style="65" customWidth="1" outlineLevel="1"/>
    <col min="3" max="3" width="22.42578125" style="71" bestFit="1" customWidth="1"/>
    <col min="4" max="4" width="20.5703125" style="65" customWidth="1"/>
    <col min="5" max="5" width="11.28515625" style="65" bestFit="1" customWidth="1"/>
    <col min="6" max="6" width="16.7109375" style="65" bestFit="1" customWidth="1"/>
    <col min="7" max="7" width="11" style="65" bestFit="1" customWidth="1"/>
    <col min="8" max="8" width="12.5703125" style="65" bestFit="1" customWidth="1"/>
    <col min="9" max="10" width="20.7109375" style="65" customWidth="1"/>
    <col min="11" max="11" width="18.7109375" style="65" customWidth="1"/>
    <col min="12" max="12" width="50.7109375" style="72" customWidth="1"/>
    <col min="13" max="14" width="10.7109375" style="65" customWidth="1"/>
    <col min="15" max="15" width="15.7109375" style="65" customWidth="1"/>
    <col min="16" max="27" width="10.7109375" style="65" customWidth="1"/>
    <col min="28" max="28" width="21.85546875" style="65" bestFit="1" customWidth="1"/>
    <col min="29" max="16384" width="10.7109375" style="65"/>
  </cols>
  <sheetData>
    <row r="1" spans="1:28" ht="28.5" customHeight="1" x14ac:dyDescent="0.2">
      <c r="A1" s="93"/>
      <c r="B1" s="105" t="s">
        <v>481</v>
      </c>
      <c r="C1" s="94" t="s">
        <v>1335</v>
      </c>
      <c r="D1" s="102" t="s">
        <v>526</v>
      </c>
      <c r="F1" s="107" t="s">
        <v>358</v>
      </c>
      <c r="H1" s="97"/>
      <c r="I1" s="97" t="s">
        <v>515</v>
      </c>
      <c r="L1"/>
      <c r="M1" s="98"/>
      <c r="N1" s="99"/>
      <c r="O1" s="100"/>
    </row>
    <row r="2" spans="1:28" x14ac:dyDescent="0.2">
      <c r="A2" s="101"/>
      <c r="B2" s="105" t="s">
        <v>525</v>
      </c>
      <c r="C2" s="107" t="s">
        <v>1345</v>
      </c>
      <c r="D2" s="106" t="s">
        <v>483</v>
      </c>
      <c r="E2" s="103"/>
      <c r="F2" s="104"/>
      <c r="G2" s="108" t="b">
        <v>1</v>
      </c>
      <c r="H2" s="101"/>
      <c r="I2" s="101"/>
      <c r="J2" s="101"/>
      <c r="K2" s="97"/>
      <c r="L2"/>
      <c r="M2"/>
      <c r="N2"/>
      <c r="O2"/>
    </row>
    <row r="3" spans="1:28" x14ac:dyDescent="0.2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97"/>
      <c r="L3"/>
      <c r="M3"/>
      <c r="N3"/>
      <c r="O3"/>
    </row>
    <row r="4" spans="1:28" s="66" customFormat="1" x14ac:dyDescent="0.2">
      <c r="A4" s="79" t="s">
        <v>390</v>
      </c>
      <c r="B4" s="79" t="s">
        <v>42</v>
      </c>
      <c r="C4" s="79" t="s">
        <v>42</v>
      </c>
      <c r="D4" s="79" t="s">
        <v>42</v>
      </c>
      <c r="E4" s="79" t="s">
        <v>390</v>
      </c>
      <c r="F4" s="79" t="s">
        <v>283</v>
      </c>
      <c r="G4" s="79" t="s">
        <v>390</v>
      </c>
      <c r="H4" s="79" t="s">
        <v>390</v>
      </c>
      <c r="I4" s="79" t="s">
        <v>42</v>
      </c>
      <c r="J4" s="79" t="s">
        <v>42</v>
      </c>
      <c r="K4" s="79" t="s">
        <v>42</v>
      </c>
      <c r="L4" s="80" t="s">
        <v>283</v>
      </c>
      <c r="M4" s="79" t="s">
        <v>42</v>
      </c>
      <c r="N4" s="79" t="s">
        <v>42</v>
      </c>
      <c r="O4" s="79" t="s">
        <v>42</v>
      </c>
    </row>
    <row r="5" spans="1:28" s="66" customFormat="1" x14ac:dyDescent="0.2">
      <c r="A5" s="172">
        <f>DtAn</f>
        <v>42644</v>
      </c>
      <c r="B5" s="172"/>
      <c r="G5" s="79" t="s">
        <v>283</v>
      </c>
      <c r="H5" s="79" t="s">
        <v>283</v>
      </c>
      <c r="L5" s="95" t="s">
        <v>210</v>
      </c>
      <c r="M5" s="96">
        <v>2</v>
      </c>
      <c r="N5" s="96">
        <v>3</v>
      </c>
      <c r="O5" s="96">
        <v>1</v>
      </c>
    </row>
    <row r="6" spans="1:28" ht="38.25" x14ac:dyDescent="0.2">
      <c r="A6" s="67" t="s">
        <v>53</v>
      </c>
      <c r="B6" s="67" t="s">
        <v>332</v>
      </c>
      <c r="C6" s="67" t="s">
        <v>333</v>
      </c>
      <c r="D6" s="67" t="s">
        <v>58</v>
      </c>
      <c r="E6" s="67" t="s">
        <v>54</v>
      </c>
      <c r="F6" s="67" t="s">
        <v>468</v>
      </c>
      <c r="G6" s="67" t="s">
        <v>334</v>
      </c>
      <c r="H6" s="67" t="s">
        <v>335</v>
      </c>
      <c r="I6" s="67" t="s">
        <v>442</v>
      </c>
      <c r="J6" s="67" t="s">
        <v>220</v>
      </c>
      <c r="K6" s="67" t="s">
        <v>1435</v>
      </c>
      <c r="L6" s="68" t="s">
        <v>898</v>
      </c>
      <c r="M6" s="68" t="s">
        <v>55</v>
      </c>
      <c r="N6" s="68" t="s">
        <v>56</v>
      </c>
      <c r="O6" s="68" t="s">
        <v>57</v>
      </c>
      <c r="S6" s="173" t="s">
        <v>397</v>
      </c>
      <c r="T6" s="173"/>
      <c r="U6" s="173"/>
      <c r="V6" s="174" t="s">
        <v>336</v>
      </c>
      <c r="W6" s="174"/>
      <c r="X6" s="174"/>
      <c r="Y6" s="174"/>
      <c r="Z6" s="174"/>
      <c r="AB6" s="86" t="s">
        <v>477</v>
      </c>
    </row>
    <row r="7" spans="1:28" x14ac:dyDescent="0.2">
      <c r="A7" s="81">
        <v>1</v>
      </c>
      <c r="B7" s="81">
        <f t="shared" ref="B7:K7" ca="1" si="0">OFFSET(B7,0,-1)+1</f>
        <v>2</v>
      </c>
      <c r="C7" s="81">
        <f t="shared" ca="1" si="0"/>
        <v>3</v>
      </c>
      <c r="D7" s="81">
        <f t="shared" ca="1" si="0"/>
        <v>4</v>
      </c>
      <c r="E7" s="69">
        <f t="shared" ca="1" si="0"/>
        <v>5</v>
      </c>
      <c r="F7" s="69">
        <f t="shared" ca="1" si="0"/>
        <v>6</v>
      </c>
      <c r="G7" s="69">
        <f t="shared" ca="1" si="0"/>
        <v>7</v>
      </c>
      <c r="H7" s="69">
        <f t="shared" ca="1" si="0"/>
        <v>8</v>
      </c>
      <c r="I7" s="83">
        <f t="shared" ca="1" si="0"/>
        <v>9</v>
      </c>
      <c r="J7" s="83">
        <f t="shared" ca="1" si="0"/>
        <v>10</v>
      </c>
      <c r="K7" s="83">
        <f t="shared" ca="1" si="0"/>
        <v>11</v>
      </c>
      <c r="L7" s="70">
        <f ca="1">OFFSET(L7,0,-1)+1</f>
        <v>12</v>
      </c>
      <c r="M7" s="82">
        <f ca="1">OFFSET(M7,0,-1)+1</f>
        <v>13</v>
      </c>
      <c r="N7" s="82">
        <f ca="1">OFFSET(N7,0,-1)+1</f>
        <v>14</v>
      </c>
      <c r="O7" s="109">
        <f ca="1">OFFSET(O7,0,-1)+1</f>
        <v>15</v>
      </c>
      <c r="P7" s="90">
        <f t="shared" ref="P7:AB7" ca="1" si="1">OFFSET(P7,0,-1)+1</f>
        <v>16</v>
      </c>
      <c r="Q7" s="90">
        <f t="shared" ca="1" si="1"/>
        <v>17</v>
      </c>
      <c r="R7" s="90">
        <f t="shared" ca="1" si="1"/>
        <v>18</v>
      </c>
      <c r="S7" s="89">
        <f t="shared" ca="1" si="1"/>
        <v>19</v>
      </c>
      <c r="T7" s="70">
        <f t="shared" ca="1" si="1"/>
        <v>20</v>
      </c>
      <c r="U7" s="70">
        <f t="shared" ca="1" si="1"/>
        <v>21</v>
      </c>
      <c r="V7" s="70">
        <f t="shared" ca="1" si="1"/>
        <v>22</v>
      </c>
      <c r="W7" s="70">
        <f t="shared" ca="1" si="1"/>
        <v>23</v>
      </c>
      <c r="X7" s="70">
        <f t="shared" ca="1" si="1"/>
        <v>24</v>
      </c>
      <c r="Y7" s="70">
        <f t="shared" ca="1" si="1"/>
        <v>25</v>
      </c>
      <c r="Z7" s="70">
        <f t="shared" ca="1" si="1"/>
        <v>26</v>
      </c>
      <c r="AA7" s="70">
        <f t="shared" ca="1" si="1"/>
        <v>27</v>
      </c>
      <c r="AB7" s="70">
        <f t="shared" ca="1" si="1"/>
        <v>28</v>
      </c>
    </row>
    <row r="8" spans="1:28" x14ac:dyDescent="0.2">
      <c r="A8" s="73" t="s">
        <v>50</v>
      </c>
      <c r="B8" s="73" t="s">
        <v>50</v>
      </c>
      <c r="C8" s="74" t="s">
        <v>50</v>
      </c>
      <c r="D8" s="75" t="s">
        <v>50</v>
      </c>
      <c r="E8" s="85" t="e">
        <f ca="1">S8 &amp; IF(AND(U8, T8&lt;&gt;""), ", " &amp; T8,"")</f>
        <v>#N/A</v>
      </c>
      <c r="F8" s="155" t="e">
        <f t="shared" ref="F8" ca="1" si="2">CHOOSE( VLOOKUP(N8, обл_КС, 10, 0), "хорошее", "среднее", "неуд.")</f>
        <v>#N/A</v>
      </c>
      <c r="G8" s="76" t="s">
        <v>50</v>
      </c>
      <c r="H8" s="87" t="s">
        <v>50</v>
      </c>
      <c r="I8" s="75" t="s">
        <v>50</v>
      </c>
      <c r="J8" s="75" t="s">
        <v>50</v>
      </c>
      <c r="K8" s="75" t="s">
        <v>50</v>
      </c>
      <c r="L8" s="88" t="e">
        <f ca="1">altconcatm(V8,W8,X8)</f>
        <v>#VALUE!</v>
      </c>
      <c r="M8" s="77" t="s">
        <v>50</v>
      </c>
      <c r="N8" s="77" t="s">
        <v>50</v>
      </c>
      <c r="O8" s="78" t="e">
        <f t="shared" ref="O8" ca="1" si="3">VLOOKUP(N8, обл_КС, 28, 0)</f>
        <v>#N/A</v>
      </c>
      <c r="P8" s="65" t="e">
        <f t="shared" ref="P8" ca="1" si="4">ROUND(K8/D8, 2) &gt; H8</f>
        <v>#VALUE!</v>
      </c>
      <c r="S8" s="148" t="e">
        <f t="shared" ref="S8" ca="1" si="5">CHOOSE( VLOOKUP(M8,обл_Клиент, 2, 0)+1, "отсутств.", "хорошее", "среднее", "плохое") &amp; IF(AA8&lt;&gt;"", "-","") &amp; AA8</f>
        <v>#N/A</v>
      </c>
      <c r="T8" t="e">
        <f t="shared" ref="T8" ca="1" si="6">CHOOSE( VLOOKUP(M8, обл_Клиент, 5,0)+1, "", "отсутств. 1 квартал", "отсутств. более 1 кв.")</f>
        <v>#N/A</v>
      </c>
      <c r="U8" t="e">
        <f t="shared" ref="U8" ca="1" si="7">OR(VLOOKUP(M8, обл_Клиент, 2, 0) = 1, ROUND(VLOOKUP(M8, обл_Клиент, 2, 0),0) = 2)</f>
        <v>#N/A</v>
      </c>
      <c r="V8" s="65" t="e">
        <f t="shared" ref="V8" ca="1" si="8" xml:space="preserve"> T(VLOOKUP(M8,обл_Клиент, 21, 0))</f>
        <v>#N/A</v>
      </c>
      <c r="W8" s="65" t="str">
        <f t="shared" ref="W8" ca="1" si="9">altconcat("; ", IF(T(VLOOKUP(M8,обл_Клиент, 22,0)) = V8, "", T(VLOOKUP(M8,обл_Клиент, 22,0))), T(VLOOKUP(M8,обл_Клиент, 23,0)))</f>
        <v>Error 2042; Error 2042</v>
      </c>
      <c r="X8" s="65" t="e">
        <f t="shared" ref="X8" ca="1" si="10" xml:space="preserve"> IF(Z8="", "", Y8 &amp; ":" &amp; CHAR(10) &amp; Z8)</f>
        <v>#N/A</v>
      </c>
      <c r="Y8" s="65" t="e">
        <f t="shared" ref="Y8" ca="1" si="11">CONCATENATE("к/с от ", TEXT(VLOOKUP(N8, обл_КС, 6, 0), "дд.ММ.гггг"), " №", VLOOKUP(N8, обл_КС, 4, 0))</f>
        <v>#N/A</v>
      </c>
      <c r="Z8" s="65" t="e">
        <f t="shared" ref="Z8" ca="1" si="12">VLOOKUP(N8,обл_КС,32,0)</f>
        <v>#N/A</v>
      </c>
      <c r="AA8" s="65" t="e">
        <f t="shared" ref="AA8" ca="1" si="13">MID(VLOOKUP(M8,обл_Клиент, 2, 0),3,1)</f>
        <v>#N/A</v>
      </c>
      <c r="AB8" s="65" t="s">
        <v>50</v>
      </c>
    </row>
    <row r="9" spans="1:28" ht="89.25" x14ac:dyDescent="0.2">
      <c r="A9" s="73" t="s">
        <v>524</v>
      </c>
      <c r="B9" s="73" t="s">
        <v>566</v>
      </c>
      <c r="C9" s="74" t="s">
        <v>233</v>
      </c>
      <c r="D9" s="75">
        <v>919000000</v>
      </c>
      <c r="E9" s="85" t="s">
        <v>2302</v>
      </c>
      <c r="F9" s="161" t="s">
        <v>2295</v>
      </c>
      <c r="G9" s="76">
        <v>2.2000000000000002</v>
      </c>
      <c r="H9" s="87">
        <v>0.02</v>
      </c>
      <c r="I9" s="75">
        <v>0</v>
      </c>
      <c r="J9" s="75">
        <v>0</v>
      </c>
      <c r="K9" s="75">
        <v>18380000</v>
      </c>
      <c r="L9" s="88" t="s">
        <v>2305</v>
      </c>
      <c r="M9" s="77">
        <v>3644</v>
      </c>
      <c r="N9" s="77">
        <v>3533</v>
      </c>
      <c r="O9" s="78" t="s">
        <v>539</v>
      </c>
      <c r="P9" s="65" t="b">
        <f t="shared" ref="P9:P72" ca="1" si="14">ROUND(K9/D9, 2) &gt; H9</f>
        <v>0</v>
      </c>
      <c r="S9" s="148" t="str">
        <f t="shared" ref="S9:S72" ca="1" si="15">CHOOSE( VLOOKUP(M9,обл_Клиент, 2, 0)+1, "отсутств.", "хорошее", "среднее", "плохое") &amp; IF(AA9&lt;&gt;"", "-","") &amp; AA9</f>
        <v>среднее-2</v>
      </c>
      <c r="T9" t="str">
        <f t="shared" ref="T9:T72" ca="1" si="16">CHOOSE( VLOOKUP(M9, обл_Клиент, 5,0)+1, "", "отсутств. 1 квартал", "отсутств. более 1 кв.")</f>
        <v/>
      </c>
      <c r="U9" t="b">
        <f t="shared" ref="U9:U72" ca="1" si="17">OR(VLOOKUP(M9, обл_Клиент, 2, 0) = 1, ROUND(VLOOKUP(M9, обл_Клиент, 2, 0),0) = 2)</f>
        <v>1</v>
      </c>
      <c r="V9" s="65" t="str">
        <f t="shared" ref="V9:V72" ca="1" si="18" xml:space="preserve"> T(VLOOKUP(M9,обл_Клиент, 21, 0))</f>
        <v/>
      </c>
      <c r="W9" s="65" t="str">
        <f t="shared" ref="W9:W72" ca="1" si="19">altconcat("; ", IF(T(VLOOKUP(M9,обл_Клиент, 22,0)) = V9, "", T(VLOOKUP(M9,обл_Клиент, 22,0))), T(VLOOKUP(M9,обл_Клиент, 23,0)))</f>
        <v/>
      </c>
      <c r="X9" s="65" t="str">
        <f t="shared" ref="X9:X72" ca="1" si="20" xml:space="preserve"> IF(Z9="", "", Y9 &amp; ":" &amp; CHAR(10) &amp; Z9)</f>
        <v>к/с от 30.06.2010 №2576:
реструктуризация (РП №85 от 2010-12-21, РКК №34 от 2011-04-27);
цели: погашение ранее выданной ссуды (РП №37 от 2010-06-01);
цели: предоставление/погашение займов 3 лицам (РКК №10 от 2011-02-14)</v>
      </c>
      <c r="Y9" s="65" t="str">
        <f t="shared" ref="Y9:Y72" ca="1" si="21">CONCATENATE("к/с от ", TEXT(VLOOKUP(N9, обл_КС, 6, 0), "дд.ММ.гггг"), " №", VLOOKUP(N9, обл_КС, 4, 0))</f>
        <v>к/с от 30.06.2010 №2576</v>
      </c>
      <c r="Z9" s="65" t="str">
        <f t="shared" ref="Z9:Z72" ca="1" si="22">VLOOKUP(N9,обл_КС,32,0)</f>
        <v>реструктуризация (РП №85 от 2010-12-21, РКК №34 от 2011-04-27);
цели: погашение ранее выданной ссуды (РП №37 от 2010-06-01);
цели: предоставление/погашение займов 3 лицам (РКК №10 от 2011-02-14)</v>
      </c>
      <c r="AA9" s="65" t="str">
        <f t="shared" ref="AA9:AA72" ca="1" si="23">MID(VLOOKUP(M9,обл_Клиент, 2, 0),3,1)</f>
        <v>2</v>
      </c>
      <c r="AB9" s="65" t="s">
        <v>567</v>
      </c>
    </row>
    <row r="10" spans="1:28" ht="25.5" x14ac:dyDescent="0.2">
      <c r="A10" s="73" t="s">
        <v>2092</v>
      </c>
      <c r="B10" s="73" t="s">
        <v>2100</v>
      </c>
      <c r="C10" s="74" t="s">
        <v>2062</v>
      </c>
      <c r="D10" s="75">
        <v>478053827.35000002</v>
      </c>
      <c r="E10" s="85" t="s">
        <v>2295</v>
      </c>
      <c r="F10" s="161" t="s">
        <v>2295</v>
      </c>
      <c r="G10" s="76">
        <v>1</v>
      </c>
      <c r="H10" s="87">
        <v>0</v>
      </c>
      <c r="I10" s="75">
        <v>0</v>
      </c>
      <c r="J10" s="75">
        <v>0</v>
      </c>
      <c r="K10" s="75">
        <v>0</v>
      </c>
      <c r="L10" s="88" t="s">
        <v>2296</v>
      </c>
      <c r="M10" s="77">
        <v>100</v>
      </c>
      <c r="N10" s="77">
        <v>10000100</v>
      </c>
      <c r="O10" s="78" t="s">
        <v>273</v>
      </c>
      <c r="P10" s="65" t="b">
        <f t="shared" ca="1" si="14"/>
        <v>0</v>
      </c>
      <c r="S10" s="148" t="str">
        <f t="shared" ca="1" si="15"/>
        <v>хорошее</v>
      </c>
      <c r="T10" t="str">
        <f t="shared" ca="1" si="16"/>
        <v/>
      </c>
      <c r="U10" t="b">
        <f t="shared" ca="1" si="17"/>
        <v>1</v>
      </c>
      <c r="V10" s="65" t="str">
        <f t="shared" ca="1" si="18"/>
        <v/>
      </c>
      <c r="W10" s="65" t="str">
        <f t="shared" ca="1" si="19"/>
        <v/>
      </c>
      <c r="X10" s="65" t="str">
        <f t="shared" ca="1" si="20"/>
        <v/>
      </c>
      <c r="Y10" s="65" t="str">
        <f t="shared" ca="1" si="21"/>
        <v>к/с от 00.01.1900 №</v>
      </c>
      <c r="Z10" s="65" t="str">
        <f t="shared" ca="1" si="22"/>
        <v/>
      </c>
      <c r="AA10" s="65" t="str">
        <f t="shared" ca="1" si="23"/>
        <v/>
      </c>
      <c r="AB10" s="65" t="s">
        <v>774</v>
      </c>
    </row>
    <row r="11" spans="1:28" ht="25.5" x14ac:dyDescent="0.2">
      <c r="A11" s="73" t="s">
        <v>1526</v>
      </c>
      <c r="B11" s="73" t="s">
        <v>1682</v>
      </c>
      <c r="C11" s="74" t="s">
        <v>1533</v>
      </c>
      <c r="D11" s="75">
        <v>9500000</v>
      </c>
      <c r="E11" s="85" t="s">
        <v>2295</v>
      </c>
      <c r="F11" s="161" t="s">
        <v>2295</v>
      </c>
      <c r="G11" s="76">
        <v>1</v>
      </c>
      <c r="H11" s="87">
        <v>0</v>
      </c>
      <c r="I11" s="75">
        <v>0</v>
      </c>
      <c r="J11" s="75">
        <v>0</v>
      </c>
      <c r="K11" s="75">
        <v>0</v>
      </c>
      <c r="L11" s="88" t="s">
        <v>2296</v>
      </c>
      <c r="M11" s="77">
        <v>164</v>
      </c>
      <c r="N11" s="77">
        <v>10000164</v>
      </c>
      <c r="O11" s="78" t="s">
        <v>273</v>
      </c>
      <c r="P11" s="65" t="b">
        <f t="shared" ca="1" si="14"/>
        <v>0</v>
      </c>
      <c r="S11" s="148" t="str">
        <f t="shared" ca="1" si="15"/>
        <v>хорошее</v>
      </c>
      <c r="T11" t="str">
        <f t="shared" ca="1" si="16"/>
        <v/>
      </c>
      <c r="U11" t="b">
        <f t="shared" ca="1" si="17"/>
        <v>1</v>
      </c>
      <c r="V11" s="65" t="str">
        <f t="shared" ca="1" si="18"/>
        <v/>
      </c>
      <c r="W11" s="65" t="str">
        <f t="shared" ca="1" si="19"/>
        <v/>
      </c>
      <c r="X11" s="65" t="str">
        <f t="shared" ca="1" si="20"/>
        <v/>
      </c>
      <c r="Y11" s="65" t="str">
        <f t="shared" ca="1" si="21"/>
        <v>к/с от 00.01.1900 №</v>
      </c>
      <c r="Z11" s="65" t="str">
        <f t="shared" ca="1" si="22"/>
        <v/>
      </c>
      <c r="AA11" s="65" t="str">
        <f t="shared" ca="1" si="23"/>
        <v/>
      </c>
      <c r="AB11" s="65" t="s">
        <v>773</v>
      </c>
    </row>
    <row r="12" spans="1:28" ht="25.5" x14ac:dyDescent="0.2">
      <c r="A12" s="73" t="s">
        <v>1507</v>
      </c>
      <c r="B12" s="73" t="s">
        <v>1525</v>
      </c>
      <c r="C12" s="74" t="s">
        <v>1508</v>
      </c>
      <c r="D12" s="75">
        <v>30417.66</v>
      </c>
      <c r="E12" s="85" t="s">
        <v>2295</v>
      </c>
      <c r="F12" s="161" t="s">
        <v>2295</v>
      </c>
      <c r="G12" s="76">
        <v>1</v>
      </c>
      <c r="H12" s="87">
        <v>0</v>
      </c>
      <c r="I12" s="75">
        <v>0</v>
      </c>
      <c r="J12" s="75">
        <v>0</v>
      </c>
      <c r="K12" s="75">
        <v>0</v>
      </c>
      <c r="L12" s="88" t="s">
        <v>2296</v>
      </c>
      <c r="M12" s="77">
        <v>201</v>
      </c>
      <c r="N12" s="77">
        <v>10000201</v>
      </c>
      <c r="O12" s="78" t="s">
        <v>273</v>
      </c>
      <c r="P12" s="65" t="b">
        <f t="shared" ca="1" si="14"/>
        <v>0</v>
      </c>
      <c r="S12" s="148" t="str">
        <f t="shared" ca="1" si="15"/>
        <v>хорошее</v>
      </c>
      <c r="T12" t="str">
        <f t="shared" ca="1" si="16"/>
        <v/>
      </c>
      <c r="U12" t="b">
        <f t="shared" ca="1" si="17"/>
        <v>1</v>
      </c>
      <c r="V12" s="65" t="str">
        <f t="shared" ca="1" si="18"/>
        <v/>
      </c>
      <c r="W12" s="65" t="str">
        <f t="shared" ca="1" si="19"/>
        <v/>
      </c>
      <c r="X12" s="65" t="str">
        <f t="shared" ca="1" si="20"/>
        <v/>
      </c>
      <c r="Y12" s="65" t="str">
        <f t="shared" ca="1" si="21"/>
        <v>к/с от 00.01.1900 №</v>
      </c>
      <c r="Z12" s="65" t="str">
        <f t="shared" ca="1" si="22"/>
        <v/>
      </c>
      <c r="AA12" s="65" t="str">
        <f t="shared" ca="1" si="23"/>
        <v/>
      </c>
      <c r="AB12" s="65" t="s">
        <v>775</v>
      </c>
    </row>
    <row r="13" spans="1:28" ht="25.5" x14ac:dyDescent="0.2">
      <c r="A13" s="73" t="s">
        <v>1953</v>
      </c>
      <c r="B13" s="73" t="s">
        <v>2096</v>
      </c>
      <c r="C13" s="74" t="s">
        <v>2064</v>
      </c>
      <c r="D13" s="75">
        <v>3697148857.8000002</v>
      </c>
      <c r="E13" s="85" t="s">
        <v>2295</v>
      </c>
      <c r="F13" s="161" t="s">
        <v>2295</v>
      </c>
      <c r="G13" s="76">
        <v>1</v>
      </c>
      <c r="H13" s="87">
        <v>0</v>
      </c>
      <c r="I13" s="75">
        <v>0</v>
      </c>
      <c r="J13" s="75">
        <v>0</v>
      </c>
      <c r="K13" s="75">
        <v>0</v>
      </c>
      <c r="L13" s="88" t="s">
        <v>2296</v>
      </c>
      <c r="M13" s="77">
        <v>752</v>
      </c>
      <c r="N13" s="77">
        <v>10000752</v>
      </c>
      <c r="O13" s="78" t="s">
        <v>273</v>
      </c>
      <c r="P13" s="65" t="b">
        <f t="shared" ca="1" si="14"/>
        <v>0</v>
      </c>
      <c r="S13" s="148" t="str">
        <f t="shared" ca="1" si="15"/>
        <v>хорошее</v>
      </c>
      <c r="T13" t="str">
        <f t="shared" ca="1" si="16"/>
        <v/>
      </c>
      <c r="U13" t="b">
        <f t="shared" ca="1" si="17"/>
        <v>1</v>
      </c>
      <c r="V13" s="65" t="str">
        <f t="shared" ca="1" si="18"/>
        <v/>
      </c>
      <c r="W13" s="65" t="str">
        <f t="shared" ca="1" si="19"/>
        <v/>
      </c>
      <c r="X13" s="65" t="str">
        <f t="shared" ca="1" si="20"/>
        <v/>
      </c>
      <c r="Y13" s="65" t="str">
        <f t="shared" ca="1" si="21"/>
        <v>к/с от 00.01.1900 №</v>
      </c>
      <c r="Z13" s="65" t="str">
        <f t="shared" ca="1" si="22"/>
        <v/>
      </c>
      <c r="AA13" s="65" t="str">
        <f t="shared" ca="1" si="23"/>
        <v/>
      </c>
      <c r="AB13" s="65" t="s">
        <v>774</v>
      </c>
    </row>
    <row r="14" spans="1:28" ht="25.5" x14ac:dyDescent="0.2">
      <c r="A14" s="73" t="s">
        <v>448</v>
      </c>
      <c r="B14" s="73" t="s">
        <v>1882</v>
      </c>
      <c r="C14" s="74" t="s">
        <v>1480</v>
      </c>
      <c r="D14" s="75">
        <v>9710875.0999999996</v>
      </c>
      <c r="E14" s="85" t="s">
        <v>2295</v>
      </c>
      <c r="F14" s="161" t="s">
        <v>2295</v>
      </c>
      <c r="G14" s="76">
        <v>1</v>
      </c>
      <c r="H14" s="87">
        <v>0</v>
      </c>
      <c r="I14" s="75">
        <v>0</v>
      </c>
      <c r="J14" s="75">
        <v>0</v>
      </c>
      <c r="K14" s="75">
        <v>0</v>
      </c>
      <c r="L14" s="88" t="s">
        <v>2296</v>
      </c>
      <c r="M14" s="77">
        <v>2078</v>
      </c>
      <c r="N14" s="77">
        <v>100002078</v>
      </c>
      <c r="O14" s="78" t="s">
        <v>273</v>
      </c>
      <c r="P14" s="65" t="b">
        <f t="shared" ca="1" si="14"/>
        <v>0</v>
      </c>
      <c r="S14" s="148" t="str">
        <f t="shared" ca="1" si="15"/>
        <v>хорошее</v>
      </c>
      <c r="T14" t="str">
        <f t="shared" ca="1" si="16"/>
        <v/>
      </c>
      <c r="U14" t="b">
        <f t="shared" ca="1" si="17"/>
        <v>1</v>
      </c>
      <c r="V14" s="65" t="str">
        <f t="shared" ca="1" si="18"/>
        <v/>
      </c>
      <c r="W14" s="65" t="str">
        <f t="shared" ca="1" si="19"/>
        <v/>
      </c>
      <c r="X14" s="65" t="str">
        <f t="shared" ca="1" si="20"/>
        <v/>
      </c>
      <c r="Y14" s="65" t="str">
        <f t="shared" ca="1" si="21"/>
        <v>к/с от 00.01.1900 №</v>
      </c>
      <c r="Z14" s="65" t="str">
        <f t="shared" ca="1" si="22"/>
        <v/>
      </c>
      <c r="AA14" s="65" t="str">
        <f t="shared" ca="1" si="23"/>
        <v/>
      </c>
      <c r="AB14" s="65" t="s">
        <v>774</v>
      </c>
    </row>
    <row r="15" spans="1:28" ht="38.25" x14ac:dyDescent="0.2">
      <c r="A15" s="73" t="s">
        <v>1440</v>
      </c>
      <c r="B15" s="73" t="s">
        <v>1468</v>
      </c>
      <c r="C15" s="74" t="s">
        <v>1446</v>
      </c>
      <c r="D15" s="75">
        <v>380349.85</v>
      </c>
      <c r="E15" s="85" t="s">
        <v>2295</v>
      </c>
      <c r="F15" s="161" t="s">
        <v>2295</v>
      </c>
      <c r="G15" s="76">
        <v>1</v>
      </c>
      <c r="H15" s="87">
        <v>0</v>
      </c>
      <c r="I15" s="75">
        <v>0</v>
      </c>
      <c r="J15" s="75">
        <v>0</v>
      </c>
      <c r="K15" s="75">
        <v>0</v>
      </c>
      <c r="L15" s="88" t="s">
        <v>2296</v>
      </c>
      <c r="M15" s="77">
        <v>5682</v>
      </c>
      <c r="N15" s="77">
        <v>100005682</v>
      </c>
      <c r="O15" s="78" t="s">
        <v>273</v>
      </c>
      <c r="P15" s="65" t="b">
        <f t="shared" ca="1" si="14"/>
        <v>0</v>
      </c>
      <c r="S15" s="148" t="str">
        <f t="shared" ca="1" si="15"/>
        <v>хорошее</v>
      </c>
      <c r="T15" t="str">
        <f t="shared" ca="1" si="16"/>
        <v/>
      </c>
      <c r="U15" t="b">
        <f t="shared" ca="1" si="17"/>
        <v>1</v>
      </c>
      <c r="V15" s="65" t="str">
        <f t="shared" ca="1" si="18"/>
        <v/>
      </c>
      <c r="W15" s="65" t="str">
        <f t="shared" ca="1" si="19"/>
        <v/>
      </c>
      <c r="X15" s="65" t="str">
        <f t="shared" ca="1" si="20"/>
        <v/>
      </c>
      <c r="Y15" s="65" t="str">
        <f t="shared" ca="1" si="21"/>
        <v>к/с от 00.01.1900 №</v>
      </c>
      <c r="Z15" s="65" t="str">
        <f t="shared" ca="1" si="22"/>
        <v/>
      </c>
      <c r="AA15" s="65" t="str">
        <f t="shared" ca="1" si="23"/>
        <v/>
      </c>
      <c r="AB15" s="65" t="s">
        <v>775</v>
      </c>
    </row>
    <row r="16" spans="1:28" ht="38.25" x14ac:dyDescent="0.2">
      <c r="A16" s="73" t="s">
        <v>696</v>
      </c>
      <c r="B16" s="73" t="s">
        <v>2185</v>
      </c>
      <c r="C16" s="74" t="s">
        <v>2058</v>
      </c>
      <c r="D16" s="75">
        <v>0.54</v>
      </c>
      <c r="E16" s="85" t="s">
        <v>2301</v>
      </c>
      <c r="F16" s="161" t="s">
        <v>2295</v>
      </c>
      <c r="G16" s="76">
        <v>2</v>
      </c>
      <c r="H16" s="87">
        <v>0.01</v>
      </c>
      <c r="I16" s="75">
        <v>0</v>
      </c>
      <c r="J16" s="75">
        <v>0</v>
      </c>
      <c r="K16" s="75">
        <v>0.01</v>
      </c>
      <c r="L16" s="88" t="s">
        <v>728</v>
      </c>
      <c r="M16" s="77">
        <v>2730</v>
      </c>
      <c r="N16" s="77">
        <v>100002730</v>
      </c>
      <c r="O16" s="78" t="s">
        <v>272</v>
      </c>
      <c r="P16" s="65" t="b">
        <f t="shared" ca="1" si="14"/>
        <v>1</v>
      </c>
      <c r="S16" s="148" t="str">
        <f t="shared" ca="1" si="15"/>
        <v>отсутств.</v>
      </c>
      <c r="T16" t="str">
        <f t="shared" ca="1" si="16"/>
        <v/>
      </c>
      <c r="U16" t="b">
        <f t="shared" ca="1" si="17"/>
        <v>0</v>
      </c>
      <c r="V16" s="65" t="str">
        <f t="shared" ca="1" si="18"/>
        <v>Проф. суждение о классификации: оценка ФС отсутствует, задолженность кратковременная</v>
      </c>
      <c r="W16" s="65" t="str">
        <f t="shared" ca="1" si="19"/>
        <v/>
      </c>
      <c r="X16" s="65" t="str">
        <f t="shared" ca="1" si="20"/>
        <v/>
      </c>
      <c r="Y16" s="65" t="str">
        <f t="shared" ca="1" si="21"/>
        <v>к/с от 00.01.1900 №</v>
      </c>
      <c r="Z16" s="65" t="str">
        <f t="shared" ca="1" si="22"/>
        <v/>
      </c>
      <c r="AA16" s="65" t="str">
        <f t="shared" ca="1" si="23"/>
        <v/>
      </c>
      <c r="AB16" s="65" t="s">
        <v>2186</v>
      </c>
    </row>
    <row r="17" spans="1:28" ht="89.25" x14ac:dyDescent="0.2">
      <c r="A17" s="73" t="s">
        <v>696</v>
      </c>
      <c r="B17" s="73" t="s">
        <v>2191</v>
      </c>
      <c r="C17" s="74" t="s">
        <v>2190</v>
      </c>
      <c r="D17" s="75">
        <v>1327.11</v>
      </c>
      <c r="E17" s="85" t="s">
        <v>2301</v>
      </c>
      <c r="F17" s="161" t="s">
        <v>2295</v>
      </c>
      <c r="G17" s="76">
        <v>2</v>
      </c>
      <c r="H17" s="87">
        <v>0.01</v>
      </c>
      <c r="I17" s="75">
        <v>0</v>
      </c>
      <c r="J17" s="75">
        <v>0</v>
      </c>
      <c r="K17" s="75">
        <v>13.27</v>
      </c>
      <c r="L17" s="88" t="s">
        <v>728</v>
      </c>
      <c r="M17" s="77">
        <v>2730</v>
      </c>
      <c r="N17" s="77">
        <v>100002730</v>
      </c>
      <c r="O17" s="78" t="s">
        <v>272</v>
      </c>
      <c r="P17" s="65" t="b">
        <f t="shared" ca="1" si="14"/>
        <v>0</v>
      </c>
      <c r="S17" s="148" t="str">
        <f t="shared" ca="1" si="15"/>
        <v>отсутств.</v>
      </c>
      <c r="T17" t="str">
        <f t="shared" ca="1" si="16"/>
        <v/>
      </c>
      <c r="U17" t="b">
        <f t="shared" ca="1" si="17"/>
        <v>0</v>
      </c>
      <c r="V17" s="65" t="str">
        <f t="shared" ca="1" si="18"/>
        <v>Проф. суждение о классификации: оценка ФС отсутствует, задолженность кратковременная</v>
      </c>
      <c r="W17" s="65" t="str">
        <f t="shared" ca="1" si="19"/>
        <v/>
      </c>
      <c r="X17" s="65" t="str">
        <f t="shared" ca="1" si="20"/>
        <v/>
      </c>
      <c r="Y17" s="65" t="str">
        <f t="shared" ca="1" si="21"/>
        <v>к/с от 00.01.1900 №</v>
      </c>
      <c r="Z17" s="65" t="str">
        <f t="shared" ca="1" si="22"/>
        <v/>
      </c>
      <c r="AA17" s="65" t="str">
        <f t="shared" ca="1" si="23"/>
        <v/>
      </c>
      <c r="AB17" s="65" t="s">
        <v>2192</v>
      </c>
    </row>
    <row r="18" spans="1:28" ht="25.5" x14ac:dyDescent="0.2">
      <c r="A18" s="73" t="s">
        <v>910</v>
      </c>
      <c r="B18" s="73" t="s">
        <v>911</v>
      </c>
      <c r="C18" s="74" t="s">
        <v>908</v>
      </c>
      <c r="D18" s="75">
        <v>472.8</v>
      </c>
      <c r="E18" s="85" t="s">
        <v>2304</v>
      </c>
      <c r="F18" s="161" t="s">
        <v>2298</v>
      </c>
      <c r="G18" s="76">
        <v>5</v>
      </c>
      <c r="H18" s="87">
        <v>1</v>
      </c>
      <c r="I18" s="75">
        <v>0</v>
      </c>
      <c r="J18" s="75">
        <v>0</v>
      </c>
      <c r="K18" s="75">
        <v>472.8</v>
      </c>
      <c r="L18" s="88" t="s">
        <v>2296</v>
      </c>
      <c r="M18" s="77">
        <v>4581</v>
      </c>
      <c r="N18" s="77">
        <v>100004581</v>
      </c>
      <c r="O18" s="78" t="s">
        <v>272</v>
      </c>
      <c r="P18" s="65" t="b">
        <f t="shared" ca="1" si="14"/>
        <v>0</v>
      </c>
      <c r="S18" s="148" t="str">
        <f t="shared" ca="1" si="15"/>
        <v>плохое</v>
      </c>
      <c r="T18" t="str">
        <f t="shared" ca="1" si="16"/>
        <v>отсутств. более 1 кв.</v>
      </c>
      <c r="U18" t="b">
        <f t="shared" ca="1" si="17"/>
        <v>0</v>
      </c>
      <c r="V18" s="65" t="str">
        <f t="shared" ca="1" si="18"/>
        <v/>
      </c>
      <c r="W18" s="65" t="str">
        <f t="shared" ca="1" si="19"/>
        <v/>
      </c>
      <c r="X18" s="65" t="str">
        <f t="shared" ca="1" si="20"/>
        <v/>
      </c>
      <c r="Y18" s="65" t="str">
        <f t="shared" ca="1" si="21"/>
        <v>к/с от 00.01.1900 №</v>
      </c>
      <c r="Z18" s="65" t="str">
        <f t="shared" ca="1" si="22"/>
        <v/>
      </c>
      <c r="AA18" s="65" t="str">
        <f t="shared" ca="1" si="23"/>
        <v/>
      </c>
      <c r="AB18" s="65" t="s">
        <v>912</v>
      </c>
    </row>
    <row r="19" spans="1:28" ht="38.25" x14ac:dyDescent="0.2">
      <c r="A19" s="73" t="s">
        <v>600</v>
      </c>
      <c r="B19" s="73" t="s">
        <v>604</v>
      </c>
      <c r="C19" s="74" t="s">
        <v>603</v>
      </c>
      <c r="D19" s="75">
        <v>120785.01</v>
      </c>
      <c r="E19" s="85" t="s">
        <v>2303</v>
      </c>
      <c r="F19" s="161" t="s">
        <v>2298</v>
      </c>
      <c r="G19" s="76">
        <v>5</v>
      </c>
      <c r="H19" s="87">
        <v>1</v>
      </c>
      <c r="I19" s="75">
        <v>0</v>
      </c>
      <c r="J19" s="75">
        <v>0</v>
      </c>
      <c r="K19" s="75">
        <v>117627.13</v>
      </c>
      <c r="L19" s="88" t="s">
        <v>1481</v>
      </c>
      <c r="M19" s="77">
        <v>5070</v>
      </c>
      <c r="N19" s="77">
        <v>8890</v>
      </c>
      <c r="O19" s="78" t="s">
        <v>272</v>
      </c>
      <c r="P19" s="65" t="b">
        <f t="shared" ca="1" si="14"/>
        <v>0</v>
      </c>
      <c r="S19" s="148" t="str">
        <f t="shared" ca="1" si="15"/>
        <v>среднее</v>
      </c>
      <c r="T19" t="str">
        <f t="shared" ca="1" si="16"/>
        <v>отсутств. более 1 кв.</v>
      </c>
      <c r="U19" t="b">
        <f t="shared" ca="1" si="17"/>
        <v>1</v>
      </c>
      <c r="V19" s="65" t="str">
        <f t="shared" ca="1" si="18"/>
        <v>проф. суждение: просрочка по физ. лицу свыше 365 дней</v>
      </c>
      <c r="W19" s="65" t="str">
        <f t="shared" ca="1" si="19"/>
        <v/>
      </c>
      <c r="X19" s="65" t="str">
        <f t="shared" ca="1" si="20"/>
        <v/>
      </c>
      <c r="Y19" s="65" t="str">
        <f t="shared" ca="1" si="21"/>
        <v>к/с от 15.10.2012 №ссуда_БражниковЮВ</v>
      </c>
      <c r="Z19" s="65" t="str">
        <f t="shared" ca="1" si="22"/>
        <v/>
      </c>
      <c r="AA19" s="65" t="str">
        <f t="shared" ca="1" si="23"/>
        <v/>
      </c>
      <c r="AB19" s="65" t="s">
        <v>605</v>
      </c>
    </row>
    <row r="20" spans="1:28" ht="140.25" x14ac:dyDescent="0.2">
      <c r="A20" s="73" t="s">
        <v>2299</v>
      </c>
      <c r="B20" s="73" t="s">
        <v>1884</v>
      </c>
      <c r="C20" s="74" t="s">
        <v>1878</v>
      </c>
      <c r="D20" s="75">
        <v>2934.4</v>
      </c>
      <c r="E20" s="85" t="s">
        <v>2301</v>
      </c>
      <c r="F20" s="162" t="s">
        <v>2298</v>
      </c>
      <c r="G20" s="76">
        <v>4</v>
      </c>
      <c r="H20" s="87">
        <v>0.51</v>
      </c>
      <c r="I20" s="75">
        <v>0</v>
      </c>
      <c r="J20" s="75">
        <v>0</v>
      </c>
      <c r="K20" s="75">
        <v>1496.54</v>
      </c>
      <c r="L20" s="163" t="s">
        <v>2300</v>
      </c>
      <c r="M20" s="77"/>
      <c r="N20" s="77"/>
      <c r="O20" s="78" t="s">
        <v>272</v>
      </c>
      <c r="P20" s="65" t="b">
        <f t="shared" ca="1" si="14"/>
        <v>0</v>
      </c>
      <c r="S20" s="148" t="str">
        <f t="shared" ca="1" si="15"/>
        <v>отсутств.</v>
      </c>
      <c r="T20" t="str">
        <f t="shared" ca="1" si="16"/>
        <v>отсутств. более 1 кв.</v>
      </c>
      <c r="U20" t="b">
        <f t="shared" ca="1" si="17"/>
        <v>0</v>
      </c>
      <c r="V20" s="65" t="str">
        <f t="shared" ca="1" si="18"/>
        <v/>
      </c>
      <c r="W20" s="65" t="str">
        <f t="shared" ca="1" si="19"/>
        <v/>
      </c>
      <c r="X20" s="65" t="e">
        <f t="shared" ca="1" si="20"/>
        <v>#N/A</v>
      </c>
      <c r="Y20" s="65" t="e">
        <f t="shared" ca="1" si="21"/>
        <v>#N/A</v>
      </c>
      <c r="Z20" s="65" t="e">
        <f t="shared" ca="1" si="22"/>
        <v>#N/A</v>
      </c>
      <c r="AA20" s="65" t="str">
        <f t="shared" ca="1" si="23"/>
        <v/>
      </c>
      <c r="AB20" s="65" t="s">
        <v>1885</v>
      </c>
    </row>
    <row r="21" spans="1:28" ht="51" x14ac:dyDescent="0.2">
      <c r="A21" s="73" t="s">
        <v>2299</v>
      </c>
      <c r="B21" s="73" t="s">
        <v>776</v>
      </c>
      <c r="C21" s="74" t="s">
        <v>772</v>
      </c>
      <c r="D21" s="75">
        <v>35494.04</v>
      </c>
      <c r="E21" s="85" t="s">
        <v>2301</v>
      </c>
      <c r="F21" s="162" t="s">
        <v>2298</v>
      </c>
      <c r="G21" s="76">
        <v>5</v>
      </c>
      <c r="H21" s="87">
        <v>1</v>
      </c>
      <c r="I21" s="75">
        <v>0</v>
      </c>
      <c r="J21" s="75">
        <v>0</v>
      </c>
      <c r="K21" s="75">
        <v>35494.04</v>
      </c>
      <c r="L21" s="163" t="s">
        <v>2300</v>
      </c>
      <c r="M21" s="77"/>
      <c r="N21" s="77"/>
      <c r="O21" s="78" t="s">
        <v>272</v>
      </c>
      <c r="P21" s="65" t="b">
        <f t="shared" ca="1" si="14"/>
        <v>0</v>
      </c>
      <c r="S21" s="148" t="str">
        <f t="shared" ca="1" si="15"/>
        <v>отсутств.</v>
      </c>
      <c r="T21" t="str">
        <f t="shared" ca="1" si="16"/>
        <v>отсутств. более 1 кв.</v>
      </c>
      <c r="U21" t="b">
        <f t="shared" ca="1" si="17"/>
        <v>0</v>
      </c>
      <c r="V21" s="65" t="str">
        <f t="shared" ca="1" si="18"/>
        <v/>
      </c>
      <c r="W21" s="65" t="str">
        <f t="shared" ca="1" si="19"/>
        <v/>
      </c>
      <c r="X21" s="65" t="e">
        <f t="shared" ca="1" si="20"/>
        <v>#N/A</v>
      </c>
      <c r="Y21" s="65" t="e">
        <f t="shared" ca="1" si="21"/>
        <v>#N/A</v>
      </c>
      <c r="Z21" s="65" t="e">
        <f t="shared" ca="1" si="22"/>
        <v>#N/A</v>
      </c>
      <c r="AA21" s="65" t="str">
        <f t="shared" ca="1" si="23"/>
        <v/>
      </c>
      <c r="AB21" s="65" t="s">
        <v>777</v>
      </c>
    </row>
    <row r="22" spans="1:28" ht="51" x14ac:dyDescent="0.2">
      <c r="A22" s="73" t="s">
        <v>2299</v>
      </c>
      <c r="B22" s="73" t="s">
        <v>776</v>
      </c>
      <c r="C22" s="74" t="s">
        <v>2193</v>
      </c>
      <c r="D22" s="75">
        <v>65.28</v>
      </c>
      <c r="E22" s="85" t="s">
        <v>2301</v>
      </c>
      <c r="F22" s="162" t="s">
        <v>2297</v>
      </c>
      <c r="G22" s="76">
        <v>3</v>
      </c>
      <c r="H22" s="87">
        <v>0.21001838235294118</v>
      </c>
      <c r="I22" s="75">
        <v>0</v>
      </c>
      <c r="J22" s="75">
        <v>0</v>
      </c>
      <c r="K22" s="75">
        <v>13.71</v>
      </c>
      <c r="L22" s="163" t="s">
        <v>2300</v>
      </c>
      <c r="M22" s="77"/>
      <c r="N22" s="77"/>
      <c r="O22" s="78" t="s">
        <v>272</v>
      </c>
      <c r="P22" s="65" t="b">
        <f t="shared" ca="1" si="14"/>
        <v>0</v>
      </c>
      <c r="S22" s="148" t="str">
        <f t="shared" ca="1" si="15"/>
        <v>отсутств.</v>
      </c>
      <c r="T22" t="str">
        <f t="shared" ca="1" si="16"/>
        <v>отсутств. более 1 кв.</v>
      </c>
      <c r="U22" t="b">
        <f t="shared" ca="1" si="17"/>
        <v>0</v>
      </c>
      <c r="V22" s="65" t="str">
        <f t="shared" ca="1" si="18"/>
        <v/>
      </c>
      <c r="W22" s="65" t="str">
        <f t="shared" ca="1" si="19"/>
        <v/>
      </c>
      <c r="X22" s="65" t="e">
        <f t="shared" ca="1" si="20"/>
        <v>#N/A</v>
      </c>
      <c r="Y22" s="65" t="e">
        <f t="shared" ca="1" si="21"/>
        <v>#N/A</v>
      </c>
      <c r="Z22" s="65" t="e">
        <f t="shared" ca="1" si="22"/>
        <v>#N/A</v>
      </c>
      <c r="AA22" s="65" t="str">
        <f t="shared" ca="1" si="23"/>
        <v/>
      </c>
      <c r="AB22" s="65" t="s">
        <v>2194</v>
      </c>
    </row>
    <row r="23" spans="1:28" ht="51" x14ac:dyDescent="0.2">
      <c r="A23" s="73" t="s">
        <v>2299</v>
      </c>
      <c r="B23" s="73" t="s">
        <v>1473</v>
      </c>
      <c r="C23" s="74" t="s">
        <v>1472</v>
      </c>
      <c r="D23" s="75">
        <v>1486.34</v>
      </c>
      <c r="E23" s="85" t="s">
        <v>2301</v>
      </c>
      <c r="F23" s="162" t="s">
        <v>2298</v>
      </c>
      <c r="G23" s="76">
        <v>5</v>
      </c>
      <c r="H23" s="87">
        <v>1</v>
      </c>
      <c r="I23" s="75">
        <v>0</v>
      </c>
      <c r="J23" s="75">
        <v>0</v>
      </c>
      <c r="K23" s="75">
        <v>1486.34</v>
      </c>
      <c r="L23" s="163" t="s">
        <v>2300</v>
      </c>
      <c r="M23" s="77"/>
      <c r="N23" s="77"/>
      <c r="O23" s="78" t="s">
        <v>272</v>
      </c>
      <c r="P23" s="65" t="b">
        <f t="shared" ca="1" si="14"/>
        <v>0</v>
      </c>
      <c r="S23" s="148" t="str">
        <f t="shared" ca="1" si="15"/>
        <v>отсутств.</v>
      </c>
      <c r="T23" t="str">
        <f t="shared" ca="1" si="16"/>
        <v>отсутств. более 1 кв.</v>
      </c>
      <c r="U23" t="b">
        <f t="shared" ca="1" si="17"/>
        <v>0</v>
      </c>
      <c r="V23" s="65" t="str">
        <f t="shared" ca="1" si="18"/>
        <v/>
      </c>
      <c r="W23" s="65" t="str">
        <f t="shared" ca="1" si="19"/>
        <v/>
      </c>
      <c r="X23" s="65" t="e">
        <f t="shared" ca="1" si="20"/>
        <v>#N/A</v>
      </c>
      <c r="Y23" s="65" t="e">
        <f t="shared" ca="1" si="21"/>
        <v>#N/A</v>
      </c>
      <c r="Z23" s="65" t="e">
        <f t="shared" ca="1" si="22"/>
        <v>#N/A</v>
      </c>
      <c r="AA23" s="65" t="str">
        <f t="shared" ca="1" si="23"/>
        <v/>
      </c>
      <c r="AB23" s="65" t="s">
        <v>1474</v>
      </c>
    </row>
    <row r="24" spans="1:28" ht="51" x14ac:dyDescent="0.2">
      <c r="A24" s="73" t="s">
        <v>2299</v>
      </c>
      <c r="B24" s="73" t="s">
        <v>891</v>
      </c>
      <c r="C24" s="74" t="s">
        <v>882</v>
      </c>
      <c r="D24" s="75">
        <v>1827.35</v>
      </c>
      <c r="E24" s="85" t="s">
        <v>2301</v>
      </c>
      <c r="F24" s="162" t="s">
        <v>2298</v>
      </c>
      <c r="G24" s="76">
        <v>5</v>
      </c>
      <c r="H24" s="87">
        <v>1</v>
      </c>
      <c r="I24" s="75">
        <v>0</v>
      </c>
      <c r="J24" s="75">
        <v>0</v>
      </c>
      <c r="K24" s="75">
        <v>1827.35</v>
      </c>
      <c r="L24" s="163" t="s">
        <v>2300</v>
      </c>
      <c r="M24" s="77"/>
      <c r="N24" s="77"/>
      <c r="O24" s="78" t="s">
        <v>272</v>
      </c>
      <c r="P24" s="65" t="b">
        <f t="shared" ca="1" si="14"/>
        <v>0</v>
      </c>
      <c r="S24" s="148" t="str">
        <f t="shared" ca="1" si="15"/>
        <v>отсутств.</v>
      </c>
      <c r="T24" t="str">
        <f t="shared" ca="1" si="16"/>
        <v>отсутств. более 1 кв.</v>
      </c>
      <c r="U24" t="b">
        <f t="shared" ca="1" si="17"/>
        <v>0</v>
      </c>
      <c r="V24" s="65" t="str">
        <f t="shared" ca="1" si="18"/>
        <v/>
      </c>
      <c r="W24" s="65" t="str">
        <f t="shared" ca="1" si="19"/>
        <v/>
      </c>
      <c r="X24" s="65" t="e">
        <f t="shared" ca="1" si="20"/>
        <v>#N/A</v>
      </c>
      <c r="Y24" s="65" t="e">
        <f t="shared" ca="1" si="21"/>
        <v>#N/A</v>
      </c>
      <c r="Z24" s="65" t="e">
        <f t="shared" ca="1" si="22"/>
        <v>#N/A</v>
      </c>
      <c r="AA24" s="65" t="str">
        <f t="shared" ca="1" si="23"/>
        <v/>
      </c>
      <c r="AB24" s="65" t="s">
        <v>892</v>
      </c>
    </row>
    <row r="25" spans="1:28" ht="51" x14ac:dyDescent="0.2">
      <c r="A25" s="73" t="s">
        <v>1124</v>
      </c>
      <c r="B25" s="73" t="s">
        <v>1359</v>
      </c>
      <c r="C25" s="74" t="s">
        <v>482</v>
      </c>
      <c r="D25" s="75">
        <v>6694956051.8900003</v>
      </c>
      <c r="E25" s="85" t="s">
        <v>2295</v>
      </c>
      <c r="F25" s="161" t="s">
        <v>2295</v>
      </c>
      <c r="G25" s="76">
        <v>1</v>
      </c>
      <c r="H25" s="87">
        <v>0</v>
      </c>
      <c r="I25" s="75">
        <v>0</v>
      </c>
      <c r="J25" s="75">
        <v>0</v>
      </c>
      <c r="K25" s="75">
        <v>0</v>
      </c>
      <c r="L25" s="88" t="s">
        <v>2296</v>
      </c>
      <c r="M25" s="77">
        <v>722</v>
      </c>
      <c r="N25" s="77">
        <v>2212</v>
      </c>
      <c r="O25" s="78" t="s">
        <v>271</v>
      </c>
      <c r="P25" s="65" t="b">
        <f t="shared" ca="1" si="14"/>
        <v>0</v>
      </c>
      <c r="S25" s="148" t="str">
        <f t="shared" ca="1" si="15"/>
        <v>хорошее</v>
      </c>
      <c r="T25" t="str">
        <f t="shared" ca="1" si="16"/>
        <v/>
      </c>
      <c r="U25" t="b">
        <f t="shared" ca="1" si="17"/>
        <v>1</v>
      </c>
      <c r="V25" s="65" t="str">
        <f t="shared" ca="1" si="18"/>
        <v/>
      </c>
      <c r="W25" s="65" t="str">
        <f t="shared" ca="1" si="19"/>
        <v/>
      </c>
      <c r="X25" s="65" t="str">
        <f t="shared" ca="1" si="20"/>
        <v/>
      </c>
      <c r="Y25" s="65" t="str">
        <f t="shared" ca="1" si="21"/>
        <v>к/с от 28.12.2005 №702812056</v>
      </c>
      <c r="Z25" s="65" t="str">
        <f t="shared" ca="1" si="22"/>
        <v/>
      </c>
      <c r="AA25" s="65" t="str">
        <f t="shared" ca="1" si="23"/>
        <v/>
      </c>
      <c r="AB25" s="65" t="s">
        <v>564</v>
      </c>
    </row>
    <row r="26" spans="1:28" x14ac:dyDescent="0.2">
      <c r="A26" s="73"/>
      <c r="B26" s="73"/>
      <c r="C26" s="74"/>
      <c r="D26" s="75"/>
      <c r="E26" s="85"/>
      <c r="F26" s="161"/>
      <c r="G26" s="76"/>
      <c r="H26" s="87"/>
      <c r="I26" s="75"/>
      <c r="J26" s="75"/>
      <c r="K26" s="75"/>
      <c r="L26" s="88"/>
      <c r="M26" s="77"/>
      <c r="N26" s="77"/>
      <c r="O26" s="78"/>
      <c r="S26" s="148"/>
      <c r="T26"/>
      <c r="U26"/>
    </row>
    <row r="27" spans="1:28" x14ac:dyDescent="0.2">
      <c r="A27" s="73"/>
      <c r="B27" s="73"/>
      <c r="C27" s="74"/>
      <c r="D27" s="75"/>
      <c r="E27" s="85"/>
      <c r="F27" s="161"/>
      <c r="G27" s="76"/>
      <c r="H27" s="87"/>
      <c r="I27" s="75"/>
      <c r="J27" s="75"/>
      <c r="K27" s="75"/>
      <c r="L27" s="88"/>
      <c r="M27" s="77"/>
      <c r="N27" s="77"/>
      <c r="O27" s="78"/>
      <c r="S27" s="148"/>
      <c r="T27"/>
      <c r="U27"/>
    </row>
    <row r="28" spans="1:28" x14ac:dyDescent="0.2">
      <c r="A28" s="73"/>
      <c r="B28" s="73"/>
      <c r="C28" s="74"/>
      <c r="D28" s="75"/>
      <c r="E28" s="85"/>
      <c r="F28" s="161"/>
      <c r="G28" s="76"/>
      <c r="H28" s="87"/>
      <c r="I28" s="75"/>
      <c r="J28" s="75"/>
      <c r="K28" s="75"/>
      <c r="L28" s="88"/>
      <c r="M28" s="77"/>
      <c r="N28" s="77"/>
      <c r="O28" s="78"/>
      <c r="S28" s="148"/>
      <c r="T28"/>
      <c r="U28"/>
    </row>
    <row r="29" spans="1:28" x14ac:dyDescent="0.2">
      <c r="A29" s="73"/>
      <c r="B29" s="73"/>
      <c r="C29" s="74"/>
      <c r="D29" s="75"/>
      <c r="E29" s="85"/>
      <c r="F29" s="161"/>
      <c r="G29" s="76"/>
      <c r="H29" s="87"/>
      <c r="I29" s="75"/>
      <c r="J29" s="75"/>
      <c r="K29" s="75"/>
      <c r="L29" s="88"/>
      <c r="M29" s="77"/>
      <c r="N29" s="77"/>
      <c r="O29" s="78"/>
      <c r="S29" s="148"/>
      <c r="T29"/>
      <c r="U29"/>
    </row>
    <row r="30" spans="1:28" x14ac:dyDescent="0.2">
      <c r="A30" s="73"/>
      <c r="B30" s="73"/>
      <c r="C30" s="74"/>
      <c r="D30" s="75"/>
      <c r="E30" s="85"/>
      <c r="F30" s="161"/>
      <c r="G30" s="76"/>
      <c r="H30" s="87"/>
      <c r="I30" s="75"/>
      <c r="J30" s="75"/>
      <c r="K30" s="75"/>
      <c r="L30" s="88"/>
      <c r="M30" s="77"/>
      <c r="N30" s="77"/>
      <c r="O30" s="78"/>
      <c r="S30" s="148"/>
      <c r="T30"/>
      <c r="U30"/>
    </row>
    <row r="31" spans="1:28" x14ac:dyDescent="0.2">
      <c r="A31" s="73"/>
      <c r="B31" s="73"/>
      <c r="C31" s="74"/>
      <c r="D31" s="75"/>
      <c r="E31" s="85"/>
      <c r="F31" s="161"/>
      <c r="G31" s="76"/>
      <c r="H31" s="87"/>
      <c r="I31" s="75"/>
      <c r="J31" s="75"/>
      <c r="K31" s="75"/>
      <c r="L31" s="88"/>
      <c r="M31" s="77"/>
      <c r="N31" s="77"/>
      <c r="O31" s="78"/>
      <c r="S31" s="148"/>
      <c r="T31"/>
      <c r="U31"/>
    </row>
    <row r="32" spans="1:28" x14ac:dyDescent="0.2">
      <c r="A32" s="73"/>
      <c r="B32" s="73"/>
      <c r="C32" s="74"/>
      <c r="D32" s="75"/>
      <c r="E32" s="85"/>
      <c r="F32" s="161"/>
      <c r="G32" s="76"/>
      <c r="H32" s="87"/>
      <c r="I32" s="75"/>
      <c r="J32" s="75"/>
      <c r="K32" s="75"/>
      <c r="L32" s="88"/>
      <c r="M32" s="77"/>
      <c r="N32" s="77"/>
      <c r="O32" s="78"/>
      <c r="S32" s="148"/>
      <c r="T32"/>
      <c r="U32"/>
    </row>
    <row r="33" spans="1:21" x14ac:dyDescent="0.2">
      <c r="A33" s="73"/>
      <c r="B33" s="73"/>
      <c r="C33" s="74"/>
      <c r="D33" s="75"/>
      <c r="E33" s="85"/>
      <c r="F33" s="161"/>
      <c r="G33" s="76"/>
      <c r="H33" s="87"/>
      <c r="I33" s="75"/>
      <c r="J33" s="75"/>
      <c r="K33" s="75"/>
      <c r="L33" s="88"/>
      <c r="M33" s="77"/>
      <c r="N33" s="77"/>
      <c r="O33" s="78"/>
      <c r="S33" s="148"/>
      <c r="T33"/>
      <c r="U33"/>
    </row>
    <row r="34" spans="1:21" x14ac:dyDescent="0.2">
      <c r="A34" s="73"/>
      <c r="B34" s="73"/>
      <c r="C34" s="74"/>
      <c r="D34" s="75"/>
      <c r="E34" s="85"/>
      <c r="F34" s="161"/>
      <c r="G34" s="76"/>
      <c r="H34" s="87"/>
      <c r="I34" s="75"/>
      <c r="J34" s="75"/>
      <c r="K34" s="75"/>
      <c r="L34" s="88"/>
      <c r="M34" s="77"/>
      <c r="N34" s="77"/>
      <c r="O34" s="78"/>
      <c r="S34" s="148"/>
      <c r="T34"/>
      <c r="U34"/>
    </row>
    <row r="35" spans="1:21" x14ac:dyDescent="0.2">
      <c r="A35" s="73"/>
      <c r="B35" s="73"/>
      <c r="C35" s="74"/>
      <c r="D35" s="75"/>
      <c r="E35" s="85"/>
      <c r="F35" s="161"/>
      <c r="G35" s="76"/>
      <c r="H35" s="87"/>
      <c r="I35" s="75"/>
      <c r="J35" s="75"/>
      <c r="K35" s="75"/>
      <c r="L35" s="88"/>
      <c r="M35" s="77"/>
      <c r="N35" s="77"/>
      <c r="O35" s="78"/>
      <c r="S35" s="148"/>
      <c r="T35"/>
      <c r="U35"/>
    </row>
    <row r="36" spans="1:21" x14ac:dyDescent="0.2">
      <c r="A36" s="73"/>
      <c r="B36" s="73"/>
      <c r="C36" s="74"/>
      <c r="D36" s="75"/>
      <c r="E36" s="85"/>
      <c r="F36" s="161"/>
      <c r="G36" s="76"/>
      <c r="H36" s="87"/>
      <c r="I36" s="75"/>
      <c r="J36" s="75"/>
      <c r="K36" s="75"/>
      <c r="L36" s="88"/>
      <c r="M36" s="77"/>
      <c r="N36" s="77"/>
      <c r="O36" s="78"/>
      <c r="S36" s="148"/>
      <c r="T36"/>
      <c r="U36"/>
    </row>
    <row r="37" spans="1:21" x14ac:dyDescent="0.2">
      <c r="A37" s="73"/>
      <c r="B37" s="73"/>
      <c r="C37" s="74"/>
      <c r="D37" s="75"/>
      <c r="E37" s="85"/>
      <c r="F37" s="161"/>
      <c r="G37" s="76"/>
      <c r="H37" s="87"/>
      <c r="I37" s="75"/>
      <c r="J37" s="75"/>
      <c r="K37" s="75"/>
      <c r="L37" s="88"/>
      <c r="M37" s="77"/>
      <c r="N37" s="77"/>
      <c r="O37" s="78"/>
      <c r="S37" s="148"/>
      <c r="T37"/>
      <c r="U37"/>
    </row>
    <row r="38" spans="1:21" x14ac:dyDescent="0.2">
      <c r="A38" s="73"/>
      <c r="B38" s="73"/>
      <c r="C38" s="74"/>
      <c r="D38" s="75"/>
      <c r="E38" s="85"/>
      <c r="F38" s="161"/>
      <c r="G38" s="76"/>
      <c r="H38" s="87"/>
      <c r="I38" s="75"/>
      <c r="J38" s="75"/>
      <c r="K38" s="75"/>
      <c r="L38" s="88"/>
      <c r="M38" s="77"/>
      <c r="N38" s="77"/>
      <c r="O38" s="78"/>
      <c r="S38" s="148"/>
      <c r="T38"/>
      <c r="U38"/>
    </row>
    <row r="39" spans="1:21" x14ac:dyDescent="0.2">
      <c r="A39" s="73"/>
      <c r="B39" s="73"/>
      <c r="C39" s="74"/>
      <c r="D39" s="75"/>
      <c r="E39" s="85"/>
      <c r="F39" s="161"/>
      <c r="G39" s="76"/>
      <c r="H39" s="87"/>
      <c r="I39" s="75"/>
      <c r="J39" s="75"/>
      <c r="K39" s="75"/>
      <c r="L39" s="88"/>
      <c r="M39" s="77"/>
      <c r="N39" s="77"/>
      <c r="O39" s="78"/>
      <c r="S39" s="148"/>
      <c r="T39"/>
      <c r="U39"/>
    </row>
    <row r="40" spans="1:21" x14ac:dyDescent="0.2">
      <c r="A40" s="73"/>
      <c r="B40" s="73"/>
      <c r="C40" s="74"/>
      <c r="D40" s="75"/>
      <c r="E40" s="85"/>
      <c r="F40" s="161"/>
      <c r="G40" s="76"/>
      <c r="H40" s="87"/>
      <c r="I40" s="75"/>
      <c r="J40" s="75"/>
      <c r="K40" s="75"/>
      <c r="L40" s="88"/>
      <c r="M40" s="77"/>
      <c r="N40" s="77"/>
      <c r="O40" s="78"/>
      <c r="S40" s="148"/>
      <c r="T40"/>
      <c r="U40"/>
    </row>
    <row r="41" spans="1:21" x14ac:dyDescent="0.2">
      <c r="A41" s="73"/>
      <c r="B41" s="73"/>
      <c r="C41" s="74"/>
      <c r="D41" s="75"/>
      <c r="E41" s="85"/>
      <c r="F41" s="161"/>
      <c r="G41" s="76"/>
      <c r="H41" s="87"/>
      <c r="I41" s="75"/>
      <c r="J41" s="75"/>
      <c r="K41" s="75"/>
      <c r="L41" s="88"/>
      <c r="M41" s="77"/>
      <c r="N41" s="77"/>
      <c r="O41" s="78"/>
      <c r="S41" s="148"/>
      <c r="T41"/>
      <c r="U41"/>
    </row>
    <row r="42" spans="1:21" x14ac:dyDescent="0.2">
      <c r="A42" s="73"/>
      <c r="B42" s="73"/>
      <c r="C42" s="74"/>
      <c r="D42" s="75"/>
      <c r="E42" s="85"/>
      <c r="F42" s="161"/>
      <c r="G42" s="76"/>
      <c r="H42" s="87"/>
      <c r="I42" s="75"/>
      <c r="J42" s="75"/>
      <c r="K42" s="75"/>
      <c r="L42" s="88"/>
      <c r="M42" s="77"/>
      <c r="N42" s="77"/>
      <c r="O42" s="78"/>
      <c r="S42" s="148"/>
      <c r="T42"/>
      <c r="U42"/>
    </row>
    <row r="43" spans="1:21" x14ac:dyDescent="0.2">
      <c r="A43" s="73"/>
      <c r="B43" s="73"/>
      <c r="C43" s="74"/>
      <c r="D43" s="75"/>
      <c r="E43" s="85"/>
      <c r="F43" s="161"/>
      <c r="G43" s="76"/>
      <c r="H43" s="87"/>
      <c r="I43" s="75"/>
      <c r="J43" s="75"/>
      <c r="K43" s="75"/>
      <c r="L43" s="88"/>
      <c r="M43" s="77"/>
      <c r="N43" s="77"/>
      <c r="O43" s="78"/>
      <c r="S43" s="148"/>
      <c r="T43"/>
      <c r="U43"/>
    </row>
    <row r="44" spans="1:21" x14ac:dyDescent="0.2">
      <c r="A44" s="73"/>
      <c r="B44" s="73"/>
      <c r="C44" s="74"/>
      <c r="D44" s="75"/>
      <c r="E44" s="85"/>
      <c r="F44" s="161"/>
      <c r="G44" s="76"/>
      <c r="H44" s="87"/>
      <c r="I44" s="75"/>
      <c r="J44" s="75"/>
      <c r="K44" s="75"/>
      <c r="L44" s="88"/>
      <c r="M44" s="77"/>
      <c r="N44" s="77"/>
      <c r="O44" s="78"/>
      <c r="S44" s="148"/>
      <c r="T44"/>
      <c r="U44"/>
    </row>
    <row r="45" spans="1:21" x14ac:dyDescent="0.2">
      <c r="A45" s="73"/>
      <c r="B45" s="73"/>
      <c r="C45" s="74"/>
      <c r="D45" s="75"/>
      <c r="E45" s="85"/>
      <c r="F45" s="161"/>
      <c r="G45" s="76"/>
      <c r="H45" s="87"/>
      <c r="I45" s="75"/>
      <c r="J45" s="75"/>
      <c r="K45" s="75"/>
      <c r="L45" s="88"/>
      <c r="M45" s="77"/>
      <c r="N45" s="77"/>
      <c r="O45" s="78"/>
      <c r="S45" s="148"/>
      <c r="T45"/>
      <c r="U45"/>
    </row>
    <row r="46" spans="1:21" x14ac:dyDescent="0.2">
      <c r="A46" s="73"/>
      <c r="B46" s="73"/>
      <c r="C46" s="74"/>
      <c r="D46" s="75"/>
      <c r="E46" s="85"/>
      <c r="F46" s="161"/>
      <c r="G46" s="76"/>
      <c r="H46" s="87"/>
      <c r="I46" s="75"/>
      <c r="J46" s="75"/>
      <c r="K46" s="75"/>
      <c r="L46" s="88"/>
      <c r="M46" s="77"/>
      <c r="N46" s="77"/>
      <c r="O46" s="78"/>
      <c r="S46" s="148"/>
      <c r="T46"/>
      <c r="U46"/>
    </row>
    <row r="47" spans="1:21" x14ac:dyDescent="0.2">
      <c r="A47" s="73"/>
      <c r="B47" s="73"/>
      <c r="C47" s="74"/>
      <c r="D47" s="75"/>
      <c r="E47" s="85"/>
      <c r="F47" s="161"/>
      <c r="G47" s="76"/>
      <c r="H47" s="87"/>
      <c r="I47" s="75"/>
      <c r="J47" s="75"/>
      <c r="K47" s="75"/>
      <c r="L47" s="88"/>
      <c r="M47" s="77"/>
      <c r="N47" s="77"/>
      <c r="O47" s="78"/>
      <c r="S47" s="148"/>
      <c r="T47"/>
      <c r="U47"/>
    </row>
    <row r="48" spans="1:21" x14ac:dyDescent="0.2">
      <c r="A48" s="73"/>
      <c r="B48" s="73"/>
      <c r="C48" s="74"/>
      <c r="D48" s="75"/>
      <c r="E48" s="85"/>
      <c r="F48" s="161"/>
      <c r="G48" s="76"/>
      <c r="H48" s="87"/>
      <c r="I48" s="75"/>
      <c r="J48" s="75"/>
      <c r="K48" s="75"/>
      <c r="L48" s="88"/>
      <c r="M48" s="77"/>
      <c r="N48" s="77"/>
      <c r="O48" s="78"/>
      <c r="S48" s="148"/>
      <c r="T48"/>
      <c r="U48"/>
    </row>
    <row r="49" spans="1:21" x14ac:dyDescent="0.2">
      <c r="A49" s="73"/>
      <c r="B49" s="73"/>
      <c r="C49" s="74"/>
      <c r="D49" s="75"/>
      <c r="E49" s="85"/>
      <c r="F49" s="161"/>
      <c r="G49" s="76"/>
      <c r="H49" s="87"/>
      <c r="I49" s="75"/>
      <c r="J49" s="75"/>
      <c r="K49" s="75"/>
      <c r="L49" s="88"/>
      <c r="M49" s="77"/>
      <c r="N49" s="77"/>
      <c r="O49" s="78"/>
      <c r="S49" s="148"/>
      <c r="T49"/>
      <c r="U49"/>
    </row>
    <row r="50" spans="1:21" x14ac:dyDescent="0.2">
      <c r="A50" s="73"/>
      <c r="B50" s="73"/>
      <c r="C50" s="74"/>
      <c r="D50" s="75"/>
      <c r="E50" s="85"/>
      <c r="F50" s="161"/>
      <c r="G50" s="76"/>
      <c r="H50" s="87"/>
      <c r="I50" s="75"/>
      <c r="J50" s="75"/>
      <c r="K50" s="75"/>
      <c r="L50" s="88"/>
      <c r="M50" s="77"/>
      <c r="N50" s="77"/>
      <c r="O50" s="78"/>
      <c r="S50" s="148"/>
      <c r="T50"/>
      <c r="U50"/>
    </row>
    <row r="51" spans="1:21" x14ac:dyDescent="0.2">
      <c r="A51" s="73"/>
      <c r="B51" s="73"/>
      <c r="C51" s="74"/>
      <c r="D51" s="75"/>
      <c r="E51" s="85"/>
      <c r="F51" s="161"/>
      <c r="G51" s="76"/>
      <c r="H51" s="87"/>
      <c r="I51" s="75"/>
      <c r="J51" s="75"/>
      <c r="K51" s="75"/>
      <c r="L51" s="88"/>
      <c r="M51" s="77"/>
      <c r="N51" s="77"/>
      <c r="O51" s="78"/>
      <c r="S51" s="148"/>
      <c r="T51"/>
      <c r="U51"/>
    </row>
    <row r="52" spans="1:21" x14ac:dyDescent="0.2">
      <c r="A52" s="73"/>
      <c r="B52" s="73"/>
      <c r="C52" s="74"/>
      <c r="D52" s="75"/>
      <c r="E52" s="85"/>
      <c r="F52" s="161"/>
      <c r="G52" s="76"/>
      <c r="H52" s="87"/>
      <c r="I52" s="75"/>
      <c r="J52" s="75"/>
      <c r="K52" s="75"/>
      <c r="L52" s="88"/>
      <c r="M52" s="77"/>
      <c r="N52" s="77"/>
      <c r="O52" s="78"/>
      <c r="S52" s="148"/>
      <c r="T52"/>
      <c r="U52"/>
    </row>
    <row r="53" spans="1:21" x14ac:dyDescent="0.2">
      <c r="A53" s="73"/>
      <c r="B53" s="73"/>
      <c r="C53" s="74"/>
      <c r="D53" s="75"/>
      <c r="E53" s="85"/>
      <c r="F53" s="161"/>
      <c r="G53" s="76"/>
      <c r="H53" s="87"/>
      <c r="I53" s="75"/>
      <c r="J53" s="75"/>
      <c r="K53" s="75"/>
      <c r="L53" s="88"/>
      <c r="M53" s="77"/>
      <c r="N53" s="77"/>
      <c r="O53" s="78"/>
      <c r="S53" s="148"/>
      <c r="T53"/>
      <c r="U53"/>
    </row>
    <row r="54" spans="1:21" x14ac:dyDescent="0.2">
      <c r="A54" s="73"/>
      <c r="B54" s="73"/>
      <c r="C54" s="74"/>
      <c r="D54" s="75"/>
      <c r="E54" s="85"/>
      <c r="F54" s="161"/>
      <c r="G54" s="76"/>
      <c r="H54" s="87"/>
      <c r="I54" s="75"/>
      <c r="J54" s="75"/>
      <c r="K54" s="75"/>
      <c r="L54" s="88"/>
      <c r="M54" s="77"/>
      <c r="N54" s="77"/>
      <c r="O54" s="78"/>
      <c r="S54" s="148"/>
      <c r="T54"/>
      <c r="U54"/>
    </row>
    <row r="55" spans="1:21" x14ac:dyDescent="0.2">
      <c r="A55" s="73"/>
      <c r="B55" s="73"/>
      <c r="C55" s="74"/>
      <c r="D55" s="75"/>
      <c r="E55" s="85"/>
      <c r="F55" s="161"/>
      <c r="G55" s="76"/>
      <c r="H55" s="87"/>
      <c r="I55" s="75"/>
      <c r="J55" s="75"/>
      <c r="K55" s="75"/>
      <c r="L55" s="88"/>
      <c r="M55" s="77"/>
      <c r="N55" s="77"/>
      <c r="O55" s="78"/>
      <c r="S55" s="148"/>
      <c r="T55"/>
      <c r="U55"/>
    </row>
    <row r="56" spans="1:21" x14ac:dyDescent="0.2">
      <c r="A56" s="73"/>
      <c r="B56" s="73"/>
      <c r="C56" s="74"/>
      <c r="D56" s="75"/>
      <c r="E56" s="85"/>
      <c r="F56" s="161"/>
      <c r="G56" s="76"/>
      <c r="H56" s="87"/>
      <c r="I56" s="75"/>
      <c r="J56" s="75"/>
      <c r="K56" s="75"/>
      <c r="L56" s="88"/>
      <c r="M56" s="77"/>
      <c r="N56" s="77"/>
      <c r="O56" s="78"/>
      <c r="S56" s="148"/>
      <c r="T56"/>
      <c r="U56"/>
    </row>
    <row r="57" spans="1:21" x14ac:dyDescent="0.2">
      <c r="A57" s="73"/>
      <c r="B57" s="73"/>
      <c r="C57" s="74"/>
      <c r="D57" s="75"/>
      <c r="E57" s="85"/>
      <c r="F57" s="161"/>
      <c r="G57" s="76"/>
      <c r="H57" s="87"/>
      <c r="I57" s="75"/>
      <c r="J57" s="75"/>
      <c r="K57" s="75"/>
      <c r="L57" s="88"/>
      <c r="M57" s="77"/>
      <c r="N57" s="77"/>
      <c r="O57" s="78"/>
      <c r="S57" s="148"/>
      <c r="T57"/>
      <c r="U57"/>
    </row>
    <row r="58" spans="1:21" x14ac:dyDescent="0.2">
      <c r="A58" s="73"/>
      <c r="B58" s="73"/>
      <c r="C58" s="74"/>
      <c r="D58" s="75"/>
      <c r="E58" s="85"/>
      <c r="F58" s="161"/>
      <c r="G58" s="76"/>
      <c r="H58" s="87"/>
      <c r="I58" s="75"/>
      <c r="J58" s="75"/>
      <c r="K58" s="75"/>
      <c r="L58" s="88"/>
      <c r="M58" s="77"/>
      <c r="N58" s="77"/>
      <c r="O58" s="78"/>
      <c r="S58" s="148"/>
      <c r="T58"/>
      <c r="U58"/>
    </row>
    <row r="59" spans="1:21" x14ac:dyDescent="0.2">
      <c r="A59" s="73"/>
      <c r="B59" s="73"/>
      <c r="C59" s="74"/>
      <c r="D59" s="75"/>
      <c r="E59" s="85"/>
      <c r="F59" s="161"/>
      <c r="G59" s="76"/>
      <c r="H59" s="87"/>
      <c r="I59" s="75"/>
      <c r="J59" s="75"/>
      <c r="K59" s="75"/>
      <c r="L59" s="88"/>
      <c r="M59" s="77"/>
      <c r="N59" s="77"/>
      <c r="O59" s="78"/>
      <c r="S59" s="148"/>
      <c r="T59"/>
      <c r="U59"/>
    </row>
    <row r="60" spans="1:21" x14ac:dyDescent="0.2">
      <c r="A60" s="73"/>
      <c r="B60" s="73"/>
      <c r="C60" s="74"/>
      <c r="D60" s="75"/>
      <c r="E60" s="85"/>
      <c r="F60" s="161"/>
      <c r="G60" s="76"/>
      <c r="H60" s="87"/>
      <c r="I60" s="75"/>
      <c r="J60" s="75"/>
      <c r="K60" s="75"/>
      <c r="L60" s="88"/>
      <c r="M60" s="77"/>
      <c r="N60" s="77"/>
      <c r="O60" s="78"/>
      <c r="S60" s="148"/>
      <c r="T60"/>
      <c r="U60"/>
    </row>
    <row r="61" spans="1:21" x14ac:dyDescent="0.2">
      <c r="A61" s="73"/>
      <c r="B61" s="73"/>
      <c r="C61" s="74"/>
      <c r="D61" s="75"/>
      <c r="E61" s="85"/>
      <c r="F61" s="161"/>
      <c r="G61" s="76"/>
      <c r="H61" s="87"/>
      <c r="I61" s="75"/>
      <c r="J61" s="75"/>
      <c r="K61" s="75"/>
      <c r="L61" s="88"/>
      <c r="M61" s="77"/>
      <c r="N61" s="77"/>
      <c r="O61" s="78"/>
      <c r="S61" s="148"/>
      <c r="T61"/>
      <c r="U61"/>
    </row>
    <row r="62" spans="1:21" x14ac:dyDescent="0.2">
      <c r="A62" s="73"/>
      <c r="B62" s="73"/>
      <c r="C62" s="74"/>
      <c r="D62" s="75"/>
      <c r="E62" s="85"/>
      <c r="F62" s="161"/>
      <c r="G62" s="76"/>
      <c r="H62" s="87"/>
      <c r="I62" s="75"/>
      <c r="J62" s="75"/>
      <c r="K62" s="75"/>
      <c r="L62" s="88"/>
      <c r="M62" s="77"/>
      <c r="N62" s="77"/>
      <c r="O62" s="78"/>
      <c r="S62" s="148"/>
      <c r="T62"/>
      <c r="U62"/>
    </row>
    <row r="63" spans="1:21" x14ac:dyDescent="0.2">
      <c r="A63" s="73"/>
      <c r="B63" s="73"/>
      <c r="C63" s="74"/>
      <c r="D63" s="75"/>
      <c r="E63" s="85"/>
      <c r="F63" s="161"/>
      <c r="G63" s="76"/>
      <c r="H63" s="87"/>
      <c r="I63" s="75"/>
      <c r="J63" s="75"/>
      <c r="K63" s="75"/>
      <c r="L63" s="88"/>
      <c r="M63" s="77"/>
      <c r="N63" s="77"/>
      <c r="O63" s="78"/>
      <c r="S63" s="148"/>
      <c r="T63"/>
      <c r="U63"/>
    </row>
    <row r="64" spans="1:21" x14ac:dyDescent="0.2">
      <c r="A64" s="73"/>
      <c r="B64" s="73"/>
      <c r="C64" s="74"/>
      <c r="D64" s="75"/>
      <c r="E64" s="85"/>
      <c r="F64" s="161"/>
      <c r="G64" s="76"/>
      <c r="H64" s="87"/>
      <c r="I64" s="75"/>
      <c r="J64" s="75"/>
      <c r="K64" s="75"/>
      <c r="L64" s="88"/>
      <c r="M64" s="77"/>
      <c r="N64" s="77"/>
      <c r="O64" s="78"/>
      <c r="S64" s="148"/>
      <c r="T64"/>
      <c r="U64"/>
    </row>
    <row r="65" spans="1:21" x14ac:dyDescent="0.2">
      <c r="A65" s="73"/>
      <c r="B65" s="73"/>
      <c r="C65" s="74"/>
      <c r="D65" s="75"/>
      <c r="E65" s="85"/>
      <c r="F65" s="161"/>
      <c r="G65" s="76"/>
      <c r="H65" s="87"/>
      <c r="I65" s="75"/>
      <c r="J65" s="75"/>
      <c r="K65" s="75"/>
      <c r="L65" s="88"/>
      <c r="M65" s="77"/>
      <c r="N65" s="77"/>
      <c r="O65" s="78"/>
      <c r="S65" s="148"/>
      <c r="T65"/>
      <c r="U65"/>
    </row>
    <row r="66" spans="1:21" x14ac:dyDescent="0.2">
      <c r="A66" s="73"/>
      <c r="B66" s="73"/>
      <c r="C66" s="74"/>
      <c r="D66" s="75"/>
      <c r="E66" s="85"/>
      <c r="F66" s="161"/>
      <c r="G66" s="76"/>
      <c r="H66" s="87"/>
      <c r="I66" s="75"/>
      <c r="J66" s="75"/>
      <c r="K66" s="75"/>
      <c r="L66" s="88"/>
      <c r="M66" s="77"/>
      <c r="N66" s="77"/>
      <c r="O66" s="78"/>
      <c r="S66" s="148"/>
      <c r="T66"/>
      <c r="U66"/>
    </row>
    <row r="67" spans="1:21" x14ac:dyDescent="0.2">
      <c r="A67" s="73"/>
      <c r="B67" s="73"/>
      <c r="C67" s="74"/>
      <c r="D67" s="75"/>
      <c r="E67" s="85"/>
      <c r="F67" s="161"/>
      <c r="G67" s="76"/>
      <c r="H67" s="87"/>
      <c r="I67" s="75"/>
      <c r="J67" s="75"/>
      <c r="K67" s="75"/>
      <c r="L67" s="88"/>
      <c r="M67" s="77"/>
      <c r="N67" s="77"/>
      <c r="O67" s="78"/>
      <c r="S67" s="148"/>
      <c r="T67"/>
      <c r="U67"/>
    </row>
    <row r="68" spans="1:21" x14ac:dyDescent="0.2">
      <c r="A68" s="73"/>
      <c r="B68" s="73"/>
      <c r="C68" s="74"/>
      <c r="D68" s="75"/>
      <c r="E68" s="85"/>
      <c r="F68" s="161"/>
      <c r="G68" s="76"/>
      <c r="H68" s="87"/>
      <c r="I68" s="75"/>
      <c r="J68" s="75"/>
      <c r="K68" s="75"/>
      <c r="L68" s="88"/>
      <c r="M68" s="77"/>
      <c r="N68" s="77"/>
      <c r="O68" s="78"/>
      <c r="S68" s="148"/>
      <c r="T68"/>
      <c r="U68"/>
    </row>
    <row r="69" spans="1:21" x14ac:dyDescent="0.2">
      <c r="A69" s="73"/>
      <c r="B69" s="73"/>
      <c r="C69" s="74"/>
      <c r="D69" s="75"/>
      <c r="E69" s="85"/>
      <c r="F69" s="161"/>
      <c r="G69" s="76"/>
      <c r="H69" s="87"/>
      <c r="I69" s="75"/>
      <c r="J69" s="75"/>
      <c r="K69" s="75"/>
      <c r="L69" s="88"/>
      <c r="M69" s="77"/>
      <c r="N69" s="77"/>
      <c r="O69" s="78"/>
      <c r="S69" s="148"/>
      <c r="T69"/>
      <c r="U69"/>
    </row>
    <row r="70" spans="1:21" x14ac:dyDescent="0.2">
      <c r="A70" s="73"/>
      <c r="B70" s="73"/>
      <c r="C70" s="74"/>
      <c r="D70" s="75"/>
      <c r="E70" s="85"/>
      <c r="F70" s="161"/>
      <c r="G70" s="76"/>
      <c r="H70" s="87"/>
      <c r="I70" s="75"/>
      <c r="J70" s="75"/>
      <c r="K70" s="75"/>
      <c r="L70" s="88"/>
      <c r="M70" s="77"/>
      <c r="N70" s="77"/>
      <c r="O70" s="78"/>
      <c r="S70" s="148"/>
      <c r="T70"/>
      <c r="U70"/>
    </row>
    <row r="71" spans="1:21" x14ac:dyDescent="0.2">
      <c r="A71" s="73"/>
      <c r="B71" s="73"/>
      <c r="C71" s="74"/>
      <c r="D71" s="75"/>
      <c r="E71" s="85"/>
      <c r="F71" s="161"/>
      <c r="G71" s="76"/>
      <c r="H71" s="87"/>
      <c r="I71" s="75"/>
      <c r="J71" s="75"/>
      <c r="K71" s="75"/>
      <c r="L71" s="88"/>
      <c r="M71" s="77"/>
      <c r="N71" s="77"/>
      <c r="O71" s="78"/>
      <c r="S71" s="148"/>
      <c r="T71"/>
      <c r="U71"/>
    </row>
    <row r="72" spans="1:21" x14ac:dyDescent="0.2">
      <c r="A72" s="73"/>
      <c r="B72" s="73"/>
      <c r="C72" s="74"/>
      <c r="D72" s="75"/>
      <c r="E72" s="85"/>
      <c r="F72" s="161"/>
      <c r="G72" s="76"/>
      <c r="H72" s="87"/>
      <c r="I72" s="75"/>
      <c r="J72" s="75"/>
      <c r="K72" s="75"/>
      <c r="L72" s="88"/>
      <c r="M72" s="77"/>
      <c r="N72" s="77"/>
      <c r="O72" s="78"/>
      <c r="S72" s="148"/>
      <c r="T72"/>
      <c r="U72"/>
    </row>
    <row r="73" spans="1:21" x14ac:dyDescent="0.2">
      <c r="A73" s="73"/>
      <c r="B73" s="73"/>
      <c r="C73" s="74"/>
      <c r="D73" s="75"/>
      <c r="E73" s="85"/>
      <c r="F73" s="161"/>
      <c r="G73" s="76"/>
      <c r="H73" s="87"/>
      <c r="I73" s="75"/>
      <c r="J73" s="75"/>
      <c r="K73" s="75"/>
      <c r="L73" s="88"/>
      <c r="M73" s="77"/>
      <c r="N73" s="77"/>
      <c r="O73" s="78"/>
      <c r="S73" s="148"/>
      <c r="T73"/>
      <c r="U73"/>
    </row>
    <row r="74" spans="1:21" x14ac:dyDescent="0.2">
      <c r="A74" s="73"/>
      <c r="B74" s="73"/>
      <c r="C74" s="74"/>
      <c r="D74" s="75"/>
      <c r="E74" s="85"/>
      <c r="F74" s="161"/>
      <c r="G74" s="76"/>
      <c r="H74" s="87"/>
      <c r="I74" s="75"/>
      <c r="J74" s="75"/>
      <c r="K74" s="75"/>
      <c r="L74" s="88"/>
      <c r="M74" s="77"/>
      <c r="N74" s="77"/>
      <c r="O74" s="78"/>
      <c r="S74" s="148"/>
      <c r="T74"/>
      <c r="U74"/>
    </row>
    <row r="75" spans="1:21" x14ac:dyDescent="0.2">
      <c r="A75" s="73"/>
      <c r="B75" s="73"/>
      <c r="C75" s="74"/>
      <c r="D75" s="75"/>
      <c r="E75" s="85"/>
      <c r="F75" s="161"/>
      <c r="G75" s="76"/>
      <c r="H75" s="87"/>
      <c r="I75" s="75"/>
      <c r="J75" s="75"/>
      <c r="K75" s="75"/>
      <c r="L75" s="88"/>
      <c r="M75" s="77"/>
      <c r="N75" s="77"/>
      <c r="O75" s="78"/>
      <c r="S75" s="148"/>
      <c r="T75"/>
      <c r="U75"/>
    </row>
    <row r="76" spans="1:21" x14ac:dyDescent="0.2">
      <c r="A76" s="73"/>
      <c r="B76" s="73"/>
      <c r="C76" s="74"/>
      <c r="D76" s="75"/>
      <c r="E76" s="85"/>
      <c r="F76" s="161"/>
      <c r="G76" s="76"/>
      <c r="H76" s="87"/>
      <c r="I76" s="75"/>
      <c r="J76" s="75"/>
      <c r="K76" s="75"/>
      <c r="L76" s="88"/>
      <c r="M76" s="77"/>
      <c r="N76" s="77"/>
      <c r="O76" s="78"/>
      <c r="S76" s="148"/>
      <c r="T76"/>
      <c r="U76"/>
    </row>
    <row r="77" spans="1:21" x14ac:dyDescent="0.2">
      <c r="A77" s="73"/>
      <c r="B77" s="73"/>
      <c r="C77" s="74"/>
      <c r="D77" s="75"/>
      <c r="E77" s="85"/>
      <c r="F77" s="161"/>
      <c r="G77" s="76"/>
      <c r="H77" s="87"/>
      <c r="I77" s="75"/>
      <c r="J77" s="75"/>
      <c r="K77" s="75"/>
      <c r="L77" s="88"/>
      <c r="M77" s="77"/>
      <c r="N77" s="77"/>
      <c r="O77" s="78"/>
      <c r="S77" s="148"/>
      <c r="T77"/>
      <c r="U77"/>
    </row>
    <row r="78" spans="1:21" x14ac:dyDescent="0.2">
      <c r="A78" s="73"/>
      <c r="B78" s="73"/>
      <c r="C78" s="74"/>
      <c r="D78" s="75"/>
      <c r="E78" s="85"/>
      <c r="F78" s="161"/>
      <c r="G78" s="76"/>
      <c r="H78" s="87"/>
      <c r="I78" s="75"/>
      <c r="J78" s="75"/>
      <c r="K78" s="75"/>
      <c r="L78" s="88"/>
      <c r="M78" s="77"/>
      <c r="N78" s="77"/>
      <c r="O78" s="78"/>
      <c r="S78" s="148"/>
      <c r="T78"/>
      <c r="U78"/>
    </row>
    <row r="79" spans="1:21" x14ac:dyDescent="0.2">
      <c r="A79" s="73"/>
      <c r="B79" s="73"/>
      <c r="C79" s="74"/>
      <c r="D79" s="75"/>
      <c r="E79" s="85"/>
      <c r="F79" s="161"/>
      <c r="G79" s="76"/>
      <c r="H79" s="87"/>
      <c r="I79" s="75"/>
      <c r="J79" s="75"/>
      <c r="K79" s="75"/>
      <c r="L79" s="88"/>
      <c r="M79" s="77"/>
      <c r="N79" s="77"/>
      <c r="O79" s="78"/>
      <c r="S79" s="148"/>
      <c r="T79"/>
      <c r="U79"/>
    </row>
    <row r="80" spans="1:21" x14ac:dyDescent="0.2">
      <c r="A80" s="73"/>
      <c r="B80" s="73"/>
      <c r="C80" s="74"/>
      <c r="D80" s="75"/>
      <c r="E80" s="85"/>
      <c r="F80" s="161"/>
      <c r="G80" s="76"/>
      <c r="H80" s="87"/>
      <c r="I80" s="75"/>
      <c r="J80" s="75"/>
      <c r="K80" s="75"/>
      <c r="L80" s="88"/>
      <c r="M80" s="77"/>
      <c r="N80" s="77"/>
      <c r="O80" s="78"/>
      <c r="S80" s="148"/>
      <c r="T80"/>
      <c r="U80"/>
    </row>
    <row r="81" spans="1:21" x14ac:dyDescent="0.2">
      <c r="A81" s="73"/>
      <c r="B81" s="73"/>
      <c r="C81" s="74"/>
      <c r="D81" s="75"/>
      <c r="E81" s="85"/>
      <c r="F81" s="161"/>
      <c r="G81" s="76"/>
      <c r="H81" s="87"/>
      <c r="I81" s="75"/>
      <c r="J81" s="75"/>
      <c r="K81" s="75"/>
      <c r="L81" s="88"/>
      <c r="M81" s="77"/>
      <c r="N81" s="77"/>
      <c r="O81" s="78"/>
      <c r="S81" s="148"/>
      <c r="T81"/>
      <c r="U81"/>
    </row>
    <row r="82" spans="1:21" x14ac:dyDescent="0.2">
      <c r="A82" s="73"/>
      <c r="B82" s="73"/>
      <c r="C82" s="74"/>
      <c r="D82" s="75"/>
      <c r="E82" s="85"/>
      <c r="F82" s="161"/>
      <c r="G82" s="76"/>
      <c r="H82" s="87"/>
      <c r="I82" s="75"/>
      <c r="J82" s="75"/>
      <c r="K82" s="75"/>
      <c r="L82" s="88"/>
      <c r="M82" s="77"/>
      <c r="N82" s="77"/>
      <c r="O82" s="78"/>
      <c r="S82" s="148"/>
      <c r="T82"/>
      <c r="U82"/>
    </row>
    <row r="83" spans="1:21" x14ac:dyDescent="0.2">
      <c r="A83" s="73"/>
      <c r="B83" s="73"/>
      <c r="C83" s="74"/>
      <c r="D83" s="75"/>
      <c r="E83" s="85"/>
      <c r="F83" s="161"/>
      <c r="G83" s="76"/>
      <c r="H83" s="87"/>
      <c r="I83" s="75"/>
      <c r="J83" s="75"/>
      <c r="K83" s="75"/>
      <c r="L83" s="88"/>
      <c r="M83" s="77"/>
      <c r="N83" s="77"/>
      <c r="O83" s="78"/>
      <c r="S83" s="148"/>
      <c r="T83"/>
      <c r="U83"/>
    </row>
    <row r="84" spans="1:21" x14ac:dyDescent="0.2">
      <c r="A84" s="73"/>
      <c r="B84" s="73"/>
      <c r="C84" s="74"/>
      <c r="D84" s="75"/>
      <c r="E84" s="85"/>
      <c r="F84" s="161"/>
      <c r="G84" s="76"/>
      <c r="H84" s="87"/>
      <c r="I84" s="75"/>
      <c r="J84" s="75"/>
      <c r="K84" s="75"/>
      <c r="L84" s="88"/>
      <c r="M84" s="77"/>
      <c r="N84" s="77"/>
      <c r="O84" s="78"/>
      <c r="S84" s="148"/>
      <c r="T84"/>
      <c r="U84"/>
    </row>
    <row r="85" spans="1:21" x14ac:dyDescent="0.2">
      <c r="A85" s="73"/>
      <c r="B85" s="73"/>
      <c r="C85" s="74"/>
      <c r="D85" s="75"/>
      <c r="E85" s="85"/>
      <c r="F85" s="161"/>
      <c r="G85" s="76"/>
      <c r="H85" s="87"/>
      <c r="I85" s="75"/>
      <c r="J85" s="75"/>
      <c r="K85" s="75"/>
      <c r="L85" s="88"/>
      <c r="M85" s="77"/>
      <c r="N85" s="77"/>
      <c r="O85" s="78"/>
      <c r="S85" s="148"/>
      <c r="T85"/>
      <c r="U85"/>
    </row>
    <row r="86" spans="1:21" x14ac:dyDescent="0.2">
      <c r="A86" s="73"/>
      <c r="B86" s="73"/>
      <c r="C86" s="74"/>
      <c r="D86" s="75"/>
      <c r="E86" s="85"/>
      <c r="F86" s="161"/>
      <c r="G86" s="76"/>
      <c r="H86" s="87"/>
      <c r="I86" s="75"/>
      <c r="J86" s="75"/>
      <c r="K86" s="75"/>
      <c r="L86" s="88"/>
      <c r="M86" s="77"/>
      <c r="N86" s="77"/>
      <c r="O86" s="78"/>
      <c r="S86" s="148"/>
      <c r="T86"/>
      <c r="U86"/>
    </row>
    <row r="87" spans="1:21" x14ac:dyDescent="0.2">
      <c r="A87" s="73"/>
      <c r="B87" s="73"/>
      <c r="C87" s="74"/>
      <c r="D87" s="75"/>
      <c r="E87" s="85"/>
      <c r="F87" s="161"/>
      <c r="G87" s="76"/>
      <c r="H87" s="87"/>
      <c r="I87" s="75"/>
      <c r="J87" s="75"/>
      <c r="K87" s="75"/>
      <c r="L87" s="88"/>
      <c r="M87" s="77"/>
      <c r="N87" s="77"/>
      <c r="O87" s="78"/>
      <c r="S87" s="148"/>
      <c r="T87"/>
      <c r="U87"/>
    </row>
    <row r="88" spans="1:21" x14ac:dyDescent="0.2">
      <c r="A88" s="73"/>
      <c r="B88" s="73"/>
      <c r="C88" s="74"/>
      <c r="D88" s="75"/>
      <c r="E88" s="85"/>
      <c r="F88" s="161"/>
      <c r="G88" s="76"/>
      <c r="H88" s="87"/>
      <c r="I88" s="75"/>
      <c r="J88" s="75"/>
      <c r="K88" s="75"/>
      <c r="L88" s="88"/>
      <c r="M88" s="77"/>
      <c r="N88" s="77"/>
      <c r="O88" s="78"/>
      <c r="S88" s="148"/>
      <c r="T88"/>
      <c r="U88"/>
    </row>
    <row r="89" spans="1:21" x14ac:dyDescent="0.2">
      <c r="A89" s="73"/>
      <c r="B89" s="73"/>
      <c r="C89" s="74"/>
      <c r="D89" s="75"/>
      <c r="E89" s="85"/>
      <c r="F89" s="161"/>
      <c r="G89" s="76"/>
      <c r="H89" s="87"/>
      <c r="I89" s="75"/>
      <c r="J89" s="75"/>
      <c r="K89" s="75"/>
      <c r="L89" s="88"/>
      <c r="M89" s="77"/>
      <c r="N89" s="77"/>
      <c r="O89" s="78"/>
      <c r="S89" s="148"/>
      <c r="T89"/>
      <c r="U89"/>
    </row>
    <row r="90" spans="1:21" x14ac:dyDescent="0.2">
      <c r="A90" s="73"/>
      <c r="B90" s="73"/>
      <c r="C90" s="74"/>
      <c r="D90" s="75"/>
      <c r="E90" s="85"/>
      <c r="F90" s="161"/>
      <c r="G90" s="76"/>
      <c r="H90" s="87"/>
      <c r="I90" s="75"/>
      <c r="J90" s="75"/>
      <c r="K90" s="75"/>
      <c r="L90" s="88"/>
      <c r="M90" s="77"/>
      <c r="N90" s="77"/>
      <c r="O90" s="78"/>
      <c r="S90" s="148"/>
      <c r="T90"/>
      <c r="U90"/>
    </row>
    <row r="91" spans="1:21" x14ac:dyDescent="0.2">
      <c r="A91" s="73"/>
      <c r="B91" s="73"/>
      <c r="C91" s="74"/>
      <c r="D91" s="75"/>
      <c r="E91" s="85"/>
      <c r="F91" s="161"/>
      <c r="G91" s="76"/>
      <c r="H91" s="87"/>
      <c r="I91" s="75"/>
      <c r="J91" s="75"/>
      <c r="K91" s="75"/>
      <c r="L91" s="88"/>
      <c r="M91" s="77"/>
      <c r="N91" s="77"/>
      <c r="O91" s="78"/>
      <c r="S91" s="148"/>
      <c r="T91"/>
      <c r="U91"/>
    </row>
    <row r="92" spans="1:21" x14ac:dyDescent="0.2">
      <c r="A92" s="73"/>
      <c r="B92" s="73"/>
      <c r="C92" s="74"/>
      <c r="D92" s="75"/>
      <c r="E92" s="85"/>
      <c r="F92" s="161"/>
      <c r="G92" s="76"/>
      <c r="H92" s="87"/>
      <c r="I92" s="75"/>
      <c r="J92" s="75"/>
      <c r="K92" s="75"/>
      <c r="L92" s="88"/>
      <c r="M92" s="77"/>
      <c r="N92" s="77"/>
      <c r="O92" s="78"/>
      <c r="S92" s="148"/>
      <c r="T92"/>
      <c r="U92"/>
    </row>
    <row r="93" spans="1:21" x14ac:dyDescent="0.2">
      <c r="A93" s="73"/>
      <c r="B93" s="73"/>
      <c r="C93" s="74"/>
      <c r="D93" s="75"/>
      <c r="E93" s="85"/>
      <c r="F93" s="161"/>
      <c r="G93" s="76"/>
      <c r="H93" s="87"/>
      <c r="I93" s="75"/>
      <c r="J93" s="75"/>
      <c r="K93" s="75"/>
      <c r="L93" s="88"/>
      <c r="M93" s="77"/>
      <c r="N93" s="77"/>
      <c r="O93" s="78"/>
      <c r="S93" s="148"/>
      <c r="T93"/>
      <c r="U93"/>
    </row>
    <row r="94" spans="1:21" x14ac:dyDescent="0.2">
      <c r="A94" s="73"/>
      <c r="B94" s="73"/>
      <c r="C94" s="74"/>
      <c r="D94" s="75"/>
      <c r="E94" s="85"/>
      <c r="F94" s="161"/>
      <c r="G94" s="76"/>
      <c r="H94" s="87"/>
      <c r="I94" s="75"/>
      <c r="J94" s="75"/>
      <c r="K94" s="75"/>
      <c r="L94" s="88"/>
      <c r="M94" s="77"/>
      <c r="N94" s="77"/>
      <c r="O94" s="78"/>
      <c r="S94" s="148"/>
      <c r="T94"/>
      <c r="U94"/>
    </row>
    <row r="95" spans="1:21" x14ac:dyDescent="0.2">
      <c r="A95" s="73"/>
      <c r="B95" s="73"/>
      <c r="C95" s="74"/>
      <c r="D95" s="75"/>
      <c r="E95" s="85"/>
      <c r="F95" s="161"/>
      <c r="G95" s="76"/>
      <c r="H95" s="87"/>
      <c r="I95" s="75"/>
      <c r="J95" s="75"/>
      <c r="K95" s="75"/>
      <c r="L95" s="88"/>
      <c r="M95" s="77"/>
      <c r="N95" s="77"/>
      <c r="O95" s="78"/>
      <c r="S95" s="148"/>
      <c r="T95"/>
      <c r="U95"/>
    </row>
    <row r="96" spans="1:21" x14ac:dyDescent="0.2">
      <c r="A96" s="73"/>
      <c r="B96" s="73"/>
      <c r="C96" s="74"/>
      <c r="D96" s="75"/>
      <c r="E96" s="85"/>
      <c r="F96" s="161"/>
      <c r="G96" s="76"/>
      <c r="H96" s="87"/>
      <c r="I96" s="75"/>
      <c r="J96" s="75"/>
      <c r="K96" s="75"/>
      <c r="L96" s="88"/>
      <c r="M96" s="77"/>
      <c r="N96" s="77"/>
      <c r="O96" s="78"/>
      <c r="S96" s="148"/>
      <c r="T96"/>
      <c r="U96"/>
    </row>
    <row r="97" spans="1:21" x14ac:dyDescent="0.2">
      <c r="A97" s="73"/>
      <c r="B97" s="73"/>
      <c r="C97" s="74"/>
      <c r="D97" s="75"/>
      <c r="E97" s="85"/>
      <c r="F97" s="161"/>
      <c r="G97" s="76"/>
      <c r="H97" s="87"/>
      <c r="I97" s="75"/>
      <c r="J97" s="75"/>
      <c r="K97" s="75"/>
      <c r="L97" s="88"/>
      <c r="M97" s="77"/>
      <c r="N97" s="77"/>
      <c r="O97" s="78"/>
      <c r="S97" s="148"/>
      <c r="T97"/>
      <c r="U97"/>
    </row>
    <row r="98" spans="1:21" x14ac:dyDescent="0.2">
      <c r="A98" s="73"/>
      <c r="B98" s="73"/>
      <c r="C98" s="74"/>
      <c r="D98" s="75"/>
      <c r="E98" s="85"/>
      <c r="F98" s="161"/>
      <c r="G98" s="76"/>
      <c r="H98" s="87"/>
      <c r="I98" s="75"/>
      <c r="J98" s="75"/>
      <c r="K98" s="75"/>
      <c r="L98" s="88"/>
      <c r="M98" s="77"/>
      <c r="N98" s="77"/>
      <c r="O98" s="78"/>
      <c r="S98" s="148"/>
      <c r="T98"/>
      <c r="U98"/>
    </row>
    <row r="99" spans="1:21" x14ac:dyDescent="0.2">
      <c r="A99" s="73"/>
      <c r="B99" s="73"/>
      <c r="C99" s="74"/>
      <c r="D99" s="75"/>
      <c r="E99" s="85"/>
      <c r="F99" s="161"/>
      <c r="G99" s="76"/>
      <c r="H99" s="87"/>
      <c r="I99" s="75"/>
      <c r="J99" s="75"/>
      <c r="K99" s="75"/>
      <c r="L99" s="88"/>
      <c r="M99" s="77"/>
      <c r="N99" s="77"/>
      <c r="O99" s="78"/>
      <c r="S99" s="148"/>
      <c r="T99"/>
      <c r="U99"/>
    </row>
    <row r="100" spans="1:21" x14ac:dyDescent="0.2">
      <c r="A100" s="73"/>
      <c r="B100" s="73"/>
      <c r="C100" s="74"/>
      <c r="D100" s="75"/>
      <c r="E100" s="85"/>
      <c r="F100" s="161"/>
      <c r="G100" s="76"/>
      <c r="H100" s="87"/>
      <c r="I100" s="75"/>
      <c r="J100" s="75"/>
      <c r="K100" s="75"/>
      <c r="L100" s="88"/>
      <c r="M100" s="77"/>
      <c r="N100" s="77"/>
      <c r="O100" s="78"/>
      <c r="S100" s="148"/>
      <c r="T100"/>
      <c r="U100"/>
    </row>
    <row r="101" spans="1:21" x14ac:dyDescent="0.2">
      <c r="A101" s="73"/>
      <c r="B101" s="73"/>
      <c r="C101" s="74"/>
      <c r="D101" s="75"/>
      <c r="E101" s="85"/>
      <c r="F101" s="161"/>
      <c r="G101" s="76"/>
      <c r="H101" s="87"/>
      <c r="I101" s="75"/>
      <c r="J101" s="75"/>
      <c r="K101" s="75"/>
      <c r="L101" s="88"/>
      <c r="M101" s="77"/>
      <c r="N101" s="77"/>
      <c r="O101" s="78"/>
      <c r="S101" s="148"/>
      <c r="T101"/>
      <c r="U101"/>
    </row>
    <row r="102" spans="1:21" x14ac:dyDescent="0.2">
      <c r="A102" s="73"/>
      <c r="B102" s="73"/>
      <c r="C102" s="74"/>
      <c r="D102" s="75"/>
      <c r="E102" s="85"/>
      <c r="F102" s="161"/>
      <c r="G102" s="76"/>
      <c r="H102" s="87"/>
      <c r="I102" s="75"/>
      <c r="J102" s="75"/>
      <c r="K102" s="75"/>
      <c r="L102" s="88"/>
      <c r="M102" s="77"/>
      <c r="N102" s="77"/>
      <c r="O102" s="78"/>
      <c r="S102" s="148"/>
      <c r="T102"/>
      <c r="U102"/>
    </row>
    <row r="103" spans="1:21" x14ac:dyDescent="0.2">
      <c r="A103" s="73"/>
      <c r="B103" s="73"/>
      <c r="C103" s="74"/>
      <c r="D103" s="75"/>
      <c r="E103" s="85"/>
      <c r="F103" s="161"/>
      <c r="G103" s="76"/>
      <c r="H103" s="87"/>
      <c r="I103" s="75"/>
      <c r="J103" s="75"/>
      <c r="K103" s="75"/>
      <c r="L103" s="88"/>
      <c r="M103" s="77"/>
      <c r="N103" s="77"/>
      <c r="O103" s="78"/>
      <c r="S103" s="148"/>
      <c r="T103"/>
      <c r="U103"/>
    </row>
    <row r="104" spans="1:21" x14ac:dyDescent="0.2">
      <c r="A104" s="73"/>
      <c r="B104" s="73"/>
      <c r="C104" s="74"/>
      <c r="D104" s="75"/>
      <c r="E104" s="85"/>
      <c r="F104" s="161"/>
      <c r="G104" s="76"/>
      <c r="H104" s="87"/>
      <c r="I104" s="75"/>
      <c r="J104" s="75"/>
      <c r="K104" s="75"/>
      <c r="L104" s="88"/>
      <c r="M104" s="77"/>
      <c r="N104" s="77"/>
      <c r="O104" s="78"/>
      <c r="S104" s="148"/>
      <c r="T104"/>
      <c r="U104"/>
    </row>
    <row r="105" spans="1:21" x14ac:dyDescent="0.2">
      <c r="A105" s="73"/>
      <c r="B105" s="73"/>
      <c r="C105" s="74"/>
      <c r="D105" s="75"/>
      <c r="E105" s="85"/>
      <c r="F105" s="161"/>
      <c r="G105" s="76"/>
      <c r="H105" s="87"/>
      <c r="I105" s="75"/>
      <c r="J105" s="75"/>
      <c r="K105" s="75"/>
      <c r="L105" s="88"/>
      <c r="M105" s="77"/>
      <c r="N105" s="77"/>
      <c r="O105" s="78"/>
      <c r="S105" s="148"/>
      <c r="T105"/>
      <c r="U105"/>
    </row>
    <row r="106" spans="1:21" x14ac:dyDescent="0.2">
      <c r="A106" s="73"/>
      <c r="B106" s="73"/>
      <c r="C106" s="74"/>
      <c r="D106" s="75"/>
      <c r="E106" s="85"/>
      <c r="F106" s="161"/>
      <c r="G106" s="76"/>
      <c r="H106" s="87"/>
      <c r="I106" s="75"/>
      <c r="J106" s="75"/>
      <c r="K106" s="75"/>
      <c r="L106" s="88"/>
      <c r="M106" s="77"/>
      <c r="N106" s="77"/>
      <c r="O106" s="78"/>
      <c r="S106" s="148"/>
      <c r="T106"/>
      <c r="U106"/>
    </row>
    <row r="107" spans="1:21" x14ac:dyDescent="0.2">
      <c r="A107" s="73"/>
      <c r="B107" s="73"/>
      <c r="C107" s="74"/>
      <c r="D107" s="75"/>
      <c r="E107" s="85"/>
      <c r="F107" s="161"/>
      <c r="G107" s="76"/>
      <c r="H107" s="87"/>
      <c r="I107" s="75"/>
      <c r="J107" s="75"/>
      <c r="K107" s="75"/>
      <c r="L107" s="88"/>
      <c r="M107" s="77"/>
      <c r="N107" s="77"/>
      <c r="O107" s="78"/>
      <c r="S107" s="148"/>
      <c r="T107"/>
      <c r="U107"/>
    </row>
    <row r="108" spans="1:21" x14ac:dyDescent="0.2">
      <c r="A108" s="73"/>
      <c r="B108" s="73"/>
      <c r="C108" s="74"/>
      <c r="D108" s="75"/>
      <c r="E108" s="85"/>
      <c r="F108" s="161"/>
      <c r="G108" s="76"/>
      <c r="H108" s="87"/>
      <c r="I108" s="75"/>
      <c r="J108" s="75"/>
      <c r="K108" s="75"/>
      <c r="L108" s="88"/>
      <c r="M108" s="77"/>
      <c r="N108" s="77"/>
      <c r="O108" s="78"/>
      <c r="S108" s="148"/>
      <c r="T108"/>
      <c r="U108"/>
    </row>
    <row r="109" spans="1:21" x14ac:dyDescent="0.2">
      <c r="A109" s="73"/>
      <c r="B109" s="73"/>
      <c r="C109" s="74"/>
      <c r="D109" s="75"/>
      <c r="E109" s="85"/>
      <c r="F109" s="161"/>
      <c r="G109" s="76"/>
      <c r="H109" s="87"/>
      <c r="I109" s="75"/>
      <c r="J109" s="75"/>
      <c r="K109" s="75"/>
      <c r="L109" s="88"/>
      <c r="M109" s="77"/>
      <c r="N109" s="77"/>
      <c r="O109" s="78"/>
      <c r="S109" s="148"/>
      <c r="T109"/>
      <c r="U109"/>
    </row>
    <row r="110" spans="1:21" x14ac:dyDescent="0.2">
      <c r="A110" s="73"/>
      <c r="B110" s="73"/>
      <c r="C110" s="74"/>
      <c r="D110" s="75"/>
      <c r="E110" s="85"/>
      <c r="F110" s="161"/>
      <c r="G110" s="76"/>
      <c r="H110" s="87"/>
      <c r="I110" s="75"/>
      <c r="J110" s="75"/>
      <c r="K110" s="75"/>
      <c r="L110" s="88"/>
      <c r="M110" s="77"/>
      <c r="N110" s="77"/>
      <c r="O110" s="78"/>
      <c r="S110" s="148"/>
      <c r="T110"/>
      <c r="U110"/>
    </row>
    <row r="111" spans="1:21" x14ac:dyDescent="0.2">
      <c r="A111" s="73"/>
      <c r="B111" s="73"/>
      <c r="C111" s="74"/>
      <c r="D111" s="75"/>
      <c r="E111" s="85"/>
      <c r="F111" s="161"/>
      <c r="G111" s="76"/>
      <c r="H111" s="87"/>
      <c r="I111" s="75"/>
      <c r="J111" s="75"/>
      <c r="K111" s="75"/>
      <c r="L111" s="88"/>
      <c r="M111" s="77"/>
      <c r="N111" s="77"/>
      <c r="O111" s="78"/>
      <c r="S111" s="148"/>
      <c r="T111"/>
      <c r="U111"/>
    </row>
    <row r="112" spans="1:21" x14ac:dyDescent="0.2">
      <c r="A112" s="73"/>
      <c r="B112" s="73"/>
      <c r="C112" s="74"/>
      <c r="D112" s="75"/>
      <c r="E112" s="85"/>
      <c r="F112" s="161"/>
      <c r="G112" s="76"/>
      <c r="H112" s="87"/>
      <c r="I112" s="75"/>
      <c r="J112" s="75"/>
      <c r="K112" s="75"/>
      <c r="L112" s="88"/>
      <c r="M112" s="77"/>
      <c r="N112" s="77"/>
      <c r="O112" s="78"/>
      <c r="S112" s="148"/>
      <c r="T112"/>
      <c r="U112"/>
    </row>
    <row r="113" spans="1:21" x14ac:dyDescent="0.2">
      <c r="A113" s="73"/>
      <c r="B113" s="73"/>
      <c r="C113" s="74"/>
      <c r="D113" s="75"/>
      <c r="E113" s="85"/>
      <c r="F113" s="161"/>
      <c r="G113" s="76"/>
      <c r="H113" s="87"/>
      <c r="I113" s="75"/>
      <c r="J113" s="75"/>
      <c r="K113" s="75"/>
      <c r="L113" s="88"/>
      <c r="M113" s="77"/>
      <c r="N113" s="77"/>
      <c r="O113" s="78"/>
      <c r="S113" s="148"/>
      <c r="T113"/>
      <c r="U113"/>
    </row>
    <row r="114" spans="1:21" x14ac:dyDescent="0.2">
      <c r="A114" s="73"/>
      <c r="B114" s="73"/>
      <c r="C114" s="74"/>
      <c r="D114" s="75"/>
      <c r="E114" s="85"/>
      <c r="F114" s="161"/>
      <c r="G114" s="76"/>
      <c r="H114" s="87"/>
      <c r="I114" s="75"/>
      <c r="J114" s="75"/>
      <c r="K114" s="75"/>
      <c r="L114" s="88"/>
      <c r="M114" s="77"/>
      <c r="N114" s="77"/>
      <c r="O114" s="78"/>
      <c r="S114" s="148"/>
      <c r="T114"/>
      <c r="U114"/>
    </row>
    <row r="115" spans="1:21" x14ac:dyDescent="0.2">
      <c r="A115" s="73"/>
      <c r="B115" s="73"/>
      <c r="C115" s="74"/>
      <c r="D115" s="75"/>
      <c r="E115" s="85"/>
      <c r="F115" s="161"/>
      <c r="G115" s="76"/>
      <c r="H115" s="87"/>
      <c r="I115" s="75"/>
      <c r="J115" s="75"/>
      <c r="K115" s="75"/>
      <c r="L115" s="88"/>
      <c r="M115" s="77"/>
      <c r="N115" s="77"/>
      <c r="O115" s="78"/>
      <c r="S115" s="148"/>
      <c r="T115"/>
      <c r="U115"/>
    </row>
    <row r="116" spans="1:21" x14ac:dyDescent="0.2">
      <c r="A116" s="73"/>
      <c r="B116" s="73"/>
      <c r="C116" s="74"/>
      <c r="D116" s="75"/>
      <c r="E116" s="85"/>
      <c r="F116" s="161"/>
      <c r="G116" s="76"/>
      <c r="H116" s="87"/>
      <c r="I116" s="75"/>
      <c r="J116" s="75"/>
      <c r="K116" s="75"/>
      <c r="L116" s="88"/>
      <c r="M116" s="77"/>
      <c r="N116" s="77"/>
      <c r="O116" s="78"/>
      <c r="S116" s="148"/>
      <c r="T116"/>
      <c r="U116"/>
    </row>
    <row r="117" spans="1:21" x14ac:dyDescent="0.2">
      <c r="A117" s="73"/>
      <c r="B117" s="73"/>
      <c r="C117" s="74"/>
      <c r="D117" s="75"/>
      <c r="E117" s="85"/>
      <c r="F117" s="161"/>
      <c r="G117" s="76"/>
      <c r="H117" s="87"/>
      <c r="I117" s="75"/>
      <c r="J117" s="75"/>
      <c r="K117" s="75"/>
      <c r="L117" s="88"/>
      <c r="M117" s="77"/>
      <c r="N117" s="77"/>
      <c r="O117" s="78"/>
      <c r="S117" s="148"/>
      <c r="T117"/>
      <c r="U117"/>
    </row>
    <row r="118" spans="1:21" x14ac:dyDescent="0.2">
      <c r="A118" s="73"/>
      <c r="B118" s="73"/>
      <c r="C118" s="74"/>
      <c r="D118" s="75"/>
      <c r="E118" s="85"/>
      <c r="F118" s="161"/>
      <c r="G118" s="76"/>
      <c r="H118" s="87"/>
      <c r="I118" s="75"/>
      <c r="J118" s="75"/>
      <c r="K118" s="75"/>
      <c r="L118" s="88"/>
      <c r="M118" s="77"/>
      <c r="N118" s="77"/>
      <c r="O118" s="78"/>
      <c r="S118" s="148"/>
      <c r="T118"/>
      <c r="U118"/>
    </row>
    <row r="119" spans="1:21" x14ac:dyDescent="0.2">
      <c r="A119" s="73"/>
      <c r="B119" s="73"/>
      <c r="C119" s="74"/>
      <c r="D119" s="75"/>
      <c r="E119" s="85"/>
      <c r="F119" s="161"/>
      <c r="G119" s="76"/>
      <c r="H119" s="87"/>
      <c r="I119" s="75"/>
      <c r="J119" s="75"/>
      <c r="K119" s="75"/>
      <c r="L119" s="88"/>
      <c r="M119" s="77"/>
      <c r="N119" s="77"/>
      <c r="O119" s="78"/>
      <c r="S119" s="148"/>
      <c r="T119"/>
      <c r="U119"/>
    </row>
    <row r="120" spans="1:21" x14ac:dyDescent="0.2">
      <c r="A120" s="73"/>
      <c r="B120" s="73"/>
      <c r="C120" s="74"/>
      <c r="D120" s="75"/>
      <c r="E120" s="85"/>
      <c r="F120" s="161"/>
      <c r="G120" s="76"/>
      <c r="H120" s="87"/>
      <c r="I120" s="75"/>
      <c r="J120" s="75"/>
      <c r="K120" s="75"/>
      <c r="L120" s="88"/>
      <c r="M120" s="77"/>
      <c r="N120" s="77"/>
      <c r="O120" s="78"/>
      <c r="S120" s="148"/>
      <c r="T120"/>
      <c r="U120"/>
    </row>
    <row r="121" spans="1:21" x14ac:dyDescent="0.2">
      <c r="A121" s="73"/>
      <c r="B121" s="73"/>
      <c r="C121" s="74"/>
      <c r="D121" s="75"/>
      <c r="E121" s="85"/>
      <c r="F121" s="161"/>
      <c r="G121" s="76"/>
      <c r="H121" s="87"/>
      <c r="I121" s="75"/>
      <c r="J121" s="75"/>
      <c r="K121" s="75"/>
      <c r="L121" s="88"/>
      <c r="M121" s="77"/>
      <c r="N121" s="77"/>
      <c r="O121" s="78"/>
      <c r="S121" s="148"/>
      <c r="T121"/>
      <c r="U121"/>
    </row>
    <row r="122" spans="1:21" x14ac:dyDescent="0.2">
      <c r="A122" s="73"/>
      <c r="B122" s="73"/>
      <c r="C122" s="74"/>
      <c r="D122" s="75"/>
      <c r="E122" s="85"/>
      <c r="F122" s="161"/>
      <c r="G122" s="76"/>
      <c r="H122" s="87"/>
      <c r="I122" s="75"/>
      <c r="J122" s="75"/>
      <c r="K122" s="75"/>
      <c r="L122" s="88"/>
      <c r="M122" s="77"/>
      <c r="N122" s="77"/>
      <c r="O122" s="78"/>
      <c r="S122" s="148"/>
      <c r="T122"/>
      <c r="U122"/>
    </row>
    <row r="123" spans="1:21" x14ac:dyDescent="0.2">
      <c r="A123" s="73"/>
      <c r="B123" s="73"/>
      <c r="C123" s="74"/>
      <c r="D123" s="75"/>
      <c r="E123" s="85"/>
      <c r="F123" s="161"/>
      <c r="G123" s="76"/>
      <c r="H123" s="87"/>
      <c r="I123" s="75"/>
      <c r="J123" s="75"/>
      <c r="K123" s="75"/>
      <c r="L123" s="88"/>
      <c r="M123" s="77"/>
      <c r="N123" s="77"/>
      <c r="O123" s="78"/>
      <c r="S123" s="148"/>
      <c r="T123"/>
      <c r="U123"/>
    </row>
    <row r="124" spans="1:21" x14ac:dyDescent="0.2">
      <c r="A124" s="73"/>
      <c r="B124" s="73"/>
      <c r="C124" s="74"/>
      <c r="D124" s="75"/>
      <c r="E124" s="85"/>
      <c r="F124" s="161"/>
      <c r="G124" s="76"/>
      <c r="H124" s="87"/>
      <c r="I124" s="75"/>
      <c r="J124" s="75"/>
      <c r="K124" s="75"/>
      <c r="L124" s="88"/>
      <c r="M124" s="77"/>
      <c r="N124" s="77"/>
      <c r="O124" s="78"/>
      <c r="S124" s="148"/>
      <c r="T124"/>
      <c r="U124"/>
    </row>
    <row r="125" spans="1:21" x14ac:dyDescent="0.2">
      <c r="A125" s="73"/>
      <c r="B125" s="73"/>
      <c r="C125" s="74"/>
      <c r="D125" s="75"/>
      <c r="E125" s="85"/>
      <c r="F125" s="161"/>
      <c r="G125" s="76"/>
      <c r="H125" s="87"/>
      <c r="I125" s="75"/>
      <c r="J125" s="75"/>
      <c r="K125" s="75"/>
      <c r="L125" s="88"/>
      <c r="M125" s="77"/>
      <c r="N125" s="77"/>
      <c r="O125" s="78"/>
      <c r="S125" s="148"/>
      <c r="T125"/>
      <c r="U125"/>
    </row>
    <row r="126" spans="1:21" x14ac:dyDescent="0.2">
      <c r="A126" s="73"/>
      <c r="B126" s="73"/>
      <c r="C126" s="74"/>
      <c r="D126" s="75"/>
      <c r="E126" s="85"/>
      <c r="F126" s="161"/>
      <c r="G126" s="76"/>
      <c r="H126" s="87"/>
      <c r="I126" s="75"/>
      <c r="J126" s="75"/>
      <c r="K126" s="75"/>
      <c r="L126" s="88"/>
      <c r="M126" s="77"/>
      <c r="N126" s="77"/>
      <c r="O126" s="78"/>
      <c r="S126" s="148"/>
      <c r="T126"/>
      <c r="U126"/>
    </row>
    <row r="127" spans="1:21" x14ac:dyDescent="0.2">
      <c r="A127" s="73"/>
      <c r="B127" s="73"/>
      <c r="C127" s="74"/>
      <c r="D127" s="75"/>
      <c r="E127" s="85"/>
      <c r="F127" s="161"/>
      <c r="G127" s="76"/>
      <c r="H127" s="87"/>
      <c r="I127" s="75"/>
      <c r="J127" s="75"/>
      <c r="K127" s="75"/>
      <c r="L127" s="88"/>
      <c r="M127" s="77"/>
      <c r="N127" s="77"/>
      <c r="O127" s="78"/>
      <c r="S127" s="148"/>
      <c r="T127"/>
      <c r="U127"/>
    </row>
    <row r="128" spans="1:21" x14ac:dyDescent="0.2">
      <c r="A128" s="73"/>
      <c r="B128" s="73"/>
      <c r="C128" s="74"/>
      <c r="D128" s="75"/>
      <c r="E128" s="85"/>
      <c r="F128" s="161"/>
      <c r="G128" s="76"/>
      <c r="H128" s="87"/>
      <c r="I128" s="75"/>
      <c r="J128" s="75"/>
      <c r="K128" s="75"/>
      <c r="L128" s="88"/>
      <c r="M128" s="77"/>
      <c r="N128" s="77"/>
      <c r="O128" s="78"/>
      <c r="S128" s="148"/>
      <c r="T128"/>
      <c r="U128"/>
    </row>
    <row r="129" spans="1:21" x14ac:dyDescent="0.2">
      <c r="A129" s="73"/>
      <c r="B129" s="73"/>
      <c r="C129" s="74"/>
      <c r="D129" s="75"/>
      <c r="E129" s="85"/>
      <c r="F129" s="161"/>
      <c r="G129" s="76"/>
      <c r="H129" s="87"/>
      <c r="I129" s="75"/>
      <c r="J129" s="75"/>
      <c r="K129" s="75"/>
      <c r="L129" s="88"/>
      <c r="M129" s="77"/>
      <c r="N129" s="77"/>
      <c r="O129" s="78"/>
      <c r="S129" s="148"/>
      <c r="T129"/>
      <c r="U129"/>
    </row>
    <row r="130" spans="1:21" x14ac:dyDescent="0.2">
      <c r="A130" s="73"/>
      <c r="B130" s="73"/>
      <c r="C130" s="74"/>
      <c r="D130" s="75"/>
      <c r="E130" s="85"/>
      <c r="F130" s="161"/>
      <c r="G130" s="76"/>
      <c r="H130" s="87"/>
      <c r="I130" s="75"/>
      <c r="J130" s="75"/>
      <c r="K130" s="75"/>
      <c r="L130" s="88"/>
      <c r="M130" s="77"/>
      <c r="N130" s="77"/>
      <c r="O130" s="78"/>
      <c r="S130" s="148"/>
      <c r="T130"/>
      <c r="U130"/>
    </row>
    <row r="131" spans="1:21" x14ac:dyDescent="0.2">
      <c r="A131" s="73"/>
      <c r="B131" s="73"/>
      <c r="C131" s="74"/>
      <c r="D131" s="75"/>
      <c r="E131" s="85"/>
      <c r="F131" s="161"/>
      <c r="G131" s="76"/>
      <c r="H131" s="87"/>
      <c r="I131" s="75"/>
      <c r="J131" s="75"/>
      <c r="K131" s="75"/>
      <c r="L131" s="88"/>
      <c r="M131" s="77"/>
      <c r="N131" s="77"/>
      <c r="O131" s="78"/>
      <c r="S131" s="148"/>
      <c r="T131"/>
      <c r="U131"/>
    </row>
    <row r="132" spans="1:21" x14ac:dyDescent="0.2">
      <c r="A132" s="73"/>
      <c r="B132" s="73"/>
      <c r="C132" s="74"/>
      <c r="D132" s="75"/>
      <c r="E132" s="85"/>
      <c r="F132" s="161"/>
      <c r="G132" s="76"/>
      <c r="H132" s="87"/>
      <c r="I132" s="75"/>
      <c r="J132" s="75"/>
      <c r="K132" s="75"/>
      <c r="L132" s="88"/>
      <c r="M132" s="77"/>
      <c r="N132" s="77"/>
      <c r="O132" s="78"/>
      <c r="S132" s="148"/>
      <c r="T132"/>
      <c r="U132"/>
    </row>
    <row r="133" spans="1:21" x14ac:dyDescent="0.2">
      <c r="A133" s="73"/>
      <c r="B133" s="73"/>
      <c r="C133" s="74"/>
      <c r="D133" s="75"/>
      <c r="E133" s="85"/>
      <c r="F133" s="161"/>
      <c r="G133" s="76"/>
      <c r="H133" s="87"/>
      <c r="I133" s="75"/>
      <c r="J133" s="75"/>
      <c r="K133" s="75"/>
      <c r="L133" s="88"/>
      <c r="M133" s="77"/>
      <c r="N133" s="77"/>
      <c r="O133" s="78"/>
      <c r="S133" s="148"/>
      <c r="T133"/>
      <c r="U133"/>
    </row>
    <row r="134" spans="1:21" x14ac:dyDescent="0.2">
      <c r="A134" s="73"/>
      <c r="B134" s="73"/>
      <c r="C134" s="74"/>
      <c r="D134" s="75"/>
      <c r="E134" s="85"/>
      <c r="F134" s="161"/>
      <c r="G134" s="76"/>
      <c r="H134" s="87"/>
      <c r="I134" s="75"/>
      <c r="J134" s="75"/>
      <c r="K134" s="75"/>
      <c r="L134" s="88"/>
      <c r="M134" s="77"/>
      <c r="N134" s="77"/>
      <c r="O134" s="78"/>
      <c r="S134" s="148"/>
      <c r="T134"/>
      <c r="U134"/>
    </row>
    <row r="135" spans="1:21" x14ac:dyDescent="0.2">
      <c r="A135" s="73"/>
      <c r="B135" s="73"/>
      <c r="C135" s="74"/>
      <c r="D135" s="75"/>
      <c r="E135" s="85"/>
      <c r="F135" s="161"/>
      <c r="G135" s="76"/>
      <c r="H135" s="87"/>
      <c r="I135" s="75"/>
      <c r="J135" s="75"/>
      <c r="K135" s="75"/>
      <c r="L135" s="88"/>
      <c r="M135" s="77"/>
      <c r="N135" s="77"/>
      <c r="O135" s="78"/>
      <c r="S135" s="148"/>
      <c r="T135"/>
      <c r="U135"/>
    </row>
    <row r="136" spans="1:21" x14ac:dyDescent="0.2">
      <c r="A136" s="73"/>
      <c r="B136" s="73"/>
      <c r="C136" s="74"/>
      <c r="D136" s="75"/>
      <c r="E136" s="85"/>
      <c r="F136" s="161"/>
      <c r="G136" s="76"/>
      <c r="H136" s="87"/>
      <c r="I136" s="75"/>
      <c r="J136" s="75"/>
      <c r="K136" s="75"/>
      <c r="L136" s="88"/>
      <c r="M136" s="77"/>
      <c r="N136" s="77"/>
      <c r="O136" s="78"/>
      <c r="S136" s="148"/>
      <c r="T136"/>
      <c r="U136"/>
    </row>
    <row r="137" spans="1:21" x14ac:dyDescent="0.2">
      <c r="A137" s="73"/>
      <c r="B137" s="73"/>
      <c r="C137" s="74"/>
      <c r="D137" s="75"/>
      <c r="E137" s="85"/>
      <c r="F137" s="161"/>
      <c r="G137" s="76"/>
      <c r="H137" s="87"/>
      <c r="I137" s="75"/>
      <c r="J137" s="75"/>
      <c r="K137" s="75"/>
      <c r="L137" s="88"/>
      <c r="M137" s="77"/>
      <c r="N137" s="77"/>
      <c r="O137" s="78"/>
      <c r="S137" s="148"/>
      <c r="T137"/>
      <c r="U137"/>
    </row>
    <row r="138" spans="1:21" x14ac:dyDescent="0.2">
      <c r="A138" s="73"/>
      <c r="B138" s="73"/>
      <c r="C138" s="74"/>
      <c r="D138" s="75"/>
      <c r="E138" s="85"/>
      <c r="F138" s="161"/>
      <c r="G138" s="76"/>
      <c r="H138" s="87"/>
      <c r="I138" s="75"/>
      <c r="J138" s="75"/>
      <c r="K138" s="75"/>
      <c r="L138" s="88"/>
      <c r="M138" s="77"/>
      <c r="N138" s="77"/>
      <c r="O138" s="78"/>
      <c r="S138" s="148"/>
      <c r="T138"/>
      <c r="U138"/>
    </row>
    <row r="139" spans="1:21" x14ac:dyDescent="0.2">
      <c r="A139" s="73"/>
      <c r="B139" s="73"/>
      <c r="C139" s="74"/>
      <c r="D139" s="75"/>
      <c r="E139" s="85"/>
      <c r="F139" s="161"/>
      <c r="G139" s="76"/>
      <c r="H139" s="87"/>
      <c r="I139" s="75"/>
      <c r="J139" s="75"/>
      <c r="K139" s="75"/>
      <c r="L139" s="88"/>
      <c r="M139" s="77"/>
      <c r="N139" s="77"/>
      <c r="O139" s="78"/>
      <c r="S139" s="148"/>
      <c r="T139"/>
      <c r="U139"/>
    </row>
    <row r="140" spans="1:21" x14ac:dyDescent="0.2">
      <c r="A140" s="73"/>
      <c r="B140" s="73"/>
      <c r="C140" s="74"/>
      <c r="D140" s="75"/>
      <c r="E140" s="85"/>
      <c r="F140" s="161"/>
      <c r="G140" s="76"/>
      <c r="H140" s="87"/>
      <c r="I140" s="75"/>
      <c r="J140" s="75"/>
      <c r="K140" s="75"/>
      <c r="L140" s="88"/>
      <c r="M140" s="77"/>
      <c r="N140" s="77"/>
      <c r="O140" s="78"/>
      <c r="S140" s="148"/>
      <c r="T140"/>
      <c r="U140"/>
    </row>
    <row r="141" spans="1:21" x14ac:dyDescent="0.2">
      <c r="A141" s="73"/>
      <c r="B141" s="73"/>
      <c r="C141" s="74"/>
      <c r="D141" s="75"/>
      <c r="E141" s="85"/>
      <c r="F141" s="161"/>
      <c r="G141" s="76"/>
      <c r="H141" s="87"/>
      <c r="I141" s="75"/>
      <c r="J141" s="75"/>
      <c r="K141" s="75"/>
      <c r="L141" s="88"/>
      <c r="M141" s="77"/>
      <c r="N141" s="77"/>
      <c r="O141" s="78"/>
      <c r="S141" s="148"/>
      <c r="T141"/>
      <c r="U141"/>
    </row>
    <row r="142" spans="1:21" x14ac:dyDescent="0.2">
      <c r="A142" s="73"/>
      <c r="B142" s="73"/>
      <c r="C142" s="74"/>
      <c r="D142" s="75"/>
      <c r="E142" s="85"/>
      <c r="F142" s="161"/>
      <c r="G142" s="76"/>
      <c r="H142" s="87"/>
      <c r="I142" s="75"/>
      <c r="J142" s="75"/>
      <c r="K142" s="75"/>
      <c r="L142" s="88"/>
      <c r="M142" s="77"/>
      <c r="N142" s="77"/>
      <c r="O142" s="78"/>
      <c r="S142" s="148"/>
      <c r="T142"/>
      <c r="U142"/>
    </row>
    <row r="143" spans="1:21" x14ac:dyDescent="0.2">
      <c r="A143" s="73"/>
      <c r="B143" s="73"/>
      <c r="C143" s="74"/>
      <c r="D143" s="75"/>
      <c r="E143" s="85"/>
      <c r="F143" s="161"/>
      <c r="G143" s="76"/>
      <c r="H143" s="87"/>
      <c r="I143" s="75"/>
      <c r="J143" s="75"/>
      <c r="K143" s="75"/>
      <c r="L143" s="88"/>
      <c r="M143" s="77"/>
      <c r="N143" s="77"/>
      <c r="O143" s="78"/>
      <c r="S143" s="148"/>
      <c r="T143"/>
      <c r="U143"/>
    </row>
    <row r="144" spans="1:21" x14ac:dyDescent="0.2">
      <c r="A144" s="73"/>
      <c r="B144" s="73"/>
      <c r="C144" s="74"/>
      <c r="D144" s="75"/>
      <c r="E144" s="85"/>
      <c r="F144" s="161"/>
      <c r="G144" s="76"/>
      <c r="H144" s="87"/>
      <c r="I144" s="75"/>
      <c r="J144" s="75"/>
      <c r="K144" s="75"/>
      <c r="L144" s="88"/>
      <c r="M144" s="77"/>
      <c r="N144" s="77"/>
      <c r="O144" s="78"/>
      <c r="S144" s="148"/>
      <c r="T144"/>
      <c r="U144"/>
    </row>
    <row r="145" spans="1:21" x14ac:dyDescent="0.2">
      <c r="A145" s="73"/>
      <c r="B145" s="73"/>
      <c r="C145" s="74"/>
      <c r="D145" s="75"/>
      <c r="E145" s="85"/>
      <c r="F145" s="161"/>
      <c r="G145" s="76"/>
      <c r="H145" s="87"/>
      <c r="I145" s="75"/>
      <c r="J145" s="75"/>
      <c r="K145" s="75"/>
      <c r="L145" s="88"/>
      <c r="M145" s="77"/>
      <c r="N145" s="77"/>
      <c r="O145" s="78"/>
      <c r="S145" s="148"/>
      <c r="T145"/>
      <c r="U145"/>
    </row>
    <row r="146" spans="1:21" x14ac:dyDescent="0.2">
      <c r="A146" s="73"/>
      <c r="B146" s="73"/>
      <c r="C146" s="74"/>
      <c r="D146" s="75"/>
      <c r="E146" s="85"/>
      <c r="F146" s="161"/>
      <c r="G146" s="76"/>
      <c r="H146" s="87"/>
      <c r="I146" s="75"/>
      <c r="J146" s="75"/>
      <c r="K146" s="75"/>
      <c r="L146" s="88"/>
      <c r="M146" s="77"/>
      <c r="N146" s="77"/>
      <c r="O146" s="78"/>
      <c r="S146" s="148"/>
      <c r="T146"/>
      <c r="U146"/>
    </row>
    <row r="147" spans="1:21" x14ac:dyDescent="0.2">
      <c r="A147" s="73"/>
      <c r="B147" s="73"/>
      <c r="C147" s="74"/>
      <c r="D147" s="75"/>
      <c r="E147" s="85"/>
      <c r="F147" s="161"/>
      <c r="G147" s="76"/>
      <c r="H147" s="87"/>
      <c r="I147" s="75"/>
      <c r="J147" s="75"/>
      <c r="K147" s="75"/>
      <c r="L147" s="88"/>
      <c r="M147" s="77"/>
      <c r="N147" s="77"/>
      <c r="O147" s="78"/>
      <c r="S147" s="148"/>
      <c r="T147"/>
      <c r="U147"/>
    </row>
    <row r="148" spans="1:21" x14ac:dyDescent="0.2">
      <c r="A148" s="73"/>
      <c r="B148" s="73"/>
      <c r="C148" s="74"/>
      <c r="D148" s="75"/>
      <c r="E148" s="85"/>
      <c r="F148" s="161"/>
      <c r="G148" s="76"/>
      <c r="H148" s="87"/>
      <c r="I148" s="75"/>
      <c r="J148" s="75"/>
      <c r="K148" s="75"/>
      <c r="L148" s="88"/>
      <c r="M148" s="77"/>
      <c r="N148" s="77"/>
      <c r="O148" s="78"/>
      <c r="S148" s="148"/>
      <c r="T148"/>
      <c r="U148"/>
    </row>
    <row r="149" spans="1:21" x14ac:dyDescent="0.2">
      <c r="A149" s="73"/>
      <c r="B149" s="73"/>
      <c r="C149" s="74"/>
      <c r="D149" s="75"/>
      <c r="E149" s="85"/>
      <c r="F149" s="161"/>
      <c r="G149" s="76"/>
      <c r="H149" s="87"/>
      <c r="I149" s="75"/>
      <c r="J149" s="75"/>
      <c r="K149" s="75"/>
      <c r="L149" s="88"/>
      <c r="M149" s="77"/>
      <c r="N149" s="77"/>
      <c r="O149" s="78"/>
      <c r="S149" s="148"/>
      <c r="T149"/>
      <c r="U149"/>
    </row>
    <row r="150" spans="1:21" x14ac:dyDescent="0.2">
      <c r="A150" s="73"/>
      <c r="B150" s="73"/>
      <c r="C150" s="74"/>
      <c r="D150" s="75"/>
      <c r="E150" s="85"/>
      <c r="F150" s="161"/>
      <c r="G150" s="76"/>
      <c r="H150" s="87"/>
      <c r="I150" s="75"/>
      <c r="J150" s="75"/>
      <c r="K150" s="75"/>
      <c r="L150" s="88"/>
      <c r="M150" s="77"/>
      <c r="N150" s="77"/>
      <c r="O150" s="78"/>
      <c r="S150" s="148"/>
      <c r="T150"/>
      <c r="U150"/>
    </row>
    <row r="151" spans="1:21" x14ac:dyDescent="0.2">
      <c r="A151" s="73"/>
      <c r="B151" s="73"/>
      <c r="C151" s="74"/>
      <c r="D151" s="75"/>
      <c r="E151" s="85"/>
      <c r="F151" s="161"/>
      <c r="G151" s="76"/>
      <c r="H151" s="87"/>
      <c r="I151" s="75"/>
      <c r="J151" s="75"/>
      <c r="K151" s="75"/>
      <c r="L151" s="88"/>
      <c r="M151" s="77"/>
      <c r="N151" s="77"/>
      <c r="O151" s="78"/>
      <c r="S151" s="148"/>
      <c r="T151"/>
      <c r="U151"/>
    </row>
    <row r="152" spans="1:21" x14ac:dyDescent="0.2">
      <c r="A152" s="73"/>
      <c r="B152" s="73"/>
      <c r="C152" s="74"/>
      <c r="D152" s="75"/>
      <c r="E152" s="85"/>
      <c r="F152" s="161"/>
      <c r="G152" s="76"/>
      <c r="H152" s="87"/>
      <c r="I152" s="75"/>
      <c r="J152" s="75"/>
      <c r="K152" s="75"/>
      <c r="L152" s="88"/>
      <c r="M152" s="77"/>
      <c r="N152" s="77"/>
      <c r="O152" s="78"/>
      <c r="S152" s="148"/>
      <c r="T152"/>
      <c r="U152"/>
    </row>
    <row r="153" spans="1:21" x14ac:dyDescent="0.2">
      <c r="A153" s="73"/>
      <c r="B153" s="73"/>
      <c r="C153" s="74"/>
      <c r="D153" s="75"/>
      <c r="E153" s="85"/>
      <c r="F153" s="161"/>
      <c r="G153" s="76"/>
      <c r="H153" s="87"/>
      <c r="I153" s="75"/>
      <c r="J153" s="75"/>
      <c r="K153" s="75"/>
      <c r="L153" s="88"/>
      <c r="M153" s="77"/>
      <c r="N153" s="77"/>
      <c r="O153" s="78"/>
      <c r="S153" s="148"/>
      <c r="T153"/>
      <c r="U153"/>
    </row>
    <row r="154" spans="1:21" x14ac:dyDescent="0.2">
      <c r="A154" s="73"/>
      <c r="B154" s="73"/>
      <c r="C154" s="74"/>
      <c r="D154" s="75"/>
      <c r="E154" s="85"/>
      <c r="F154" s="161"/>
      <c r="G154" s="76"/>
      <c r="H154" s="87"/>
      <c r="I154" s="75"/>
      <c r="J154" s="75"/>
      <c r="K154" s="75"/>
      <c r="L154" s="88"/>
      <c r="M154" s="77"/>
      <c r="N154" s="77"/>
      <c r="O154" s="78"/>
      <c r="S154" s="148"/>
      <c r="T154"/>
      <c r="U154"/>
    </row>
    <row r="155" spans="1:21" x14ac:dyDescent="0.2">
      <c r="A155" s="73"/>
      <c r="B155" s="73"/>
      <c r="C155" s="74"/>
      <c r="D155" s="75"/>
      <c r="E155" s="85"/>
      <c r="F155" s="161"/>
      <c r="G155" s="76"/>
      <c r="H155" s="87"/>
      <c r="I155" s="75"/>
      <c r="J155" s="75"/>
      <c r="K155" s="75"/>
      <c r="L155" s="88"/>
      <c r="M155" s="77"/>
      <c r="N155" s="77"/>
      <c r="O155" s="78"/>
      <c r="S155" s="148"/>
      <c r="T155"/>
      <c r="U155"/>
    </row>
    <row r="156" spans="1:21" x14ac:dyDescent="0.2">
      <c r="A156" s="73"/>
      <c r="B156" s="73"/>
      <c r="C156" s="74"/>
      <c r="D156" s="75"/>
      <c r="E156" s="85"/>
      <c r="F156" s="161"/>
      <c r="G156" s="76"/>
      <c r="H156" s="87"/>
      <c r="I156" s="75"/>
      <c r="J156" s="75"/>
      <c r="K156" s="75"/>
      <c r="L156" s="88"/>
      <c r="M156" s="77"/>
      <c r="N156" s="77"/>
      <c r="O156" s="78"/>
      <c r="S156" s="148"/>
      <c r="T156"/>
      <c r="U156"/>
    </row>
    <row r="157" spans="1:21" x14ac:dyDescent="0.2">
      <c r="A157" s="73"/>
      <c r="B157" s="73"/>
      <c r="C157" s="74"/>
      <c r="D157" s="75"/>
      <c r="E157" s="85"/>
      <c r="F157" s="161"/>
      <c r="G157" s="76"/>
      <c r="H157" s="87"/>
      <c r="I157" s="75"/>
      <c r="J157" s="75"/>
      <c r="K157" s="75"/>
      <c r="L157" s="88"/>
      <c r="M157" s="77"/>
      <c r="N157" s="77"/>
      <c r="O157" s="78"/>
      <c r="S157" s="148"/>
      <c r="T157"/>
      <c r="U157"/>
    </row>
    <row r="158" spans="1:21" x14ac:dyDescent="0.2">
      <c r="A158" s="73"/>
      <c r="B158" s="73"/>
      <c r="C158" s="74"/>
      <c r="D158" s="75"/>
      <c r="E158" s="85"/>
      <c r="F158" s="161"/>
      <c r="G158" s="76"/>
      <c r="H158" s="87"/>
      <c r="I158" s="75"/>
      <c r="J158" s="75"/>
      <c r="K158" s="75"/>
      <c r="L158" s="88"/>
      <c r="M158" s="77"/>
      <c r="N158" s="77"/>
      <c r="O158" s="78"/>
      <c r="S158" s="148"/>
      <c r="T158"/>
      <c r="U158"/>
    </row>
    <row r="159" spans="1:21" x14ac:dyDescent="0.2">
      <c r="A159" s="73"/>
      <c r="B159" s="73"/>
      <c r="C159" s="74"/>
      <c r="D159" s="75"/>
      <c r="E159" s="85"/>
      <c r="F159" s="161"/>
      <c r="G159" s="76"/>
      <c r="H159" s="87"/>
      <c r="I159" s="75"/>
      <c r="J159" s="75"/>
      <c r="K159" s="75"/>
      <c r="L159" s="88"/>
      <c r="M159" s="77"/>
      <c r="N159" s="77"/>
      <c r="O159" s="78"/>
      <c r="S159" s="148"/>
      <c r="T159"/>
      <c r="U159"/>
    </row>
    <row r="160" spans="1:21" x14ac:dyDescent="0.2">
      <c r="A160" s="73"/>
      <c r="B160" s="73"/>
      <c r="C160" s="74"/>
      <c r="D160" s="75"/>
      <c r="E160" s="85"/>
      <c r="F160" s="161"/>
      <c r="G160" s="76"/>
      <c r="H160" s="87"/>
      <c r="I160" s="75"/>
      <c r="J160" s="75"/>
      <c r="K160" s="75"/>
      <c r="L160" s="88"/>
      <c r="M160" s="77"/>
      <c r="N160" s="77"/>
      <c r="O160" s="78"/>
      <c r="S160" s="148"/>
      <c r="T160"/>
      <c r="U160"/>
    </row>
    <row r="161" spans="1:21" x14ac:dyDescent="0.2">
      <c r="A161" s="73"/>
      <c r="B161" s="73"/>
      <c r="C161" s="74"/>
      <c r="D161" s="75"/>
      <c r="E161" s="85"/>
      <c r="F161" s="161"/>
      <c r="G161" s="76"/>
      <c r="H161" s="87"/>
      <c r="I161" s="75"/>
      <c r="J161" s="75"/>
      <c r="K161" s="75"/>
      <c r="L161" s="88"/>
      <c r="M161" s="77"/>
      <c r="N161" s="77"/>
      <c r="O161" s="78"/>
      <c r="S161" s="148"/>
      <c r="T161"/>
      <c r="U161"/>
    </row>
    <row r="162" spans="1:21" x14ac:dyDescent="0.2">
      <c r="A162" s="73"/>
      <c r="B162" s="73"/>
      <c r="C162" s="74"/>
      <c r="D162" s="75"/>
      <c r="E162" s="85"/>
      <c r="F162" s="161"/>
      <c r="G162" s="76"/>
      <c r="H162" s="87"/>
      <c r="I162" s="75"/>
      <c r="J162" s="75"/>
      <c r="K162" s="75"/>
      <c r="L162" s="88"/>
      <c r="M162" s="77"/>
      <c r="N162" s="77"/>
      <c r="O162" s="78"/>
      <c r="S162" s="148"/>
      <c r="T162"/>
      <c r="U162"/>
    </row>
    <row r="163" spans="1:21" x14ac:dyDescent="0.2">
      <c r="A163" s="73"/>
      <c r="B163" s="73"/>
      <c r="C163" s="74"/>
      <c r="D163" s="75"/>
      <c r="E163" s="85"/>
      <c r="F163" s="161"/>
      <c r="G163" s="76"/>
      <c r="H163" s="87"/>
      <c r="I163" s="75"/>
      <c r="J163" s="75"/>
      <c r="K163" s="75"/>
      <c r="L163" s="88"/>
      <c r="M163" s="77"/>
      <c r="N163" s="77"/>
      <c r="O163" s="78"/>
      <c r="S163" s="148"/>
      <c r="T163"/>
      <c r="U163"/>
    </row>
    <row r="164" spans="1:21" x14ac:dyDescent="0.2">
      <c r="A164" s="73"/>
      <c r="B164" s="73"/>
      <c r="C164" s="74"/>
      <c r="D164" s="75"/>
      <c r="E164" s="85"/>
      <c r="F164" s="161"/>
      <c r="G164" s="76"/>
      <c r="H164" s="87"/>
      <c r="I164" s="75"/>
      <c r="J164" s="75"/>
      <c r="K164" s="75"/>
      <c r="L164" s="88"/>
      <c r="M164" s="77"/>
      <c r="N164" s="77"/>
      <c r="O164" s="78"/>
      <c r="S164" s="148"/>
      <c r="T164"/>
      <c r="U164"/>
    </row>
    <row r="165" spans="1:21" x14ac:dyDescent="0.2">
      <c r="A165" s="73"/>
      <c r="B165" s="73"/>
      <c r="C165" s="74"/>
      <c r="D165" s="75"/>
      <c r="E165" s="85"/>
      <c r="F165" s="161"/>
      <c r="G165" s="76"/>
      <c r="H165" s="87"/>
      <c r="I165" s="75"/>
      <c r="J165" s="75"/>
      <c r="K165" s="75"/>
      <c r="L165" s="88"/>
      <c r="M165" s="77"/>
      <c r="N165" s="77"/>
      <c r="O165" s="78"/>
      <c r="S165" s="148"/>
      <c r="T165"/>
      <c r="U165"/>
    </row>
    <row r="166" spans="1:21" x14ac:dyDescent="0.2">
      <c r="A166" s="73"/>
      <c r="B166" s="73"/>
      <c r="C166" s="74"/>
      <c r="D166" s="75"/>
      <c r="E166" s="85"/>
      <c r="F166" s="161"/>
      <c r="G166" s="76"/>
      <c r="H166" s="87"/>
      <c r="I166" s="75"/>
      <c r="J166" s="75"/>
      <c r="K166" s="75"/>
      <c r="L166" s="88"/>
      <c r="M166" s="77"/>
      <c r="N166" s="77"/>
      <c r="O166" s="78"/>
      <c r="S166" s="148"/>
      <c r="T166"/>
      <c r="U166"/>
    </row>
    <row r="167" spans="1:21" x14ac:dyDescent="0.2">
      <c r="A167" s="73"/>
      <c r="B167" s="73"/>
      <c r="C167" s="74"/>
      <c r="D167" s="75"/>
      <c r="E167" s="85"/>
      <c r="F167" s="161"/>
      <c r="G167" s="76"/>
      <c r="H167" s="87"/>
      <c r="I167" s="75"/>
      <c r="J167" s="75"/>
      <c r="K167" s="75"/>
      <c r="L167" s="88"/>
      <c r="M167" s="77"/>
      <c r="N167" s="77"/>
      <c r="O167" s="78"/>
      <c r="S167" s="148"/>
      <c r="T167"/>
      <c r="U167"/>
    </row>
    <row r="168" spans="1:21" x14ac:dyDescent="0.2">
      <c r="A168" s="73"/>
      <c r="B168" s="73"/>
      <c r="C168" s="74"/>
      <c r="D168" s="75"/>
      <c r="E168" s="85"/>
      <c r="F168" s="161"/>
      <c r="G168" s="76"/>
      <c r="H168" s="87"/>
      <c r="I168" s="75"/>
      <c r="J168" s="75"/>
      <c r="K168" s="75"/>
      <c r="L168" s="88"/>
      <c r="M168" s="77"/>
      <c r="N168" s="77"/>
      <c r="O168" s="78"/>
      <c r="S168" s="148"/>
      <c r="T168"/>
      <c r="U168"/>
    </row>
    <row r="169" spans="1:21" x14ac:dyDescent="0.2">
      <c r="A169" s="73"/>
      <c r="B169" s="73"/>
      <c r="C169" s="74"/>
      <c r="D169" s="75"/>
      <c r="E169" s="85"/>
      <c r="F169" s="161"/>
      <c r="G169" s="76"/>
      <c r="H169" s="87"/>
      <c r="I169" s="75"/>
      <c r="J169" s="75"/>
      <c r="K169" s="75"/>
      <c r="L169" s="88"/>
      <c r="M169" s="77"/>
      <c r="N169" s="77"/>
      <c r="O169" s="78"/>
      <c r="S169" s="148"/>
      <c r="T169"/>
      <c r="U169"/>
    </row>
    <row r="170" spans="1:21" x14ac:dyDescent="0.2">
      <c r="A170" s="73"/>
      <c r="B170" s="73"/>
      <c r="C170" s="74"/>
      <c r="D170" s="75"/>
      <c r="E170" s="85"/>
      <c r="F170" s="161"/>
      <c r="G170" s="76"/>
      <c r="H170" s="87"/>
      <c r="I170" s="75"/>
      <c r="J170" s="75"/>
      <c r="K170" s="75"/>
      <c r="L170" s="88"/>
      <c r="M170" s="77"/>
      <c r="N170" s="77"/>
      <c r="O170" s="78"/>
      <c r="S170" s="148"/>
      <c r="T170"/>
      <c r="U170"/>
    </row>
    <row r="171" spans="1:21" x14ac:dyDescent="0.2">
      <c r="A171" s="73"/>
      <c r="B171" s="73"/>
      <c r="C171" s="74"/>
      <c r="D171" s="75"/>
      <c r="E171" s="85"/>
      <c r="F171" s="161"/>
      <c r="G171" s="76"/>
      <c r="H171" s="87"/>
      <c r="I171" s="75"/>
      <c r="J171" s="75"/>
      <c r="K171" s="75"/>
      <c r="L171" s="88"/>
      <c r="M171" s="77"/>
      <c r="N171" s="77"/>
      <c r="O171" s="78"/>
      <c r="S171" s="148"/>
      <c r="T171"/>
      <c r="U171"/>
    </row>
    <row r="172" spans="1:21" x14ac:dyDescent="0.2">
      <c r="A172" s="73"/>
      <c r="B172" s="73"/>
      <c r="C172" s="74"/>
      <c r="D172" s="75"/>
      <c r="E172" s="85"/>
      <c r="F172" s="161"/>
      <c r="G172" s="76"/>
      <c r="H172" s="87"/>
      <c r="I172" s="75"/>
      <c r="J172" s="75"/>
      <c r="K172" s="75"/>
      <c r="L172" s="88"/>
      <c r="M172" s="77"/>
      <c r="N172" s="77"/>
      <c r="O172" s="78"/>
      <c r="S172" s="148"/>
      <c r="T172"/>
      <c r="U172"/>
    </row>
    <row r="173" spans="1:21" x14ac:dyDescent="0.2">
      <c r="A173" s="73"/>
      <c r="B173" s="73"/>
      <c r="C173" s="74"/>
      <c r="D173" s="75"/>
      <c r="E173" s="85"/>
      <c r="F173" s="161"/>
      <c r="G173" s="76"/>
      <c r="H173" s="87"/>
      <c r="I173" s="75"/>
      <c r="J173" s="75"/>
      <c r="K173" s="75"/>
      <c r="L173" s="88"/>
      <c r="M173" s="77"/>
      <c r="N173" s="77"/>
      <c r="O173" s="78"/>
      <c r="S173" s="148"/>
      <c r="T173"/>
      <c r="U173"/>
    </row>
    <row r="174" spans="1:21" x14ac:dyDescent="0.2">
      <c r="A174" s="73"/>
      <c r="B174" s="73"/>
      <c r="C174" s="74"/>
      <c r="D174" s="75"/>
      <c r="E174" s="85"/>
      <c r="F174" s="161"/>
      <c r="G174" s="76"/>
      <c r="H174" s="87"/>
      <c r="I174" s="75"/>
      <c r="J174" s="75"/>
      <c r="K174" s="75"/>
      <c r="L174" s="88"/>
      <c r="M174" s="77"/>
      <c r="N174" s="77"/>
      <c r="O174" s="78"/>
      <c r="S174" s="148"/>
      <c r="T174"/>
      <c r="U174"/>
    </row>
    <row r="175" spans="1:21" x14ac:dyDescent="0.2">
      <c r="A175" s="73"/>
      <c r="B175" s="73"/>
      <c r="C175" s="74"/>
      <c r="D175" s="75"/>
      <c r="E175" s="85"/>
      <c r="F175" s="161"/>
      <c r="G175" s="76"/>
      <c r="H175" s="87"/>
      <c r="I175" s="75"/>
      <c r="J175" s="75"/>
      <c r="K175" s="75"/>
      <c r="L175" s="88"/>
      <c r="M175" s="77"/>
      <c r="N175" s="77"/>
      <c r="O175" s="78"/>
      <c r="S175" s="148"/>
      <c r="T175"/>
      <c r="U175"/>
    </row>
    <row r="176" spans="1:21" x14ac:dyDescent="0.2">
      <c r="A176" s="73"/>
      <c r="B176" s="73"/>
      <c r="C176" s="74"/>
      <c r="D176" s="75"/>
      <c r="E176" s="85"/>
      <c r="F176" s="161"/>
      <c r="G176" s="76"/>
      <c r="H176" s="87"/>
      <c r="I176" s="75"/>
      <c r="J176" s="75"/>
      <c r="K176" s="75"/>
      <c r="L176" s="88"/>
      <c r="M176" s="77"/>
      <c r="N176" s="77"/>
      <c r="O176" s="78"/>
      <c r="S176" s="148"/>
      <c r="T176"/>
      <c r="U176"/>
    </row>
    <row r="177" spans="1:21" x14ac:dyDescent="0.2">
      <c r="A177" s="73"/>
      <c r="B177" s="73"/>
      <c r="C177" s="74"/>
      <c r="D177" s="75"/>
      <c r="E177" s="85"/>
      <c r="F177" s="161"/>
      <c r="G177" s="76"/>
      <c r="H177" s="87"/>
      <c r="I177" s="75"/>
      <c r="J177" s="75"/>
      <c r="K177" s="75"/>
      <c r="L177" s="88"/>
      <c r="M177" s="77"/>
      <c r="N177" s="77"/>
      <c r="O177" s="78"/>
      <c r="S177" s="148"/>
      <c r="T177"/>
      <c r="U177"/>
    </row>
    <row r="178" spans="1:21" x14ac:dyDescent="0.2">
      <c r="A178" s="73"/>
      <c r="B178" s="73"/>
      <c r="C178" s="74"/>
      <c r="D178" s="75"/>
      <c r="E178" s="85"/>
      <c r="F178" s="161"/>
      <c r="G178" s="76"/>
      <c r="H178" s="87"/>
      <c r="I178" s="75"/>
      <c r="J178" s="75"/>
      <c r="K178" s="75"/>
      <c r="L178" s="88"/>
      <c r="M178" s="77"/>
      <c r="N178" s="77"/>
      <c r="O178" s="78"/>
      <c r="S178" s="148"/>
      <c r="T178"/>
      <c r="U178"/>
    </row>
    <row r="179" spans="1:21" x14ac:dyDescent="0.2">
      <c r="A179" s="73"/>
      <c r="B179" s="73"/>
      <c r="C179" s="74"/>
      <c r="D179" s="75"/>
      <c r="E179" s="85"/>
      <c r="F179" s="161"/>
      <c r="G179" s="76"/>
      <c r="H179" s="87"/>
      <c r="I179" s="75"/>
      <c r="J179" s="75"/>
      <c r="K179" s="75"/>
      <c r="L179" s="88"/>
      <c r="M179" s="77"/>
      <c r="N179" s="77"/>
      <c r="O179" s="78"/>
      <c r="S179" s="148"/>
      <c r="T179"/>
      <c r="U179"/>
    </row>
    <row r="180" spans="1:21" x14ac:dyDescent="0.2">
      <c r="A180" s="73"/>
      <c r="B180" s="73"/>
      <c r="C180" s="74"/>
      <c r="D180" s="75"/>
      <c r="E180" s="85"/>
      <c r="F180" s="161"/>
      <c r="G180" s="76"/>
      <c r="H180" s="87"/>
      <c r="I180" s="75"/>
      <c r="J180" s="75"/>
      <c r="K180" s="75"/>
      <c r="L180" s="88"/>
      <c r="M180" s="77"/>
      <c r="N180" s="77"/>
      <c r="O180" s="78"/>
      <c r="S180" s="148"/>
      <c r="T180"/>
      <c r="U180"/>
    </row>
    <row r="181" spans="1:21" x14ac:dyDescent="0.2">
      <c r="A181" s="73"/>
      <c r="B181" s="73"/>
      <c r="C181" s="74"/>
      <c r="D181" s="75"/>
      <c r="E181" s="85"/>
      <c r="F181" s="161"/>
      <c r="G181" s="76"/>
      <c r="H181" s="87"/>
      <c r="I181" s="75"/>
      <c r="J181" s="75"/>
      <c r="K181" s="75"/>
      <c r="L181" s="88"/>
      <c r="M181" s="77"/>
      <c r="N181" s="77"/>
      <c r="O181" s="78"/>
      <c r="S181" s="148"/>
      <c r="T181"/>
      <c r="U181"/>
    </row>
    <row r="182" spans="1:21" x14ac:dyDescent="0.2">
      <c r="A182" s="73"/>
      <c r="B182" s="73"/>
      <c r="C182" s="74"/>
      <c r="D182" s="75"/>
      <c r="E182" s="85"/>
      <c r="F182" s="161"/>
      <c r="G182" s="76"/>
      <c r="H182" s="87"/>
      <c r="I182" s="75"/>
      <c r="J182" s="75"/>
      <c r="K182" s="75"/>
      <c r="L182" s="88"/>
      <c r="M182" s="77"/>
      <c r="N182" s="77"/>
      <c r="O182" s="78"/>
      <c r="S182" s="148"/>
      <c r="T182"/>
      <c r="U182"/>
    </row>
    <row r="183" spans="1:21" x14ac:dyDescent="0.2">
      <c r="A183" s="73"/>
      <c r="B183" s="73"/>
      <c r="C183" s="74"/>
      <c r="D183" s="75"/>
      <c r="E183" s="85"/>
      <c r="F183" s="161"/>
      <c r="G183" s="76"/>
      <c r="H183" s="87"/>
      <c r="I183" s="75"/>
      <c r="J183" s="75"/>
      <c r="K183" s="75"/>
      <c r="L183" s="88"/>
      <c r="M183" s="77"/>
      <c r="N183" s="77"/>
      <c r="O183" s="78"/>
      <c r="S183" s="148"/>
      <c r="T183"/>
      <c r="U183"/>
    </row>
    <row r="184" spans="1:21" x14ac:dyDescent="0.2">
      <c r="A184" s="73"/>
      <c r="B184" s="73"/>
      <c r="C184" s="74"/>
      <c r="D184" s="75"/>
      <c r="E184" s="85"/>
      <c r="F184" s="161"/>
      <c r="G184" s="76"/>
      <c r="H184" s="87"/>
      <c r="I184" s="75"/>
      <c r="J184" s="75"/>
      <c r="K184" s="75"/>
      <c r="L184" s="88"/>
      <c r="M184" s="77"/>
      <c r="N184" s="77"/>
      <c r="O184" s="78"/>
      <c r="S184" s="148"/>
      <c r="T184"/>
      <c r="U184"/>
    </row>
    <row r="185" spans="1:21" x14ac:dyDescent="0.2">
      <c r="A185" s="73"/>
      <c r="B185" s="73"/>
      <c r="C185" s="74"/>
      <c r="D185" s="75"/>
      <c r="E185" s="85"/>
      <c r="F185" s="161"/>
      <c r="G185" s="76"/>
      <c r="H185" s="87"/>
      <c r="I185" s="75"/>
      <c r="J185" s="75"/>
      <c r="K185" s="75"/>
      <c r="L185" s="88"/>
      <c r="M185" s="77"/>
      <c r="N185" s="77"/>
      <c r="O185" s="78"/>
      <c r="S185" s="148"/>
      <c r="T185"/>
      <c r="U185"/>
    </row>
    <row r="186" spans="1:21" x14ac:dyDescent="0.2">
      <c r="A186" s="73"/>
      <c r="B186" s="73"/>
      <c r="C186" s="74"/>
      <c r="D186" s="75"/>
      <c r="E186" s="85"/>
      <c r="F186" s="161"/>
      <c r="G186" s="76"/>
      <c r="H186" s="87"/>
      <c r="I186" s="75"/>
      <c r="J186" s="75"/>
      <c r="K186" s="75"/>
      <c r="L186" s="88"/>
      <c r="M186" s="77"/>
      <c r="N186" s="77"/>
      <c r="O186" s="78"/>
      <c r="S186" s="148"/>
      <c r="T186"/>
      <c r="U186"/>
    </row>
    <row r="187" spans="1:21" x14ac:dyDescent="0.2">
      <c r="A187" s="73"/>
      <c r="B187" s="73"/>
      <c r="C187" s="74"/>
      <c r="D187" s="75"/>
      <c r="E187" s="85"/>
      <c r="F187" s="161"/>
      <c r="G187" s="76"/>
      <c r="H187" s="87"/>
      <c r="I187" s="75"/>
      <c r="J187" s="75"/>
      <c r="K187" s="75"/>
      <c r="L187" s="88"/>
      <c r="M187" s="77"/>
      <c r="N187" s="77"/>
      <c r="O187" s="78"/>
      <c r="S187" s="148"/>
      <c r="T187"/>
      <c r="U187"/>
    </row>
    <row r="188" spans="1:21" x14ac:dyDescent="0.2">
      <c r="A188" s="73"/>
      <c r="B188" s="73"/>
      <c r="C188" s="74"/>
      <c r="D188" s="75"/>
      <c r="E188" s="85"/>
      <c r="F188" s="161"/>
      <c r="G188" s="76"/>
      <c r="H188" s="87"/>
      <c r="I188" s="75"/>
      <c r="J188" s="75"/>
      <c r="K188" s="75"/>
      <c r="L188" s="88"/>
      <c r="M188" s="77"/>
      <c r="N188" s="77"/>
      <c r="O188" s="78"/>
      <c r="S188" s="148"/>
      <c r="T188"/>
      <c r="U188"/>
    </row>
    <row r="189" spans="1:21" x14ac:dyDescent="0.2">
      <c r="A189" s="73"/>
      <c r="B189" s="73"/>
      <c r="C189" s="74"/>
      <c r="D189" s="75"/>
      <c r="E189" s="85"/>
      <c r="F189" s="161"/>
      <c r="G189" s="76"/>
      <c r="H189" s="87"/>
      <c r="I189" s="75"/>
      <c r="J189" s="75"/>
      <c r="K189" s="75"/>
      <c r="L189" s="88"/>
      <c r="M189" s="77"/>
      <c r="N189" s="77"/>
      <c r="O189" s="78"/>
      <c r="S189" s="148"/>
      <c r="T189"/>
      <c r="U189"/>
    </row>
    <row r="190" spans="1:21" x14ac:dyDescent="0.2">
      <c r="A190" s="73"/>
      <c r="B190" s="73"/>
      <c r="C190" s="74"/>
      <c r="D190" s="75"/>
      <c r="E190" s="85"/>
      <c r="F190" s="161"/>
      <c r="G190" s="76"/>
      <c r="H190" s="87"/>
      <c r="I190" s="75"/>
      <c r="J190" s="75"/>
      <c r="K190" s="75"/>
      <c r="L190" s="88"/>
      <c r="M190" s="77"/>
      <c r="N190" s="77"/>
      <c r="O190" s="78"/>
      <c r="S190" s="148"/>
      <c r="T190"/>
      <c r="U190"/>
    </row>
    <row r="191" spans="1:21" x14ac:dyDescent="0.2">
      <c r="A191" s="73"/>
      <c r="B191" s="73"/>
      <c r="C191" s="74"/>
      <c r="D191" s="75"/>
      <c r="E191" s="85"/>
      <c r="F191" s="161"/>
      <c r="G191" s="76"/>
      <c r="H191" s="87"/>
      <c r="I191" s="75"/>
      <c r="J191" s="75"/>
      <c r="K191" s="75"/>
      <c r="L191" s="88"/>
      <c r="M191" s="77"/>
      <c r="N191" s="77"/>
      <c r="O191" s="78"/>
      <c r="S191" s="148"/>
      <c r="T191"/>
      <c r="U191"/>
    </row>
    <row r="192" spans="1:21" x14ac:dyDescent="0.2">
      <c r="A192" s="73"/>
      <c r="B192" s="73"/>
      <c r="C192" s="74"/>
      <c r="D192" s="75"/>
      <c r="E192" s="85"/>
      <c r="F192" s="161"/>
      <c r="G192" s="76"/>
      <c r="H192" s="87"/>
      <c r="I192" s="75"/>
      <c r="J192" s="75"/>
      <c r="K192" s="75"/>
      <c r="L192" s="88"/>
      <c r="M192" s="77"/>
      <c r="N192" s="77"/>
      <c r="O192" s="78"/>
      <c r="S192" s="148"/>
      <c r="T192"/>
      <c r="U192"/>
    </row>
    <row r="193" spans="1:21" x14ac:dyDescent="0.2">
      <c r="A193" s="73"/>
      <c r="B193" s="73"/>
      <c r="C193" s="74"/>
      <c r="D193" s="75"/>
      <c r="E193" s="85"/>
      <c r="F193" s="161"/>
      <c r="G193" s="76"/>
      <c r="H193" s="87"/>
      <c r="I193" s="75"/>
      <c r="J193" s="75"/>
      <c r="K193" s="75"/>
      <c r="L193" s="88"/>
      <c r="M193" s="77"/>
      <c r="N193" s="77"/>
      <c r="O193" s="78"/>
      <c r="S193" s="148"/>
      <c r="T193"/>
      <c r="U193"/>
    </row>
    <row r="194" spans="1:21" x14ac:dyDescent="0.2">
      <c r="A194" s="73"/>
      <c r="B194" s="73"/>
      <c r="C194" s="74"/>
      <c r="D194" s="75"/>
      <c r="E194" s="85"/>
      <c r="F194" s="161"/>
      <c r="G194" s="76"/>
      <c r="H194" s="87"/>
      <c r="I194" s="75"/>
      <c r="J194" s="75"/>
      <c r="K194" s="75"/>
      <c r="L194" s="88"/>
      <c r="M194" s="77"/>
      <c r="N194" s="77"/>
      <c r="O194" s="78"/>
      <c r="S194" s="148"/>
      <c r="T194"/>
      <c r="U194"/>
    </row>
    <row r="195" spans="1:21" x14ac:dyDescent="0.2">
      <c r="A195" s="73"/>
      <c r="B195" s="73"/>
      <c r="C195" s="74"/>
      <c r="D195" s="75"/>
      <c r="E195" s="85"/>
      <c r="F195" s="161"/>
      <c r="G195" s="76"/>
      <c r="H195" s="87"/>
      <c r="I195" s="75"/>
      <c r="J195" s="75"/>
      <c r="K195" s="75"/>
      <c r="L195" s="88"/>
      <c r="M195" s="77"/>
      <c r="N195" s="77"/>
      <c r="O195" s="78"/>
      <c r="S195" s="148"/>
      <c r="T195"/>
      <c r="U195"/>
    </row>
    <row r="196" spans="1:21" x14ac:dyDescent="0.2">
      <c r="A196" s="73"/>
      <c r="B196" s="73"/>
      <c r="C196" s="74"/>
      <c r="D196" s="75"/>
      <c r="E196" s="85"/>
      <c r="F196" s="161"/>
      <c r="G196" s="76"/>
      <c r="H196" s="87"/>
      <c r="I196" s="75"/>
      <c r="J196" s="75"/>
      <c r="K196" s="75"/>
      <c r="L196" s="88"/>
      <c r="M196" s="77"/>
      <c r="N196" s="77"/>
      <c r="O196" s="78"/>
      <c r="S196" s="148"/>
      <c r="T196"/>
      <c r="U196"/>
    </row>
    <row r="197" spans="1:21" x14ac:dyDescent="0.2">
      <c r="A197" s="73"/>
      <c r="B197" s="73"/>
      <c r="C197" s="74"/>
      <c r="D197" s="75"/>
      <c r="E197" s="85"/>
      <c r="F197" s="161"/>
      <c r="G197" s="76"/>
      <c r="H197" s="87"/>
      <c r="I197" s="75"/>
      <c r="J197" s="75"/>
      <c r="K197" s="75"/>
      <c r="L197" s="88"/>
      <c r="M197" s="77"/>
      <c r="N197" s="77"/>
      <c r="O197" s="78"/>
      <c r="S197" s="148"/>
      <c r="T197"/>
      <c r="U197"/>
    </row>
    <row r="198" spans="1:21" x14ac:dyDescent="0.2">
      <c r="A198" s="73"/>
      <c r="B198" s="73"/>
      <c r="C198" s="74"/>
      <c r="D198" s="75"/>
      <c r="E198" s="85"/>
      <c r="F198" s="161"/>
      <c r="G198" s="76"/>
      <c r="H198" s="87"/>
      <c r="I198" s="75"/>
      <c r="J198" s="75"/>
      <c r="K198" s="75"/>
      <c r="L198" s="88"/>
      <c r="M198" s="77"/>
      <c r="N198" s="77"/>
      <c r="O198" s="78"/>
      <c r="S198" s="148"/>
      <c r="T198"/>
      <c r="U198"/>
    </row>
    <row r="199" spans="1:21" x14ac:dyDescent="0.2">
      <c r="A199" s="73"/>
      <c r="B199" s="73"/>
      <c r="C199" s="74"/>
      <c r="D199" s="75"/>
      <c r="E199" s="85"/>
      <c r="F199" s="161"/>
      <c r="G199" s="76"/>
      <c r="H199" s="87"/>
      <c r="I199" s="75"/>
      <c r="J199" s="75"/>
      <c r="K199" s="75"/>
      <c r="L199" s="88"/>
      <c r="M199" s="77"/>
      <c r="N199" s="77"/>
      <c r="O199" s="78"/>
      <c r="S199" s="148"/>
      <c r="T199"/>
      <c r="U199"/>
    </row>
    <row r="200" spans="1:21" x14ac:dyDescent="0.2">
      <c r="A200" s="73"/>
      <c r="B200" s="73"/>
      <c r="C200" s="74"/>
      <c r="D200" s="75"/>
      <c r="E200" s="85"/>
      <c r="F200" s="161"/>
      <c r="G200" s="76"/>
      <c r="H200" s="87"/>
      <c r="I200" s="75"/>
      <c r="J200" s="75"/>
      <c r="K200" s="75"/>
      <c r="L200" s="88"/>
      <c r="M200" s="77"/>
      <c r="N200" s="77"/>
      <c r="O200" s="78"/>
      <c r="S200" s="148"/>
      <c r="T200"/>
      <c r="U200"/>
    </row>
    <row r="201" spans="1:21" x14ac:dyDescent="0.2">
      <c r="A201" s="73"/>
      <c r="B201" s="73"/>
      <c r="C201" s="74"/>
      <c r="D201" s="75"/>
      <c r="E201" s="85"/>
      <c r="F201" s="161"/>
      <c r="G201" s="76"/>
      <c r="H201" s="87"/>
      <c r="I201" s="75"/>
      <c r="J201" s="75"/>
      <c r="K201" s="75"/>
      <c r="L201" s="88"/>
      <c r="M201" s="77"/>
      <c r="N201" s="77"/>
      <c r="O201" s="78"/>
      <c r="S201" s="148"/>
      <c r="T201"/>
      <c r="U201"/>
    </row>
    <row r="202" spans="1:21" x14ac:dyDescent="0.2">
      <c r="A202" s="73"/>
      <c r="B202" s="73"/>
      <c r="C202" s="74"/>
      <c r="D202" s="75"/>
      <c r="E202" s="85"/>
      <c r="F202" s="161"/>
      <c r="G202" s="76"/>
      <c r="H202" s="87"/>
      <c r="I202" s="75"/>
      <c r="J202" s="75"/>
      <c r="K202" s="75"/>
      <c r="L202" s="88"/>
      <c r="M202" s="77"/>
      <c r="N202" s="77"/>
      <c r="O202" s="78"/>
      <c r="S202" s="148"/>
      <c r="T202"/>
      <c r="U202"/>
    </row>
    <row r="203" spans="1:21" x14ac:dyDescent="0.2">
      <c r="A203" s="73"/>
      <c r="B203" s="73"/>
      <c r="C203" s="74"/>
      <c r="D203" s="75"/>
      <c r="E203" s="85"/>
      <c r="F203" s="161"/>
      <c r="G203" s="76"/>
      <c r="H203" s="87"/>
      <c r="I203" s="75"/>
      <c r="J203" s="75"/>
      <c r="K203" s="75"/>
      <c r="L203" s="88"/>
      <c r="M203" s="77"/>
      <c r="N203" s="77"/>
      <c r="O203" s="78"/>
      <c r="S203" s="148"/>
      <c r="T203"/>
      <c r="U203"/>
    </row>
    <row r="204" spans="1:21" x14ac:dyDescent="0.2">
      <c r="A204" s="73"/>
      <c r="B204" s="73"/>
      <c r="C204" s="74"/>
      <c r="D204" s="75"/>
      <c r="E204" s="85"/>
      <c r="F204" s="161"/>
      <c r="G204" s="76"/>
      <c r="H204" s="87"/>
      <c r="I204" s="75"/>
      <c r="J204" s="75"/>
      <c r="K204" s="75"/>
      <c r="L204" s="88"/>
      <c r="M204" s="77"/>
      <c r="N204" s="77"/>
      <c r="O204" s="78"/>
      <c r="S204" s="148"/>
      <c r="T204"/>
      <c r="U204"/>
    </row>
    <row r="205" spans="1:21" x14ac:dyDescent="0.2">
      <c r="A205" s="73"/>
      <c r="B205" s="73"/>
      <c r="C205" s="74"/>
      <c r="D205" s="75"/>
      <c r="E205" s="85"/>
      <c r="F205" s="161"/>
      <c r="G205" s="76"/>
      <c r="H205" s="87"/>
      <c r="I205" s="75"/>
      <c r="J205" s="75"/>
      <c r="K205" s="75"/>
      <c r="L205" s="88"/>
      <c r="M205" s="77"/>
      <c r="N205" s="77"/>
      <c r="O205" s="78"/>
      <c r="S205" s="148"/>
      <c r="T205"/>
      <c r="U205"/>
    </row>
    <row r="206" spans="1:21" x14ac:dyDescent="0.2">
      <c r="A206" s="73"/>
      <c r="B206" s="73"/>
      <c r="C206" s="74"/>
      <c r="D206" s="75"/>
      <c r="E206" s="85"/>
      <c r="F206" s="161"/>
      <c r="G206" s="76"/>
      <c r="H206" s="87"/>
      <c r="I206" s="75"/>
      <c r="J206" s="75"/>
      <c r="K206" s="75"/>
      <c r="L206" s="88"/>
      <c r="M206" s="77"/>
      <c r="N206" s="77"/>
      <c r="O206" s="78"/>
      <c r="S206" s="148"/>
      <c r="T206"/>
      <c r="U206"/>
    </row>
    <row r="207" spans="1:21" x14ac:dyDescent="0.2">
      <c r="A207" s="73"/>
      <c r="B207" s="73"/>
      <c r="C207" s="74"/>
      <c r="D207" s="75"/>
      <c r="E207" s="85"/>
      <c r="F207" s="161"/>
      <c r="G207" s="76"/>
      <c r="H207" s="87"/>
      <c r="I207" s="75"/>
      <c r="J207" s="75"/>
      <c r="K207" s="75"/>
      <c r="L207" s="88"/>
      <c r="M207" s="77"/>
      <c r="N207" s="77"/>
      <c r="O207" s="78"/>
      <c r="S207" s="148"/>
      <c r="T207"/>
      <c r="U207"/>
    </row>
    <row r="208" spans="1:21" x14ac:dyDescent="0.2">
      <c r="A208" s="73"/>
      <c r="B208" s="73"/>
      <c r="C208" s="74"/>
      <c r="D208" s="75"/>
      <c r="E208" s="85"/>
      <c r="F208" s="161"/>
      <c r="G208" s="76"/>
      <c r="H208" s="87"/>
      <c r="I208" s="75"/>
      <c r="J208" s="75"/>
      <c r="K208" s="75"/>
      <c r="L208" s="88"/>
      <c r="M208" s="77"/>
      <c r="N208" s="77"/>
      <c r="O208" s="78"/>
      <c r="S208" s="148"/>
      <c r="T208"/>
      <c r="U208"/>
    </row>
    <row r="209" spans="1:21" x14ac:dyDescent="0.2">
      <c r="A209" s="73"/>
      <c r="B209" s="73"/>
      <c r="C209" s="74"/>
      <c r="D209" s="75"/>
      <c r="E209" s="85"/>
      <c r="F209" s="161"/>
      <c r="G209" s="76"/>
      <c r="H209" s="87"/>
      <c r="I209" s="75"/>
      <c r="J209" s="75"/>
      <c r="K209" s="75"/>
      <c r="L209" s="88"/>
      <c r="M209" s="77"/>
      <c r="N209" s="77"/>
      <c r="O209" s="78"/>
      <c r="S209" s="148"/>
      <c r="T209"/>
      <c r="U209"/>
    </row>
    <row r="210" spans="1:21" x14ac:dyDescent="0.2">
      <c r="A210" s="73"/>
      <c r="B210" s="73"/>
      <c r="C210" s="74"/>
      <c r="D210" s="75"/>
      <c r="E210" s="85"/>
      <c r="F210" s="161"/>
      <c r="G210" s="76"/>
      <c r="H210" s="87"/>
      <c r="I210" s="75"/>
      <c r="J210" s="75"/>
      <c r="K210" s="75"/>
      <c r="L210" s="88"/>
      <c r="M210" s="77"/>
      <c r="N210" s="77"/>
      <c r="O210" s="78"/>
      <c r="S210" s="148"/>
      <c r="T210"/>
      <c r="U210"/>
    </row>
    <row r="211" spans="1:21" x14ac:dyDescent="0.2">
      <c r="A211" s="73"/>
      <c r="B211" s="73"/>
      <c r="C211" s="74"/>
      <c r="D211" s="75"/>
      <c r="E211" s="85"/>
      <c r="F211" s="161"/>
      <c r="G211" s="76"/>
      <c r="H211" s="87"/>
      <c r="I211" s="75"/>
      <c r="J211" s="75"/>
      <c r="K211" s="75"/>
      <c r="L211" s="88"/>
      <c r="M211" s="77"/>
      <c r="N211" s="77"/>
      <c r="O211" s="78"/>
      <c r="S211" s="148"/>
      <c r="T211"/>
      <c r="U211"/>
    </row>
    <row r="212" spans="1:21" x14ac:dyDescent="0.2">
      <c r="A212" s="73"/>
      <c r="B212" s="73"/>
      <c r="C212" s="74"/>
      <c r="D212" s="75"/>
      <c r="E212" s="85"/>
      <c r="F212" s="161"/>
      <c r="G212" s="76"/>
      <c r="H212" s="87"/>
      <c r="I212" s="75"/>
      <c r="J212" s="75"/>
      <c r="K212" s="75"/>
      <c r="L212" s="88"/>
      <c r="M212" s="77"/>
      <c r="N212" s="77"/>
      <c r="O212" s="78"/>
      <c r="S212" s="148"/>
      <c r="T212"/>
      <c r="U212"/>
    </row>
    <row r="213" spans="1:21" x14ac:dyDescent="0.2">
      <c r="A213" s="73"/>
      <c r="B213" s="73"/>
      <c r="C213" s="74"/>
      <c r="D213" s="75"/>
      <c r="E213" s="85"/>
      <c r="F213" s="161"/>
      <c r="G213" s="76"/>
      <c r="H213" s="87"/>
      <c r="I213" s="75"/>
      <c r="J213" s="75"/>
      <c r="K213" s="75"/>
      <c r="L213" s="88"/>
      <c r="M213" s="77"/>
      <c r="N213" s="77"/>
      <c r="O213" s="78"/>
      <c r="S213" s="148"/>
      <c r="T213"/>
      <c r="U213"/>
    </row>
    <row r="214" spans="1:21" x14ac:dyDescent="0.2">
      <c r="A214" s="73"/>
      <c r="B214" s="73"/>
      <c r="C214" s="74"/>
      <c r="D214" s="75"/>
      <c r="E214" s="85"/>
      <c r="F214" s="161"/>
      <c r="G214" s="76"/>
      <c r="H214" s="87"/>
      <c r="I214" s="75"/>
      <c r="J214" s="75"/>
      <c r="K214" s="75"/>
      <c r="L214" s="88"/>
      <c r="M214" s="77"/>
      <c r="N214" s="77"/>
      <c r="O214" s="78"/>
      <c r="S214" s="148"/>
      <c r="T214"/>
      <c r="U214"/>
    </row>
    <row r="215" spans="1:21" x14ac:dyDescent="0.2">
      <c r="A215" s="73"/>
      <c r="B215" s="73"/>
      <c r="C215" s="74"/>
      <c r="D215" s="75"/>
      <c r="E215" s="85"/>
      <c r="F215" s="161"/>
      <c r="G215" s="76"/>
      <c r="H215" s="87"/>
      <c r="I215" s="75"/>
      <c r="J215" s="75"/>
      <c r="K215" s="75"/>
      <c r="L215" s="88"/>
      <c r="M215" s="77"/>
      <c r="N215" s="77"/>
      <c r="O215" s="78"/>
      <c r="S215" s="148"/>
      <c r="T215"/>
      <c r="U215"/>
    </row>
    <row r="216" spans="1:21" x14ac:dyDescent="0.2">
      <c r="A216" s="73"/>
      <c r="B216" s="73"/>
      <c r="C216" s="74"/>
      <c r="D216" s="75"/>
      <c r="E216" s="85"/>
      <c r="F216" s="161"/>
      <c r="G216" s="76"/>
      <c r="H216" s="87"/>
      <c r="I216" s="75"/>
      <c r="J216" s="75"/>
      <c r="K216" s="75"/>
      <c r="L216" s="88"/>
      <c r="M216" s="77"/>
      <c r="N216" s="77"/>
      <c r="O216" s="78"/>
      <c r="S216" s="148"/>
      <c r="T216"/>
      <c r="U216"/>
    </row>
    <row r="217" spans="1:21" x14ac:dyDescent="0.2">
      <c r="A217" s="73"/>
      <c r="B217" s="73"/>
      <c r="C217" s="74"/>
      <c r="D217" s="75"/>
      <c r="E217" s="85"/>
      <c r="F217" s="161"/>
      <c r="G217" s="76"/>
      <c r="H217" s="87"/>
      <c r="I217" s="75"/>
      <c r="J217" s="75"/>
      <c r="K217" s="75"/>
      <c r="L217" s="88"/>
      <c r="M217" s="77"/>
      <c r="N217" s="77"/>
      <c r="O217" s="78"/>
      <c r="S217" s="148"/>
      <c r="T217"/>
      <c r="U217"/>
    </row>
    <row r="218" spans="1:21" x14ac:dyDescent="0.2">
      <c r="A218" s="73"/>
      <c r="B218" s="73"/>
      <c r="C218" s="74"/>
      <c r="D218" s="75"/>
      <c r="E218" s="85"/>
      <c r="F218" s="161"/>
      <c r="G218" s="76"/>
      <c r="H218" s="87"/>
      <c r="I218" s="75"/>
      <c r="J218" s="75"/>
      <c r="K218" s="75"/>
      <c r="L218" s="88"/>
      <c r="M218" s="77"/>
      <c r="N218" s="77"/>
      <c r="O218" s="78"/>
      <c r="S218" s="148"/>
      <c r="T218"/>
      <c r="U218"/>
    </row>
    <row r="219" spans="1:21" x14ac:dyDescent="0.2">
      <c r="A219" s="73"/>
      <c r="B219" s="73"/>
      <c r="C219" s="74"/>
      <c r="D219" s="75"/>
      <c r="E219" s="85"/>
      <c r="F219" s="161"/>
      <c r="G219" s="76"/>
      <c r="H219" s="87"/>
      <c r="I219" s="75"/>
      <c r="J219" s="75"/>
      <c r="K219" s="75"/>
      <c r="L219" s="88"/>
      <c r="M219" s="77"/>
      <c r="N219" s="77"/>
      <c r="O219" s="78"/>
      <c r="S219" s="148"/>
      <c r="T219"/>
      <c r="U219"/>
    </row>
    <row r="220" spans="1:21" x14ac:dyDescent="0.2">
      <c r="A220" s="73"/>
      <c r="B220" s="73"/>
      <c r="C220" s="74"/>
      <c r="D220" s="75"/>
      <c r="E220" s="85"/>
      <c r="F220" s="161"/>
      <c r="G220" s="76"/>
      <c r="H220" s="87"/>
      <c r="I220" s="75"/>
      <c r="J220" s="75"/>
      <c r="K220" s="75"/>
      <c r="L220" s="88"/>
      <c r="M220" s="77"/>
      <c r="N220" s="77"/>
      <c r="O220" s="78"/>
      <c r="S220" s="148"/>
      <c r="T220"/>
      <c r="U220"/>
    </row>
    <row r="221" spans="1:21" x14ac:dyDescent="0.2">
      <c r="A221" s="73"/>
      <c r="B221" s="73"/>
      <c r="C221" s="74"/>
      <c r="D221" s="75"/>
      <c r="E221" s="85"/>
      <c r="F221" s="161"/>
      <c r="G221" s="76"/>
      <c r="H221" s="87"/>
      <c r="I221" s="75"/>
      <c r="J221" s="75"/>
      <c r="K221" s="75"/>
      <c r="L221" s="88"/>
      <c r="M221" s="77"/>
      <c r="N221" s="77"/>
      <c r="O221" s="78"/>
      <c r="S221" s="148"/>
      <c r="T221"/>
      <c r="U221"/>
    </row>
    <row r="222" spans="1:21" x14ac:dyDescent="0.2">
      <c r="A222" s="73"/>
      <c r="B222" s="73"/>
      <c r="C222" s="74"/>
      <c r="D222" s="75"/>
      <c r="E222" s="85"/>
      <c r="F222" s="161"/>
      <c r="G222" s="76"/>
      <c r="H222" s="87"/>
      <c r="I222" s="75"/>
      <c r="J222" s="75"/>
      <c r="K222" s="75"/>
      <c r="L222" s="88"/>
      <c r="M222" s="77"/>
      <c r="N222" s="77"/>
      <c r="O222" s="78"/>
      <c r="S222" s="148"/>
      <c r="T222"/>
      <c r="U222"/>
    </row>
    <row r="223" spans="1:21" x14ac:dyDescent="0.2">
      <c r="A223" s="73"/>
      <c r="B223" s="73"/>
      <c r="C223" s="74"/>
      <c r="D223" s="75"/>
      <c r="E223" s="85"/>
      <c r="F223" s="161"/>
      <c r="G223" s="76"/>
      <c r="H223" s="87"/>
      <c r="I223" s="75"/>
      <c r="J223" s="75"/>
      <c r="K223" s="75"/>
      <c r="L223" s="88"/>
      <c r="M223" s="77"/>
      <c r="N223" s="77"/>
      <c r="O223" s="78"/>
      <c r="S223" s="148"/>
      <c r="T223"/>
      <c r="U223"/>
    </row>
    <row r="224" spans="1:21" x14ac:dyDescent="0.2">
      <c r="A224" s="73"/>
      <c r="B224" s="73"/>
      <c r="C224" s="74"/>
      <c r="D224" s="75"/>
      <c r="E224" s="85"/>
      <c r="F224" s="161"/>
      <c r="G224" s="76"/>
      <c r="H224" s="87"/>
      <c r="I224" s="75"/>
      <c r="J224" s="75"/>
      <c r="K224" s="75"/>
      <c r="L224" s="88"/>
      <c r="M224" s="77"/>
      <c r="N224" s="77"/>
      <c r="O224" s="78"/>
      <c r="S224" s="148"/>
      <c r="T224"/>
      <c r="U224"/>
    </row>
    <row r="225" spans="1:21" x14ac:dyDescent="0.2">
      <c r="A225" s="73"/>
      <c r="B225" s="73"/>
      <c r="C225" s="74"/>
      <c r="D225" s="75"/>
      <c r="E225" s="85"/>
      <c r="F225" s="161"/>
      <c r="G225" s="76"/>
      <c r="H225" s="87"/>
      <c r="I225" s="75"/>
      <c r="J225" s="75"/>
      <c r="K225" s="75"/>
      <c r="L225" s="88"/>
      <c r="M225" s="77"/>
      <c r="N225" s="77"/>
      <c r="O225" s="78"/>
      <c r="S225" s="148"/>
      <c r="T225"/>
      <c r="U225"/>
    </row>
    <row r="226" spans="1:21" x14ac:dyDescent="0.2">
      <c r="A226" s="73"/>
      <c r="B226" s="73"/>
      <c r="C226" s="74"/>
      <c r="D226" s="75"/>
      <c r="E226" s="85"/>
      <c r="F226" s="161"/>
      <c r="G226" s="76"/>
      <c r="H226" s="87"/>
      <c r="I226" s="75"/>
      <c r="J226" s="75"/>
      <c r="K226" s="75"/>
      <c r="L226" s="88"/>
      <c r="M226" s="77"/>
      <c r="N226" s="77"/>
      <c r="O226" s="78"/>
      <c r="S226" s="148"/>
      <c r="T226"/>
      <c r="U226"/>
    </row>
    <row r="227" spans="1:21" x14ac:dyDescent="0.2">
      <c r="A227" s="73"/>
      <c r="B227" s="73"/>
      <c r="C227" s="74"/>
      <c r="D227" s="75"/>
      <c r="E227" s="85"/>
      <c r="F227" s="161"/>
      <c r="G227" s="76"/>
      <c r="H227" s="87"/>
      <c r="I227" s="75"/>
      <c r="J227" s="75"/>
      <c r="K227" s="75"/>
      <c r="L227" s="88"/>
      <c r="M227" s="77"/>
      <c r="N227" s="77"/>
      <c r="O227" s="78"/>
      <c r="S227" s="148"/>
      <c r="T227"/>
      <c r="U227"/>
    </row>
    <row r="228" spans="1:21" x14ac:dyDescent="0.2">
      <c r="A228" s="73"/>
      <c r="B228" s="73"/>
      <c r="C228" s="74"/>
      <c r="D228" s="75"/>
      <c r="E228" s="85"/>
      <c r="F228" s="161"/>
      <c r="G228" s="76"/>
      <c r="H228" s="87"/>
      <c r="I228" s="75"/>
      <c r="J228" s="75"/>
      <c r="K228" s="75"/>
      <c r="L228" s="88"/>
      <c r="M228" s="77"/>
      <c r="N228" s="77"/>
      <c r="O228" s="78"/>
      <c r="S228" s="148"/>
      <c r="T228"/>
      <c r="U228"/>
    </row>
    <row r="229" spans="1:21" x14ac:dyDescent="0.2">
      <c r="A229" s="73"/>
      <c r="B229" s="73"/>
      <c r="C229" s="74"/>
      <c r="D229" s="75"/>
      <c r="E229" s="85"/>
      <c r="F229" s="161"/>
      <c r="G229" s="76"/>
      <c r="H229" s="87"/>
      <c r="I229" s="75"/>
      <c r="J229" s="75"/>
      <c r="K229" s="75"/>
      <c r="L229" s="88"/>
      <c r="M229" s="77"/>
      <c r="N229" s="77"/>
      <c r="O229" s="78"/>
      <c r="S229" s="148"/>
      <c r="T229"/>
      <c r="U229"/>
    </row>
    <row r="230" spans="1:21" x14ac:dyDescent="0.2">
      <c r="A230" s="73"/>
      <c r="B230" s="73"/>
      <c r="C230" s="74"/>
      <c r="D230" s="75"/>
      <c r="E230" s="85"/>
      <c r="F230" s="161"/>
      <c r="G230" s="76"/>
      <c r="H230" s="87"/>
      <c r="I230" s="75"/>
      <c r="J230" s="75"/>
      <c r="K230" s="75"/>
      <c r="L230" s="88"/>
      <c r="M230" s="77"/>
      <c r="N230" s="77"/>
      <c r="O230" s="78"/>
      <c r="S230" s="148"/>
      <c r="T230"/>
      <c r="U230"/>
    </row>
    <row r="231" spans="1:21" x14ac:dyDescent="0.2">
      <c r="A231" s="73"/>
      <c r="B231" s="73"/>
      <c r="C231" s="74"/>
      <c r="D231" s="75"/>
      <c r="E231" s="85"/>
      <c r="F231" s="161"/>
      <c r="G231" s="76"/>
      <c r="H231" s="87"/>
      <c r="I231" s="75"/>
      <c r="J231" s="75"/>
      <c r="K231" s="75"/>
      <c r="L231" s="88"/>
      <c r="M231" s="77"/>
      <c r="N231" s="77"/>
      <c r="O231" s="78"/>
      <c r="S231" s="148"/>
      <c r="T231"/>
      <c r="U231"/>
    </row>
    <row r="232" spans="1:21" x14ac:dyDescent="0.2">
      <c r="A232" s="73"/>
      <c r="B232" s="73"/>
      <c r="C232" s="74"/>
      <c r="D232" s="75"/>
      <c r="E232" s="85"/>
      <c r="F232" s="161"/>
      <c r="G232" s="76"/>
      <c r="H232" s="87"/>
      <c r="I232" s="75"/>
      <c r="J232" s="75"/>
      <c r="K232" s="75"/>
      <c r="L232" s="88"/>
      <c r="M232" s="77"/>
      <c r="N232" s="77"/>
      <c r="O232" s="78"/>
      <c r="S232" s="148"/>
      <c r="T232"/>
      <c r="U232"/>
    </row>
    <row r="233" spans="1:21" x14ac:dyDescent="0.2">
      <c r="A233" s="73"/>
      <c r="B233" s="73"/>
      <c r="C233" s="74"/>
      <c r="D233" s="75"/>
      <c r="E233" s="85"/>
      <c r="F233" s="161"/>
      <c r="G233" s="76"/>
      <c r="H233" s="87"/>
      <c r="I233" s="75"/>
      <c r="J233" s="75"/>
      <c r="K233" s="75"/>
      <c r="L233" s="88"/>
      <c r="M233" s="77"/>
      <c r="N233" s="77"/>
      <c r="O233" s="78"/>
      <c r="S233" s="148"/>
      <c r="T233"/>
      <c r="U233"/>
    </row>
    <row r="234" spans="1:21" x14ac:dyDescent="0.2">
      <c r="A234" s="73"/>
      <c r="B234" s="73"/>
      <c r="C234" s="74"/>
      <c r="D234" s="75"/>
      <c r="E234" s="85"/>
      <c r="F234" s="161"/>
      <c r="G234" s="76"/>
      <c r="H234" s="87"/>
      <c r="I234" s="75"/>
      <c r="J234" s="75"/>
      <c r="K234" s="75"/>
      <c r="L234" s="88"/>
      <c r="M234" s="77"/>
      <c r="N234" s="77"/>
      <c r="O234" s="78"/>
      <c r="S234" s="148"/>
      <c r="T234"/>
      <c r="U234"/>
    </row>
    <row r="235" spans="1:21" x14ac:dyDescent="0.2">
      <c r="A235" s="73"/>
      <c r="B235" s="73"/>
      <c r="C235" s="74"/>
      <c r="D235" s="75"/>
      <c r="E235" s="85"/>
      <c r="F235" s="161"/>
      <c r="G235" s="76"/>
      <c r="H235" s="87"/>
      <c r="I235" s="75"/>
      <c r="J235" s="75"/>
      <c r="K235" s="75"/>
      <c r="L235" s="88"/>
      <c r="M235" s="77"/>
      <c r="N235" s="77"/>
      <c r="O235" s="78"/>
      <c r="S235" s="148"/>
      <c r="T235"/>
      <c r="U235"/>
    </row>
    <row r="236" spans="1:21" x14ac:dyDescent="0.2">
      <c r="A236" s="73"/>
      <c r="B236" s="73"/>
      <c r="C236" s="74"/>
      <c r="D236" s="75"/>
      <c r="E236" s="85"/>
      <c r="F236" s="161"/>
      <c r="G236" s="76"/>
      <c r="H236" s="87"/>
      <c r="I236" s="75"/>
      <c r="J236" s="75"/>
      <c r="K236" s="75"/>
      <c r="L236" s="88"/>
      <c r="M236" s="77"/>
      <c r="N236" s="77"/>
      <c r="O236" s="78"/>
      <c r="S236" s="148"/>
      <c r="T236"/>
      <c r="U236"/>
    </row>
    <row r="237" spans="1:21" x14ac:dyDescent="0.2">
      <c r="A237" s="73"/>
      <c r="B237" s="73"/>
      <c r="C237" s="74"/>
      <c r="D237" s="75"/>
      <c r="E237" s="85"/>
      <c r="F237" s="161"/>
      <c r="G237" s="76"/>
      <c r="H237" s="87"/>
      <c r="I237" s="75"/>
      <c r="J237" s="75"/>
      <c r="K237" s="75"/>
      <c r="L237" s="88"/>
      <c r="M237" s="77"/>
      <c r="N237" s="77"/>
      <c r="O237" s="78"/>
      <c r="S237" s="148"/>
      <c r="T237"/>
      <c r="U237"/>
    </row>
    <row r="238" spans="1:21" x14ac:dyDescent="0.2">
      <c r="A238" s="73"/>
      <c r="B238" s="73"/>
      <c r="C238" s="74"/>
      <c r="D238" s="75"/>
      <c r="E238" s="85"/>
      <c r="F238" s="161"/>
      <c r="G238" s="76"/>
      <c r="H238" s="87"/>
      <c r="I238" s="75"/>
      <c r="J238" s="75"/>
      <c r="K238" s="75"/>
      <c r="L238" s="88"/>
      <c r="M238" s="77"/>
      <c r="N238" s="77"/>
      <c r="O238" s="78"/>
      <c r="S238" s="148"/>
      <c r="T238"/>
      <c r="U238"/>
    </row>
    <row r="239" spans="1:21" x14ac:dyDescent="0.2">
      <c r="A239" s="73"/>
      <c r="B239" s="73"/>
      <c r="C239" s="74"/>
      <c r="D239" s="75"/>
      <c r="E239" s="85"/>
      <c r="F239" s="161"/>
      <c r="G239" s="76"/>
      <c r="H239" s="87"/>
      <c r="I239" s="75"/>
      <c r="J239" s="75"/>
      <c r="K239" s="75"/>
      <c r="L239" s="88"/>
      <c r="M239" s="77"/>
      <c r="N239" s="77"/>
      <c r="O239" s="78"/>
      <c r="S239" s="148"/>
      <c r="T239"/>
      <c r="U239"/>
    </row>
    <row r="240" spans="1:21" x14ac:dyDescent="0.2">
      <c r="A240" s="73"/>
      <c r="B240" s="73"/>
      <c r="C240" s="74"/>
      <c r="D240" s="75"/>
      <c r="E240" s="85"/>
      <c r="F240" s="161"/>
      <c r="G240" s="76"/>
      <c r="H240" s="87"/>
      <c r="I240" s="75"/>
      <c r="J240" s="75"/>
      <c r="K240" s="75"/>
      <c r="L240" s="88"/>
      <c r="M240" s="77"/>
      <c r="N240" s="77"/>
      <c r="O240" s="78"/>
      <c r="S240" s="148"/>
      <c r="T240"/>
      <c r="U240"/>
    </row>
    <row r="241" spans="1:21" x14ac:dyDescent="0.2">
      <c r="A241" s="73"/>
      <c r="B241" s="73"/>
      <c r="C241" s="74"/>
      <c r="D241" s="75"/>
      <c r="E241" s="85"/>
      <c r="F241" s="161"/>
      <c r="G241" s="76"/>
      <c r="H241" s="87"/>
      <c r="I241" s="75"/>
      <c r="J241" s="75"/>
      <c r="K241" s="75"/>
      <c r="L241" s="88"/>
      <c r="M241" s="77"/>
      <c r="N241" s="77"/>
      <c r="O241" s="78"/>
      <c r="S241" s="148"/>
      <c r="T241"/>
      <c r="U241"/>
    </row>
    <row r="242" spans="1:21" x14ac:dyDescent="0.2">
      <c r="A242" s="73"/>
      <c r="B242" s="73"/>
      <c r="C242" s="74"/>
      <c r="D242" s="75"/>
      <c r="E242" s="85"/>
      <c r="F242" s="161"/>
      <c r="G242" s="76"/>
      <c r="H242" s="87"/>
      <c r="I242" s="75"/>
      <c r="J242" s="75"/>
      <c r="K242" s="75"/>
      <c r="L242" s="88"/>
      <c r="M242" s="77"/>
      <c r="N242" s="77"/>
      <c r="O242" s="78"/>
      <c r="S242" s="148"/>
      <c r="T242"/>
      <c r="U242"/>
    </row>
    <row r="243" spans="1:21" x14ac:dyDescent="0.2">
      <c r="A243" s="73"/>
      <c r="B243" s="73"/>
      <c r="C243" s="74"/>
      <c r="D243" s="75"/>
      <c r="E243" s="85"/>
      <c r="F243" s="161"/>
      <c r="G243" s="76"/>
      <c r="H243" s="87"/>
      <c r="I243" s="75"/>
      <c r="J243" s="75"/>
      <c r="K243" s="75"/>
      <c r="L243" s="88"/>
      <c r="M243" s="77"/>
      <c r="N243" s="77"/>
      <c r="O243" s="78"/>
      <c r="S243" s="148"/>
      <c r="T243"/>
      <c r="U243"/>
    </row>
    <row r="244" spans="1:21" x14ac:dyDescent="0.2">
      <c r="A244" s="73"/>
      <c r="B244" s="73"/>
      <c r="C244" s="74"/>
      <c r="D244" s="75"/>
      <c r="E244" s="85"/>
      <c r="F244" s="161"/>
      <c r="G244" s="76"/>
      <c r="H244" s="87"/>
      <c r="I244" s="75"/>
      <c r="J244" s="75"/>
      <c r="K244" s="75"/>
      <c r="L244" s="88"/>
      <c r="M244" s="77"/>
      <c r="N244" s="77"/>
      <c r="O244" s="78"/>
      <c r="S244" s="148"/>
      <c r="T244"/>
      <c r="U244"/>
    </row>
    <row r="245" spans="1:21" x14ac:dyDescent="0.2">
      <c r="A245" s="73"/>
      <c r="B245" s="73"/>
      <c r="C245" s="74"/>
      <c r="D245" s="75"/>
      <c r="E245" s="85"/>
      <c r="F245" s="161"/>
      <c r="G245" s="76"/>
      <c r="H245" s="87"/>
      <c r="I245" s="75"/>
      <c r="J245" s="75"/>
      <c r="K245" s="75"/>
      <c r="L245" s="88"/>
      <c r="M245" s="77"/>
      <c r="N245" s="77"/>
      <c r="O245" s="78"/>
      <c r="S245" s="148"/>
      <c r="T245"/>
      <c r="U245"/>
    </row>
    <row r="246" spans="1:21" x14ac:dyDescent="0.2">
      <c r="A246" s="73"/>
      <c r="B246" s="73"/>
      <c r="C246" s="74"/>
      <c r="D246" s="75"/>
      <c r="E246" s="85"/>
      <c r="F246" s="161"/>
      <c r="G246" s="76"/>
      <c r="H246" s="87"/>
      <c r="I246" s="75"/>
      <c r="J246" s="75"/>
      <c r="K246" s="75"/>
      <c r="L246" s="88"/>
      <c r="M246" s="77"/>
      <c r="N246" s="77"/>
      <c r="O246" s="78"/>
      <c r="S246" s="148"/>
      <c r="T246"/>
      <c r="U246"/>
    </row>
    <row r="247" spans="1:21" x14ac:dyDescent="0.2">
      <c r="A247" s="73"/>
      <c r="B247" s="73"/>
      <c r="C247" s="74"/>
      <c r="D247" s="75"/>
      <c r="E247" s="85"/>
      <c r="F247" s="161"/>
      <c r="G247" s="76"/>
      <c r="H247" s="87"/>
      <c r="I247" s="75"/>
      <c r="J247" s="75"/>
      <c r="K247" s="75"/>
      <c r="L247" s="88"/>
      <c r="M247" s="77"/>
      <c r="N247" s="77"/>
      <c r="O247" s="78"/>
      <c r="S247" s="148"/>
      <c r="T247"/>
      <c r="U247"/>
    </row>
    <row r="248" spans="1:21" x14ac:dyDescent="0.2">
      <c r="A248" s="73"/>
      <c r="B248" s="73"/>
      <c r="C248" s="74"/>
      <c r="D248" s="75"/>
      <c r="E248" s="85"/>
      <c r="F248" s="161"/>
      <c r="G248" s="76"/>
      <c r="H248" s="87"/>
      <c r="I248" s="75"/>
      <c r="J248" s="75"/>
      <c r="K248" s="75"/>
      <c r="L248" s="88"/>
      <c r="M248" s="77"/>
      <c r="N248" s="77"/>
      <c r="O248" s="78"/>
      <c r="S248" s="148"/>
      <c r="T248"/>
      <c r="U248"/>
    </row>
    <row r="249" spans="1:21" x14ac:dyDescent="0.2">
      <c r="A249" s="73"/>
      <c r="B249" s="73"/>
      <c r="C249" s="74"/>
      <c r="D249" s="75"/>
      <c r="E249" s="85"/>
      <c r="F249" s="161"/>
      <c r="G249" s="76"/>
      <c r="H249" s="87"/>
      <c r="I249" s="75"/>
      <c r="J249" s="75"/>
      <c r="K249" s="75"/>
      <c r="L249" s="88"/>
      <c r="M249" s="77"/>
      <c r="N249" s="77"/>
      <c r="O249" s="78"/>
      <c r="S249" s="148"/>
      <c r="T249"/>
      <c r="U249"/>
    </row>
    <row r="250" spans="1:21" x14ac:dyDescent="0.2">
      <c r="A250" s="73"/>
      <c r="B250" s="73"/>
      <c r="C250" s="74"/>
      <c r="D250" s="75"/>
      <c r="E250" s="85"/>
      <c r="F250" s="161"/>
      <c r="G250" s="76"/>
      <c r="H250" s="87"/>
      <c r="I250" s="75"/>
      <c r="J250" s="75"/>
      <c r="K250" s="75"/>
      <c r="L250" s="88"/>
      <c r="M250" s="77"/>
      <c r="N250" s="77"/>
      <c r="O250" s="78"/>
      <c r="S250" s="148"/>
      <c r="T250"/>
      <c r="U250"/>
    </row>
    <row r="251" spans="1:21" x14ac:dyDescent="0.2">
      <c r="A251" s="73"/>
      <c r="B251" s="73"/>
      <c r="C251" s="74"/>
      <c r="D251" s="75"/>
      <c r="E251" s="85"/>
      <c r="F251" s="161"/>
      <c r="G251" s="76"/>
      <c r="H251" s="87"/>
      <c r="I251" s="75"/>
      <c r="J251" s="75"/>
      <c r="K251" s="75"/>
      <c r="L251" s="88"/>
      <c r="M251" s="77"/>
      <c r="N251" s="77"/>
      <c r="O251" s="78"/>
      <c r="S251" s="148"/>
      <c r="T251"/>
      <c r="U251"/>
    </row>
    <row r="252" spans="1:21" x14ac:dyDescent="0.2">
      <c r="A252" s="73"/>
      <c r="B252" s="73"/>
      <c r="C252" s="74"/>
      <c r="D252" s="75"/>
      <c r="E252" s="85"/>
      <c r="F252" s="161"/>
      <c r="G252" s="76"/>
      <c r="H252" s="87"/>
      <c r="I252" s="75"/>
      <c r="J252" s="75"/>
      <c r="K252" s="75"/>
      <c r="L252" s="88"/>
      <c r="M252" s="77"/>
      <c r="N252" s="77"/>
      <c r="O252" s="78"/>
      <c r="S252" s="148"/>
      <c r="T252"/>
      <c r="U252"/>
    </row>
    <row r="253" spans="1:21" x14ac:dyDescent="0.2">
      <c r="A253" s="73"/>
      <c r="B253" s="73"/>
      <c r="C253" s="74"/>
      <c r="D253" s="75"/>
      <c r="E253" s="85"/>
      <c r="F253" s="161"/>
      <c r="G253" s="76"/>
      <c r="H253" s="87"/>
      <c r="I253" s="75"/>
      <c r="J253" s="75"/>
      <c r="K253" s="75"/>
      <c r="L253" s="88"/>
      <c r="M253" s="77"/>
      <c r="N253" s="77"/>
      <c r="O253" s="78"/>
      <c r="S253" s="148"/>
      <c r="T253"/>
      <c r="U253"/>
    </row>
    <row r="254" spans="1:21" x14ac:dyDescent="0.2">
      <c r="A254" s="73"/>
      <c r="B254" s="73"/>
      <c r="C254" s="74"/>
      <c r="D254" s="75"/>
      <c r="E254" s="85"/>
      <c r="F254" s="161"/>
      <c r="G254" s="76"/>
      <c r="H254" s="87"/>
      <c r="I254" s="75"/>
      <c r="J254" s="75"/>
      <c r="K254" s="75"/>
      <c r="L254" s="88"/>
      <c r="M254" s="77"/>
      <c r="N254" s="77"/>
      <c r="O254" s="78"/>
      <c r="S254" s="148"/>
      <c r="T254"/>
      <c r="U254"/>
    </row>
    <row r="255" spans="1:21" x14ac:dyDescent="0.2">
      <c r="A255" s="73"/>
      <c r="B255" s="73"/>
      <c r="C255" s="74"/>
      <c r="D255" s="75"/>
      <c r="E255" s="85"/>
      <c r="F255" s="161"/>
      <c r="G255" s="76"/>
      <c r="H255" s="87"/>
      <c r="I255" s="75"/>
      <c r="J255" s="75"/>
      <c r="K255" s="75"/>
      <c r="L255" s="88"/>
      <c r="M255" s="77"/>
      <c r="N255" s="77"/>
      <c r="O255" s="78"/>
      <c r="S255" s="148"/>
      <c r="T255"/>
      <c r="U255"/>
    </row>
    <row r="256" spans="1:21" x14ac:dyDescent="0.2">
      <c r="A256" s="73"/>
      <c r="B256" s="73"/>
      <c r="C256" s="74"/>
      <c r="D256" s="75"/>
      <c r="E256" s="85"/>
      <c r="F256" s="161"/>
      <c r="G256" s="76"/>
      <c r="H256" s="87"/>
      <c r="I256" s="75"/>
      <c r="J256" s="75"/>
      <c r="K256" s="75"/>
      <c r="L256" s="88"/>
      <c r="M256" s="77"/>
      <c r="N256" s="77"/>
      <c r="O256" s="78"/>
      <c r="S256" s="148"/>
      <c r="T256"/>
      <c r="U256"/>
    </row>
    <row r="257" spans="1:21" x14ac:dyDescent="0.2">
      <c r="A257" s="73"/>
      <c r="B257" s="73"/>
      <c r="C257" s="74"/>
      <c r="D257" s="75"/>
      <c r="E257" s="85"/>
      <c r="F257" s="161"/>
      <c r="G257" s="76"/>
      <c r="H257" s="87"/>
      <c r="I257" s="75"/>
      <c r="J257" s="75"/>
      <c r="K257" s="75"/>
      <c r="L257" s="88"/>
      <c r="M257" s="77"/>
      <c r="N257" s="77"/>
      <c r="O257" s="78"/>
      <c r="S257" s="148"/>
      <c r="T257"/>
      <c r="U257"/>
    </row>
    <row r="258" spans="1:21" x14ac:dyDescent="0.2">
      <c r="A258" s="73"/>
      <c r="B258" s="73"/>
      <c r="C258" s="74"/>
      <c r="D258" s="75"/>
      <c r="E258" s="85"/>
      <c r="F258" s="161"/>
      <c r="G258" s="76"/>
      <c r="H258" s="87"/>
      <c r="I258" s="75"/>
      <c r="J258" s="75"/>
      <c r="K258" s="75"/>
      <c r="L258" s="88"/>
      <c r="M258" s="77"/>
      <c r="N258" s="77"/>
      <c r="O258" s="78"/>
      <c r="S258" s="148"/>
      <c r="T258"/>
      <c r="U258"/>
    </row>
    <row r="259" spans="1:21" x14ac:dyDescent="0.2">
      <c r="A259" s="73"/>
      <c r="B259" s="73"/>
      <c r="C259" s="74"/>
      <c r="D259" s="75"/>
      <c r="E259" s="85"/>
      <c r="F259" s="161"/>
      <c r="G259" s="76"/>
      <c r="H259" s="87"/>
      <c r="I259" s="75"/>
      <c r="J259" s="75"/>
      <c r="K259" s="75"/>
      <c r="L259" s="88"/>
      <c r="M259" s="77"/>
      <c r="N259" s="77"/>
      <c r="O259" s="78"/>
      <c r="S259" s="148"/>
      <c r="T259"/>
      <c r="U259"/>
    </row>
    <row r="260" spans="1:21" x14ac:dyDescent="0.2">
      <c r="A260" s="73"/>
      <c r="B260" s="73"/>
      <c r="C260" s="74"/>
      <c r="D260" s="75"/>
      <c r="E260" s="85"/>
      <c r="F260" s="161"/>
      <c r="G260" s="76"/>
      <c r="H260" s="87"/>
      <c r="I260" s="75"/>
      <c r="J260" s="75"/>
      <c r="K260" s="75"/>
      <c r="L260" s="88"/>
      <c r="M260" s="77"/>
      <c r="N260" s="77"/>
      <c r="O260" s="78"/>
      <c r="S260" s="148"/>
      <c r="T260"/>
      <c r="U260"/>
    </row>
    <row r="261" spans="1:21" x14ac:dyDescent="0.2">
      <c r="A261" s="73"/>
      <c r="B261" s="73"/>
      <c r="C261" s="74"/>
      <c r="D261" s="75"/>
      <c r="E261" s="85"/>
      <c r="F261" s="161"/>
      <c r="G261" s="76"/>
      <c r="H261" s="87"/>
      <c r="I261" s="75"/>
      <c r="J261" s="75"/>
      <c r="K261" s="75"/>
      <c r="L261" s="88"/>
      <c r="M261" s="77"/>
      <c r="N261" s="77"/>
      <c r="O261" s="78"/>
      <c r="S261" s="148"/>
      <c r="T261"/>
      <c r="U261"/>
    </row>
    <row r="262" spans="1:21" x14ac:dyDescent="0.2">
      <c r="A262" s="73"/>
      <c r="B262" s="73"/>
      <c r="C262" s="74"/>
      <c r="D262" s="75"/>
      <c r="E262" s="85"/>
      <c r="F262" s="161"/>
      <c r="G262" s="76"/>
      <c r="H262" s="87"/>
      <c r="I262" s="75"/>
      <c r="J262" s="75"/>
      <c r="K262" s="75"/>
      <c r="L262" s="88"/>
      <c r="M262" s="77"/>
      <c r="N262" s="77"/>
      <c r="O262" s="78"/>
      <c r="S262" s="148"/>
      <c r="T262"/>
      <c r="U262"/>
    </row>
    <row r="263" spans="1:21" x14ac:dyDescent="0.2">
      <c r="A263" s="73"/>
      <c r="B263" s="73"/>
      <c r="C263" s="74"/>
      <c r="D263" s="75"/>
      <c r="E263" s="85"/>
      <c r="F263" s="161"/>
      <c r="G263" s="76"/>
      <c r="H263" s="87"/>
      <c r="I263" s="75"/>
      <c r="J263" s="75"/>
      <c r="K263" s="75"/>
      <c r="L263" s="88"/>
      <c r="M263" s="77"/>
      <c r="N263" s="77"/>
      <c r="O263" s="78"/>
      <c r="S263" s="148"/>
      <c r="T263"/>
      <c r="U263"/>
    </row>
    <row r="264" spans="1:21" x14ac:dyDescent="0.2">
      <c r="A264" s="73"/>
      <c r="B264" s="73"/>
      <c r="C264" s="74"/>
      <c r="D264" s="75"/>
      <c r="E264" s="85"/>
      <c r="F264" s="161"/>
      <c r="G264" s="76"/>
      <c r="H264" s="87"/>
      <c r="I264" s="75"/>
      <c r="J264" s="75"/>
      <c r="K264" s="75"/>
      <c r="L264" s="88"/>
      <c r="M264" s="77"/>
      <c r="N264" s="77"/>
      <c r="O264" s="78"/>
      <c r="S264" s="148"/>
      <c r="T264"/>
      <c r="U264"/>
    </row>
    <row r="265" spans="1:21" x14ac:dyDescent="0.2">
      <c r="A265" s="73"/>
      <c r="B265" s="73"/>
      <c r="C265" s="74"/>
      <c r="D265" s="75"/>
      <c r="E265" s="85"/>
      <c r="F265" s="161"/>
      <c r="G265" s="76"/>
      <c r="H265" s="87"/>
      <c r="I265" s="75"/>
      <c r="J265" s="75"/>
      <c r="K265" s="75"/>
      <c r="L265" s="88"/>
      <c r="M265" s="77"/>
      <c r="N265" s="77"/>
      <c r="O265" s="78"/>
      <c r="S265" s="148"/>
      <c r="T265"/>
      <c r="U265"/>
    </row>
    <row r="266" spans="1:21" x14ac:dyDescent="0.2">
      <c r="A266" s="73"/>
      <c r="B266" s="73"/>
      <c r="C266" s="74"/>
      <c r="D266" s="75"/>
      <c r="E266" s="85"/>
      <c r="F266" s="161"/>
      <c r="G266" s="76"/>
      <c r="H266" s="87"/>
      <c r="I266" s="75"/>
      <c r="J266" s="75"/>
      <c r="K266" s="75"/>
      <c r="L266" s="88"/>
      <c r="M266" s="77"/>
      <c r="N266" s="77"/>
      <c r="O266" s="78"/>
      <c r="S266" s="148"/>
      <c r="T266"/>
      <c r="U266"/>
    </row>
    <row r="267" spans="1:21" x14ac:dyDescent="0.2">
      <c r="A267" s="73"/>
      <c r="B267" s="73"/>
      <c r="C267" s="74"/>
      <c r="D267" s="75"/>
      <c r="E267" s="85"/>
      <c r="F267" s="161"/>
      <c r="G267" s="76"/>
      <c r="H267" s="87"/>
      <c r="I267" s="75"/>
      <c r="J267" s="75"/>
      <c r="K267" s="75"/>
      <c r="L267" s="88"/>
      <c r="M267" s="77"/>
      <c r="N267" s="77"/>
      <c r="O267" s="78"/>
      <c r="S267" s="148"/>
      <c r="T267"/>
      <c r="U267"/>
    </row>
    <row r="268" spans="1:21" x14ac:dyDescent="0.2">
      <c r="A268" s="73"/>
      <c r="B268" s="73"/>
      <c r="C268" s="74"/>
      <c r="D268" s="75"/>
      <c r="E268" s="85"/>
      <c r="F268" s="161"/>
      <c r="G268" s="76"/>
      <c r="H268" s="87"/>
      <c r="I268" s="75"/>
      <c r="J268" s="75"/>
      <c r="K268" s="75"/>
      <c r="L268" s="88"/>
      <c r="M268" s="77"/>
      <c r="N268" s="77"/>
      <c r="O268" s="78"/>
      <c r="S268" s="148"/>
      <c r="T268"/>
      <c r="U268"/>
    </row>
    <row r="269" spans="1:21" x14ac:dyDescent="0.2">
      <c r="A269" s="73"/>
      <c r="B269" s="73"/>
      <c r="C269" s="74"/>
      <c r="D269" s="75"/>
      <c r="E269" s="85"/>
      <c r="F269" s="161"/>
      <c r="G269" s="76"/>
      <c r="H269" s="87"/>
      <c r="I269" s="75"/>
      <c r="J269" s="75"/>
      <c r="K269" s="75"/>
      <c r="L269" s="88"/>
      <c r="M269" s="77"/>
      <c r="N269" s="77"/>
      <c r="O269" s="78"/>
      <c r="S269" s="148"/>
      <c r="T269"/>
      <c r="U269"/>
    </row>
    <row r="270" spans="1:21" x14ac:dyDescent="0.2">
      <c r="A270" s="73"/>
      <c r="B270" s="73"/>
      <c r="C270" s="74"/>
      <c r="D270" s="75"/>
      <c r="E270" s="85"/>
      <c r="F270" s="161"/>
      <c r="G270" s="76"/>
      <c r="H270" s="87"/>
      <c r="I270" s="75"/>
      <c r="J270" s="75"/>
      <c r="K270" s="75"/>
      <c r="L270" s="88"/>
      <c r="M270" s="77"/>
      <c r="N270" s="77"/>
      <c r="O270" s="78"/>
      <c r="S270" s="148"/>
      <c r="T270"/>
      <c r="U270"/>
    </row>
    <row r="271" spans="1:21" x14ac:dyDescent="0.2">
      <c r="A271" s="73"/>
      <c r="B271" s="73"/>
      <c r="C271" s="74"/>
      <c r="D271" s="75"/>
      <c r="E271" s="85"/>
      <c r="F271" s="161"/>
      <c r="G271" s="76"/>
      <c r="H271" s="87"/>
      <c r="I271" s="75"/>
      <c r="J271" s="75"/>
      <c r="K271" s="75"/>
      <c r="L271" s="88"/>
      <c r="M271" s="77"/>
      <c r="N271" s="77"/>
      <c r="O271" s="78"/>
      <c r="S271" s="148"/>
      <c r="T271"/>
      <c r="U271"/>
    </row>
    <row r="272" spans="1:21" x14ac:dyDescent="0.2">
      <c r="A272" s="73"/>
      <c r="B272" s="73"/>
      <c r="C272" s="74"/>
      <c r="D272" s="75"/>
      <c r="E272" s="85"/>
      <c r="F272" s="161"/>
      <c r="G272" s="76"/>
      <c r="H272" s="87"/>
      <c r="I272" s="75"/>
      <c r="J272" s="75"/>
      <c r="K272" s="75"/>
      <c r="L272" s="88"/>
      <c r="M272" s="77"/>
      <c r="N272" s="77"/>
      <c r="O272" s="78"/>
      <c r="S272" s="148"/>
      <c r="T272"/>
      <c r="U272"/>
    </row>
    <row r="273" spans="1:21" x14ac:dyDescent="0.2">
      <c r="A273" s="73"/>
      <c r="B273" s="73"/>
      <c r="C273" s="74"/>
      <c r="D273" s="75"/>
      <c r="E273" s="85"/>
      <c r="F273" s="161"/>
      <c r="G273" s="76"/>
      <c r="H273" s="87"/>
      <c r="I273" s="75"/>
      <c r="J273" s="75"/>
      <c r="K273" s="75"/>
      <c r="L273" s="88"/>
      <c r="M273" s="77"/>
      <c r="N273" s="77"/>
      <c r="O273" s="78"/>
      <c r="S273" s="148"/>
      <c r="T273"/>
      <c r="U273"/>
    </row>
    <row r="274" spans="1:21" x14ac:dyDescent="0.2">
      <c r="A274" s="73"/>
      <c r="B274" s="73"/>
      <c r="C274" s="74"/>
      <c r="D274" s="75"/>
      <c r="E274" s="85"/>
      <c r="F274" s="161"/>
      <c r="G274" s="76"/>
      <c r="H274" s="87"/>
      <c r="I274" s="75"/>
      <c r="J274" s="75"/>
      <c r="K274" s="75"/>
      <c r="L274" s="88"/>
      <c r="M274" s="77"/>
      <c r="N274" s="77"/>
      <c r="O274" s="78"/>
      <c r="S274" s="148"/>
      <c r="T274"/>
      <c r="U274"/>
    </row>
    <row r="275" spans="1:21" x14ac:dyDescent="0.2">
      <c r="A275" s="73"/>
      <c r="B275" s="73"/>
      <c r="C275" s="74"/>
      <c r="D275" s="75"/>
      <c r="E275" s="85"/>
      <c r="F275" s="161"/>
      <c r="G275" s="76"/>
      <c r="H275" s="87"/>
      <c r="I275" s="75"/>
      <c r="J275" s="75"/>
      <c r="K275" s="75"/>
      <c r="L275" s="88"/>
      <c r="M275" s="77"/>
      <c r="N275" s="77"/>
      <c r="O275" s="78"/>
      <c r="S275" s="148"/>
      <c r="T275"/>
      <c r="U275"/>
    </row>
    <row r="276" spans="1:21" x14ac:dyDescent="0.2">
      <c r="A276" s="73"/>
      <c r="B276" s="73"/>
      <c r="C276" s="74"/>
      <c r="D276" s="75"/>
      <c r="E276" s="85"/>
      <c r="F276" s="161"/>
      <c r="G276" s="76"/>
      <c r="H276" s="87"/>
      <c r="I276" s="75"/>
      <c r="J276" s="75"/>
      <c r="K276" s="75"/>
      <c r="L276" s="88"/>
      <c r="M276" s="77"/>
      <c r="N276" s="77"/>
      <c r="O276" s="78"/>
      <c r="S276" s="148"/>
      <c r="T276"/>
      <c r="U276"/>
    </row>
    <row r="277" spans="1:21" x14ac:dyDescent="0.2">
      <c r="A277" s="73"/>
      <c r="B277" s="73"/>
      <c r="C277" s="74"/>
      <c r="D277" s="75"/>
      <c r="E277" s="85"/>
      <c r="F277" s="161"/>
      <c r="G277" s="76"/>
      <c r="H277" s="87"/>
      <c r="I277" s="75"/>
      <c r="J277" s="75"/>
      <c r="K277" s="75"/>
      <c r="L277" s="88"/>
      <c r="M277" s="77"/>
      <c r="N277" s="77"/>
      <c r="O277" s="78"/>
      <c r="S277" s="148"/>
      <c r="T277"/>
      <c r="U277"/>
    </row>
    <row r="278" spans="1:21" x14ac:dyDescent="0.2">
      <c r="A278" s="73"/>
      <c r="B278" s="73"/>
      <c r="C278" s="74"/>
      <c r="D278" s="75"/>
      <c r="E278" s="85"/>
      <c r="F278" s="161"/>
      <c r="G278" s="76"/>
      <c r="H278" s="87"/>
      <c r="I278" s="75"/>
      <c r="J278" s="75"/>
      <c r="K278" s="75"/>
      <c r="L278" s="88"/>
      <c r="M278" s="77"/>
      <c r="N278" s="77"/>
      <c r="O278" s="78"/>
      <c r="S278" s="148"/>
      <c r="T278"/>
      <c r="U278"/>
    </row>
    <row r="279" spans="1:21" x14ac:dyDescent="0.2">
      <c r="A279" s="73"/>
      <c r="B279" s="73"/>
      <c r="C279" s="74"/>
      <c r="D279" s="75"/>
      <c r="E279" s="85"/>
      <c r="F279" s="161"/>
      <c r="G279" s="76"/>
      <c r="H279" s="87"/>
      <c r="I279" s="75"/>
      <c r="J279" s="75"/>
      <c r="K279" s="75"/>
      <c r="L279" s="88"/>
      <c r="M279" s="77"/>
      <c r="N279" s="77"/>
      <c r="O279" s="78"/>
      <c r="S279" s="148"/>
      <c r="T279"/>
      <c r="U279"/>
    </row>
    <row r="280" spans="1:21" x14ac:dyDescent="0.2">
      <c r="A280" s="73"/>
      <c r="B280" s="73"/>
      <c r="C280" s="74"/>
      <c r="D280" s="75"/>
      <c r="E280" s="85"/>
      <c r="F280" s="161"/>
      <c r="G280" s="76"/>
      <c r="H280" s="87"/>
      <c r="I280" s="75"/>
      <c r="J280" s="75"/>
      <c r="K280" s="75"/>
      <c r="L280" s="88"/>
      <c r="M280" s="77"/>
      <c r="N280" s="77"/>
      <c r="O280" s="78"/>
      <c r="S280" s="148"/>
      <c r="T280"/>
      <c r="U280"/>
    </row>
    <row r="281" spans="1:21" x14ac:dyDescent="0.2">
      <c r="A281" s="73"/>
      <c r="B281" s="73"/>
      <c r="C281" s="74"/>
      <c r="D281" s="75"/>
      <c r="E281" s="85"/>
      <c r="F281" s="161"/>
      <c r="G281" s="76"/>
      <c r="H281" s="87"/>
      <c r="I281" s="75"/>
      <c r="J281" s="75"/>
      <c r="K281" s="75"/>
      <c r="L281" s="88"/>
      <c r="M281" s="77"/>
      <c r="N281" s="77"/>
      <c r="O281" s="78"/>
      <c r="S281" s="148"/>
      <c r="T281"/>
      <c r="U281"/>
    </row>
    <row r="282" spans="1:21" x14ac:dyDescent="0.2">
      <c r="A282" s="73"/>
      <c r="B282" s="73"/>
      <c r="C282" s="74"/>
      <c r="D282" s="75"/>
      <c r="E282" s="85"/>
      <c r="F282" s="161"/>
      <c r="G282" s="76"/>
      <c r="H282" s="87"/>
      <c r="I282" s="75"/>
      <c r="J282" s="75"/>
      <c r="K282" s="75"/>
      <c r="L282" s="88"/>
      <c r="M282" s="77"/>
      <c r="N282" s="77"/>
      <c r="O282" s="78"/>
      <c r="S282" s="148"/>
      <c r="T282"/>
      <c r="U282"/>
    </row>
    <row r="283" spans="1:21" x14ac:dyDescent="0.2">
      <c r="A283" s="73"/>
      <c r="B283" s="73"/>
      <c r="C283" s="74"/>
      <c r="D283" s="75"/>
      <c r="E283" s="85"/>
      <c r="F283" s="161"/>
      <c r="G283" s="76"/>
      <c r="H283" s="87"/>
      <c r="I283" s="75"/>
      <c r="J283" s="75"/>
      <c r="K283" s="75"/>
      <c r="L283" s="88"/>
      <c r="M283" s="77"/>
      <c r="N283" s="77"/>
      <c r="O283" s="78"/>
      <c r="S283" s="148"/>
      <c r="T283"/>
      <c r="U283"/>
    </row>
    <row r="284" spans="1:21" x14ac:dyDescent="0.2">
      <c r="A284" s="73"/>
      <c r="B284" s="73"/>
      <c r="C284" s="74"/>
      <c r="D284" s="75"/>
      <c r="E284" s="85"/>
      <c r="F284" s="161"/>
      <c r="G284" s="76"/>
      <c r="H284" s="87"/>
      <c r="I284" s="75"/>
      <c r="J284" s="75"/>
      <c r="K284" s="75"/>
      <c r="L284" s="88"/>
      <c r="M284" s="77"/>
      <c r="N284" s="77"/>
      <c r="O284" s="78"/>
      <c r="S284" s="148"/>
      <c r="T284"/>
      <c r="U284"/>
    </row>
    <row r="285" spans="1:21" x14ac:dyDescent="0.2">
      <c r="A285" s="73"/>
      <c r="B285" s="73"/>
      <c r="C285" s="74"/>
      <c r="D285" s="75"/>
      <c r="E285" s="85"/>
      <c r="F285" s="161"/>
      <c r="G285" s="76"/>
      <c r="H285" s="87"/>
      <c r="I285" s="75"/>
      <c r="J285" s="75"/>
      <c r="K285" s="75"/>
      <c r="L285" s="88"/>
      <c r="M285" s="77"/>
      <c r="N285" s="77"/>
      <c r="O285" s="78"/>
      <c r="S285" s="148"/>
      <c r="T285"/>
      <c r="U285"/>
    </row>
    <row r="286" spans="1:21" x14ac:dyDescent="0.2">
      <c r="A286" s="73"/>
      <c r="B286" s="73"/>
      <c r="C286" s="74"/>
      <c r="D286" s="75"/>
      <c r="E286" s="85"/>
      <c r="F286" s="161"/>
      <c r="G286" s="76"/>
      <c r="H286" s="87"/>
      <c r="I286" s="75"/>
      <c r="J286" s="75"/>
      <c r="K286" s="75"/>
      <c r="L286" s="88"/>
      <c r="M286" s="77"/>
      <c r="N286" s="77"/>
      <c r="O286" s="78"/>
      <c r="S286" s="148"/>
      <c r="T286"/>
      <c r="U286"/>
    </row>
    <row r="287" spans="1:21" x14ac:dyDescent="0.2">
      <c r="A287" s="73"/>
      <c r="B287" s="73"/>
      <c r="C287" s="74"/>
      <c r="D287" s="75"/>
      <c r="E287" s="85"/>
      <c r="F287" s="161"/>
      <c r="G287" s="76"/>
      <c r="H287" s="87"/>
      <c r="I287" s="75"/>
      <c r="J287" s="75"/>
      <c r="K287" s="75"/>
      <c r="L287" s="88"/>
      <c r="M287" s="77"/>
      <c r="N287" s="77"/>
      <c r="O287" s="78"/>
      <c r="S287" s="148"/>
      <c r="T287"/>
      <c r="U287"/>
    </row>
    <row r="288" spans="1:21" x14ac:dyDescent="0.2">
      <c r="A288" s="73"/>
      <c r="B288" s="73"/>
      <c r="C288" s="74"/>
      <c r="D288" s="75"/>
      <c r="E288" s="85"/>
      <c r="F288" s="161"/>
      <c r="G288" s="76"/>
      <c r="H288" s="87"/>
      <c r="I288" s="75"/>
      <c r="J288" s="75"/>
      <c r="K288" s="75"/>
      <c r="L288" s="88"/>
      <c r="M288" s="77"/>
      <c r="N288" s="77"/>
      <c r="O288" s="78"/>
      <c r="S288" s="148"/>
      <c r="T288"/>
      <c r="U288"/>
    </row>
    <row r="289" spans="1:21" x14ac:dyDescent="0.2">
      <c r="A289" s="73"/>
      <c r="B289" s="73"/>
      <c r="C289" s="74"/>
      <c r="D289" s="75"/>
      <c r="E289" s="85"/>
      <c r="F289" s="161"/>
      <c r="G289" s="76"/>
      <c r="H289" s="87"/>
      <c r="I289" s="75"/>
      <c r="J289" s="75"/>
      <c r="K289" s="75"/>
      <c r="L289" s="88"/>
      <c r="M289" s="77"/>
      <c r="N289" s="77"/>
      <c r="O289" s="78"/>
      <c r="S289" s="148"/>
      <c r="T289"/>
      <c r="U289"/>
    </row>
    <row r="290" spans="1:21" x14ac:dyDescent="0.2">
      <c r="A290" s="73"/>
      <c r="B290" s="73"/>
      <c r="C290" s="74"/>
      <c r="D290" s="75"/>
      <c r="E290" s="85"/>
      <c r="F290" s="161"/>
      <c r="G290" s="76"/>
      <c r="H290" s="87"/>
      <c r="I290" s="75"/>
      <c r="J290" s="75"/>
      <c r="K290" s="75"/>
      <c r="L290" s="88"/>
      <c r="M290" s="77"/>
      <c r="N290" s="77"/>
      <c r="O290" s="78"/>
      <c r="S290" s="148"/>
      <c r="T290"/>
      <c r="U290"/>
    </row>
    <row r="291" spans="1:21" x14ac:dyDescent="0.2">
      <c r="A291" s="73"/>
      <c r="B291" s="73"/>
      <c r="C291" s="74"/>
      <c r="D291" s="75"/>
      <c r="E291" s="85"/>
      <c r="F291" s="161"/>
      <c r="G291" s="76"/>
      <c r="H291" s="87"/>
      <c r="I291" s="75"/>
      <c r="J291" s="75"/>
      <c r="K291" s="75"/>
      <c r="L291" s="88"/>
      <c r="M291" s="77"/>
      <c r="N291" s="77"/>
      <c r="O291" s="78"/>
      <c r="S291" s="148"/>
      <c r="T291"/>
      <c r="U291"/>
    </row>
    <row r="292" spans="1:21" x14ac:dyDescent="0.2">
      <c r="A292" s="73"/>
      <c r="B292" s="73"/>
      <c r="C292" s="74"/>
      <c r="D292" s="75"/>
      <c r="E292" s="85"/>
      <c r="F292" s="161"/>
      <c r="G292" s="76"/>
      <c r="H292" s="87"/>
      <c r="I292" s="75"/>
      <c r="J292" s="75"/>
      <c r="K292" s="75"/>
      <c r="L292" s="88"/>
      <c r="M292" s="77"/>
      <c r="N292" s="77"/>
      <c r="O292" s="78"/>
      <c r="S292" s="148"/>
      <c r="T292"/>
      <c r="U292"/>
    </row>
    <row r="293" spans="1:21" x14ac:dyDescent="0.2">
      <c r="A293" s="73"/>
      <c r="B293" s="73"/>
      <c r="C293" s="74"/>
      <c r="D293" s="75"/>
      <c r="E293" s="85"/>
      <c r="F293" s="161"/>
      <c r="G293" s="76"/>
      <c r="H293" s="87"/>
      <c r="I293" s="75"/>
      <c r="J293" s="75"/>
      <c r="K293" s="75"/>
      <c r="L293" s="88"/>
      <c r="M293" s="77"/>
      <c r="N293" s="77"/>
      <c r="O293" s="78"/>
      <c r="S293" s="148"/>
      <c r="T293"/>
      <c r="U293"/>
    </row>
    <row r="294" spans="1:21" x14ac:dyDescent="0.2">
      <c r="A294" s="73"/>
      <c r="B294" s="73"/>
      <c r="C294" s="74"/>
      <c r="D294" s="75"/>
      <c r="E294" s="85"/>
      <c r="F294" s="161"/>
      <c r="G294" s="76"/>
      <c r="H294" s="87"/>
      <c r="I294" s="75"/>
      <c r="J294" s="75"/>
      <c r="K294" s="75"/>
      <c r="L294" s="88"/>
      <c r="M294" s="77"/>
      <c r="N294" s="77"/>
      <c r="O294" s="78"/>
      <c r="S294" s="148"/>
      <c r="T294"/>
      <c r="U294"/>
    </row>
    <row r="295" spans="1:21" x14ac:dyDescent="0.2">
      <c r="A295" s="73"/>
      <c r="B295" s="73"/>
      <c r="C295" s="74"/>
      <c r="D295" s="75"/>
      <c r="E295" s="85"/>
      <c r="F295" s="161"/>
      <c r="G295" s="76"/>
      <c r="H295" s="87"/>
      <c r="I295" s="75"/>
      <c r="J295" s="75"/>
      <c r="K295" s="75"/>
      <c r="L295" s="88"/>
      <c r="M295" s="77"/>
      <c r="N295" s="77"/>
      <c r="O295" s="78"/>
      <c r="S295" s="148"/>
      <c r="T295"/>
      <c r="U295"/>
    </row>
    <row r="296" spans="1:21" x14ac:dyDescent="0.2">
      <c r="A296" s="73"/>
      <c r="B296" s="73"/>
      <c r="C296" s="74"/>
      <c r="D296" s="75"/>
      <c r="E296" s="85"/>
      <c r="F296" s="161"/>
      <c r="G296" s="76"/>
      <c r="H296" s="87"/>
      <c r="I296" s="75"/>
      <c r="J296" s="75"/>
      <c r="K296" s="75"/>
      <c r="L296" s="88"/>
      <c r="M296" s="77"/>
      <c r="N296" s="77"/>
      <c r="O296" s="78"/>
      <c r="S296" s="148"/>
      <c r="T296"/>
      <c r="U296"/>
    </row>
    <row r="297" spans="1:21" x14ac:dyDescent="0.2">
      <c r="A297" s="73"/>
      <c r="B297" s="73"/>
      <c r="C297" s="74"/>
      <c r="D297" s="75"/>
      <c r="E297" s="85"/>
      <c r="F297" s="161"/>
      <c r="G297" s="76"/>
      <c r="H297" s="87"/>
      <c r="I297" s="75"/>
      <c r="J297" s="75"/>
      <c r="K297" s="75"/>
      <c r="L297" s="88"/>
      <c r="M297" s="77"/>
      <c r="N297" s="77"/>
      <c r="O297" s="78"/>
      <c r="S297" s="148"/>
      <c r="T297"/>
      <c r="U297"/>
    </row>
    <row r="298" spans="1:21" x14ac:dyDescent="0.2">
      <c r="A298" s="73"/>
      <c r="B298" s="73"/>
      <c r="C298" s="74"/>
      <c r="D298" s="75"/>
      <c r="E298" s="85"/>
      <c r="F298" s="161"/>
      <c r="G298" s="76"/>
      <c r="H298" s="87"/>
      <c r="I298" s="75"/>
      <c r="J298" s="75"/>
      <c r="K298" s="75"/>
      <c r="L298" s="88"/>
      <c r="M298" s="77"/>
      <c r="N298" s="77"/>
      <c r="O298" s="78"/>
      <c r="S298" s="148"/>
      <c r="T298"/>
      <c r="U298"/>
    </row>
    <row r="299" spans="1:21" x14ac:dyDescent="0.2">
      <c r="A299" s="73"/>
      <c r="B299" s="73"/>
      <c r="C299" s="74"/>
      <c r="D299" s="75"/>
      <c r="E299" s="85"/>
      <c r="F299" s="161"/>
      <c r="G299" s="76"/>
      <c r="H299" s="87"/>
      <c r="I299" s="75"/>
      <c r="J299" s="75"/>
      <c r="K299" s="75"/>
      <c r="L299" s="88"/>
      <c r="M299" s="77"/>
      <c r="N299" s="77"/>
      <c r="O299" s="78"/>
      <c r="S299" s="148"/>
      <c r="T299"/>
      <c r="U299"/>
    </row>
    <row r="300" spans="1:21" x14ac:dyDescent="0.2">
      <c r="A300" s="73"/>
      <c r="B300" s="73"/>
      <c r="C300" s="74"/>
      <c r="D300" s="75"/>
      <c r="E300" s="85"/>
      <c r="F300" s="161"/>
      <c r="G300" s="76"/>
      <c r="H300" s="87"/>
      <c r="I300" s="75"/>
      <c r="J300" s="75"/>
      <c r="K300" s="75"/>
      <c r="L300" s="88"/>
      <c r="M300" s="77"/>
      <c r="N300" s="77"/>
      <c r="O300" s="78"/>
      <c r="S300" s="148"/>
      <c r="T300"/>
      <c r="U300"/>
    </row>
    <row r="301" spans="1:21" x14ac:dyDescent="0.2">
      <c r="A301" s="73"/>
      <c r="B301" s="73"/>
      <c r="C301" s="74"/>
      <c r="D301" s="75"/>
      <c r="E301" s="85"/>
      <c r="F301" s="161"/>
      <c r="G301" s="76"/>
      <c r="H301" s="87"/>
      <c r="I301" s="75"/>
      <c r="J301" s="75"/>
      <c r="K301" s="75"/>
      <c r="L301" s="88"/>
      <c r="M301" s="77"/>
      <c r="N301" s="77"/>
      <c r="O301" s="78"/>
      <c r="S301" s="148"/>
      <c r="T301"/>
      <c r="U301"/>
    </row>
    <row r="302" spans="1:21" x14ac:dyDescent="0.2">
      <c r="A302" s="73"/>
      <c r="B302" s="73"/>
      <c r="C302" s="74"/>
      <c r="D302" s="75"/>
      <c r="E302" s="85"/>
      <c r="F302" s="161"/>
      <c r="G302" s="76"/>
      <c r="H302" s="87"/>
      <c r="I302" s="75"/>
      <c r="J302" s="75"/>
      <c r="K302" s="75"/>
      <c r="L302" s="88"/>
      <c r="M302" s="77"/>
      <c r="N302" s="77"/>
      <c r="O302" s="78"/>
      <c r="S302" s="148"/>
      <c r="T302"/>
      <c r="U302"/>
    </row>
    <row r="303" spans="1:21" x14ac:dyDescent="0.2">
      <c r="A303" s="73"/>
      <c r="B303" s="73"/>
      <c r="C303" s="74"/>
      <c r="D303" s="75"/>
      <c r="E303" s="85"/>
      <c r="F303" s="161"/>
      <c r="G303" s="76"/>
      <c r="H303" s="87"/>
      <c r="I303" s="75"/>
      <c r="J303" s="75"/>
      <c r="K303" s="75"/>
      <c r="L303" s="88"/>
      <c r="M303" s="77"/>
      <c r="N303" s="77"/>
      <c r="O303" s="78"/>
      <c r="S303" s="148"/>
      <c r="T303"/>
      <c r="U303"/>
    </row>
    <row r="304" spans="1:21" x14ac:dyDescent="0.2">
      <c r="A304" s="73"/>
      <c r="B304" s="73"/>
      <c r="C304" s="74"/>
      <c r="D304" s="75"/>
      <c r="E304" s="85"/>
      <c r="F304" s="161"/>
      <c r="G304" s="76"/>
      <c r="H304" s="87"/>
      <c r="I304" s="75"/>
      <c r="J304" s="75"/>
      <c r="K304" s="75"/>
      <c r="L304" s="88"/>
      <c r="M304" s="77"/>
      <c r="N304" s="77"/>
      <c r="O304" s="78"/>
      <c r="S304" s="148"/>
      <c r="T304"/>
      <c r="U304"/>
    </row>
    <row r="305" spans="1:21" x14ac:dyDescent="0.2">
      <c r="A305" s="73"/>
      <c r="B305" s="73"/>
      <c r="C305" s="74"/>
      <c r="D305" s="75"/>
      <c r="E305" s="85"/>
      <c r="F305" s="161"/>
      <c r="G305" s="76"/>
      <c r="H305" s="87"/>
      <c r="I305" s="75"/>
      <c r="J305" s="75"/>
      <c r="K305" s="75"/>
      <c r="L305" s="88"/>
      <c r="M305" s="77"/>
      <c r="N305" s="77"/>
      <c r="O305" s="78"/>
      <c r="S305" s="148"/>
      <c r="T305"/>
      <c r="U305"/>
    </row>
    <row r="306" spans="1:21" x14ac:dyDescent="0.2">
      <c r="A306" s="73"/>
      <c r="B306" s="73"/>
      <c r="C306" s="74"/>
      <c r="D306" s="75"/>
      <c r="E306" s="85"/>
      <c r="F306" s="161"/>
      <c r="G306" s="76"/>
      <c r="H306" s="87"/>
      <c r="I306" s="75"/>
      <c r="J306" s="75"/>
      <c r="K306" s="75"/>
      <c r="L306" s="88"/>
      <c r="M306" s="77"/>
      <c r="N306" s="77"/>
      <c r="O306" s="78"/>
      <c r="S306" s="148"/>
      <c r="T306"/>
      <c r="U306"/>
    </row>
    <row r="307" spans="1:21" x14ac:dyDescent="0.2">
      <c r="A307" s="73"/>
      <c r="B307" s="73"/>
      <c r="C307" s="74"/>
      <c r="D307" s="75"/>
      <c r="E307" s="85"/>
      <c r="F307" s="161"/>
      <c r="G307" s="76"/>
      <c r="H307" s="87"/>
      <c r="I307" s="75"/>
      <c r="J307" s="75"/>
      <c r="K307" s="75"/>
      <c r="L307" s="88"/>
      <c r="M307" s="77"/>
      <c r="N307" s="77"/>
      <c r="O307" s="78"/>
      <c r="S307" s="148"/>
      <c r="T307"/>
      <c r="U307"/>
    </row>
    <row r="308" spans="1:21" x14ac:dyDescent="0.2">
      <c r="A308" s="73"/>
      <c r="B308" s="73"/>
      <c r="C308" s="74"/>
      <c r="D308" s="75"/>
      <c r="E308" s="85"/>
      <c r="F308" s="161"/>
      <c r="G308" s="76"/>
      <c r="H308" s="87"/>
      <c r="I308" s="75"/>
      <c r="J308" s="75"/>
      <c r="K308" s="75"/>
      <c r="L308" s="88"/>
      <c r="M308" s="77"/>
      <c r="N308" s="77"/>
      <c r="O308" s="78"/>
      <c r="S308" s="148"/>
      <c r="T308"/>
      <c r="U308"/>
    </row>
    <row r="309" spans="1:21" x14ac:dyDescent="0.2">
      <c r="A309" s="73"/>
      <c r="B309" s="73"/>
      <c r="C309" s="74"/>
      <c r="D309" s="75"/>
      <c r="E309" s="85"/>
      <c r="F309" s="161"/>
      <c r="G309" s="76"/>
      <c r="H309" s="87"/>
      <c r="I309" s="75"/>
      <c r="J309" s="75"/>
      <c r="K309" s="75"/>
      <c r="L309" s="88"/>
      <c r="M309" s="77"/>
      <c r="N309" s="77"/>
      <c r="O309" s="78"/>
      <c r="S309" s="148"/>
      <c r="T309"/>
      <c r="U309"/>
    </row>
    <row r="310" spans="1:21" x14ac:dyDescent="0.2">
      <c r="A310" s="73"/>
      <c r="B310" s="73"/>
      <c r="C310" s="74"/>
      <c r="D310" s="75"/>
      <c r="E310" s="85"/>
      <c r="F310" s="161"/>
      <c r="G310" s="76"/>
      <c r="H310" s="87"/>
      <c r="I310" s="75"/>
      <c r="J310" s="75"/>
      <c r="K310" s="75"/>
      <c r="L310" s="88"/>
      <c r="M310" s="77"/>
      <c r="N310" s="77"/>
      <c r="O310" s="78"/>
      <c r="S310" s="148"/>
      <c r="T310"/>
      <c r="U310"/>
    </row>
    <row r="311" spans="1:21" x14ac:dyDescent="0.2">
      <c r="A311" s="73"/>
      <c r="B311" s="73"/>
      <c r="C311" s="74"/>
      <c r="D311" s="75"/>
      <c r="E311" s="85"/>
      <c r="F311" s="161"/>
      <c r="G311" s="76"/>
      <c r="H311" s="87"/>
      <c r="I311" s="75"/>
      <c r="J311" s="75"/>
      <c r="K311" s="75"/>
      <c r="L311" s="88"/>
      <c r="M311" s="77"/>
      <c r="N311" s="77"/>
      <c r="O311" s="78"/>
      <c r="S311" s="148"/>
      <c r="T311"/>
      <c r="U311"/>
    </row>
    <row r="312" spans="1:21" x14ac:dyDescent="0.2">
      <c r="A312" s="73"/>
      <c r="B312" s="73"/>
      <c r="C312" s="74"/>
      <c r="D312" s="75"/>
      <c r="E312" s="85"/>
      <c r="F312" s="161"/>
      <c r="G312" s="76"/>
      <c r="H312" s="87"/>
      <c r="I312" s="75"/>
      <c r="J312" s="75"/>
      <c r="K312" s="75"/>
      <c r="L312" s="88"/>
      <c r="M312" s="77"/>
      <c r="N312" s="77"/>
      <c r="O312" s="78"/>
      <c r="S312" s="148"/>
      <c r="T312"/>
      <c r="U312"/>
    </row>
    <row r="313" spans="1:21" x14ac:dyDescent="0.2">
      <c r="A313" s="73"/>
      <c r="B313" s="73"/>
      <c r="C313" s="74"/>
      <c r="D313" s="75"/>
      <c r="E313" s="85"/>
      <c r="F313" s="161"/>
      <c r="G313" s="76"/>
      <c r="H313" s="87"/>
      <c r="I313" s="75"/>
      <c r="J313" s="75"/>
      <c r="K313" s="75"/>
      <c r="L313" s="88"/>
      <c r="M313" s="77"/>
      <c r="N313" s="77"/>
      <c r="O313" s="78"/>
      <c r="S313" s="148"/>
      <c r="T313"/>
      <c r="U313"/>
    </row>
    <row r="314" spans="1:21" x14ac:dyDescent="0.2">
      <c r="A314" s="73"/>
      <c r="B314" s="73"/>
      <c r="C314" s="74"/>
      <c r="D314" s="75"/>
      <c r="E314" s="85"/>
      <c r="F314" s="161"/>
      <c r="G314" s="76"/>
      <c r="H314" s="87"/>
      <c r="I314" s="75"/>
      <c r="J314" s="75"/>
      <c r="K314" s="75"/>
      <c r="L314" s="88"/>
      <c r="M314" s="77"/>
      <c r="N314" s="77"/>
      <c r="O314" s="78"/>
      <c r="S314" s="148"/>
      <c r="T314"/>
      <c r="U314"/>
    </row>
    <row r="315" spans="1:21" x14ac:dyDescent="0.2">
      <c r="A315" s="73"/>
      <c r="B315" s="73"/>
      <c r="C315" s="74"/>
      <c r="D315" s="75"/>
      <c r="E315" s="85"/>
      <c r="F315" s="161"/>
      <c r="G315" s="76"/>
      <c r="H315" s="87"/>
      <c r="I315" s="75"/>
      <c r="J315" s="75"/>
      <c r="K315" s="75"/>
      <c r="L315" s="88"/>
      <c r="M315" s="77"/>
      <c r="N315" s="77"/>
      <c r="O315" s="78"/>
      <c r="S315" s="148"/>
      <c r="T315"/>
      <c r="U315"/>
    </row>
    <row r="316" spans="1:21" x14ac:dyDescent="0.2">
      <c r="A316" s="73"/>
      <c r="B316" s="73"/>
      <c r="C316" s="74"/>
      <c r="D316" s="75"/>
      <c r="E316" s="85"/>
      <c r="F316" s="161"/>
      <c r="G316" s="76"/>
      <c r="H316" s="87"/>
      <c r="I316" s="75"/>
      <c r="J316" s="75"/>
      <c r="K316" s="75"/>
      <c r="L316" s="88"/>
      <c r="M316" s="77"/>
      <c r="N316" s="77"/>
      <c r="O316" s="78"/>
      <c r="S316" s="148"/>
      <c r="T316"/>
      <c r="U316"/>
    </row>
    <row r="317" spans="1:21" x14ac:dyDescent="0.2">
      <c r="A317" s="73"/>
      <c r="B317" s="73"/>
      <c r="C317" s="74"/>
      <c r="D317" s="75"/>
      <c r="E317" s="85"/>
      <c r="F317" s="161"/>
      <c r="G317" s="76"/>
      <c r="H317" s="87"/>
      <c r="I317" s="75"/>
      <c r="J317" s="75"/>
      <c r="K317" s="75"/>
      <c r="L317" s="88"/>
      <c r="M317" s="77"/>
      <c r="N317" s="77"/>
      <c r="O317" s="78"/>
      <c r="S317" s="148"/>
      <c r="T317"/>
      <c r="U317"/>
    </row>
    <row r="318" spans="1:21" x14ac:dyDescent="0.2">
      <c r="A318" s="73"/>
      <c r="B318" s="73"/>
      <c r="C318" s="74"/>
      <c r="D318" s="75"/>
      <c r="E318" s="85"/>
      <c r="F318" s="161"/>
      <c r="G318" s="76"/>
      <c r="H318" s="87"/>
      <c r="I318" s="75"/>
      <c r="J318" s="75"/>
      <c r="K318" s="75"/>
      <c r="L318" s="88"/>
      <c r="M318" s="77"/>
      <c r="N318" s="77"/>
      <c r="O318" s="78"/>
      <c r="S318" s="148"/>
      <c r="T318"/>
      <c r="U318"/>
    </row>
    <row r="319" spans="1:21" x14ac:dyDescent="0.2">
      <c r="A319" s="73"/>
      <c r="B319" s="73"/>
      <c r="C319" s="74"/>
      <c r="D319" s="75"/>
      <c r="E319" s="85"/>
      <c r="F319" s="161"/>
      <c r="G319" s="76"/>
      <c r="H319" s="87"/>
      <c r="I319" s="75"/>
      <c r="J319" s="75"/>
      <c r="K319" s="75"/>
      <c r="L319" s="88"/>
      <c r="M319" s="77"/>
      <c r="N319" s="77"/>
      <c r="O319" s="78"/>
      <c r="S319" s="148"/>
      <c r="T319"/>
      <c r="U319"/>
    </row>
    <row r="320" spans="1:21" x14ac:dyDescent="0.2">
      <c r="A320" s="73"/>
      <c r="B320" s="73"/>
      <c r="C320" s="74"/>
      <c r="D320" s="75"/>
      <c r="E320" s="85"/>
      <c r="F320" s="161"/>
      <c r="G320" s="76"/>
      <c r="H320" s="87"/>
      <c r="I320" s="75"/>
      <c r="J320" s="75"/>
      <c r="K320" s="75"/>
      <c r="L320" s="88"/>
      <c r="M320" s="77"/>
      <c r="N320" s="77"/>
      <c r="O320" s="78"/>
      <c r="S320" s="148"/>
      <c r="T320"/>
      <c r="U320"/>
    </row>
    <row r="321" spans="1:21" x14ac:dyDescent="0.2">
      <c r="A321" s="73"/>
      <c r="B321" s="73"/>
      <c r="C321" s="74"/>
      <c r="D321" s="75"/>
      <c r="E321" s="85"/>
      <c r="F321" s="161"/>
      <c r="G321" s="76"/>
      <c r="H321" s="87"/>
      <c r="I321" s="75"/>
      <c r="J321" s="75"/>
      <c r="K321" s="75"/>
      <c r="L321" s="88"/>
      <c r="M321" s="77"/>
      <c r="N321" s="77"/>
      <c r="O321" s="78"/>
      <c r="S321" s="148"/>
      <c r="T321"/>
      <c r="U321"/>
    </row>
    <row r="322" spans="1:21" x14ac:dyDescent="0.2">
      <c r="A322" s="73"/>
      <c r="B322" s="73"/>
      <c r="C322" s="74"/>
      <c r="D322" s="75"/>
      <c r="E322" s="85"/>
      <c r="F322" s="161"/>
      <c r="G322" s="76"/>
      <c r="H322" s="87"/>
      <c r="I322" s="75"/>
      <c r="J322" s="75"/>
      <c r="K322" s="75"/>
      <c r="L322" s="88"/>
      <c r="M322" s="77"/>
      <c r="N322" s="77"/>
      <c r="O322" s="78"/>
      <c r="S322" s="148"/>
      <c r="T322"/>
      <c r="U322"/>
    </row>
    <row r="323" spans="1:21" x14ac:dyDescent="0.2">
      <c r="A323" s="73"/>
      <c r="B323" s="73"/>
      <c r="C323" s="74"/>
      <c r="D323" s="75"/>
      <c r="E323" s="85"/>
      <c r="F323" s="161"/>
      <c r="G323" s="76"/>
      <c r="H323" s="87"/>
      <c r="I323" s="75"/>
      <c r="J323" s="75"/>
      <c r="K323" s="75"/>
      <c r="L323" s="88"/>
      <c r="M323" s="77"/>
      <c r="N323" s="77"/>
      <c r="O323" s="78"/>
      <c r="S323" s="148"/>
      <c r="T323"/>
      <c r="U323"/>
    </row>
    <row r="324" spans="1:21" x14ac:dyDescent="0.2">
      <c r="A324" s="73"/>
      <c r="B324" s="73"/>
      <c r="C324" s="74"/>
      <c r="D324" s="75"/>
      <c r="E324" s="85"/>
      <c r="F324" s="161"/>
      <c r="G324" s="76"/>
      <c r="H324" s="87"/>
      <c r="I324" s="75"/>
      <c r="J324" s="75"/>
      <c r="K324" s="75"/>
      <c r="L324" s="88"/>
      <c r="M324" s="77"/>
      <c r="N324" s="77"/>
      <c r="O324" s="78"/>
      <c r="S324" s="148"/>
      <c r="T324"/>
      <c r="U324"/>
    </row>
    <row r="325" spans="1:21" x14ac:dyDescent="0.2">
      <c r="A325" s="73"/>
      <c r="B325" s="73"/>
      <c r="C325" s="74"/>
      <c r="D325" s="75"/>
      <c r="E325" s="85"/>
      <c r="F325" s="161"/>
      <c r="G325" s="76"/>
      <c r="H325" s="87"/>
      <c r="I325" s="75"/>
      <c r="J325" s="75"/>
      <c r="K325" s="75"/>
      <c r="L325" s="88"/>
      <c r="M325" s="77"/>
      <c r="N325" s="77"/>
      <c r="O325" s="78"/>
      <c r="S325" s="148"/>
      <c r="T325"/>
      <c r="U325"/>
    </row>
    <row r="326" spans="1:21" x14ac:dyDescent="0.2">
      <c r="A326" s="73"/>
      <c r="B326" s="73"/>
      <c r="C326" s="74"/>
      <c r="D326" s="75"/>
      <c r="E326" s="85"/>
      <c r="F326" s="161"/>
      <c r="G326" s="76"/>
      <c r="H326" s="87"/>
      <c r="I326" s="75"/>
      <c r="J326" s="75"/>
      <c r="K326" s="75"/>
      <c r="L326" s="88"/>
      <c r="M326" s="77"/>
      <c r="N326" s="77"/>
      <c r="O326" s="78"/>
      <c r="S326" s="148"/>
      <c r="T326"/>
      <c r="U326"/>
    </row>
    <row r="327" spans="1:21" x14ac:dyDescent="0.2">
      <c r="A327" s="73"/>
      <c r="B327" s="73"/>
      <c r="C327" s="74"/>
      <c r="D327" s="75"/>
      <c r="E327" s="85"/>
      <c r="F327" s="161"/>
      <c r="G327" s="76"/>
      <c r="H327" s="87"/>
      <c r="I327" s="75"/>
      <c r="J327" s="75"/>
      <c r="K327" s="75"/>
      <c r="L327" s="88"/>
      <c r="M327" s="77"/>
      <c r="N327" s="77"/>
      <c r="O327" s="78"/>
      <c r="S327" s="148"/>
      <c r="T327"/>
      <c r="U327"/>
    </row>
    <row r="328" spans="1:21" x14ac:dyDescent="0.2">
      <c r="A328" s="73"/>
      <c r="B328" s="73"/>
      <c r="C328" s="74"/>
      <c r="D328" s="75"/>
      <c r="E328" s="85"/>
      <c r="F328" s="161"/>
      <c r="G328" s="76"/>
      <c r="H328" s="87"/>
      <c r="I328" s="75"/>
      <c r="J328" s="75"/>
      <c r="K328" s="75"/>
      <c r="L328" s="88"/>
      <c r="M328" s="77"/>
      <c r="N328" s="77"/>
      <c r="O328" s="78"/>
      <c r="S328" s="148"/>
      <c r="T328"/>
      <c r="U328"/>
    </row>
    <row r="329" spans="1:21" x14ac:dyDescent="0.2">
      <c r="A329" s="73"/>
      <c r="B329" s="73"/>
      <c r="C329" s="74"/>
      <c r="D329" s="75"/>
      <c r="E329" s="85"/>
      <c r="F329" s="161"/>
      <c r="G329" s="76"/>
      <c r="H329" s="87"/>
      <c r="I329" s="75"/>
      <c r="J329" s="75"/>
      <c r="K329" s="75"/>
      <c r="L329" s="88"/>
      <c r="M329" s="77"/>
      <c r="N329" s="77"/>
      <c r="O329" s="78"/>
      <c r="S329" s="148"/>
      <c r="T329"/>
      <c r="U329"/>
    </row>
    <row r="330" spans="1:21" x14ac:dyDescent="0.2">
      <c r="A330" s="73"/>
      <c r="B330" s="73"/>
      <c r="C330" s="74"/>
      <c r="D330" s="75"/>
      <c r="E330" s="85"/>
      <c r="F330" s="161"/>
      <c r="G330" s="76"/>
      <c r="H330" s="87"/>
      <c r="I330" s="75"/>
      <c r="J330" s="75"/>
      <c r="K330" s="75"/>
      <c r="L330" s="88"/>
      <c r="M330" s="77"/>
      <c r="N330" s="77"/>
      <c r="O330" s="78"/>
      <c r="S330" s="148"/>
      <c r="T330"/>
      <c r="U330"/>
    </row>
    <row r="331" spans="1:21" x14ac:dyDescent="0.2">
      <c r="A331" s="73"/>
      <c r="B331" s="73"/>
      <c r="C331" s="74"/>
      <c r="D331" s="75"/>
      <c r="E331" s="85"/>
      <c r="F331" s="161"/>
      <c r="G331" s="76"/>
      <c r="H331" s="87"/>
      <c r="I331" s="75"/>
      <c r="J331" s="75"/>
      <c r="K331" s="75"/>
      <c r="L331" s="88"/>
      <c r="M331" s="77"/>
      <c r="N331" s="77"/>
      <c r="O331" s="78"/>
      <c r="S331" s="148"/>
      <c r="T331"/>
      <c r="U331"/>
    </row>
    <row r="332" spans="1:21" x14ac:dyDescent="0.2">
      <c r="A332" s="73"/>
      <c r="B332" s="73"/>
      <c r="C332" s="74"/>
      <c r="D332" s="75"/>
      <c r="E332" s="85"/>
      <c r="F332" s="161"/>
      <c r="G332" s="76"/>
      <c r="H332" s="87"/>
      <c r="I332" s="75"/>
      <c r="J332" s="75"/>
      <c r="K332" s="75"/>
      <c r="L332" s="88"/>
      <c r="M332" s="77"/>
      <c r="N332" s="77"/>
      <c r="O332" s="78"/>
      <c r="S332" s="148"/>
      <c r="T332"/>
      <c r="U332"/>
    </row>
    <row r="333" spans="1:21" x14ac:dyDescent="0.2">
      <c r="A333" s="73"/>
      <c r="B333" s="73"/>
      <c r="C333" s="74"/>
      <c r="D333" s="75"/>
      <c r="E333" s="85"/>
      <c r="F333" s="161"/>
      <c r="G333" s="76"/>
      <c r="H333" s="87"/>
      <c r="I333" s="75"/>
      <c r="J333" s="75"/>
      <c r="K333" s="75"/>
      <c r="L333" s="88"/>
      <c r="M333" s="77"/>
      <c r="N333" s="77"/>
      <c r="O333" s="78"/>
      <c r="S333" s="148"/>
      <c r="T333"/>
      <c r="U333"/>
    </row>
    <row r="334" spans="1:21" x14ac:dyDescent="0.2">
      <c r="A334" s="73"/>
      <c r="B334" s="73"/>
      <c r="C334" s="74"/>
      <c r="D334" s="75"/>
      <c r="E334" s="85"/>
      <c r="F334" s="161"/>
      <c r="G334" s="76"/>
      <c r="H334" s="87"/>
      <c r="I334" s="75"/>
      <c r="J334" s="75"/>
      <c r="K334" s="75"/>
      <c r="L334" s="88"/>
      <c r="M334" s="77"/>
      <c r="N334" s="77"/>
      <c r="O334" s="78"/>
      <c r="S334" s="148"/>
      <c r="T334"/>
      <c r="U334"/>
    </row>
    <row r="335" spans="1:21" x14ac:dyDescent="0.2">
      <c r="A335" s="73"/>
      <c r="B335" s="73"/>
      <c r="C335" s="74"/>
      <c r="D335" s="75"/>
      <c r="E335" s="85"/>
      <c r="F335" s="161"/>
      <c r="G335" s="76"/>
      <c r="H335" s="87"/>
      <c r="I335" s="75"/>
      <c r="J335" s="75"/>
      <c r="K335" s="75"/>
      <c r="L335" s="88"/>
      <c r="M335" s="77"/>
      <c r="N335" s="77"/>
      <c r="O335" s="78"/>
      <c r="S335" s="148"/>
      <c r="T335"/>
      <c r="U335"/>
    </row>
    <row r="336" spans="1:21" x14ac:dyDescent="0.2">
      <c r="A336" s="73"/>
      <c r="B336" s="73"/>
      <c r="C336" s="74"/>
      <c r="D336" s="75"/>
      <c r="E336" s="85"/>
      <c r="F336" s="161"/>
      <c r="G336" s="76"/>
      <c r="H336" s="87"/>
      <c r="I336" s="75"/>
      <c r="J336" s="75"/>
      <c r="K336" s="75"/>
      <c r="L336" s="88"/>
      <c r="M336" s="77"/>
      <c r="N336" s="77"/>
      <c r="O336" s="78"/>
      <c r="S336" s="148"/>
      <c r="T336"/>
      <c r="U336"/>
    </row>
    <row r="337" spans="1:21" x14ac:dyDescent="0.2">
      <c r="A337" s="73"/>
      <c r="B337" s="73"/>
      <c r="C337" s="74"/>
      <c r="D337" s="75"/>
      <c r="E337" s="85"/>
      <c r="F337" s="161"/>
      <c r="G337" s="76"/>
      <c r="H337" s="87"/>
      <c r="I337" s="75"/>
      <c r="J337" s="75"/>
      <c r="K337" s="75"/>
      <c r="L337" s="88"/>
      <c r="M337" s="77"/>
      <c r="N337" s="77"/>
      <c r="O337" s="78"/>
      <c r="S337" s="148"/>
      <c r="T337"/>
      <c r="U337"/>
    </row>
    <row r="338" spans="1:21" x14ac:dyDescent="0.2">
      <c r="A338" s="73"/>
      <c r="B338" s="73"/>
      <c r="C338" s="74"/>
      <c r="D338" s="75"/>
      <c r="E338" s="85"/>
      <c r="F338" s="161"/>
      <c r="G338" s="76"/>
      <c r="H338" s="87"/>
      <c r="I338" s="75"/>
      <c r="J338" s="75"/>
      <c r="K338" s="75"/>
      <c r="L338" s="88"/>
      <c r="M338" s="77"/>
      <c r="N338" s="77"/>
      <c r="O338" s="78"/>
      <c r="S338" s="148"/>
      <c r="T338"/>
      <c r="U338"/>
    </row>
    <row r="339" spans="1:21" x14ac:dyDescent="0.2">
      <c r="A339" s="73"/>
      <c r="B339" s="73"/>
      <c r="C339" s="74"/>
      <c r="D339" s="75"/>
      <c r="E339" s="85"/>
      <c r="F339" s="161"/>
      <c r="G339" s="76"/>
      <c r="H339" s="87"/>
      <c r="I339" s="75"/>
      <c r="J339" s="75"/>
      <c r="K339" s="75"/>
      <c r="L339" s="88"/>
      <c r="M339" s="77"/>
      <c r="N339" s="77"/>
      <c r="O339" s="78"/>
      <c r="S339" s="148"/>
      <c r="T339"/>
      <c r="U339"/>
    </row>
    <row r="340" spans="1:21" x14ac:dyDescent="0.2">
      <c r="A340" s="73"/>
      <c r="B340" s="73"/>
      <c r="C340" s="74"/>
      <c r="D340" s="75"/>
      <c r="E340" s="85"/>
      <c r="F340" s="161"/>
      <c r="G340" s="76"/>
      <c r="H340" s="87"/>
      <c r="I340" s="75"/>
      <c r="J340" s="75"/>
      <c r="K340" s="75"/>
      <c r="L340" s="88"/>
      <c r="M340" s="77"/>
      <c r="N340" s="77"/>
      <c r="O340" s="78"/>
      <c r="S340" s="148"/>
      <c r="T340"/>
      <c r="U340"/>
    </row>
    <row r="341" spans="1:21" x14ac:dyDescent="0.2">
      <c r="A341" s="73"/>
      <c r="B341" s="73"/>
      <c r="C341" s="74"/>
      <c r="D341" s="75"/>
      <c r="E341" s="85"/>
      <c r="F341" s="161"/>
      <c r="G341" s="76"/>
      <c r="H341" s="87"/>
      <c r="I341" s="75"/>
      <c r="J341" s="75"/>
      <c r="K341" s="75"/>
      <c r="L341" s="88"/>
      <c r="M341" s="77"/>
      <c r="N341" s="77"/>
      <c r="O341" s="78"/>
      <c r="S341" s="148"/>
      <c r="T341"/>
      <c r="U341"/>
    </row>
    <row r="342" spans="1:21" x14ac:dyDescent="0.2">
      <c r="A342" s="73"/>
      <c r="B342" s="73"/>
      <c r="C342" s="74"/>
      <c r="D342" s="75"/>
      <c r="E342" s="85"/>
      <c r="F342" s="161"/>
      <c r="G342" s="76"/>
      <c r="H342" s="87"/>
      <c r="I342" s="75"/>
      <c r="J342" s="75"/>
      <c r="K342" s="75"/>
      <c r="L342" s="88"/>
      <c r="M342" s="77"/>
      <c r="N342" s="77"/>
      <c r="O342" s="78"/>
      <c r="S342" s="148"/>
      <c r="T342"/>
      <c r="U342"/>
    </row>
    <row r="343" spans="1:21" x14ac:dyDescent="0.2">
      <c r="A343" s="73"/>
      <c r="B343" s="73"/>
      <c r="C343" s="74"/>
      <c r="D343" s="75"/>
      <c r="E343" s="85"/>
      <c r="F343" s="161"/>
      <c r="G343" s="76"/>
      <c r="H343" s="87"/>
      <c r="I343" s="75"/>
      <c r="J343" s="75"/>
      <c r="K343" s="75"/>
      <c r="L343" s="88"/>
      <c r="M343" s="77"/>
      <c r="N343" s="77"/>
      <c r="O343" s="78"/>
      <c r="S343" s="148"/>
      <c r="T343"/>
      <c r="U343"/>
    </row>
    <row r="344" spans="1:21" x14ac:dyDescent="0.2">
      <c r="A344" s="73"/>
      <c r="B344" s="73"/>
      <c r="C344" s="74"/>
      <c r="D344" s="75"/>
      <c r="E344" s="85"/>
      <c r="F344" s="161"/>
      <c r="G344" s="76"/>
      <c r="H344" s="87"/>
      <c r="I344" s="75"/>
      <c r="J344" s="75"/>
      <c r="K344" s="75"/>
      <c r="L344" s="88"/>
      <c r="M344" s="77"/>
      <c r="N344" s="77"/>
      <c r="O344" s="78"/>
      <c r="S344" s="148"/>
      <c r="T344"/>
      <c r="U344"/>
    </row>
    <row r="345" spans="1:21" x14ac:dyDescent="0.2">
      <c r="A345" s="73"/>
      <c r="B345" s="73"/>
      <c r="C345" s="74"/>
      <c r="D345" s="75"/>
      <c r="E345" s="85"/>
      <c r="F345" s="161"/>
      <c r="G345" s="76"/>
      <c r="H345" s="87"/>
      <c r="I345" s="75"/>
      <c r="J345" s="75"/>
      <c r="K345" s="75"/>
      <c r="L345" s="88"/>
      <c r="M345" s="77"/>
      <c r="N345" s="77"/>
      <c r="O345" s="78"/>
      <c r="S345" s="148"/>
      <c r="T345"/>
      <c r="U345"/>
    </row>
    <row r="346" spans="1:21" x14ac:dyDescent="0.2">
      <c r="A346" s="73"/>
      <c r="B346" s="73"/>
      <c r="C346" s="74"/>
      <c r="D346" s="75"/>
      <c r="E346" s="85"/>
      <c r="F346" s="161"/>
      <c r="G346" s="76"/>
      <c r="H346" s="87"/>
      <c r="I346" s="75"/>
      <c r="J346" s="75"/>
      <c r="K346" s="75"/>
      <c r="L346" s="88"/>
      <c r="M346" s="77"/>
      <c r="N346" s="77"/>
      <c r="O346" s="78"/>
      <c r="S346" s="148"/>
      <c r="T346"/>
      <c r="U346"/>
    </row>
    <row r="347" spans="1:21" x14ac:dyDescent="0.2">
      <c r="A347" s="73"/>
      <c r="B347" s="73"/>
      <c r="C347" s="74"/>
      <c r="D347" s="75"/>
      <c r="E347" s="85"/>
      <c r="F347" s="161"/>
      <c r="G347" s="76"/>
      <c r="H347" s="87"/>
      <c r="I347" s="75"/>
      <c r="J347" s="75"/>
      <c r="K347" s="75"/>
      <c r="L347" s="88"/>
      <c r="M347" s="77"/>
      <c r="N347" s="77"/>
      <c r="O347" s="78"/>
      <c r="S347" s="148"/>
      <c r="T347"/>
      <c r="U347"/>
    </row>
    <row r="348" spans="1:21" x14ac:dyDescent="0.2">
      <c r="A348" s="73"/>
      <c r="B348" s="73"/>
      <c r="C348" s="74"/>
      <c r="D348" s="75"/>
      <c r="E348" s="85"/>
      <c r="F348" s="161"/>
      <c r="G348" s="76"/>
      <c r="H348" s="87"/>
      <c r="I348" s="75"/>
      <c r="J348" s="75"/>
      <c r="K348" s="75"/>
      <c r="L348" s="88"/>
      <c r="M348" s="77"/>
      <c r="N348" s="77"/>
      <c r="O348" s="78"/>
      <c r="S348" s="148"/>
      <c r="T348"/>
      <c r="U348"/>
    </row>
    <row r="349" spans="1:21" x14ac:dyDescent="0.2">
      <c r="A349" s="73"/>
      <c r="B349" s="73"/>
      <c r="C349" s="74"/>
      <c r="D349" s="75"/>
      <c r="E349" s="85"/>
      <c r="F349" s="161"/>
      <c r="G349" s="76"/>
      <c r="H349" s="87"/>
      <c r="I349" s="75"/>
      <c r="J349" s="75"/>
      <c r="K349" s="75"/>
      <c r="L349" s="88"/>
      <c r="M349" s="77"/>
      <c r="N349" s="77"/>
      <c r="O349" s="78"/>
      <c r="S349" s="148"/>
      <c r="T349"/>
      <c r="U349"/>
    </row>
    <row r="350" spans="1:21" x14ac:dyDescent="0.2">
      <c r="A350" s="73"/>
      <c r="B350" s="73"/>
      <c r="C350" s="74"/>
      <c r="D350" s="75"/>
      <c r="E350" s="85"/>
      <c r="F350" s="161"/>
      <c r="G350" s="76"/>
      <c r="H350" s="87"/>
      <c r="I350" s="75"/>
      <c r="J350" s="75"/>
      <c r="K350" s="75"/>
      <c r="L350" s="88"/>
      <c r="M350" s="77"/>
      <c r="N350" s="77"/>
      <c r="O350" s="78"/>
      <c r="S350" s="148"/>
      <c r="T350"/>
      <c r="U350"/>
    </row>
    <row r="351" spans="1:21" x14ac:dyDescent="0.2">
      <c r="A351" s="73"/>
      <c r="B351" s="73"/>
      <c r="C351" s="74"/>
      <c r="D351" s="75"/>
      <c r="E351" s="85"/>
      <c r="F351" s="161"/>
      <c r="G351" s="76"/>
      <c r="H351" s="87"/>
      <c r="I351" s="75"/>
      <c r="J351" s="75"/>
      <c r="K351" s="75"/>
      <c r="L351" s="88"/>
      <c r="M351" s="77"/>
      <c r="N351" s="77"/>
      <c r="O351" s="78"/>
      <c r="S351" s="148"/>
      <c r="T351"/>
      <c r="U351"/>
    </row>
    <row r="352" spans="1:21" x14ac:dyDescent="0.2">
      <c r="A352" s="73"/>
      <c r="B352" s="73"/>
      <c r="C352" s="74"/>
      <c r="D352" s="75"/>
      <c r="E352" s="85"/>
      <c r="F352" s="161"/>
      <c r="G352" s="76"/>
      <c r="H352" s="87"/>
      <c r="I352" s="75"/>
      <c r="J352" s="75"/>
      <c r="K352" s="75"/>
      <c r="L352" s="88"/>
      <c r="M352" s="77"/>
      <c r="N352" s="77"/>
      <c r="O352" s="78"/>
      <c r="S352" s="148"/>
      <c r="T352"/>
      <c r="U352"/>
    </row>
    <row r="353" spans="1:21" x14ac:dyDescent="0.2">
      <c r="A353" s="73"/>
      <c r="B353" s="73"/>
      <c r="C353" s="74"/>
      <c r="D353" s="75"/>
      <c r="E353" s="85"/>
      <c r="F353" s="161"/>
      <c r="G353" s="76"/>
      <c r="H353" s="87"/>
      <c r="I353" s="75"/>
      <c r="J353" s="75"/>
      <c r="K353" s="75"/>
      <c r="L353" s="88"/>
      <c r="M353" s="77"/>
      <c r="N353" s="77"/>
      <c r="O353" s="78"/>
      <c r="S353" s="148"/>
      <c r="T353"/>
      <c r="U353"/>
    </row>
    <row r="354" spans="1:21" x14ac:dyDescent="0.2">
      <c r="A354" s="73"/>
      <c r="B354" s="73"/>
      <c r="C354" s="74"/>
      <c r="D354" s="75"/>
      <c r="E354" s="85"/>
      <c r="F354" s="161"/>
      <c r="G354" s="76"/>
      <c r="H354" s="87"/>
      <c r="I354" s="75"/>
      <c r="J354" s="75"/>
      <c r="K354" s="75"/>
      <c r="L354" s="88"/>
      <c r="M354" s="77"/>
      <c r="N354" s="77"/>
      <c r="O354" s="78"/>
      <c r="S354" s="148"/>
      <c r="T354"/>
      <c r="U354"/>
    </row>
    <row r="355" spans="1:21" x14ac:dyDescent="0.2">
      <c r="A355" s="73"/>
      <c r="B355" s="73"/>
      <c r="C355" s="74"/>
      <c r="D355" s="75"/>
      <c r="E355" s="85"/>
      <c r="F355" s="161"/>
      <c r="G355" s="76"/>
      <c r="H355" s="87"/>
      <c r="I355" s="75"/>
      <c r="J355" s="75"/>
      <c r="K355" s="75"/>
      <c r="L355" s="88"/>
      <c r="M355" s="77"/>
      <c r="N355" s="77"/>
      <c r="O355" s="78"/>
      <c r="S355" s="148"/>
      <c r="T355"/>
      <c r="U355"/>
    </row>
    <row r="356" spans="1:21" x14ac:dyDescent="0.2">
      <c r="A356" s="73"/>
      <c r="B356" s="73"/>
      <c r="C356" s="74"/>
      <c r="D356" s="75"/>
      <c r="E356" s="85"/>
      <c r="F356" s="161"/>
      <c r="G356" s="76"/>
      <c r="H356" s="87"/>
      <c r="I356" s="75"/>
      <c r="J356" s="75"/>
      <c r="K356" s="75"/>
      <c r="L356" s="88"/>
      <c r="M356" s="77"/>
      <c r="N356" s="77"/>
      <c r="O356" s="78"/>
      <c r="S356" s="148"/>
      <c r="T356"/>
      <c r="U356"/>
    </row>
    <row r="357" spans="1:21" x14ac:dyDescent="0.2">
      <c r="A357" s="73"/>
      <c r="B357" s="73"/>
      <c r="C357" s="74"/>
      <c r="D357" s="75"/>
      <c r="E357" s="85"/>
      <c r="F357" s="161"/>
      <c r="G357" s="76"/>
      <c r="H357" s="87"/>
      <c r="I357" s="75"/>
      <c r="J357" s="75"/>
      <c r="K357" s="75"/>
      <c r="L357" s="88"/>
      <c r="M357" s="77"/>
      <c r="N357" s="77"/>
      <c r="O357" s="78"/>
      <c r="S357" s="148"/>
      <c r="T357"/>
      <c r="U357"/>
    </row>
    <row r="358" spans="1:21" x14ac:dyDescent="0.2">
      <c r="A358" s="73"/>
      <c r="B358" s="73"/>
      <c r="C358" s="74"/>
      <c r="D358" s="75"/>
      <c r="E358" s="85"/>
      <c r="F358" s="161"/>
      <c r="G358" s="76"/>
      <c r="H358" s="87"/>
      <c r="I358" s="75"/>
      <c r="J358" s="75"/>
      <c r="K358" s="75"/>
      <c r="L358" s="88"/>
      <c r="M358" s="77"/>
      <c r="N358" s="77"/>
      <c r="O358" s="78"/>
      <c r="S358" s="148"/>
      <c r="T358"/>
      <c r="U358"/>
    </row>
    <row r="359" spans="1:21" x14ac:dyDescent="0.2">
      <c r="A359" s="73"/>
      <c r="B359" s="73"/>
      <c r="C359" s="74"/>
      <c r="D359" s="75"/>
      <c r="E359" s="85"/>
      <c r="F359" s="161"/>
      <c r="G359" s="76"/>
      <c r="H359" s="87"/>
      <c r="I359" s="75"/>
      <c r="J359" s="75"/>
      <c r="K359" s="75"/>
      <c r="L359" s="88"/>
      <c r="M359" s="77"/>
      <c r="N359" s="77"/>
      <c r="O359" s="78"/>
      <c r="S359" s="148"/>
      <c r="T359"/>
      <c r="U359"/>
    </row>
    <row r="360" spans="1:21" x14ac:dyDescent="0.2">
      <c r="A360" s="73"/>
      <c r="B360" s="73"/>
      <c r="C360" s="74"/>
      <c r="D360" s="75"/>
      <c r="E360" s="85"/>
      <c r="F360" s="161"/>
      <c r="G360" s="76"/>
      <c r="H360" s="87"/>
      <c r="I360" s="75"/>
      <c r="J360" s="75"/>
      <c r="K360" s="75"/>
      <c r="L360" s="88"/>
      <c r="M360" s="77"/>
      <c r="N360" s="77"/>
      <c r="O360" s="78"/>
      <c r="S360" s="148"/>
      <c r="T360"/>
      <c r="U360"/>
    </row>
    <row r="361" spans="1:21" x14ac:dyDescent="0.2">
      <c r="A361" s="73"/>
      <c r="B361" s="73"/>
      <c r="C361" s="74"/>
      <c r="D361" s="75"/>
      <c r="E361" s="85"/>
      <c r="F361" s="161"/>
      <c r="G361" s="76"/>
      <c r="H361" s="87"/>
      <c r="I361" s="75"/>
      <c r="J361" s="75"/>
      <c r="K361" s="75"/>
      <c r="L361" s="88"/>
      <c r="M361" s="77"/>
      <c r="N361" s="77"/>
      <c r="O361" s="78"/>
      <c r="S361" s="148"/>
      <c r="T361"/>
      <c r="U361"/>
    </row>
    <row r="362" spans="1:21" x14ac:dyDescent="0.2">
      <c r="A362" s="73"/>
      <c r="B362" s="73"/>
      <c r="C362" s="74"/>
      <c r="D362" s="75"/>
      <c r="E362" s="85"/>
      <c r="F362" s="161"/>
      <c r="G362" s="76"/>
      <c r="H362" s="87"/>
      <c r="I362" s="75"/>
      <c r="J362" s="75"/>
      <c r="K362" s="75"/>
      <c r="L362" s="88"/>
      <c r="M362" s="77"/>
      <c r="N362" s="77"/>
      <c r="O362" s="78"/>
      <c r="S362" s="148"/>
      <c r="T362"/>
      <c r="U362"/>
    </row>
    <row r="363" spans="1:21" x14ac:dyDescent="0.2">
      <c r="A363" s="73"/>
      <c r="B363" s="73"/>
      <c r="C363" s="74"/>
      <c r="D363" s="75"/>
      <c r="E363" s="85"/>
      <c r="F363" s="161"/>
      <c r="G363" s="76"/>
      <c r="H363" s="87"/>
      <c r="I363" s="75"/>
      <c r="J363" s="75"/>
      <c r="K363" s="75"/>
      <c r="L363" s="88"/>
      <c r="M363" s="77"/>
      <c r="N363" s="77"/>
      <c r="O363" s="78"/>
      <c r="S363" s="148"/>
      <c r="T363"/>
      <c r="U363"/>
    </row>
    <row r="364" spans="1:21" x14ac:dyDescent="0.2">
      <c r="A364" s="73"/>
      <c r="B364" s="73"/>
      <c r="C364" s="74"/>
      <c r="D364" s="75"/>
      <c r="E364" s="85"/>
      <c r="F364" s="161"/>
      <c r="G364" s="76"/>
      <c r="H364" s="87"/>
      <c r="I364" s="75"/>
      <c r="J364" s="75"/>
      <c r="K364" s="75"/>
      <c r="L364" s="88"/>
      <c r="M364" s="77"/>
      <c r="N364" s="77"/>
      <c r="O364" s="78"/>
      <c r="S364" s="148"/>
      <c r="T364"/>
      <c r="U364"/>
    </row>
    <row r="365" spans="1:21" x14ac:dyDescent="0.2">
      <c r="A365" s="73"/>
      <c r="B365" s="73"/>
      <c r="C365" s="74"/>
      <c r="D365" s="75"/>
      <c r="E365" s="85"/>
      <c r="F365" s="161"/>
      <c r="G365" s="76"/>
      <c r="H365" s="87"/>
      <c r="I365" s="75"/>
      <c r="J365" s="75"/>
      <c r="K365" s="75"/>
      <c r="L365" s="88"/>
      <c r="M365" s="77"/>
      <c r="N365" s="77"/>
      <c r="O365" s="78"/>
      <c r="S365" s="148"/>
      <c r="T365"/>
      <c r="U365"/>
    </row>
    <row r="366" spans="1:21" x14ac:dyDescent="0.2">
      <c r="A366" s="73"/>
      <c r="B366" s="73"/>
      <c r="C366" s="74"/>
      <c r="D366" s="75"/>
      <c r="E366" s="85"/>
      <c r="F366" s="161"/>
      <c r="G366" s="76"/>
      <c r="H366" s="87"/>
      <c r="I366" s="75"/>
      <c r="J366" s="75"/>
      <c r="K366" s="75"/>
      <c r="L366" s="88"/>
      <c r="M366" s="77"/>
      <c r="N366" s="77"/>
      <c r="O366" s="78"/>
      <c r="S366" s="148"/>
      <c r="T366"/>
      <c r="U366"/>
    </row>
    <row r="367" spans="1:21" x14ac:dyDescent="0.2">
      <c r="A367" s="73"/>
      <c r="B367" s="73"/>
      <c r="C367" s="74"/>
      <c r="D367" s="75"/>
      <c r="E367" s="85"/>
      <c r="F367" s="161"/>
      <c r="G367" s="76"/>
      <c r="H367" s="87"/>
      <c r="I367" s="75"/>
      <c r="J367" s="75"/>
      <c r="K367" s="75"/>
      <c r="L367" s="88"/>
      <c r="M367" s="77"/>
      <c r="N367" s="77"/>
      <c r="O367" s="78"/>
      <c r="S367" s="148"/>
      <c r="T367"/>
      <c r="U367"/>
    </row>
    <row r="368" spans="1:21" x14ac:dyDescent="0.2">
      <c r="A368" s="73"/>
      <c r="B368" s="73"/>
      <c r="C368" s="74"/>
      <c r="D368" s="75"/>
      <c r="E368" s="85"/>
      <c r="F368" s="161"/>
      <c r="G368" s="76"/>
      <c r="H368" s="87"/>
      <c r="I368" s="75"/>
      <c r="J368" s="75"/>
      <c r="K368" s="75"/>
      <c r="L368" s="88"/>
      <c r="M368" s="77"/>
      <c r="N368" s="77"/>
      <c r="O368" s="78"/>
      <c r="S368" s="148"/>
      <c r="T368"/>
      <c r="U368"/>
    </row>
    <row r="369" spans="1:21" x14ac:dyDescent="0.2">
      <c r="A369" s="73"/>
      <c r="B369" s="73"/>
      <c r="C369" s="74"/>
      <c r="D369" s="75"/>
      <c r="E369" s="85"/>
      <c r="F369" s="161"/>
      <c r="G369" s="76"/>
      <c r="H369" s="87"/>
      <c r="I369" s="75"/>
      <c r="J369" s="75"/>
      <c r="K369" s="75"/>
      <c r="L369" s="88"/>
      <c r="M369" s="77"/>
      <c r="N369" s="77"/>
      <c r="O369" s="78"/>
      <c r="S369" s="148"/>
      <c r="T369"/>
      <c r="U369"/>
    </row>
    <row r="370" spans="1:21" x14ac:dyDescent="0.2">
      <c r="A370" s="73"/>
      <c r="B370" s="73"/>
      <c r="C370" s="74"/>
      <c r="D370" s="75"/>
      <c r="E370" s="85"/>
      <c r="F370" s="161"/>
      <c r="G370" s="76"/>
      <c r="H370" s="87"/>
      <c r="I370" s="75"/>
      <c r="J370" s="75"/>
      <c r="K370" s="75"/>
      <c r="L370" s="88"/>
      <c r="M370" s="77"/>
      <c r="N370" s="77"/>
      <c r="O370" s="78"/>
      <c r="S370" s="148"/>
      <c r="T370"/>
      <c r="U370"/>
    </row>
    <row r="371" spans="1:21" x14ac:dyDescent="0.2">
      <c r="A371" s="73"/>
      <c r="B371" s="73"/>
      <c r="C371" s="74"/>
      <c r="D371" s="75"/>
      <c r="E371" s="85"/>
      <c r="F371" s="161"/>
      <c r="G371" s="76"/>
      <c r="H371" s="87"/>
      <c r="I371" s="75"/>
      <c r="J371" s="75"/>
      <c r="K371" s="75"/>
      <c r="L371" s="88"/>
      <c r="M371" s="77"/>
      <c r="N371" s="77"/>
      <c r="O371" s="78"/>
      <c r="S371" s="148"/>
      <c r="T371"/>
      <c r="U371"/>
    </row>
    <row r="372" spans="1:21" x14ac:dyDescent="0.2">
      <c r="A372" s="73"/>
      <c r="B372" s="73"/>
      <c r="C372" s="74"/>
      <c r="D372" s="75"/>
      <c r="E372" s="85"/>
      <c r="F372" s="161"/>
      <c r="G372" s="76"/>
      <c r="H372" s="87"/>
      <c r="I372" s="75"/>
      <c r="J372" s="75"/>
      <c r="K372" s="75"/>
      <c r="L372" s="88"/>
      <c r="M372" s="77"/>
      <c r="N372" s="77"/>
      <c r="O372" s="78"/>
      <c r="S372" s="148"/>
      <c r="T372"/>
      <c r="U372"/>
    </row>
    <row r="373" spans="1:21" x14ac:dyDescent="0.2">
      <c r="A373" s="73"/>
      <c r="B373" s="73"/>
      <c r="C373" s="74"/>
      <c r="D373" s="75"/>
      <c r="E373" s="85"/>
      <c r="F373" s="161"/>
      <c r="G373" s="76"/>
      <c r="H373" s="87"/>
      <c r="I373" s="75"/>
      <c r="J373" s="75"/>
      <c r="K373" s="75"/>
      <c r="L373" s="88"/>
      <c r="M373" s="77"/>
      <c r="N373" s="77"/>
      <c r="O373" s="78"/>
      <c r="S373" s="148"/>
      <c r="T373"/>
      <c r="U373"/>
    </row>
    <row r="374" spans="1:21" x14ac:dyDescent="0.2">
      <c r="A374" s="73"/>
      <c r="B374" s="73"/>
      <c r="C374" s="74"/>
      <c r="D374" s="75"/>
      <c r="E374" s="85"/>
      <c r="F374" s="161"/>
      <c r="G374" s="76"/>
      <c r="H374" s="87"/>
      <c r="I374" s="75"/>
      <c r="J374" s="75"/>
      <c r="K374" s="75"/>
      <c r="L374" s="88"/>
      <c r="M374" s="77"/>
      <c r="N374" s="77"/>
      <c r="O374" s="78"/>
      <c r="S374" s="148"/>
      <c r="T374"/>
      <c r="U374"/>
    </row>
    <row r="375" spans="1:21" x14ac:dyDescent="0.2">
      <c r="A375" s="73"/>
      <c r="B375" s="73"/>
      <c r="C375" s="74"/>
      <c r="D375" s="75"/>
      <c r="E375" s="85"/>
      <c r="F375" s="161"/>
      <c r="G375" s="76"/>
      <c r="H375" s="87"/>
      <c r="I375" s="75"/>
      <c r="J375" s="75"/>
      <c r="K375" s="75"/>
      <c r="L375" s="88"/>
      <c r="M375" s="77"/>
      <c r="N375" s="77"/>
      <c r="O375" s="78"/>
      <c r="S375" s="148"/>
      <c r="T375"/>
      <c r="U375"/>
    </row>
    <row r="376" spans="1:21" x14ac:dyDescent="0.2">
      <c r="A376" s="73"/>
      <c r="B376" s="73"/>
      <c r="C376" s="74"/>
      <c r="D376" s="75"/>
      <c r="E376" s="85"/>
      <c r="F376" s="161"/>
      <c r="G376" s="76"/>
      <c r="H376" s="87"/>
      <c r="I376" s="75"/>
      <c r="J376" s="75"/>
      <c r="K376" s="75"/>
      <c r="L376" s="88"/>
      <c r="M376" s="77"/>
      <c r="N376" s="77"/>
      <c r="O376" s="78"/>
      <c r="S376" s="148"/>
      <c r="T376"/>
      <c r="U376"/>
    </row>
    <row r="377" spans="1:21" x14ac:dyDescent="0.2">
      <c r="A377" s="73"/>
      <c r="B377" s="73"/>
      <c r="C377" s="74"/>
      <c r="D377" s="75"/>
      <c r="E377" s="85"/>
      <c r="F377" s="161"/>
      <c r="G377" s="76"/>
      <c r="H377" s="87"/>
      <c r="I377" s="75"/>
      <c r="J377" s="75"/>
      <c r="K377" s="75"/>
      <c r="L377" s="88"/>
      <c r="M377" s="77"/>
      <c r="N377" s="77"/>
      <c r="O377" s="78"/>
      <c r="S377" s="148"/>
      <c r="T377"/>
      <c r="U377"/>
    </row>
    <row r="378" spans="1:21" x14ac:dyDescent="0.2">
      <c r="A378" s="73"/>
      <c r="B378" s="73"/>
      <c r="C378" s="74"/>
      <c r="D378" s="75"/>
      <c r="E378" s="85"/>
      <c r="F378" s="161"/>
      <c r="G378" s="76"/>
      <c r="H378" s="87"/>
      <c r="I378" s="75"/>
      <c r="J378" s="75"/>
      <c r="K378" s="75"/>
      <c r="L378" s="88"/>
      <c r="M378" s="77"/>
      <c r="N378" s="77"/>
      <c r="O378" s="78"/>
      <c r="S378" s="148"/>
      <c r="T378"/>
      <c r="U378"/>
    </row>
    <row r="379" spans="1:21" x14ac:dyDescent="0.2">
      <c r="A379" s="73"/>
      <c r="B379" s="73"/>
      <c r="C379" s="74"/>
      <c r="D379" s="75"/>
      <c r="E379" s="85"/>
      <c r="F379" s="161"/>
      <c r="G379" s="76"/>
      <c r="H379" s="87"/>
      <c r="I379" s="75"/>
      <c r="J379" s="75"/>
      <c r="K379" s="75"/>
      <c r="L379" s="88"/>
      <c r="M379" s="77"/>
      <c r="N379" s="77"/>
      <c r="O379" s="78"/>
      <c r="S379" s="148"/>
      <c r="T379"/>
      <c r="U379"/>
    </row>
    <row r="380" spans="1:21" x14ac:dyDescent="0.2">
      <c r="A380" s="73"/>
      <c r="B380" s="73"/>
      <c r="C380" s="74"/>
      <c r="D380" s="75"/>
      <c r="E380" s="85"/>
      <c r="F380" s="161"/>
      <c r="G380" s="76"/>
      <c r="H380" s="87"/>
      <c r="I380" s="75"/>
      <c r="J380" s="75"/>
      <c r="K380" s="75"/>
      <c r="L380" s="88"/>
      <c r="M380" s="77"/>
      <c r="N380" s="77"/>
      <c r="O380" s="78"/>
      <c r="S380" s="148"/>
      <c r="T380"/>
      <c r="U380"/>
    </row>
    <row r="381" spans="1:21" x14ac:dyDescent="0.2">
      <c r="A381" s="73"/>
      <c r="B381" s="73"/>
      <c r="C381" s="74"/>
      <c r="D381" s="75"/>
      <c r="E381" s="85"/>
      <c r="F381" s="161"/>
      <c r="G381" s="76"/>
      <c r="H381" s="87"/>
      <c r="I381" s="75"/>
      <c r="J381" s="75"/>
      <c r="K381" s="75"/>
      <c r="L381" s="88"/>
      <c r="M381" s="77"/>
      <c r="N381" s="77"/>
      <c r="O381" s="78"/>
      <c r="S381" s="148"/>
      <c r="T381"/>
      <c r="U381"/>
    </row>
    <row r="382" spans="1:21" x14ac:dyDescent="0.2">
      <c r="A382" s="73"/>
      <c r="B382" s="73"/>
      <c r="C382" s="74"/>
      <c r="D382" s="75"/>
      <c r="E382" s="85"/>
      <c r="F382" s="161"/>
      <c r="G382" s="76"/>
      <c r="H382" s="87"/>
      <c r="I382" s="75"/>
      <c r="J382" s="75"/>
      <c r="K382" s="75"/>
      <c r="L382" s="88"/>
      <c r="M382" s="77"/>
      <c r="N382" s="77"/>
      <c r="O382" s="78"/>
      <c r="S382" s="148"/>
      <c r="T382"/>
      <c r="U382"/>
    </row>
    <row r="383" spans="1:21" x14ac:dyDescent="0.2">
      <c r="A383" s="73"/>
      <c r="B383" s="73"/>
      <c r="C383" s="74"/>
      <c r="D383" s="75"/>
      <c r="E383" s="85"/>
      <c r="F383" s="161"/>
      <c r="G383" s="76"/>
      <c r="H383" s="87"/>
      <c r="I383" s="75"/>
      <c r="J383" s="75"/>
      <c r="K383" s="75"/>
      <c r="L383" s="88"/>
      <c r="M383" s="77"/>
      <c r="N383" s="77"/>
      <c r="O383" s="78"/>
      <c r="S383" s="148"/>
      <c r="T383"/>
      <c r="U383"/>
    </row>
    <row r="384" spans="1:21" x14ac:dyDescent="0.2">
      <c r="A384" s="73"/>
      <c r="B384" s="73"/>
      <c r="C384" s="74"/>
      <c r="D384" s="75"/>
      <c r="E384" s="85"/>
      <c r="F384" s="161"/>
      <c r="G384" s="76"/>
      <c r="H384" s="87"/>
      <c r="I384" s="75"/>
      <c r="J384" s="75"/>
      <c r="K384" s="75"/>
      <c r="L384" s="88"/>
      <c r="M384" s="77"/>
      <c r="N384" s="77"/>
      <c r="O384" s="78"/>
      <c r="S384" s="148"/>
      <c r="T384"/>
      <c r="U384"/>
    </row>
    <row r="385" spans="1:21" x14ac:dyDescent="0.2">
      <c r="A385" s="73"/>
      <c r="B385" s="73"/>
      <c r="C385" s="74"/>
      <c r="D385" s="75"/>
      <c r="E385" s="85"/>
      <c r="F385" s="161"/>
      <c r="G385" s="76"/>
      <c r="H385" s="87"/>
      <c r="I385" s="75"/>
      <c r="J385" s="75"/>
      <c r="K385" s="75"/>
      <c r="L385" s="88"/>
      <c r="M385" s="77"/>
      <c r="N385" s="77"/>
      <c r="O385" s="78"/>
      <c r="S385" s="148"/>
      <c r="T385"/>
      <c r="U385"/>
    </row>
    <row r="386" spans="1:21" x14ac:dyDescent="0.2">
      <c r="A386" s="73"/>
      <c r="B386" s="73"/>
      <c r="C386" s="74"/>
      <c r="D386" s="75"/>
      <c r="E386" s="85"/>
      <c r="F386" s="161"/>
      <c r="G386" s="76"/>
      <c r="H386" s="87"/>
      <c r="I386" s="75"/>
      <c r="J386" s="75"/>
      <c r="K386" s="75"/>
      <c r="L386" s="88"/>
      <c r="M386" s="77"/>
      <c r="N386" s="77"/>
      <c r="O386" s="78"/>
      <c r="S386" s="148"/>
      <c r="T386"/>
      <c r="U386"/>
    </row>
    <row r="387" spans="1:21" x14ac:dyDescent="0.2">
      <c r="A387" s="73"/>
      <c r="B387" s="73"/>
      <c r="C387" s="74"/>
      <c r="D387" s="75"/>
      <c r="E387" s="85"/>
      <c r="F387" s="161"/>
      <c r="G387" s="76"/>
      <c r="H387" s="87"/>
      <c r="I387" s="75"/>
      <c r="J387" s="75"/>
      <c r="K387" s="75"/>
      <c r="L387" s="88"/>
      <c r="M387" s="77"/>
      <c r="N387" s="77"/>
      <c r="O387" s="78"/>
      <c r="S387" s="148"/>
      <c r="T387"/>
      <c r="U387"/>
    </row>
    <row r="388" spans="1:21" x14ac:dyDescent="0.2">
      <c r="A388" s="73"/>
      <c r="B388" s="73"/>
      <c r="C388" s="74"/>
      <c r="D388" s="75"/>
      <c r="E388" s="85"/>
      <c r="F388" s="161"/>
      <c r="G388" s="76"/>
      <c r="H388" s="87"/>
      <c r="I388" s="75"/>
      <c r="J388" s="75"/>
      <c r="K388" s="75"/>
      <c r="L388" s="88"/>
      <c r="M388" s="77"/>
      <c r="N388" s="77"/>
      <c r="O388" s="78"/>
      <c r="S388" s="148"/>
      <c r="T388"/>
      <c r="U388"/>
    </row>
    <row r="389" spans="1:21" x14ac:dyDescent="0.2">
      <c r="A389" s="73"/>
      <c r="B389" s="73"/>
      <c r="C389" s="74"/>
      <c r="D389" s="75"/>
      <c r="E389" s="85"/>
      <c r="F389" s="161"/>
      <c r="G389" s="76"/>
      <c r="H389" s="87"/>
      <c r="I389" s="75"/>
      <c r="J389" s="75"/>
      <c r="K389" s="75"/>
      <c r="L389" s="88"/>
      <c r="M389" s="77"/>
      <c r="N389" s="77"/>
      <c r="O389" s="78"/>
      <c r="S389" s="148"/>
      <c r="T389"/>
      <c r="U389"/>
    </row>
    <row r="390" spans="1:21" x14ac:dyDescent="0.2">
      <c r="A390" s="73"/>
      <c r="B390" s="73"/>
      <c r="C390" s="74"/>
      <c r="D390" s="75"/>
      <c r="E390" s="85"/>
      <c r="F390" s="161"/>
      <c r="G390" s="76"/>
      <c r="H390" s="87"/>
      <c r="I390" s="75"/>
      <c r="J390" s="75"/>
      <c r="K390" s="75"/>
      <c r="L390" s="88"/>
      <c r="M390" s="77"/>
      <c r="N390" s="77"/>
      <c r="O390" s="78"/>
      <c r="S390" s="148"/>
      <c r="T390"/>
      <c r="U390"/>
    </row>
    <row r="391" spans="1:21" x14ac:dyDescent="0.2">
      <c r="A391" s="73"/>
      <c r="B391" s="73"/>
      <c r="C391" s="74"/>
      <c r="D391" s="75"/>
      <c r="E391" s="85"/>
      <c r="F391" s="161"/>
      <c r="G391" s="76"/>
      <c r="H391" s="87"/>
      <c r="I391" s="75"/>
      <c r="J391" s="75"/>
      <c r="K391" s="75"/>
      <c r="L391" s="88"/>
      <c r="M391" s="77"/>
      <c r="N391" s="77"/>
      <c r="O391" s="78"/>
      <c r="S391" s="148"/>
      <c r="T391"/>
      <c r="U391"/>
    </row>
    <row r="392" spans="1:21" x14ac:dyDescent="0.2">
      <c r="A392" s="73"/>
      <c r="B392" s="73"/>
      <c r="C392" s="74"/>
      <c r="D392" s="75"/>
      <c r="E392" s="85"/>
      <c r="F392" s="161"/>
      <c r="G392" s="76"/>
      <c r="H392" s="87"/>
      <c r="I392" s="75"/>
      <c r="J392" s="75"/>
      <c r="K392" s="75"/>
      <c r="L392" s="88"/>
      <c r="M392" s="77"/>
      <c r="N392" s="77"/>
      <c r="O392" s="78"/>
      <c r="S392" s="148"/>
      <c r="T392"/>
      <c r="U392"/>
    </row>
    <row r="393" spans="1:21" x14ac:dyDescent="0.2">
      <c r="A393" s="73"/>
      <c r="B393" s="73"/>
      <c r="C393" s="74"/>
      <c r="D393" s="75"/>
      <c r="E393" s="85"/>
      <c r="F393" s="161"/>
      <c r="G393" s="76"/>
      <c r="H393" s="87"/>
      <c r="I393" s="75"/>
      <c r="J393" s="75"/>
      <c r="K393" s="75"/>
      <c r="L393" s="88"/>
      <c r="M393" s="77"/>
      <c r="N393" s="77"/>
      <c r="O393" s="78"/>
      <c r="S393" s="148"/>
      <c r="T393"/>
      <c r="U393"/>
    </row>
    <row r="394" spans="1:21" x14ac:dyDescent="0.2">
      <c r="A394" s="73"/>
      <c r="B394" s="73"/>
      <c r="C394" s="74"/>
      <c r="D394" s="75"/>
      <c r="E394" s="85"/>
      <c r="F394" s="161"/>
      <c r="G394" s="76"/>
      <c r="H394" s="87"/>
      <c r="I394" s="75"/>
      <c r="J394" s="75"/>
      <c r="K394" s="75"/>
      <c r="L394" s="88"/>
      <c r="M394" s="77"/>
      <c r="N394" s="77"/>
      <c r="O394" s="78"/>
      <c r="S394" s="148"/>
      <c r="T394"/>
      <c r="U394"/>
    </row>
    <row r="395" spans="1:21" x14ac:dyDescent="0.2">
      <c r="A395" s="73"/>
      <c r="B395" s="73"/>
      <c r="C395" s="74"/>
      <c r="D395" s="75"/>
      <c r="E395" s="85"/>
      <c r="F395" s="161"/>
      <c r="G395" s="76"/>
      <c r="H395" s="87"/>
      <c r="I395" s="75"/>
      <c r="J395" s="75"/>
      <c r="K395" s="75"/>
      <c r="L395" s="88"/>
      <c r="M395" s="77"/>
      <c r="N395" s="77"/>
      <c r="O395" s="78"/>
      <c r="S395" s="148"/>
      <c r="T395"/>
      <c r="U395"/>
    </row>
    <row r="396" spans="1:21" x14ac:dyDescent="0.2">
      <c r="A396" s="73"/>
      <c r="B396" s="73"/>
      <c r="C396" s="74"/>
      <c r="D396" s="75"/>
      <c r="E396" s="85"/>
      <c r="F396" s="161"/>
      <c r="G396" s="76"/>
      <c r="H396" s="87"/>
      <c r="I396" s="75"/>
      <c r="J396" s="75"/>
      <c r="K396" s="75"/>
      <c r="L396" s="88"/>
      <c r="M396" s="77"/>
      <c r="N396" s="77"/>
      <c r="O396" s="78"/>
      <c r="S396" s="148"/>
      <c r="T396"/>
      <c r="U396"/>
    </row>
    <row r="397" spans="1:21" x14ac:dyDescent="0.2">
      <c r="A397" s="73"/>
      <c r="B397" s="73"/>
      <c r="C397" s="74"/>
      <c r="D397" s="75"/>
      <c r="E397" s="85"/>
      <c r="F397" s="161"/>
      <c r="G397" s="76"/>
      <c r="H397" s="87"/>
      <c r="I397" s="75"/>
      <c r="J397" s="75"/>
      <c r="K397" s="75"/>
      <c r="L397" s="88"/>
      <c r="M397" s="77"/>
      <c r="N397" s="77"/>
      <c r="O397" s="78"/>
      <c r="S397" s="148"/>
      <c r="T397"/>
      <c r="U397"/>
    </row>
    <row r="398" spans="1:21" x14ac:dyDescent="0.2">
      <c r="A398" s="73"/>
      <c r="B398" s="73"/>
      <c r="C398" s="74"/>
      <c r="D398" s="75"/>
      <c r="E398" s="85"/>
      <c r="F398" s="161"/>
      <c r="G398" s="76"/>
      <c r="H398" s="87"/>
      <c r="I398" s="75"/>
      <c r="J398" s="75"/>
      <c r="K398" s="75"/>
      <c r="L398" s="88"/>
      <c r="M398" s="77"/>
      <c r="N398" s="77"/>
      <c r="O398" s="78"/>
      <c r="S398" s="148"/>
      <c r="T398"/>
      <c r="U398"/>
    </row>
    <row r="399" spans="1:21" x14ac:dyDescent="0.2">
      <c r="A399" s="73"/>
      <c r="B399" s="73"/>
      <c r="C399" s="74"/>
      <c r="D399" s="75"/>
      <c r="E399" s="85"/>
      <c r="F399" s="161"/>
      <c r="G399" s="76"/>
      <c r="H399" s="87"/>
      <c r="I399" s="75"/>
      <c r="J399" s="75"/>
      <c r="K399" s="75"/>
      <c r="L399" s="88"/>
      <c r="M399" s="77"/>
      <c r="N399" s="77"/>
      <c r="O399" s="78"/>
      <c r="S399" s="148"/>
      <c r="T399"/>
      <c r="U399"/>
    </row>
    <row r="400" spans="1:21" x14ac:dyDescent="0.2">
      <c r="A400" s="73"/>
      <c r="B400" s="73"/>
      <c r="C400" s="74"/>
      <c r="D400" s="75"/>
      <c r="E400" s="85"/>
      <c r="F400" s="161"/>
      <c r="G400" s="76"/>
      <c r="H400" s="87"/>
      <c r="I400" s="75"/>
      <c r="J400" s="75"/>
      <c r="K400" s="75"/>
      <c r="L400" s="88"/>
      <c r="M400" s="77"/>
      <c r="N400" s="77"/>
      <c r="O400" s="78"/>
      <c r="S400" s="148"/>
      <c r="T400"/>
      <c r="U400"/>
    </row>
    <row r="401" spans="1:21" x14ac:dyDescent="0.2">
      <c r="A401" s="73"/>
      <c r="B401" s="73"/>
      <c r="C401" s="74"/>
      <c r="D401" s="75"/>
      <c r="E401" s="85"/>
      <c r="F401" s="161"/>
      <c r="G401" s="76"/>
      <c r="H401" s="87"/>
      <c r="I401" s="75"/>
      <c r="J401" s="75"/>
      <c r="K401" s="75"/>
      <c r="L401" s="88"/>
      <c r="M401" s="77"/>
      <c r="N401" s="77"/>
      <c r="O401" s="78"/>
      <c r="S401" s="148"/>
      <c r="T401"/>
      <c r="U401"/>
    </row>
    <row r="402" spans="1:21" x14ac:dyDescent="0.2">
      <c r="A402" s="73"/>
      <c r="B402" s="73"/>
      <c r="C402" s="74"/>
      <c r="D402" s="75"/>
      <c r="E402" s="85"/>
      <c r="F402" s="161"/>
      <c r="G402" s="76"/>
      <c r="H402" s="87"/>
      <c r="I402" s="75"/>
      <c r="J402" s="75"/>
      <c r="K402" s="75"/>
      <c r="L402" s="88"/>
      <c r="M402" s="77"/>
      <c r="N402" s="77"/>
      <c r="O402" s="78"/>
      <c r="S402" s="148"/>
      <c r="T402"/>
      <c r="U402"/>
    </row>
    <row r="403" spans="1:21" x14ac:dyDescent="0.2">
      <c r="A403" s="73"/>
      <c r="B403" s="73"/>
      <c r="C403" s="74"/>
      <c r="D403" s="75"/>
      <c r="E403" s="85"/>
      <c r="F403" s="161"/>
      <c r="G403" s="76"/>
      <c r="H403" s="87"/>
      <c r="I403" s="75"/>
      <c r="J403" s="75"/>
      <c r="K403" s="75"/>
      <c r="L403" s="88"/>
      <c r="M403" s="77"/>
      <c r="N403" s="77"/>
      <c r="O403" s="78"/>
      <c r="S403" s="148"/>
      <c r="T403"/>
      <c r="U403"/>
    </row>
    <row r="404" spans="1:21" x14ac:dyDescent="0.2">
      <c r="A404" s="73"/>
      <c r="B404" s="73"/>
      <c r="C404" s="74"/>
      <c r="D404" s="75"/>
      <c r="E404" s="85"/>
      <c r="F404" s="161"/>
      <c r="G404" s="76"/>
      <c r="H404" s="87"/>
      <c r="I404" s="75"/>
      <c r="J404" s="75"/>
      <c r="K404" s="75"/>
      <c r="L404" s="88"/>
      <c r="M404" s="77"/>
      <c r="N404" s="77"/>
      <c r="O404" s="78"/>
      <c r="S404" s="148"/>
      <c r="T404"/>
      <c r="U404"/>
    </row>
    <row r="405" spans="1:21" x14ac:dyDescent="0.2">
      <c r="A405" s="73"/>
      <c r="B405" s="73"/>
      <c r="C405" s="74"/>
      <c r="D405" s="75"/>
      <c r="E405" s="85"/>
      <c r="F405" s="161"/>
      <c r="G405" s="76"/>
      <c r="H405" s="87"/>
      <c r="I405" s="75"/>
      <c r="J405" s="75"/>
      <c r="K405" s="75"/>
      <c r="L405" s="88"/>
      <c r="M405" s="77"/>
      <c r="N405" s="77"/>
      <c r="O405" s="78"/>
      <c r="S405" s="148"/>
      <c r="T405"/>
      <c r="U405"/>
    </row>
    <row r="406" spans="1:21" x14ac:dyDescent="0.2">
      <c r="A406" s="73"/>
      <c r="B406" s="73"/>
      <c r="C406" s="74"/>
      <c r="D406" s="75"/>
      <c r="E406" s="85"/>
      <c r="F406" s="161"/>
      <c r="G406" s="76"/>
      <c r="H406" s="87"/>
      <c r="I406" s="75"/>
      <c r="J406" s="75"/>
      <c r="K406" s="75"/>
      <c r="L406" s="88"/>
      <c r="M406" s="77"/>
      <c r="N406" s="77"/>
      <c r="O406" s="78"/>
      <c r="S406" s="148"/>
      <c r="T406"/>
      <c r="U406"/>
    </row>
    <row r="407" spans="1:21" x14ac:dyDescent="0.2">
      <c r="A407" s="73"/>
      <c r="B407" s="73"/>
      <c r="C407" s="74"/>
      <c r="D407" s="75"/>
      <c r="E407" s="85"/>
      <c r="F407" s="161"/>
      <c r="G407" s="76"/>
      <c r="H407" s="87"/>
      <c r="I407" s="75"/>
      <c r="J407" s="75"/>
      <c r="K407" s="75"/>
      <c r="L407" s="88"/>
      <c r="M407" s="77"/>
      <c r="N407" s="77"/>
      <c r="O407" s="78"/>
      <c r="S407" s="148"/>
      <c r="T407"/>
      <c r="U407"/>
    </row>
    <row r="408" spans="1:21" x14ac:dyDescent="0.2">
      <c r="A408" s="73"/>
      <c r="B408" s="73"/>
      <c r="C408" s="74"/>
      <c r="D408" s="75"/>
      <c r="E408" s="85"/>
      <c r="F408" s="161"/>
      <c r="G408" s="76"/>
      <c r="H408" s="87"/>
      <c r="I408" s="75"/>
      <c r="J408" s="75"/>
      <c r="K408" s="75"/>
      <c r="L408" s="88"/>
      <c r="M408" s="77"/>
      <c r="N408" s="77"/>
      <c r="O408" s="78"/>
      <c r="S408" s="148"/>
      <c r="T408"/>
      <c r="U408"/>
    </row>
    <row r="409" spans="1:21" x14ac:dyDescent="0.2">
      <c r="A409" s="73"/>
      <c r="B409" s="73"/>
      <c r="C409" s="74"/>
      <c r="D409" s="75"/>
      <c r="E409" s="85"/>
      <c r="F409" s="161"/>
      <c r="G409" s="76"/>
      <c r="H409" s="87"/>
      <c r="I409" s="75"/>
      <c r="J409" s="75"/>
      <c r="K409" s="75"/>
      <c r="L409" s="88"/>
      <c r="M409" s="77"/>
      <c r="N409" s="77"/>
      <c r="O409" s="78"/>
      <c r="S409" s="148"/>
      <c r="T409"/>
      <c r="U409"/>
    </row>
    <row r="410" spans="1:21" x14ac:dyDescent="0.2">
      <c r="A410" s="73"/>
      <c r="B410" s="73"/>
      <c r="C410" s="74"/>
      <c r="D410" s="75"/>
      <c r="E410" s="85"/>
      <c r="F410" s="161"/>
      <c r="G410" s="76"/>
      <c r="H410" s="87"/>
      <c r="I410" s="75"/>
      <c r="J410" s="75"/>
      <c r="K410" s="75"/>
      <c r="L410" s="88"/>
      <c r="M410" s="77"/>
      <c r="N410" s="77"/>
      <c r="O410" s="78"/>
      <c r="S410" s="148"/>
      <c r="T410"/>
      <c r="U410"/>
    </row>
    <row r="411" spans="1:21" x14ac:dyDescent="0.2">
      <c r="A411" s="73"/>
      <c r="B411" s="73"/>
      <c r="C411" s="74"/>
      <c r="D411" s="75"/>
      <c r="E411" s="85"/>
      <c r="F411" s="161"/>
      <c r="G411" s="76"/>
      <c r="H411" s="87"/>
      <c r="I411" s="75"/>
      <c r="J411" s="75"/>
      <c r="K411" s="75"/>
      <c r="L411" s="88"/>
      <c r="M411" s="77"/>
      <c r="N411" s="77"/>
      <c r="O411" s="78"/>
      <c r="S411" s="148"/>
      <c r="T411"/>
      <c r="U411"/>
    </row>
    <row r="412" spans="1:21" x14ac:dyDescent="0.2">
      <c r="A412" s="73"/>
      <c r="B412" s="73"/>
      <c r="C412" s="74"/>
      <c r="D412" s="75"/>
      <c r="E412" s="85"/>
      <c r="F412" s="161"/>
      <c r="G412" s="76"/>
      <c r="H412" s="87"/>
      <c r="I412" s="75"/>
      <c r="J412" s="75"/>
      <c r="K412" s="75"/>
      <c r="L412" s="88"/>
      <c r="M412" s="77"/>
      <c r="N412" s="77"/>
      <c r="O412" s="78"/>
      <c r="S412" s="148"/>
      <c r="T412"/>
      <c r="U412"/>
    </row>
    <row r="413" spans="1:21" x14ac:dyDescent="0.2">
      <c r="A413" s="73"/>
      <c r="B413" s="73"/>
      <c r="C413" s="74"/>
      <c r="D413" s="75"/>
      <c r="E413" s="85"/>
      <c r="F413" s="161"/>
      <c r="G413" s="76"/>
      <c r="H413" s="87"/>
      <c r="I413" s="75"/>
      <c r="J413" s="75"/>
      <c r="K413" s="75"/>
      <c r="L413" s="88"/>
      <c r="M413" s="77"/>
      <c r="N413" s="77"/>
      <c r="O413" s="78"/>
      <c r="S413" s="148"/>
      <c r="T413"/>
      <c r="U413"/>
    </row>
    <row r="414" spans="1:21" x14ac:dyDescent="0.2">
      <c r="A414" s="73"/>
      <c r="B414" s="73"/>
      <c r="C414" s="74"/>
      <c r="D414" s="75"/>
      <c r="E414" s="85"/>
      <c r="F414" s="161"/>
      <c r="G414" s="76"/>
      <c r="H414" s="87"/>
      <c r="I414" s="75"/>
      <c r="J414" s="75"/>
      <c r="K414" s="75"/>
      <c r="L414" s="88"/>
      <c r="M414" s="77"/>
      <c r="N414" s="77"/>
      <c r="O414" s="78"/>
      <c r="S414" s="148"/>
      <c r="T414"/>
      <c r="U414"/>
    </row>
    <row r="415" spans="1:21" x14ac:dyDescent="0.2">
      <c r="A415" s="73"/>
      <c r="B415" s="73"/>
      <c r="C415" s="74"/>
      <c r="D415" s="75"/>
      <c r="E415" s="85"/>
      <c r="F415" s="161"/>
      <c r="G415" s="76"/>
      <c r="H415" s="87"/>
      <c r="I415" s="75"/>
      <c r="J415" s="75"/>
      <c r="K415" s="75"/>
      <c r="L415" s="88"/>
      <c r="M415" s="77"/>
      <c r="N415" s="77"/>
      <c r="O415" s="78"/>
      <c r="S415" s="148"/>
      <c r="T415"/>
      <c r="U415"/>
    </row>
    <row r="416" spans="1:21" x14ac:dyDescent="0.2">
      <c r="A416" s="73"/>
      <c r="B416" s="73"/>
      <c r="C416" s="74"/>
      <c r="D416" s="75"/>
      <c r="E416" s="85"/>
      <c r="F416" s="161"/>
      <c r="G416" s="76"/>
      <c r="H416" s="87"/>
      <c r="I416" s="75"/>
      <c r="J416" s="75"/>
      <c r="K416" s="75"/>
      <c r="L416" s="88"/>
      <c r="M416" s="77"/>
      <c r="N416" s="77"/>
      <c r="O416" s="78"/>
      <c r="S416" s="148"/>
      <c r="T416"/>
      <c r="U416"/>
    </row>
    <row r="417" spans="1:21" x14ac:dyDescent="0.2">
      <c r="A417" s="73"/>
      <c r="B417" s="73"/>
      <c r="C417" s="74"/>
      <c r="D417" s="75"/>
      <c r="E417" s="85"/>
      <c r="F417" s="161"/>
      <c r="G417" s="76"/>
      <c r="H417" s="87"/>
      <c r="I417" s="75"/>
      <c r="J417" s="75"/>
      <c r="K417" s="75"/>
      <c r="L417" s="88"/>
      <c r="M417" s="77"/>
      <c r="N417" s="77"/>
      <c r="O417" s="78"/>
      <c r="S417" s="148"/>
      <c r="T417"/>
      <c r="U417"/>
    </row>
    <row r="418" spans="1:21" x14ac:dyDescent="0.2">
      <c r="A418" s="73"/>
      <c r="B418" s="73"/>
      <c r="C418" s="74"/>
      <c r="D418" s="75"/>
      <c r="E418" s="85"/>
      <c r="F418" s="161"/>
      <c r="G418" s="76"/>
      <c r="H418" s="87"/>
      <c r="I418" s="75"/>
      <c r="J418" s="75"/>
      <c r="K418" s="75"/>
      <c r="L418" s="88"/>
      <c r="M418" s="77"/>
      <c r="N418" s="77"/>
      <c r="O418" s="78"/>
      <c r="S418" s="148"/>
      <c r="T418"/>
      <c r="U418"/>
    </row>
    <row r="419" spans="1:21" x14ac:dyDescent="0.2">
      <c r="A419" s="73"/>
      <c r="B419" s="73"/>
      <c r="C419" s="74"/>
      <c r="D419" s="75"/>
      <c r="E419" s="85"/>
      <c r="F419" s="161"/>
      <c r="G419" s="76"/>
      <c r="H419" s="87"/>
      <c r="I419" s="75"/>
      <c r="J419" s="75"/>
      <c r="K419" s="75"/>
      <c r="L419" s="88"/>
      <c r="M419" s="77"/>
      <c r="N419" s="77"/>
      <c r="O419" s="78"/>
      <c r="S419" s="148"/>
      <c r="T419"/>
      <c r="U419"/>
    </row>
    <row r="420" spans="1:21" x14ac:dyDescent="0.2">
      <c r="A420" s="73"/>
      <c r="B420" s="73"/>
      <c r="C420" s="74"/>
      <c r="D420" s="75"/>
      <c r="E420" s="85"/>
      <c r="F420" s="161"/>
      <c r="G420" s="76"/>
      <c r="H420" s="87"/>
      <c r="I420" s="75"/>
      <c r="J420" s="75"/>
      <c r="K420" s="75"/>
      <c r="L420" s="88"/>
      <c r="M420" s="77"/>
      <c r="N420" s="77"/>
      <c r="O420" s="78"/>
      <c r="S420" s="148"/>
      <c r="T420"/>
      <c r="U420"/>
    </row>
    <row r="421" spans="1:21" x14ac:dyDescent="0.2">
      <c r="A421" s="73"/>
      <c r="B421" s="73"/>
      <c r="C421" s="74"/>
      <c r="D421" s="75"/>
      <c r="E421" s="85"/>
      <c r="F421" s="161"/>
      <c r="G421" s="76"/>
      <c r="H421" s="87"/>
      <c r="I421" s="75"/>
      <c r="J421" s="75"/>
      <c r="K421" s="75"/>
      <c r="L421" s="88"/>
      <c r="M421" s="77"/>
      <c r="N421" s="77"/>
      <c r="O421" s="78"/>
      <c r="S421" s="148"/>
      <c r="T421"/>
      <c r="U421"/>
    </row>
    <row r="422" spans="1:21" x14ac:dyDescent="0.2">
      <c r="A422" s="73"/>
      <c r="B422" s="73"/>
      <c r="C422" s="74"/>
      <c r="D422" s="75"/>
      <c r="E422" s="85"/>
      <c r="F422" s="161"/>
      <c r="G422" s="76"/>
      <c r="H422" s="87"/>
      <c r="I422" s="75"/>
      <c r="J422" s="75"/>
      <c r="K422" s="75"/>
      <c r="L422" s="88"/>
      <c r="M422" s="77"/>
      <c r="N422" s="77"/>
      <c r="O422" s="78"/>
      <c r="S422" s="148"/>
      <c r="T422"/>
      <c r="U422"/>
    </row>
    <row r="423" spans="1:21" x14ac:dyDescent="0.2">
      <c r="A423" s="73"/>
      <c r="B423" s="73"/>
      <c r="C423" s="74"/>
      <c r="D423" s="75"/>
      <c r="E423" s="85"/>
      <c r="F423" s="161"/>
      <c r="G423" s="76"/>
      <c r="H423" s="87"/>
      <c r="I423" s="75"/>
      <c r="J423" s="75"/>
      <c r="K423" s="75"/>
      <c r="L423" s="88"/>
      <c r="M423" s="77"/>
      <c r="N423" s="77"/>
      <c r="O423" s="78"/>
      <c r="S423" s="148"/>
      <c r="T423"/>
      <c r="U423"/>
    </row>
    <row r="424" spans="1:21" x14ac:dyDescent="0.2">
      <c r="A424" s="73"/>
      <c r="B424" s="73"/>
      <c r="C424" s="74"/>
      <c r="D424" s="75"/>
      <c r="E424" s="85"/>
      <c r="F424" s="161"/>
      <c r="G424" s="76"/>
      <c r="H424" s="87"/>
      <c r="I424" s="75"/>
      <c r="J424" s="75"/>
      <c r="K424" s="75"/>
      <c r="L424" s="88"/>
      <c r="M424" s="77"/>
      <c r="N424" s="77"/>
      <c r="O424" s="78"/>
      <c r="S424" s="148"/>
      <c r="T424"/>
      <c r="U424"/>
    </row>
    <row r="425" spans="1:21" x14ac:dyDescent="0.2">
      <c r="A425" s="73"/>
      <c r="B425" s="73"/>
      <c r="C425" s="74"/>
      <c r="D425" s="75"/>
      <c r="E425" s="85"/>
      <c r="F425" s="161"/>
      <c r="G425" s="76"/>
      <c r="H425" s="87"/>
      <c r="I425" s="75"/>
      <c r="J425" s="75"/>
      <c r="K425" s="75"/>
      <c r="L425" s="88"/>
      <c r="M425" s="77"/>
      <c r="N425" s="77"/>
      <c r="O425" s="78"/>
      <c r="S425" s="148"/>
      <c r="T425"/>
      <c r="U425"/>
    </row>
    <row r="426" spans="1:21" x14ac:dyDescent="0.2">
      <c r="A426" s="73"/>
      <c r="B426" s="73"/>
      <c r="C426" s="74"/>
      <c r="D426" s="75"/>
      <c r="E426" s="85"/>
      <c r="F426" s="161"/>
      <c r="G426" s="76"/>
      <c r="H426" s="87"/>
      <c r="I426" s="75"/>
      <c r="J426" s="75"/>
      <c r="K426" s="75"/>
      <c r="L426" s="88"/>
      <c r="M426" s="77"/>
      <c r="N426" s="77"/>
      <c r="O426" s="78"/>
      <c r="S426" s="148"/>
      <c r="T426"/>
      <c r="U426"/>
    </row>
    <row r="427" spans="1:21" x14ac:dyDescent="0.2">
      <c r="A427" s="73"/>
      <c r="B427" s="73"/>
      <c r="C427" s="74"/>
      <c r="D427" s="75"/>
      <c r="E427" s="85"/>
      <c r="F427" s="161"/>
      <c r="G427" s="76"/>
      <c r="H427" s="87"/>
      <c r="I427" s="75"/>
      <c r="J427" s="75"/>
      <c r="K427" s="75"/>
      <c r="L427" s="88"/>
      <c r="M427" s="77"/>
      <c r="N427" s="77"/>
      <c r="O427" s="78"/>
      <c r="S427" s="148"/>
      <c r="T427"/>
      <c r="U427"/>
    </row>
    <row r="428" spans="1:21" x14ac:dyDescent="0.2">
      <c r="A428" s="73"/>
      <c r="B428" s="73"/>
      <c r="C428" s="74"/>
      <c r="D428" s="75"/>
      <c r="E428" s="85"/>
      <c r="F428" s="161"/>
      <c r="G428" s="76"/>
      <c r="H428" s="87"/>
      <c r="I428" s="75"/>
      <c r="J428" s="75"/>
      <c r="K428" s="75"/>
      <c r="L428" s="88"/>
      <c r="M428" s="77"/>
      <c r="N428" s="77"/>
      <c r="O428" s="78"/>
      <c r="S428" s="148"/>
      <c r="T428"/>
      <c r="U428"/>
    </row>
    <row r="429" spans="1:21" x14ac:dyDescent="0.2">
      <c r="A429" s="73"/>
      <c r="B429" s="73"/>
      <c r="C429" s="74"/>
      <c r="D429" s="75"/>
      <c r="E429" s="85"/>
      <c r="F429" s="161"/>
      <c r="G429" s="76"/>
      <c r="H429" s="87"/>
      <c r="I429" s="75"/>
      <c r="J429" s="75"/>
      <c r="K429" s="75"/>
      <c r="L429" s="88"/>
      <c r="M429" s="77"/>
      <c r="N429" s="77"/>
      <c r="O429" s="78"/>
      <c r="S429" s="148"/>
      <c r="T429"/>
      <c r="U429"/>
    </row>
    <row r="430" spans="1:21" x14ac:dyDescent="0.2">
      <c r="A430" s="73"/>
      <c r="B430" s="73"/>
      <c r="C430" s="74"/>
      <c r="D430" s="75"/>
      <c r="E430" s="85"/>
      <c r="F430" s="161"/>
      <c r="G430" s="76"/>
      <c r="H430" s="87"/>
      <c r="I430" s="75"/>
      <c r="J430" s="75"/>
      <c r="K430" s="75"/>
      <c r="L430" s="88"/>
      <c r="M430" s="77"/>
      <c r="N430" s="77"/>
      <c r="O430" s="78"/>
      <c r="S430" s="148"/>
      <c r="T430"/>
      <c r="U430"/>
    </row>
    <row r="431" spans="1:21" x14ac:dyDescent="0.2">
      <c r="A431" s="73"/>
      <c r="B431" s="73"/>
      <c r="C431" s="74"/>
      <c r="D431" s="75"/>
      <c r="E431" s="85"/>
      <c r="F431" s="161"/>
      <c r="G431" s="76"/>
      <c r="H431" s="87"/>
      <c r="I431" s="75"/>
      <c r="J431" s="75"/>
      <c r="K431" s="75"/>
      <c r="L431" s="88"/>
      <c r="M431" s="77"/>
      <c r="N431" s="77"/>
      <c r="O431" s="78"/>
      <c r="S431" s="148"/>
      <c r="T431"/>
      <c r="U431"/>
    </row>
    <row r="432" spans="1:21" x14ac:dyDescent="0.2">
      <c r="A432" s="73"/>
      <c r="B432" s="73"/>
      <c r="C432" s="74"/>
      <c r="D432" s="75"/>
      <c r="E432" s="85"/>
      <c r="F432" s="161"/>
      <c r="G432" s="76"/>
      <c r="H432" s="87"/>
      <c r="I432" s="75"/>
      <c r="J432" s="75"/>
      <c r="K432" s="75"/>
      <c r="L432" s="88"/>
      <c r="M432" s="77"/>
      <c r="N432" s="77"/>
      <c r="O432" s="78"/>
      <c r="S432" s="148"/>
      <c r="T432"/>
      <c r="U432"/>
    </row>
    <row r="433" spans="1:21" x14ac:dyDescent="0.2">
      <c r="A433" s="73"/>
      <c r="B433" s="73"/>
      <c r="C433" s="74"/>
      <c r="D433" s="75"/>
      <c r="E433" s="85"/>
      <c r="F433" s="161"/>
      <c r="G433" s="76"/>
      <c r="H433" s="87"/>
      <c r="I433" s="75"/>
      <c r="J433" s="75"/>
      <c r="K433" s="75"/>
      <c r="L433" s="88"/>
      <c r="M433" s="77"/>
      <c r="N433" s="77"/>
      <c r="O433" s="78"/>
      <c r="S433" s="148"/>
      <c r="T433"/>
      <c r="U433"/>
    </row>
    <row r="434" spans="1:21" x14ac:dyDescent="0.2">
      <c r="A434" s="73"/>
      <c r="B434" s="73"/>
      <c r="C434" s="74"/>
      <c r="D434" s="75"/>
      <c r="E434" s="85"/>
      <c r="F434" s="161"/>
      <c r="G434" s="76"/>
      <c r="H434" s="87"/>
      <c r="I434" s="75"/>
      <c r="J434" s="75"/>
      <c r="K434" s="75"/>
      <c r="L434" s="88"/>
      <c r="M434" s="77"/>
      <c r="N434" s="77"/>
      <c r="O434" s="78"/>
      <c r="S434" s="148"/>
      <c r="T434"/>
      <c r="U434"/>
    </row>
    <row r="435" spans="1:21" x14ac:dyDescent="0.2">
      <c r="A435" s="73"/>
      <c r="B435" s="73"/>
      <c r="C435" s="74"/>
      <c r="D435" s="75"/>
      <c r="E435" s="85"/>
      <c r="F435" s="161"/>
      <c r="G435" s="76"/>
      <c r="H435" s="87"/>
      <c r="I435" s="75"/>
      <c r="J435" s="75"/>
      <c r="K435" s="75"/>
      <c r="L435" s="88"/>
      <c r="M435" s="77"/>
      <c r="N435" s="77"/>
      <c r="O435" s="78"/>
      <c r="S435" s="148"/>
      <c r="T435"/>
      <c r="U435"/>
    </row>
    <row r="436" spans="1:21" x14ac:dyDescent="0.2">
      <c r="A436" s="73"/>
      <c r="B436" s="73"/>
      <c r="C436" s="74"/>
      <c r="D436" s="75"/>
      <c r="E436" s="85"/>
      <c r="F436" s="161"/>
      <c r="G436" s="76"/>
      <c r="H436" s="87"/>
      <c r="I436" s="75"/>
      <c r="J436" s="75"/>
      <c r="K436" s="75"/>
      <c r="L436" s="88"/>
      <c r="M436" s="77"/>
      <c r="N436" s="77"/>
      <c r="O436" s="78"/>
      <c r="S436" s="148"/>
      <c r="T436"/>
      <c r="U436"/>
    </row>
    <row r="437" spans="1:21" x14ac:dyDescent="0.2">
      <c r="A437" s="73"/>
      <c r="B437" s="73"/>
      <c r="C437" s="74"/>
      <c r="D437" s="75"/>
      <c r="E437" s="85"/>
      <c r="F437" s="161"/>
      <c r="G437" s="76"/>
      <c r="H437" s="87"/>
      <c r="I437" s="75"/>
      <c r="J437" s="75"/>
      <c r="K437" s="75"/>
      <c r="L437" s="88"/>
      <c r="M437" s="77"/>
      <c r="N437" s="77"/>
      <c r="O437" s="78"/>
      <c r="S437" s="148"/>
      <c r="T437"/>
      <c r="U437"/>
    </row>
    <row r="438" spans="1:21" x14ac:dyDescent="0.2">
      <c r="A438" s="73"/>
      <c r="B438" s="73"/>
      <c r="C438" s="74"/>
      <c r="D438" s="75"/>
      <c r="E438" s="85"/>
      <c r="F438" s="161"/>
      <c r="G438" s="76"/>
      <c r="H438" s="87"/>
      <c r="I438" s="75"/>
      <c r="J438" s="75"/>
      <c r="K438" s="75"/>
      <c r="L438" s="88"/>
      <c r="M438" s="77"/>
      <c r="N438" s="77"/>
      <c r="O438" s="78"/>
      <c r="S438" s="148"/>
      <c r="T438"/>
      <c r="U438"/>
    </row>
    <row r="439" spans="1:21" x14ac:dyDescent="0.2">
      <c r="A439" s="73"/>
      <c r="B439" s="73"/>
      <c r="C439" s="74"/>
      <c r="D439" s="75"/>
      <c r="E439" s="85"/>
      <c r="F439" s="161"/>
      <c r="G439" s="76"/>
      <c r="H439" s="87"/>
      <c r="I439" s="75"/>
      <c r="J439" s="75"/>
      <c r="K439" s="75"/>
      <c r="L439" s="88"/>
      <c r="M439" s="77"/>
      <c r="N439" s="77"/>
      <c r="O439" s="78"/>
      <c r="S439" s="148"/>
      <c r="T439"/>
      <c r="U439"/>
    </row>
    <row r="440" spans="1:21" x14ac:dyDescent="0.2">
      <c r="A440" s="73"/>
      <c r="B440" s="73"/>
      <c r="C440" s="74"/>
      <c r="D440" s="75"/>
      <c r="E440" s="85"/>
      <c r="F440" s="161"/>
      <c r="G440" s="76"/>
      <c r="H440" s="87"/>
      <c r="I440" s="75"/>
      <c r="J440" s="75"/>
      <c r="K440" s="75"/>
      <c r="L440" s="88"/>
      <c r="M440" s="77"/>
      <c r="N440" s="77"/>
      <c r="O440" s="78"/>
      <c r="S440" s="148"/>
      <c r="T440"/>
      <c r="U440"/>
    </row>
    <row r="441" spans="1:21" x14ac:dyDescent="0.2">
      <c r="A441" s="73"/>
      <c r="B441" s="73"/>
      <c r="C441" s="74"/>
      <c r="D441" s="75"/>
      <c r="E441" s="85"/>
      <c r="F441" s="161"/>
      <c r="G441" s="76"/>
      <c r="H441" s="87"/>
      <c r="I441" s="75"/>
      <c r="J441" s="75"/>
      <c r="K441" s="75"/>
      <c r="L441" s="88"/>
      <c r="M441" s="77"/>
      <c r="N441" s="77"/>
      <c r="O441" s="78"/>
      <c r="S441" s="148"/>
      <c r="T441"/>
      <c r="U441"/>
    </row>
    <row r="442" spans="1:21" x14ac:dyDescent="0.2">
      <c r="A442" s="73"/>
      <c r="B442" s="73"/>
      <c r="C442" s="74"/>
      <c r="D442" s="75"/>
      <c r="E442" s="85"/>
      <c r="F442" s="161"/>
      <c r="G442" s="76"/>
      <c r="H442" s="87"/>
      <c r="I442" s="75"/>
      <c r="J442" s="75"/>
      <c r="K442" s="75"/>
      <c r="L442" s="88"/>
      <c r="M442" s="77"/>
      <c r="N442" s="77"/>
      <c r="O442" s="78"/>
      <c r="S442" s="148"/>
      <c r="T442"/>
      <c r="U442"/>
    </row>
    <row r="443" spans="1:21" x14ac:dyDescent="0.2">
      <c r="A443" s="73"/>
      <c r="B443" s="73"/>
      <c r="C443" s="74"/>
      <c r="D443" s="75"/>
      <c r="E443" s="85"/>
      <c r="F443" s="161"/>
      <c r="G443" s="76"/>
      <c r="H443" s="87"/>
      <c r="I443" s="75"/>
      <c r="J443" s="75"/>
      <c r="K443" s="75"/>
      <c r="L443" s="88"/>
      <c r="M443" s="77"/>
      <c r="N443" s="77"/>
      <c r="O443" s="78"/>
      <c r="S443" s="148"/>
      <c r="T443"/>
      <c r="U443"/>
    </row>
    <row r="444" spans="1:21" x14ac:dyDescent="0.2">
      <c r="A444" s="73"/>
      <c r="B444" s="73"/>
      <c r="C444" s="74"/>
      <c r="D444" s="75"/>
      <c r="E444" s="85"/>
      <c r="F444" s="161"/>
      <c r="G444" s="76"/>
      <c r="H444" s="87"/>
      <c r="I444" s="75"/>
      <c r="J444" s="75"/>
      <c r="K444" s="75"/>
      <c r="L444" s="88"/>
      <c r="M444" s="77"/>
      <c r="N444" s="77"/>
      <c r="O444" s="78"/>
      <c r="S444" s="148"/>
      <c r="T444"/>
      <c r="U444"/>
    </row>
    <row r="445" spans="1:21" x14ac:dyDescent="0.2">
      <c r="A445" s="73"/>
      <c r="B445" s="73"/>
      <c r="C445" s="74"/>
      <c r="D445" s="75"/>
      <c r="E445" s="85"/>
      <c r="F445" s="161"/>
      <c r="G445" s="76"/>
      <c r="H445" s="87"/>
      <c r="I445" s="75"/>
      <c r="J445" s="75"/>
      <c r="K445" s="75"/>
      <c r="L445" s="88"/>
      <c r="M445" s="77"/>
      <c r="N445" s="77"/>
      <c r="O445" s="78"/>
      <c r="S445" s="148"/>
      <c r="T445"/>
      <c r="U445"/>
    </row>
    <row r="446" spans="1:21" x14ac:dyDescent="0.2">
      <c r="A446" s="73"/>
      <c r="B446" s="73"/>
      <c r="C446" s="74"/>
      <c r="D446" s="75"/>
      <c r="E446" s="85"/>
      <c r="F446" s="161"/>
      <c r="G446" s="76"/>
      <c r="H446" s="87"/>
      <c r="I446" s="75"/>
      <c r="J446" s="75"/>
      <c r="K446" s="75"/>
      <c r="L446" s="88"/>
      <c r="M446" s="77"/>
      <c r="N446" s="77"/>
      <c r="O446" s="78"/>
      <c r="S446" s="148"/>
      <c r="T446"/>
      <c r="U446"/>
    </row>
    <row r="447" spans="1:21" x14ac:dyDescent="0.2">
      <c r="A447" s="73"/>
      <c r="B447" s="73"/>
      <c r="C447" s="74"/>
      <c r="D447" s="75"/>
      <c r="E447" s="85"/>
      <c r="F447" s="161"/>
      <c r="G447" s="76"/>
      <c r="H447" s="87"/>
      <c r="I447" s="75"/>
      <c r="J447" s="75"/>
      <c r="K447" s="75"/>
      <c r="L447" s="88"/>
      <c r="M447" s="77"/>
      <c r="N447" s="77"/>
      <c r="O447" s="78"/>
      <c r="S447" s="148"/>
      <c r="T447"/>
      <c r="U447"/>
    </row>
    <row r="448" spans="1:21" x14ac:dyDescent="0.2">
      <c r="A448" s="73"/>
      <c r="B448" s="73"/>
      <c r="C448" s="74"/>
      <c r="D448" s="75"/>
      <c r="E448" s="85"/>
      <c r="F448" s="161"/>
      <c r="G448" s="76"/>
      <c r="H448" s="87"/>
      <c r="I448" s="75"/>
      <c r="J448" s="75"/>
      <c r="K448" s="75"/>
      <c r="L448" s="88"/>
      <c r="M448" s="77"/>
      <c r="N448" s="77"/>
      <c r="O448" s="78"/>
      <c r="S448" s="148"/>
      <c r="T448"/>
      <c r="U448"/>
    </row>
    <row r="449" spans="1:21" x14ac:dyDescent="0.2">
      <c r="A449" s="73"/>
      <c r="B449" s="73"/>
      <c r="C449" s="74"/>
      <c r="D449" s="75"/>
      <c r="E449" s="85"/>
      <c r="F449" s="161"/>
      <c r="G449" s="76"/>
      <c r="H449" s="87"/>
      <c r="I449" s="75"/>
      <c r="J449" s="75"/>
      <c r="K449" s="75"/>
      <c r="L449" s="88"/>
      <c r="M449" s="77"/>
      <c r="N449" s="77"/>
      <c r="O449" s="78"/>
      <c r="S449" s="148"/>
      <c r="T449"/>
      <c r="U449"/>
    </row>
    <row r="450" spans="1:21" x14ac:dyDescent="0.2">
      <c r="A450" s="73"/>
      <c r="B450" s="73"/>
      <c r="C450" s="74"/>
      <c r="D450" s="75"/>
      <c r="E450" s="85"/>
      <c r="F450" s="161"/>
      <c r="G450" s="76"/>
      <c r="H450" s="87"/>
      <c r="I450" s="75"/>
      <c r="J450" s="75"/>
      <c r="K450" s="75"/>
      <c r="L450" s="88"/>
      <c r="M450" s="77"/>
      <c r="N450" s="77"/>
      <c r="O450" s="78"/>
      <c r="S450" s="148"/>
      <c r="T450"/>
      <c r="U450"/>
    </row>
    <row r="451" spans="1:21" x14ac:dyDescent="0.2">
      <c r="A451" s="73"/>
      <c r="B451" s="73"/>
      <c r="C451" s="74"/>
      <c r="D451" s="75"/>
      <c r="E451" s="85"/>
      <c r="F451" s="161"/>
      <c r="G451" s="76"/>
      <c r="H451" s="87"/>
      <c r="I451" s="75"/>
      <c r="J451" s="75"/>
      <c r="K451" s="75"/>
      <c r="L451" s="88"/>
      <c r="M451" s="77"/>
      <c r="N451" s="77"/>
      <c r="O451" s="78"/>
      <c r="S451" s="148"/>
      <c r="T451"/>
      <c r="U451"/>
    </row>
    <row r="452" spans="1:21" x14ac:dyDescent="0.2">
      <c r="A452" s="73"/>
      <c r="B452" s="73"/>
      <c r="C452" s="74"/>
      <c r="D452" s="75"/>
      <c r="E452" s="85"/>
      <c r="F452" s="161"/>
      <c r="G452" s="76"/>
      <c r="H452" s="87"/>
      <c r="I452" s="75"/>
      <c r="J452" s="75"/>
      <c r="K452" s="75"/>
      <c r="L452" s="88"/>
      <c r="M452" s="77"/>
      <c r="N452" s="77"/>
      <c r="O452" s="78"/>
      <c r="S452" s="148"/>
      <c r="T452"/>
      <c r="U452"/>
    </row>
    <row r="453" spans="1:21" x14ac:dyDescent="0.2">
      <c r="A453" s="73"/>
      <c r="B453" s="73"/>
      <c r="C453" s="74"/>
      <c r="D453" s="75"/>
      <c r="E453" s="85"/>
      <c r="F453" s="161"/>
      <c r="G453" s="76"/>
      <c r="H453" s="87"/>
      <c r="I453" s="75"/>
      <c r="J453" s="75"/>
      <c r="K453" s="75"/>
      <c r="L453" s="88"/>
      <c r="M453" s="77"/>
      <c r="N453" s="77"/>
      <c r="O453" s="78"/>
      <c r="S453" s="148"/>
      <c r="T453"/>
      <c r="U453"/>
    </row>
    <row r="454" spans="1:21" x14ac:dyDescent="0.2">
      <c r="A454" s="73"/>
      <c r="B454" s="73"/>
      <c r="C454" s="74"/>
      <c r="D454" s="75"/>
      <c r="E454" s="85"/>
      <c r="F454" s="161"/>
      <c r="G454" s="76"/>
      <c r="H454" s="87"/>
      <c r="I454" s="75"/>
      <c r="J454" s="75"/>
      <c r="K454" s="75"/>
      <c r="L454" s="88"/>
      <c r="M454" s="77"/>
      <c r="N454" s="77"/>
      <c r="O454" s="78"/>
      <c r="S454" s="148"/>
      <c r="T454"/>
      <c r="U454"/>
    </row>
    <row r="455" spans="1:21" x14ac:dyDescent="0.2">
      <c r="A455" s="73"/>
      <c r="B455" s="73"/>
      <c r="C455" s="74"/>
      <c r="D455" s="75"/>
      <c r="E455" s="85"/>
      <c r="F455" s="161"/>
      <c r="G455" s="76"/>
      <c r="H455" s="87"/>
      <c r="I455" s="75"/>
      <c r="J455" s="75"/>
      <c r="K455" s="75"/>
      <c r="L455" s="88"/>
      <c r="M455" s="77"/>
      <c r="N455" s="77"/>
      <c r="O455" s="78"/>
      <c r="S455" s="148"/>
      <c r="T455"/>
      <c r="U455"/>
    </row>
    <row r="456" spans="1:21" x14ac:dyDescent="0.2">
      <c r="A456" s="73"/>
      <c r="B456" s="73"/>
      <c r="C456" s="74"/>
      <c r="D456" s="75"/>
      <c r="E456" s="85"/>
      <c r="F456" s="161"/>
      <c r="G456" s="76"/>
      <c r="H456" s="87"/>
      <c r="I456" s="75"/>
      <c r="J456" s="75"/>
      <c r="K456" s="75"/>
      <c r="L456" s="88"/>
      <c r="M456" s="77"/>
      <c r="N456" s="77"/>
      <c r="O456" s="78"/>
      <c r="S456" s="148"/>
      <c r="T456"/>
      <c r="U456"/>
    </row>
    <row r="457" spans="1:21" x14ac:dyDescent="0.2">
      <c r="A457" s="73"/>
      <c r="B457" s="73"/>
      <c r="C457" s="74"/>
      <c r="D457" s="75"/>
      <c r="E457" s="85"/>
      <c r="F457" s="161"/>
      <c r="G457" s="76"/>
      <c r="H457" s="87"/>
      <c r="I457" s="75"/>
      <c r="J457" s="75"/>
      <c r="K457" s="75"/>
      <c r="L457" s="88"/>
      <c r="M457" s="77"/>
      <c r="N457" s="77"/>
      <c r="O457" s="78"/>
      <c r="S457" s="148"/>
      <c r="T457"/>
      <c r="U457"/>
    </row>
    <row r="458" spans="1:21" x14ac:dyDescent="0.2">
      <c r="A458" s="73"/>
      <c r="B458" s="73"/>
      <c r="C458" s="74"/>
      <c r="D458" s="75"/>
      <c r="E458" s="85"/>
      <c r="F458" s="161"/>
      <c r="G458" s="76"/>
      <c r="H458" s="87"/>
      <c r="I458" s="75"/>
      <c r="J458" s="75"/>
      <c r="K458" s="75"/>
      <c r="L458" s="88"/>
      <c r="M458" s="77"/>
      <c r="N458" s="77"/>
      <c r="O458" s="78"/>
      <c r="S458" s="148"/>
      <c r="T458"/>
      <c r="U458"/>
    </row>
    <row r="459" spans="1:21" x14ac:dyDescent="0.2">
      <c r="A459" s="73"/>
      <c r="B459" s="73"/>
      <c r="C459" s="74"/>
      <c r="D459" s="75"/>
      <c r="E459" s="85"/>
      <c r="F459" s="161"/>
      <c r="G459" s="76"/>
      <c r="H459" s="87"/>
      <c r="I459" s="75"/>
      <c r="J459" s="75"/>
      <c r="K459" s="75"/>
      <c r="L459" s="88"/>
      <c r="M459" s="77"/>
      <c r="N459" s="77"/>
      <c r="O459" s="78"/>
      <c r="S459" s="148"/>
      <c r="T459"/>
      <c r="U459"/>
    </row>
    <row r="460" spans="1:21" x14ac:dyDescent="0.2">
      <c r="A460" s="73"/>
      <c r="B460" s="73"/>
      <c r="C460" s="74"/>
      <c r="D460" s="75"/>
      <c r="E460" s="85"/>
      <c r="F460" s="161"/>
      <c r="G460" s="76"/>
      <c r="H460" s="87"/>
      <c r="I460" s="75"/>
      <c r="J460" s="75"/>
      <c r="K460" s="75"/>
      <c r="L460" s="88"/>
      <c r="M460" s="77"/>
      <c r="N460" s="77"/>
      <c r="O460" s="78"/>
      <c r="S460" s="148"/>
      <c r="T460"/>
      <c r="U460"/>
    </row>
    <row r="461" spans="1:21" x14ac:dyDescent="0.2">
      <c r="A461" s="73"/>
      <c r="B461" s="73"/>
      <c r="C461" s="74"/>
      <c r="D461" s="75"/>
      <c r="E461" s="85"/>
      <c r="F461" s="161"/>
      <c r="G461" s="76"/>
      <c r="H461" s="87"/>
      <c r="I461" s="75"/>
      <c r="J461" s="75"/>
      <c r="K461" s="75"/>
      <c r="L461" s="88"/>
      <c r="M461" s="77"/>
      <c r="N461" s="77"/>
      <c r="O461" s="78"/>
      <c r="S461" s="148"/>
      <c r="T461"/>
      <c r="U461"/>
    </row>
    <row r="462" spans="1:21" x14ac:dyDescent="0.2">
      <c r="A462" s="73"/>
      <c r="B462" s="73"/>
      <c r="C462" s="74"/>
      <c r="D462" s="75"/>
      <c r="E462" s="85"/>
      <c r="F462" s="161"/>
      <c r="G462" s="76"/>
      <c r="H462" s="87"/>
      <c r="I462" s="75"/>
      <c r="J462" s="75"/>
      <c r="K462" s="75"/>
      <c r="L462" s="88"/>
      <c r="M462" s="77"/>
      <c r="N462" s="77"/>
      <c r="O462" s="78"/>
      <c r="S462" s="148"/>
      <c r="T462"/>
      <c r="U462"/>
    </row>
    <row r="463" spans="1:21" x14ac:dyDescent="0.2">
      <c r="A463" s="73"/>
      <c r="B463" s="73"/>
      <c r="C463" s="74"/>
      <c r="D463" s="75"/>
      <c r="E463" s="85"/>
      <c r="F463" s="161"/>
      <c r="G463" s="76"/>
      <c r="H463" s="87"/>
      <c r="I463" s="75"/>
      <c r="J463" s="75"/>
      <c r="K463" s="75"/>
      <c r="L463" s="88"/>
      <c r="M463" s="77"/>
      <c r="N463" s="77"/>
      <c r="O463" s="78"/>
      <c r="S463" s="148"/>
      <c r="T463"/>
      <c r="U463"/>
    </row>
    <row r="464" spans="1:21" x14ac:dyDescent="0.2">
      <c r="A464" s="73"/>
      <c r="B464" s="73"/>
      <c r="C464" s="74"/>
      <c r="D464" s="75"/>
      <c r="E464" s="85"/>
      <c r="F464" s="161"/>
      <c r="G464" s="76"/>
      <c r="H464" s="87"/>
      <c r="I464" s="75"/>
      <c r="J464" s="75"/>
      <c r="K464" s="75"/>
      <c r="L464" s="88"/>
      <c r="M464" s="77"/>
      <c r="N464" s="77"/>
      <c r="O464" s="78"/>
      <c r="S464" s="148"/>
      <c r="T464"/>
      <c r="U464"/>
    </row>
    <row r="465" spans="1:21" x14ac:dyDescent="0.2">
      <c r="A465" s="73"/>
      <c r="B465" s="73"/>
      <c r="C465" s="74"/>
      <c r="D465" s="75"/>
      <c r="E465" s="85"/>
      <c r="F465" s="161"/>
      <c r="G465" s="76"/>
      <c r="H465" s="87"/>
      <c r="I465" s="75"/>
      <c r="J465" s="75"/>
      <c r="K465" s="75"/>
      <c r="L465" s="88"/>
      <c r="M465" s="77"/>
      <c r="N465" s="77"/>
      <c r="O465" s="78"/>
      <c r="S465" s="148"/>
      <c r="T465"/>
      <c r="U465"/>
    </row>
    <row r="466" spans="1:21" x14ac:dyDescent="0.2">
      <c r="A466" s="73"/>
      <c r="B466" s="73"/>
      <c r="C466" s="74"/>
      <c r="D466" s="75"/>
      <c r="E466" s="85"/>
      <c r="F466" s="161"/>
      <c r="G466" s="76"/>
      <c r="H466" s="87"/>
      <c r="I466" s="75"/>
      <c r="J466" s="75"/>
      <c r="K466" s="75"/>
      <c r="L466" s="88"/>
      <c r="M466" s="77"/>
      <c r="N466" s="77"/>
      <c r="O466" s="78"/>
      <c r="S466" s="148"/>
      <c r="T466"/>
      <c r="U466"/>
    </row>
    <row r="467" spans="1:21" x14ac:dyDescent="0.2">
      <c r="A467" s="73"/>
      <c r="B467" s="73"/>
      <c r="C467" s="74"/>
      <c r="D467" s="75"/>
      <c r="E467" s="85"/>
      <c r="F467" s="161"/>
      <c r="G467" s="76"/>
      <c r="H467" s="87"/>
      <c r="I467" s="75"/>
      <c r="J467" s="75"/>
      <c r="K467" s="75"/>
      <c r="L467" s="88"/>
      <c r="M467" s="77"/>
      <c r="N467" s="77"/>
      <c r="O467" s="78"/>
      <c r="S467" s="148"/>
      <c r="T467"/>
      <c r="U467"/>
    </row>
    <row r="468" spans="1:21" x14ac:dyDescent="0.2">
      <c r="A468" s="73"/>
      <c r="B468" s="73"/>
      <c r="C468" s="74"/>
      <c r="D468" s="75"/>
      <c r="E468" s="85"/>
      <c r="F468" s="161"/>
      <c r="G468" s="76"/>
      <c r="H468" s="87"/>
      <c r="I468" s="75"/>
      <c r="J468" s="75"/>
      <c r="K468" s="75"/>
      <c r="L468" s="163"/>
      <c r="M468" s="77"/>
      <c r="N468" s="77"/>
      <c r="O468" s="78"/>
      <c r="S468" s="148"/>
      <c r="T468"/>
      <c r="U468"/>
    </row>
    <row r="469" spans="1:21" x14ac:dyDescent="0.2">
      <c r="A469" s="73"/>
      <c r="B469" s="73"/>
      <c r="C469" s="74"/>
      <c r="D469" s="75"/>
      <c r="E469" s="85"/>
      <c r="F469" s="161"/>
      <c r="G469" s="76"/>
      <c r="H469" s="87"/>
      <c r="I469" s="75"/>
      <c r="J469" s="75"/>
      <c r="K469" s="75"/>
      <c r="L469" s="88"/>
      <c r="M469" s="77"/>
      <c r="N469" s="77"/>
      <c r="O469" s="78"/>
      <c r="S469" s="148"/>
      <c r="T469"/>
      <c r="U469"/>
    </row>
    <row r="470" spans="1:21" x14ac:dyDescent="0.2">
      <c r="A470" s="73"/>
      <c r="B470" s="73"/>
      <c r="C470" s="74"/>
      <c r="D470" s="75"/>
      <c r="E470" s="85"/>
      <c r="F470" s="161"/>
      <c r="G470" s="76"/>
      <c r="H470" s="87"/>
      <c r="I470" s="75"/>
      <c r="J470" s="75"/>
      <c r="K470" s="75"/>
      <c r="L470" s="88"/>
      <c r="M470" s="77"/>
      <c r="N470" s="77"/>
      <c r="O470" s="78"/>
      <c r="S470" s="148"/>
      <c r="T470"/>
      <c r="U470"/>
    </row>
    <row r="471" spans="1:21" x14ac:dyDescent="0.2">
      <c r="A471" s="73"/>
      <c r="B471" s="73"/>
      <c r="C471" s="74"/>
      <c r="D471" s="75"/>
      <c r="E471" s="85"/>
      <c r="F471" s="161"/>
      <c r="G471" s="76"/>
      <c r="H471" s="87"/>
      <c r="I471" s="75"/>
      <c r="J471" s="75"/>
      <c r="K471" s="75"/>
      <c r="L471" s="88"/>
      <c r="M471" s="77"/>
      <c r="N471" s="77"/>
      <c r="O471" s="78"/>
      <c r="S471" s="148"/>
      <c r="T471"/>
      <c r="U471"/>
    </row>
    <row r="472" spans="1:21" x14ac:dyDescent="0.2">
      <c r="A472" s="73"/>
      <c r="B472" s="73"/>
      <c r="C472" s="74"/>
      <c r="D472" s="75"/>
      <c r="E472" s="85"/>
      <c r="F472" s="161"/>
      <c r="G472" s="76"/>
      <c r="H472" s="87"/>
      <c r="I472" s="75"/>
      <c r="J472" s="75"/>
      <c r="K472" s="75"/>
      <c r="L472" s="88"/>
      <c r="M472" s="77"/>
      <c r="N472" s="77"/>
      <c r="O472" s="78"/>
      <c r="S472" s="148"/>
      <c r="T472"/>
      <c r="U472"/>
    </row>
    <row r="473" spans="1:21" x14ac:dyDescent="0.2">
      <c r="A473" s="73"/>
      <c r="B473" s="73"/>
      <c r="C473" s="74"/>
      <c r="D473" s="75"/>
      <c r="E473" s="85"/>
      <c r="F473" s="161"/>
      <c r="G473" s="76"/>
      <c r="H473" s="87"/>
      <c r="I473" s="75"/>
      <c r="J473" s="75"/>
      <c r="K473" s="75"/>
      <c r="L473" s="88"/>
      <c r="M473" s="77"/>
      <c r="N473" s="77"/>
      <c r="O473" s="78"/>
      <c r="S473" s="148"/>
      <c r="T473"/>
      <c r="U473"/>
    </row>
    <row r="474" spans="1:21" x14ac:dyDescent="0.2">
      <c r="A474" s="73"/>
      <c r="B474" s="73"/>
      <c r="C474" s="74"/>
      <c r="D474" s="75"/>
      <c r="E474" s="85"/>
      <c r="F474" s="161"/>
      <c r="G474" s="76"/>
      <c r="H474" s="87"/>
      <c r="I474" s="75"/>
      <c r="J474" s="75"/>
      <c r="K474" s="75"/>
      <c r="L474" s="88"/>
      <c r="M474" s="77"/>
      <c r="N474" s="77"/>
      <c r="O474" s="78"/>
      <c r="S474" s="148"/>
      <c r="T474"/>
      <c r="U474"/>
    </row>
    <row r="475" spans="1:21" x14ac:dyDescent="0.2">
      <c r="A475" s="73"/>
      <c r="B475" s="73"/>
      <c r="C475" s="74"/>
      <c r="D475" s="75"/>
      <c r="E475" s="85"/>
      <c r="F475" s="161"/>
      <c r="G475" s="76"/>
      <c r="H475" s="87"/>
      <c r="I475" s="75"/>
      <c r="J475" s="75"/>
      <c r="K475" s="75"/>
      <c r="L475" s="88"/>
      <c r="M475" s="77"/>
      <c r="N475" s="77"/>
      <c r="O475" s="78"/>
      <c r="S475" s="148"/>
      <c r="T475"/>
      <c r="U475"/>
    </row>
    <row r="476" spans="1:21" x14ac:dyDescent="0.2">
      <c r="A476" s="73"/>
      <c r="B476" s="73"/>
      <c r="C476" s="74"/>
      <c r="D476" s="75"/>
      <c r="E476" s="85"/>
      <c r="F476" s="161"/>
      <c r="G476" s="76"/>
      <c r="H476" s="87"/>
      <c r="I476" s="75"/>
      <c r="J476" s="75"/>
      <c r="K476" s="75"/>
      <c r="L476" s="88"/>
      <c r="M476" s="77"/>
      <c r="N476" s="77"/>
      <c r="O476" s="78"/>
      <c r="S476" s="148"/>
      <c r="T476"/>
      <c r="U476"/>
    </row>
    <row r="477" spans="1:21" x14ac:dyDescent="0.2">
      <c r="A477" s="73"/>
      <c r="B477" s="73"/>
      <c r="C477" s="74"/>
      <c r="D477" s="75"/>
      <c r="E477" s="85"/>
      <c r="F477" s="161"/>
      <c r="G477" s="76"/>
      <c r="H477" s="87"/>
      <c r="I477" s="75"/>
      <c r="J477" s="75"/>
      <c r="K477" s="75"/>
      <c r="L477" s="88"/>
      <c r="M477" s="77"/>
      <c r="N477" s="77"/>
      <c r="O477" s="78"/>
      <c r="S477" s="148"/>
      <c r="T477"/>
      <c r="U477"/>
    </row>
    <row r="478" spans="1:21" x14ac:dyDescent="0.2">
      <c r="A478" s="73"/>
      <c r="B478" s="73"/>
      <c r="C478" s="74"/>
      <c r="D478" s="75"/>
      <c r="E478" s="85"/>
      <c r="F478" s="161"/>
      <c r="G478" s="76"/>
      <c r="H478" s="87"/>
      <c r="I478" s="75"/>
      <c r="J478" s="75"/>
      <c r="K478" s="75"/>
      <c r="L478" s="88"/>
      <c r="M478" s="77"/>
      <c r="N478" s="77"/>
      <c r="O478" s="78"/>
      <c r="S478" s="148"/>
      <c r="T478"/>
      <c r="U478"/>
    </row>
    <row r="479" spans="1:21" x14ac:dyDescent="0.2">
      <c r="A479" s="73"/>
      <c r="B479" s="73"/>
      <c r="C479" s="74"/>
      <c r="D479" s="75"/>
      <c r="E479" s="85"/>
      <c r="F479" s="161"/>
      <c r="G479" s="76"/>
      <c r="H479" s="87"/>
      <c r="I479" s="75"/>
      <c r="J479" s="75"/>
      <c r="K479" s="75"/>
      <c r="L479" s="88"/>
      <c r="M479" s="77"/>
      <c r="N479" s="77"/>
      <c r="O479" s="78"/>
      <c r="S479" s="148"/>
      <c r="T479"/>
      <c r="U479"/>
    </row>
    <row r="480" spans="1:21" x14ac:dyDescent="0.2">
      <c r="A480" s="73"/>
      <c r="B480" s="73"/>
      <c r="C480" s="74"/>
      <c r="D480" s="75"/>
      <c r="E480" s="85"/>
      <c r="F480" s="161"/>
      <c r="G480" s="76"/>
      <c r="H480" s="87"/>
      <c r="I480" s="75"/>
      <c r="J480" s="75"/>
      <c r="K480" s="75"/>
      <c r="L480" s="88"/>
      <c r="M480" s="77"/>
      <c r="N480" s="77"/>
      <c r="O480" s="78"/>
      <c r="S480" s="148"/>
      <c r="T480"/>
      <c r="U480"/>
    </row>
    <row r="481" spans="1:21" x14ac:dyDescent="0.2">
      <c r="A481" s="73"/>
      <c r="B481" s="73"/>
      <c r="C481" s="74"/>
      <c r="D481" s="75"/>
      <c r="E481" s="85"/>
      <c r="F481" s="161"/>
      <c r="G481" s="76"/>
      <c r="H481" s="87"/>
      <c r="I481" s="75"/>
      <c r="J481" s="75"/>
      <c r="K481" s="75"/>
      <c r="L481" s="88"/>
      <c r="M481" s="77"/>
      <c r="N481" s="77"/>
      <c r="O481" s="78"/>
      <c r="S481" s="148"/>
      <c r="T481"/>
      <c r="U481"/>
    </row>
    <row r="482" spans="1:21" x14ac:dyDescent="0.2">
      <c r="A482" s="73"/>
      <c r="B482" s="73"/>
      <c r="C482" s="74"/>
      <c r="D482" s="75"/>
      <c r="E482" s="85"/>
      <c r="F482" s="161"/>
      <c r="G482" s="76"/>
      <c r="H482" s="87"/>
      <c r="I482" s="75"/>
      <c r="J482" s="75"/>
      <c r="K482" s="75"/>
      <c r="L482" s="88"/>
      <c r="M482" s="77"/>
      <c r="N482" s="77"/>
      <c r="O482" s="78"/>
      <c r="S482" s="148"/>
      <c r="T482"/>
      <c r="U482"/>
    </row>
    <row r="483" spans="1:21" x14ac:dyDescent="0.2">
      <c r="A483" s="73"/>
      <c r="B483" s="73"/>
      <c r="C483" s="74"/>
      <c r="D483" s="75"/>
      <c r="E483" s="85"/>
      <c r="F483" s="161"/>
      <c r="G483" s="76"/>
      <c r="H483" s="87"/>
      <c r="I483" s="75"/>
      <c r="J483" s="75"/>
      <c r="K483" s="75"/>
      <c r="L483" s="88"/>
      <c r="M483" s="77"/>
      <c r="N483" s="77"/>
      <c r="O483" s="78"/>
      <c r="S483" s="148"/>
      <c r="T483"/>
      <c r="U483"/>
    </row>
    <row r="484" spans="1:21" x14ac:dyDescent="0.2">
      <c r="A484" s="73"/>
      <c r="B484" s="73"/>
      <c r="C484" s="74"/>
      <c r="D484" s="75"/>
      <c r="E484" s="85"/>
      <c r="F484" s="161"/>
      <c r="G484" s="76"/>
      <c r="H484" s="87"/>
      <c r="I484" s="75"/>
      <c r="J484" s="75"/>
      <c r="K484" s="75"/>
      <c r="L484" s="88"/>
      <c r="M484" s="77"/>
      <c r="N484" s="77"/>
      <c r="O484" s="78"/>
      <c r="S484" s="148"/>
      <c r="T484"/>
      <c r="U484"/>
    </row>
    <row r="485" spans="1:21" x14ac:dyDescent="0.2">
      <c r="A485" s="73"/>
      <c r="B485" s="73"/>
      <c r="C485" s="74"/>
      <c r="D485" s="75"/>
      <c r="E485" s="85"/>
      <c r="F485" s="161"/>
      <c r="G485" s="76"/>
      <c r="H485" s="87"/>
      <c r="I485" s="75"/>
      <c r="J485" s="75"/>
      <c r="K485" s="75"/>
      <c r="L485" s="88"/>
      <c r="M485" s="77"/>
      <c r="N485" s="77"/>
      <c r="O485" s="78"/>
      <c r="S485" s="148"/>
      <c r="T485"/>
      <c r="U485"/>
    </row>
    <row r="486" spans="1:21" x14ac:dyDescent="0.2">
      <c r="A486" s="73"/>
      <c r="B486" s="73"/>
      <c r="C486" s="74"/>
      <c r="D486" s="75"/>
      <c r="E486" s="85"/>
      <c r="F486" s="161"/>
      <c r="G486" s="76"/>
      <c r="H486" s="87"/>
      <c r="I486" s="75"/>
      <c r="J486" s="75"/>
      <c r="K486" s="75"/>
      <c r="L486" s="88"/>
      <c r="M486" s="77"/>
      <c r="N486" s="77"/>
      <c r="O486" s="78"/>
      <c r="S486" s="148"/>
      <c r="T486"/>
      <c r="U486"/>
    </row>
    <row r="487" spans="1:21" x14ac:dyDescent="0.2">
      <c r="A487" s="73"/>
      <c r="B487" s="73"/>
      <c r="C487" s="74"/>
      <c r="D487" s="75"/>
      <c r="E487" s="85"/>
      <c r="F487" s="161"/>
      <c r="G487" s="76"/>
      <c r="H487" s="87"/>
      <c r="I487" s="75"/>
      <c r="J487" s="75"/>
      <c r="K487" s="75"/>
      <c r="L487" s="88"/>
      <c r="M487" s="77"/>
      <c r="N487" s="77"/>
      <c r="O487" s="78"/>
      <c r="S487" s="148"/>
      <c r="T487"/>
      <c r="U487"/>
    </row>
    <row r="488" spans="1:21" x14ac:dyDescent="0.2">
      <c r="A488" s="73"/>
      <c r="B488" s="73"/>
      <c r="C488" s="74"/>
      <c r="D488" s="75"/>
      <c r="E488" s="85"/>
      <c r="F488" s="161"/>
      <c r="G488" s="76"/>
      <c r="H488" s="87"/>
      <c r="I488" s="75"/>
      <c r="J488" s="75"/>
      <c r="K488" s="75"/>
      <c r="L488" s="88"/>
      <c r="M488" s="77"/>
      <c r="N488" s="77"/>
      <c r="O488" s="78"/>
      <c r="S488" s="148"/>
      <c r="T488"/>
      <c r="U488"/>
    </row>
    <row r="489" spans="1:21" x14ac:dyDescent="0.2">
      <c r="A489" s="73"/>
      <c r="B489" s="73"/>
      <c r="C489" s="74"/>
      <c r="D489" s="75"/>
      <c r="E489" s="85"/>
      <c r="F489" s="161"/>
      <c r="G489" s="76"/>
      <c r="H489" s="87"/>
      <c r="I489" s="75"/>
      <c r="J489" s="75"/>
      <c r="K489" s="75"/>
      <c r="L489" s="88"/>
      <c r="M489" s="77"/>
      <c r="N489" s="77"/>
      <c r="O489" s="78"/>
      <c r="S489" s="148"/>
      <c r="T489"/>
      <c r="U489"/>
    </row>
    <row r="490" spans="1:21" x14ac:dyDescent="0.2">
      <c r="A490" s="73"/>
      <c r="B490" s="73"/>
      <c r="C490" s="74"/>
      <c r="D490" s="75"/>
      <c r="E490" s="85"/>
      <c r="F490" s="161"/>
      <c r="G490" s="76"/>
      <c r="H490" s="87"/>
      <c r="I490" s="75"/>
      <c r="J490" s="75"/>
      <c r="K490" s="75"/>
      <c r="L490" s="88"/>
      <c r="M490" s="77"/>
      <c r="N490" s="77"/>
      <c r="O490" s="78"/>
      <c r="S490" s="148"/>
      <c r="T490"/>
      <c r="U490"/>
    </row>
    <row r="491" spans="1:21" x14ac:dyDescent="0.2">
      <c r="A491" s="73"/>
      <c r="B491" s="73"/>
      <c r="C491" s="74"/>
      <c r="D491" s="75"/>
      <c r="E491" s="85"/>
      <c r="F491" s="161"/>
      <c r="G491" s="76"/>
      <c r="H491" s="87"/>
      <c r="I491" s="75"/>
      <c r="J491" s="75"/>
      <c r="K491" s="75"/>
      <c r="L491" s="88"/>
      <c r="M491" s="77"/>
      <c r="N491" s="77"/>
      <c r="O491" s="78"/>
      <c r="S491" s="148"/>
      <c r="T491"/>
      <c r="U491"/>
    </row>
    <row r="492" spans="1:21" x14ac:dyDescent="0.2">
      <c r="A492" s="73"/>
      <c r="B492" s="73"/>
      <c r="C492" s="74"/>
      <c r="D492" s="75"/>
      <c r="E492" s="85"/>
      <c r="F492" s="161"/>
      <c r="G492" s="76"/>
      <c r="H492" s="87"/>
      <c r="I492" s="75"/>
      <c r="J492" s="75"/>
      <c r="K492" s="75"/>
      <c r="L492" s="88"/>
      <c r="M492" s="77"/>
      <c r="N492" s="77"/>
      <c r="O492" s="78"/>
      <c r="S492" s="148"/>
      <c r="T492"/>
      <c r="U492"/>
    </row>
    <row r="493" spans="1:21" x14ac:dyDescent="0.2">
      <c r="A493" s="73"/>
      <c r="B493" s="73"/>
      <c r="C493" s="74"/>
      <c r="D493" s="75"/>
      <c r="E493" s="85"/>
      <c r="F493" s="161"/>
      <c r="G493" s="76"/>
      <c r="H493" s="87"/>
      <c r="I493" s="75"/>
      <c r="J493" s="75"/>
      <c r="K493" s="75"/>
      <c r="L493" s="88"/>
      <c r="M493" s="77"/>
      <c r="N493" s="77"/>
      <c r="O493" s="78"/>
      <c r="S493" s="148"/>
      <c r="T493"/>
      <c r="U493"/>
    </row>
    <row r="494" spans="1:21" x14ac:dyDescent="0.2">
      <c r="A494" s="73"/>
      <c r="B494" s="73"/>
      <c r="C494" s="74"/>
      <c r="D494" s="75"/>
      <c r="E494" s="85"/>
      <c r="F494" s="161"/>
      <c r="G494" s="76"/>
      <c r="H494" s="87"/>
      <c r="I494" s="75"/>
      <c r="J494" s="75"/>
      <c r="K494" s="75"/>
      <c r="L494" s="88"/>
      <c r="M494" s="77"/>
      <c r="N494" s="77"/>
      <c r="O494" s="78"/>
      <c r="S494" s="148"/>
      <c r="T494"/>
      <c r="U494"/>
    </row>
    <row r="495" spans="1:21" x14ac:dyDescent="0.2">
      <c r="A495" s="73"/>
      <c r="B495" s="73"/>
      <c r="C495" s="74"/>
      <c r="D495" s="75"/>
      <c r="E495" s="85"/>
      <c r="F495" s="161"/>
      <c r="G495" s="76"/>
      <c r="H495" s="87"/>
      <c r="I495" s="75"/>
      <c r="J495" s="75"/>
      <c r="K495" s="75"/>
      <c r="L495" s="88"/>
      <c r="M495" s="77"/>
      <c r="N495" s="77"/>
      <c r="O495" s="78"/>
      <c r="S495" s="148"/>
      <c r="T495"/>
      <c r="U495"/>
    </row>
    <row r="496" spans="1:21" x14ac:dyDescent="0.2">
      <c r="A496" s="73"/>
      <c r="B496" s="73"/>
      <c r="C496" s="74"/>
      <c r="D496" s="75"/>
      <c r="E496" s="85"/>
      <c r="F496" s="161"/>
      <c r="G496" s="76"/>
      <c r="H496" s="87"/>
      <c r="I496" s="75"/>
      <c r="J496" s="75"/>
      <c r="K496" s="75"/>
      <c r="L496" s="88"/>
      <c r="M496" s="77"/>
      <c r="N496" s="77"/>
      <c r="O496" s="78"/>
      <c r="S496" s="148"/>
      <c r="T496"/>
      <c r="U496"/>
    </row>
    <row r="497" spans="1:21" x14ac:dyDescent="0.2">
      <c r="A497" s="73"/>
      <c r="B497" s="73"/>
      <c r="C497" s="74"/>
      <c r="D497" s="75"/>
      <c r="E497" s="85"/>
      <c r="F497" s="161"/>
      <c r="G497" s="76"/>
      <c r="H497" s="87"/>
      <c r="I497" s="75"/>
      <c r="J497" s="75"/>
      <c r="K497" s="75"/>
      <c r="L497" s="88"/>
      <c r="M497" s="77"/>
      <c r="N497" s="77"/>
      <c r="O497" s="78"/>
      <c r="S497" s="148"/>
      <c r="T497"/>
      <c r="U497"/>
    </row>
    <row r="498" spans="1:21" x14ac:dyDescent="0.2">
      <c r="A498" s="73"/>
      <c r="B498" s="73"/>
      <c r="C498" s="74"/>
      <c r="D498" s="75"/>
      <c r="E498" s="85"/>
      <c r="F498" s="161"/>
      <c r="G498" s="76"/>
      <c r="H498" s="87"/>
      <c r="I498" s="75"/>
      <c r="J498" s="75"/>
      <c r="K498" s="75"/>
      <c r="L498" s="88"/>
      <c r="M498" s="77"/>
      <c r="N498" s="77"/>
      <c r="O498" s="78"/>
      <c r="S498" s="148"/>
      <c r="T498"/>
      <c r="U498"/>
    </row>
    <row r="499" spans="1:21" x14ac:dyDescent="0.2">
      <c r="A499" s="73"/>
      <c r="B499" s="73"/>
      <c r="C499" s="74"/>
      <c r="D499" s="75"/>
      <c r="E499" s="85"/>
      <c r="F499" s="161"/>
      <c r="G499" s="76"/>
      <c r="H499" s="87"/>
      <c r="I499" s="75"/>
      <c r="J499" s="75"/>
      <c r="K499" s="75"/>
      <c r="L499" s="88"/>
      <c r="M499" s="77"/>
      <c r="N499" s="77"/>
      <c r="O499" s="78"/>
      <c r="S499" s="148"/>
      <c r="T499"/>
      <c r="U499"/>
    </row>
    <row r="500" spans="1:21" x14ac:dyDescent="0.2">
      <c r="A500" s="73"/>
      <c r="B500" s="73"/>
      <c r="C500" s="74"/>
      <c r="D500" s="75"/>
      <c r="E500" s="85"/>
      <c r="F500" s="161"/>
      <c r="G500" s="76"/>
      <c r="H500" s="87"/>
      <c r="I500" s="75"/>
      <c r="J500" s="75"/>
      <c r="K500" s="75"/>
      <c r="L500" s="88"/>
      <c r="M500" s="77"/>
      <c r="N500" s="77"/>
      <c r="O500" s="78"/>
      <c r="S500" s="148"/>
      <c r="T500"/>
      <c r="U500"/>
    </row>
    <row r="501" spans="1:21" x14ac:dyDescent="0.2">
      <c r="A501" s="73"/>
      <c r="B501" s="73"/>
      <c r="C501" s="74"/>
      <c r="D501" s="75"/>
      <c r="E501" s="85"/>
      <c r="F501" s="161"/>
      <c r="G501" s="76"/>
      <c r="H501" s="87"/>
      <c r="I501" s="75"/>
      <c r="J501" s="75"/>
      <c r="K501" s="75"/>
      <c r="L501" s="88"/>
      <c r="M501" s="77"/>
      <c r="N501" s="77"/>
      <c r="O501" s="78"/>
      <c r="S501" s="148"/>
      <c r="T501"/>
      <c r="U501"/>
    </row>
    <row r="502" spans="1:21" x14ac:dyDescent="0.2">
      <c r="A502" s="73"/>
      <c r="B502" s="73"/>
      <c r="C502" s="74"/>
      <c r="D502" s="75"/>
      <c r="E502" s="85"/>
      <c r="F502" s="161"/>
      <c r="G502" s="76"/>
      <c r="H502" s="87"/>
      <c r="I502" s="75"/>
      <c r="J502" s="75"/>
      <c r="K502" s="75"/>
      <c r="L502" s="88"/>
      <c r="M502" s="77"/>
      <c r="N502" s="77"/>
      <c r="O502" s="78"/>
      <c r="S502" s="148"/>
      <c r="T502"/>
      <c r="U502"/>
    </row>
    <row r="503" spans="1:21" x14ac:dyDescent="0.2">
      <c r="A503" s="73"/>
      <c r="B503" s="73"/>
      <c r="C503" s="74"/>
      <c r="D503" s="75"/>
      <c r="E503" s="85"/>
      <c r="F503" s="161"/>
      <c r="G503" s="76"/>
      <c r="H503" s="87"/>
      <c r="I503" s="75"/>
      <c r="J503" s="75"/>
      <c r="K503" s="75"/>
      <c r="L503" s="88"/>
      <c r="M503" s="77"/>
      <c r="N503" s="77"/>
      <c r="O503" s="78"/>
      <c r="S503" s="148"/>
      <c r="T503"/>
      <c r="U503"/>
    </row>
    <row r="504" spans="1:21" x14ac:dyDescent="0.2">
      <c r="A504" s="73"/>
      <c r="B504" s="73"/>
      <c r="C504" s="74"/>
      <c r="D504" s="75"/>
      <c r="E504" s="85"/>
      <c r="F504" s="161"/>
      <c r="G504" s="76"/>
      <c r="H504" s="87"/>
      <c r="I504" s="75"/>
      <c r="J504" s="75"/>
      <c r="K504" s="75"/>
      <c r="L504" s="88"/>
      <c r="M504" s="77"/>
      <c r="N504" s="77"/>
      <c r="O504" s="78"/>
      <c r="S504" s="148"/>
      <c r="T504"/>
      <c r="U504"/>
    </row>
    <row r="505" spans="1:21" x14ac:dyDescent="0.2">
      <c r="A505" s="73"/>
      <c r="B505" s="73"/>
      <c r="C505" s="74"/>
      <c r="D505" s="75"/>
      <c r="E505" s="85"/>
      <c r="F505" s="161"/>
      <c r="G505" s="76"/>
      <c r="H505" s="87"/>
      <c r="I505" s="75"/>
      <c r="J505" s="75"/>
      <c r="K505" s="75"/>
      <c r="L505" s="88"/>
      <c r="M505" s="77"/>
      <c r="N505" s="77"/>
      <c r="O505" s="78"/>
      <c r="S505" s="148"/>
      <c r="T505"/>
      <c r="U505"/>
    </row>
    <row r="506" spans="1:21" x14ac:dyDescent="0.2">
      <c r="A506" s="73"/>
      <c r="B506" s="73"/>
      <c r="C506" s="74"/>
      <c r="D506" s="75"/>
      <c r="E506" s="85"/>
      <c r="F506" s="161"/>
      <c r="G506" s="76"/>
      <c r="H506" s="87"/>
      <c r="I506" s="75"/>
      <c r="J506" s="75"/>
      <c r="K506" s="75"/>
      <c r="L506" s="88"/>
      <c r="M506" s="77"/>
      <c r="N506" s="77"/>
      <c r="O506" s="78"/>
      <c r="S506" s="148"/>
      <c r="T506"/>
      <c r="U506"/>
    </row>
    <row r="507" spans="1:21" x14ac:dyDescent="0.2">
      <c r="A507" s="73"/>
      <c r="B507" s="73"/>
      <c r="C507" s="74"/>
      <c r="D507" s="75"/>
      <c r="E507" s="85"/>
      <c r="F507" s="161"/>
      <c r="G507" s="76"/>
      <c r="H507" s="87"/>
      <c r="I507" s="75"/>
      <c r="J507" s="75"/>
      <c r="K507" s="75"/>
      <c r="L507" s="88"/>
      <c r="M507" s="77"/>
      <c r="N507" s="77"/>
      <c r="O507" s="78"/>
      <c r="S507" s="148"/>
      <c r="T507"/>
      <c r="U507"/>
    </row>
    <row r="508" spans="1:21" x14ac:dyDescent="0.2">
      <c r="A508" s="73"/>
      <c r="B508" s="73"/>
      <c r="C508" s="74"/>
      <c r="D508" s="75"/>
      <c r="E508" s="85"/>
      <c r="F508" s="161"/>
      <c r="G508" s="76"/>
      <c r="H508" s="87"/>
      <c r="I508" s="75"/>
      <c r="J508" s="75"/>
      <c r="K508" s="75"/>
      <c r="L508" s="88"/>
      <c r="M508" s="77"/>
      <c r="N508" s="77"/>
      <c r="O508" s="78"/>
      <c r="S508" s="148"/>
      <c r="T508"/>
      <c r="U508"/>
    </row>
    <row r="509" spans="1:21" x14ac:dyDescent="0.2">
      <c r="A509" s="73"/>
      <c r="B509" s="73"/>
      <c r="C509" s="74"/>
      <c r="D509" s="75"/>
      <c r="E509" s="85"/>
      <c r="F509" s="161"/>
      <c r="G509" s="76"/>
      <c r="H509" s="87"/>
      <c r="I509" s="75"/>
      <c r="J509" s="75"/>
      <c r="K509" s="75"/>
      <c r="L509" s="88"/>
      <c r="M509" s="77"/>
      <c r="N509" s="77"/>
      <c r="O509" s="78"/>
      <c r="S509" s="148"/>
      <c r="T509"/>
      <c r="U509"/>
    </row>
    <row r="510" spans="1:21" x14ac:dyDescent="0.2">
      <c r="A510" s="73"/>
      <c r="B510" s="73"/>
      <c r="C510" s="74"/>
      <c r="D510" s="75"/>
      <c r="E510" s="85"/>
      <c r="F510" s="161"/>
      <c r="G510" s="76"/>
      <c r="H510" s="87"/>
      <c r="I510" s="75"/>
      <c r="J510" s="75"/>
      <c r="K510" s="75"/>
      <c r="L510" s="88"/>
      <c r="M510" s="77"/>
      <c r="N510" s="77"/>
      <c r="O510" s="78"/>
      <c r="S510" s="148"/>
      <c r="T510"/>
      <c r="U510"/>
    </row>
    <row r="511" spans="1:21" x14ac:dyDescent="0.2">
      <c r="A511" s="73"/>
      <c r="B511" s="73"/>
      <c r="C511" s="74"/>
      <c r="D511" s="75"/>
      <c r="E511" s="85"/>
      <c r="F511" s="161"/>
      <c r="G511" s="76"/>
      <c r="H511" s="87"/>
      <c r="I511" s="75"/>
      <c r="J511" s="75"/>
      <c r="K511" s="75"/>
      <c r="L511" s="88"/>
      <c r="M511" s="77"/>
      <c r="N511" s="77"/>
      <c r="O511" s="78"/>
      <c r="S511" s="148"/>
      <c r="T511"/>
      <c r="U511"/>
    </row>
    <row r="512" spans="1:21" x14ac:dyDescent="0.2">
      <c r="A512" s="73"/>
      <c r="B512" s="73"/>
      <c r="C512" s="74"/>
      <c r="D512" s="75"/>
      <c r="E512" s="85"/>
      <c r="F512" s="161"/>
      <c r="G512" s="76"/>
      <c r="H512" s="87"/>
      <c r="I512" s="75"/>
      <c r="J512" s="75"/>
      <c r="K512" s="75"/>
      <c r="L512" s="88"/>
      <c r="M512" s="77"/>
      <c r="N512" s="77"/>
      <c r="O512" s="78"/>
      <c r="S512" s="148"/>
      <c r="T512"/>
      <c r="U512"/>
    </row>
    <row r="513" spans="1:21" x14ac:dyDescent="0.2">
      <c r="A513" s="73"/>
      <c r="B513" s="73"/>
      <c r="C513" s="74"/>
      <c r="D513" s="75"/>
      <c r="E513" s="85"/>
      <c r="F513" s="161"/>
      <c r="G513" s="76"/>
      <c r="H513" s="87"/>
      <c r="I513" s="75"/>
      <c r="J513" s="75"/>
      <c r="K513" s="75"/>
      <c r="L513" s="88"/>
      <c r="M513" s="77"/>
      <c r="N513" s="77"/>
      <c r="O513" s="78"/>
      <c r="S513" s="148"/>
      <c r="T513"/>
      <c r="U513"/>
    </row>
    <row r="514" spans="1:21" x14ac:dyDescent="0.2">
      <c r="A514" s="73"/>
      <c r="B514" s="73"/>
      <c r="C514" s="74"/>
      <c r="D514" s="75"/>
      <c r="E514" s="85"/>
      <c r="F514" s="161"/>
      <c r="G514" s="76"/>
      <c r="H514" s="87"/>
      <c r="I514" s="75"/>
      <c r="J514" s="75"/>
      <c r="K514" s="75"/>
      <c r="L514" s="88"/>
      <c r="M514" s="77"/>
      <c r="N514" s="77"/>
      <c r="O514" s="78"/>
      <c r="S514" s="148"/>
      <c r="T514"/>
      <c r="U514"/>
    </row>
    <row r="515" spans="1:21" x14ac:dyDescent="0.2">
      <c r="A515" s="73"/>
      <c r="B515" s="73"/>
      <c r="C515" s="74"/>
      <c r="D515" s="75"/>
      <c r="E515" s="85"/>
      <c r="F515" s="161"/>
      <c r="G515" s="76"/>
      <c r="H515" s="87"/>
      <c r="I515" s="75"/>
      <c r="J515" s="75"/>
      <c r="K515" s="75"/>
      <c r="L515" s="88"/>
      <c r="M515" s="77"/>
      <c r="N515" s="77"/>
      <c r="O515" s="78"/>
      <c r="S515" s="148"/>
      <c r="T515"/>
      <c r="U515"/>
    </row>
    <row r="516" spans="1:21" x14ac:dyDescent="0.2">
      <c r="A516" s="73"/>
      <c r="B516" s="73"/>
      <c r="C516" s="74"/>
      <c r="D516" s="75"/>
      <c r="E516" s="85"/>
      <c r="F516" s="161"/>
      <c r="G516" s="76"/>
      <c r="H516" s="87"/>
      <c r="I516" s="75"/>
      <c r="J516" s="75"/>
      <c r="K516" s="75"/>
      <c r="L516" s="88"/>
      <c r="M516" s="77"/>
      <c r="N516" s="77"/>
      <c r="O516" s="78"/>
      <c r="S516" s="148"/>
      <c r="T516"/>
      <c r="U516"/>
    </row>
    <row r="517" spans="1:21" x14ac:dyDescent="0.2">
      <c r="A517" s="73"/>
      <c r="B517" s="73"/>
      <c r="C517" s="74"/>
      <c r="D517" s="75"/>
      <c r="E517" s="85"/>
      <c r="F517" s="161"/>
      <c r="G517" s="76"/>
      <c r="H517" s="87"/>
      <c r="I517" s="75"/>
      <c r="J517" s="75"/>
      <c r="K517" s="75"/>
      <c r="L517" s="88"/>
      <c r="M517" s="77"/>
      <c r="N517" s="77"/>
      <c r="O517" s="78"/>
      <c r="S517" s="148"/>
      <c r="T517"/>
      <c r="U517"/>
    </row>
    <row r="518" spans="1:21" x14ac:dyDescent="0.2">
      <c r="A518" s="73"/>
      <c r="B518" s="73"/>
      <c r="C518" s="74"/>
      <c r="D518" s="75"/>
      <c r="E518" s="85"/>
      <c r="F518" s="161"/>
      <c r="G518" s="76"/>
      <c r="H518" s="87"/>
      <c r="I518" s="75"/>
      <c r="J518" s="75"/>
      <c r="K518" s="75"/>
      <c r="L518" s="88"/>
      <c r="M518" s="77"/>
      <c r="N518" s="77"/>
      <c r="O518" s="78"/>
      <c r="S518" s="148"/>
      <c r="T518"/>
      <c r="U518"/>
    </row>
    <row r="519" spans="1:21" x14ac:dyDescent="0.2">
      <c r="A519" s="73"/>
      <c r="B519" s="73"/>
      <c r="C519" s="74"/>
      <c r="D519" s="75"/>
      <c r="E519" s="85"/>
      <c r="F519" s="161"/>
      <c r="G519" s="76"/>
      <c r="H519" s="87"/>
      <c r="I519" s="75"/>
      <c r="J519" s="75"/>
      <c r="K519" s="75"/>
      <c r="L519" s="88"/>
      <c r="M519" s="77"/>
      <c r="N519" s="77"/>
      <c r="O519" s="78"/>
      <c r="S519" s="148"/>
      <c r="T519"/>
      <c r="U519"/>
    </row>
    <row r="520" spans="1:21" x14ac:dyDescent="0.2">
      <c r="A520" s="73"/>
      <c r="B520" s="73"/>
      <c r="C520" s="74"/>
      <c r="D520" s="75"/>
      <c r="E520" s="85"/>
      <c r="F520" s="161"/>
      <c r="G520" s="76"/>
      <c r="H520" s="87"/>
      <c r="I520" s="75"/>
      <c r="J520" s="75"/>
      <c r="K520" s="75"/>
      <c r="L520" s="88"/>
      <c r="M520" s="77"/>
      <c r="N520" s="77"/>
      <c r="O520" s="78"/>
      <c r="S520" s="148"/>
      <c r="T520"/>
      <c r="U520"/>
    </row>
    <row r="521" spans="1:21" x14ac:dyDescent="0.2">
      <c r="A521" s="73"/>
      <c r="B521" s="73"/>
      <c r="C521" s="74"/>
      <c r="D521" s="75"/>
      <c r="E521" s="85"/>
      <c r="F521" s="161"/>
      <c r="G521" s="76"/>
      <c r="H521" s="87"/>
      <c r="I521" s="75"/>
      <c r="J521" s="75"/>
      <c r="K521" s="75"/>
      <c r="L521" s="88"/>
      <c r="M521" s="77"/>
      <c r="N521" s="77"/>
      <c r="O521" s="78"/>
      <c r="S521" s="148"/>
      <c r="T521"/>
      <c r="U521"/>
    </row>
    <row r="522" spans="1:21" x14ac:dyDescent="0.2">
      <c r="A522" s="73"/>
      <c r="B522" s="73"/>
      <c r="C522" s="74"/>
      <c r="D522" s="75"/>
      <c r="E522" s="85"/>
      <c r="F522" s="161"/>
      <c r="G522" s="76"/>
      <c r="H522" s="87"/>
      <c r="I522" s="75"/>
      <c r="J522" s="75"/>
      <c r="K522" s="75"/>
      <c r="L522" s="88"/>
      <c r="M522" s="77"/>
      <c r="N522" s="77"/>
      <c r="O522" s="78"/>
      <c r="S522" s="148"/>
      <c r="T522"/>
      <c r="U522"/>
    </row>
    <row r="523" spans="1:21" x14ac:dyDescent="0.2">
      <c r="A523" s="73"/>
      <c r="B523" s="73"/>
      <c r="C523" s="74"/>
      <c r="D523" s="75"/>
      <c r="E523" s="85"/>
      <c r="F523" s="161"/>
      <c r="G523" s="76"/>
      <c r="H523" s="87"/>
      <c r="I523" s="75"/>
      <c r="J523" s="75"/>
      <c r="K523" s="75"/>
      <c r="L523" s="88"/>
      <c r="M523" s="77"/>
      <c r="N523" s="77"/>
      <c r="O523" s="78"/>
      <c r="S523" s="148"/>
      <c r="T523"/>
      <c r="U523"/>
    </row>
    <row r="524" spans="1:21" x14ac:dyDescent="0.2">
      <c r="A524" s="73"/>
      <c r="B524" s="73"/>
      <c r="C524" s="74"/>
      <c r="D524" s="75"/>
      <c r="E524" s="85"/>
      <c r="F524" s="161"/>
      <c r="G524" s="76"/>
      <c r="H524" s="87"/>
      <c r="I524" s="75"/>
      <c r="J524" s="75"/>
      <c r="K524" s="75"/>
      <c r="L524" s="88"/>
      <c r="M524" s="77"/>
      <c r="N524" s="77"/>
      <c r="O524" s="78"/>
      <c r="S524" s="148"/>
      <c r="T524"/>
      <c r="U524"/>
    </row>
    <row r="525" spans="1:21" x14ac:dyDescent="0.2">
      <c r="A525" s="73"/>
      <c r="B525" s="73"/>
      <c r="C525" s="74"/>
      <c r="D525" s="75"/>
      <c r="E525" s="85"/>
      <c r="F525" s="161"/>
      <c r="G525" s="76"/>
      <c r="H525" s="87"/>
      <c r="I525" s="75"/>
      <c r="J525" s="75"/>
      <c r="K525" s="75"/>
      <c r="L525" s="88"/>
      <c r="M525" s="77"/>
      <c r="N525" s="77"/>
      <c r="O525" s="78"/>
      <c r="S525" s="148"/>
      <c r="T525"/>
      <c r="U525"/>
    </row>
    <row r="526" spans="1:21" x14ac:dyDescent="0.2">
      <c r="A526" s="73"/>
      <c r="B526" s="73"/>
      <c r="C526" s="74"/>
      <c r="D526" s="75"/>
      <c r="E526" s="85"/>
      <c r="F526" s="161"/>
      <c r="G526" s="76"/>
      <c r="H526" s="87"/>
      <c r="I526" s="75"/>
      <c r="J526" s="75"/>
      <c r="K526" s="75"/>
      <c r="L526" s="88"/>
      <c r="M526" s="77"/>
      <c r="N526" s="77"/>
      <c r="O526" s="78"/>
      <c r="S526" s="148"/>
      <c r="T526"/>
      <c r="U526"/>
    </row>
    <row r="527" spans="1:21" x14ac:dyDescent="0.2">
      <c r="A527" s="73"/>
      <c r="B527" s="73"/>
      <c r="C527" s="74"/>
      <c r="D527" s="75"/>
      <c r="E527" s="85"/>
      <c r="F527" s="161"/>
      <c r="G527" s="76"/>
      <c r="H527" s="87"/>
      <c r="I527" s="75"/>
      <c r="J527" s="75"/>
      <c r="K527" s="75"/>
      <c r="L527" s="88"/>
      <c r="M527" s="77"/>
      <c r="N527" s="77"/>
      <c r="O527" s="78"/>
      <c r="S527" s="148"/>
      <c r="T527"/>
      <c r="U527"/>
    </row>
    <row r="528" spans="1:21" x14ac:dyDescent="0.2">
      <c r="A528" s="73"/>
      <c r="B528" s="73"/>
      <c r="C528" s="74"/>
      <c r="D528" s="75"/>
      <c r="E528" s="85"/>
      <c r="F528" s="161"/>
      <c r="G528" s="76"/>
      <c r="H528" s="87"/>
      <c r="I528" s="75"/>
      <c r="J528" s="75"/>
      <c r="K528" s="75"/>
      <c r="L528" s="88"/>
      <c r="M528" s="77"/>
      <c r="N528" s="77"/>
      <c r="O528" s="78"/>
      <c r="S528" s="148"/>
      <c r="T528"/>
      <c r="U528"/>
    </row>
    <row r="529" spans="1:21" x14ac:dyDescent="0.2">
      <c r="A529" s="73"/>
      <c r="B529" s="73"/>
      <c r="C529" s="74"/>
      <c r="D529" s="75"/>
      <c r="E529" s="85"/>
      <c r="F529" s="161"/>
      <c r="G529" s="76"/>
      <c r="H529" s="87"/>
      <c r="I529" s="75"/>
      <c r="J529" s="75"/>
      <c r="K529" s="75"/>
      <c r="L529" s="88"/>
      <c r="M529" s="77"/>
      <c r="N529" s="77"/>
      <c r="O529" s="78"/>
      <c r="S529" s="148"/>
      <c r="T529"/>
      <c r="U529"/>
    </row>
    <row r="530" spans="1:21" x14ac:dyDescent="0.2">
      <c r="A530" s="73"/>
      <c r="B530" s="73"/>
      <c r="C530" s="74"/>
      <c r="D530" s="75"/>
      <c r="E530" s="85"/>
      <c r="F530" s="161"/>
      <c r="G530" s="76"/>
      <c r="H530" s="87"/>
      <c r="I530" s="75"/>
      <c r="J530" s="75"/>
      <c r="K530" s="75"/>
      <c r="L530" s="88"/>
      <c r="M530" s="77"/>
      <c r="N530" s="77"/>
      <c r="O530" s="78"/>
      <c r="S530" s="148"/>
      <c r="T530"/>
      <c r="U530"/>
    </row>
    <row r="531" spans="1:21" x14ac:dyDescent="0.2">
      <c r="A531" s="73"/>
      <c r="B531" s="73"/>
      <c r="C531" s="74"/>
      <c r="D531" s="75"/>
      <c r="E531" s="85"/>
      <c r="F531" s="161"/>
      <c r="G531" s="76"/>
      <c r="H531" s="87"/>
      <c r="I531" s="75"/>
      <c r="J531" s="75"/>
      <c r="K531" s="75"/>
      <c r="L531" s="88"/>
      <c r="M531" s="77"/>
      <c r="N531" s="77"/>
      <c r="O531" s="78"/>
      <c r="S531" s="148"/>
      <c r="T531"/>
      <c r="U531"/>
    </row>
    <row r="532" spans="1:21" x14ac:dyDescent="0.2">
      <c r="A532" s="73"/>
      <c r="B532" s="73"/>
      <c r="C532" s="74"/>
      <c r="D532" s="75"/>
      <c r="E532" s="85"/>
      <c r="F532" s="161"/>
      <c r="G532" s="76"/>
      <c r="H532" s="87"/>
      <c r="I532" s="75"/>
      <c r="J532" s="75"/>
      <c r="K532" s="75"/>
      <c r="L532" s="88"/>
      <c r="M532" s="77"/>
      <c r="N532" s="77"/>
      <c r="O532" s="78"/>
      <c r="S532" s="148"/>
      <c r="T532"/>
      <c r="U532"/>
    </row>
    <row r="533" spans="1:21" x14ac:dyDescent="0.2">
      <c r="A533" s="73"/>
      <c r="B533" s="73"/>
      <c r="C533" s="74"/>
      <c r="D533" s="75"/>
      <c r="E533" s="85"/>
      <c r="F533" s="161"/>
      <c r="G533" s="76"/>
      <c r="H533" s="87"/>
      <c r="I533" s="75"/>
      <c r="J533" s="75"/>
      <c r="K533" s="75"/>
      <c r="L533" s="88"/>
      <c r="M533" s="77"/>
      <c r="N533" s="77"/>
      <c r="O533" s="78"/>
      <c r="S533" s="148"/>
      <c r="T533"/>
      <c r="U533"/>
    </row>
    <row r="534" spans="1:21" x14ac:dyDescent="0.2">
      <c r="A534" s="73"/>
      <c r="B534" s="73"/>
      <c r="C534" s="74"/>
      <c r="D534" s="75"/>
      <c r="E534" s="85"/>
      <c r="F534" s="161"/>
      <c r="G534" s="76"/>
      <c r="H534" s="87"/>
      <c r="I534" s="75"/>
      <c r="J534" s="75"/>
      <c r="K534" s="75"/>
      <c r="L534" s="88"/>
      <c r="M534" s="77"/>
      <c r="N534" s="77"/>
      <c r="O534" s="78"/>
      <c r="S534" s="148"/>
      <c r="T534"/>
      <c r="U534"/>
    </row>
    <row r="535" spans="1:21" x14ac:dyDescent="0.2">
      <c r="A535" s="73"/>
      <c r="B535" s="73"/>
      <c r="C535" s="74"/>
      <c r="D535" s="75"/>
      <c r="E535" s="85"/>
      <c r="F535" s="161"/>
      <c r="G535" s="76"/>
      <c r="H535" s="87"/>
      <c r="I535" s="75"/>
      <c r="J535" s="75"/>
      <c r="K535" s="75"/>
      <c r="L535" s="88"/>
      <c r="M535" s="77"/>
      <c r="N535" s="77"/>
      <c r="O535" s="78"/>
      <c r="S535" s="148"/>
      <c r="T535"/>
      <c r="U535"/>
    </row>
    <row r="536" spans="1:21" x14ac:dyDescent="0.2">
      <c r="A536" s="73"/>
      <c r="B536" s="73"/>
      <c r="C536" s="74"/>
      <c r="D536" s="75"/>
      <c r="E536" s="85"/>
      <c r="F536" s="161"/>
      <c r="G536" s="76"/>
      <c r="H536" s="87"/>
      <c r="I536" s="75"/>
      <c r="J536" s="75"/>
      <c r="K536" s="75"/>
      <c r="L536" s="88"/>
      <c r="M536" s="77"/>
      <c r="N536" s="77"/>
      <c r="O536" s="78"/>
      <c r="S536" s="148"/>
      <c r="T536"/>
      <c r="U536"/>
    </row>
    <row r="537" spans="1:21" x14ac:dyDescent="0.2">
      <c r="A537" s="73"/>
      <c r="B537" s="73"/>
      <c r="C537" s="74"/>
      <c r="D537" s="75"/>
      <c r="E537" s="85"/>
      <c r="F537" s="161"/>
      <c r="G537" s="76"/>
      <c r="H537" s="87"/>
      <c r="I537" s="75"/>
      <c r="J537" s="75"/>
      <c r="K537" s="75"/>
      <c r="L537" s="88"/>
      <c r="M537" s="77"/>
      <c r="N537" s="77"/>
      <c r="O537" s="78"/>
      <c r="S537" s="148"/>
      <c r="T537"/>
      <c r="U537"/>
    </row>
    <row r="538" spans="1:21" x14ac:dyDescent="0.2">
      <c r="A538" s="73"/>
      <c r="B538" s="73"/>
      <c r="C538" s="74"/>
      <c r="D538" s="75"/>
      <c r="E538" s="85"/>
      <c r="F538" s="161"/>
      <c r="G538" s="76"/>
      <c r="H538" s="87"/>
      <c r="I538" s="75"/>
      <c r="J538" s="75"/>
      <c r="K538" s="75"/>
      <c r="L538" s="88"/>
      <c r="M538" s="77"/>
      <c r="N538" s="77"/>
      <c r="O538" s="78"/>
      <c r="S538" s="148"/>
      <c r="T538"/>
      <c r="U538"/>
    </row>
    <row r="539" spans="1:21" x14ac:dyDescent="0.2">
      <c r="A539" s="73"/>
      <c r="B539" s="73"/>
      <c r="C539" s="74"/>
      <c r="D539" s="75"/>
      <c r="E539" s="85"/>
      <c r="F539" s="161"/>
      <c r="G539" s="76"/>
      <c r="H539" s="87"/>
      <c r="I539" s="75"/>
      <c r="J539" s="75"/>
      <c r="K539" s="75"/>
      <c r="L539" s="88"/>
      <c r="M539" s="77"/>
      <c r="N539" s="77"/>
      <c r="O539" s="78"/>
      <c r="S539" s="148"/>
      <c r="T539"/>
      <c r="U539"/>
    </row>
    <row r="540" spans="1:21" x14ac:dyDescent="0.2">
      <c r="A540" s="73"/>
      <c r="B540" s="73"/>
      <c r="C540" s="74"/>
      <c r="D540" s="75"/>
      <c r="E540" s="85"/>
      <c r="F540" s="161"/>
      <c r="G540" s="76"/>
      <c r="H540" s="87"/>
      <c r="I540" s="75"/>
      <c r="J540" s="75"/>
      <c r="K540" s="75"/>
      <c r="L540" s="88"/>
      <c r="M540" s="77"/>
      <c r="N540" s="77"/>
      <c r="O540" s="78"/>
      <c r="S540" s="148"/>
      <c r="T540"/>
      <c r="U540"/>
    </row>
    <row r="541" spans="1:21" x14ac:dyDescent="0.2">
      <c r="A541" s="73"/>
      <c r="B541" s="73"/>
      <c r="C541" s="74"/>
      <c r="D541" s="75"/>
      <c r="E541" s="85"/>
      <c r="F541" s="161"/>
      <c r="G541" s="76"/>
      <c r="H541" s="87"/>
      <c r="I541" s="75"/>
      <c r="J541" s="75"/>
      <c r="K541" s="75"/>
      <c r="L541" s="88"/>
      <c r="M541" s="77"/>
      <c r="N541" s="77"/>
      <c r="O541" s="78"/>
      <c r="S541" s="148"/>
      <c r="T541"/>
      <c r="U541"/>
    </row>
    <row r="542" spans="1:21" x14ac:dyDescent="0.2">
      <c r="A542" s="73"/>
      <c r="B542" s="73"/>
      <c r="C542" s="74"/>
      <c r="D542" s="75"/>
      <c r="E542" s="85"/>
      <c r="F542" s="161"/>
      <c r="G542" s="76"/>
      <c r="H542" s="87"/>
      <c r="I542" s="75"/>
      <c r="J542" s="75"/>
      <c r="K542" s="75"/>
      <c r="L542" s="88"/>
      <c r="M542" s="77"/>
      <c r="N542" s="77"/>
      <c r="O542" s="78"/>
      <c r="S542" s="148"/>
      <c r="T542"/>
      <c r="U542"/>
    </row>
    <row r="543" spans="1:21" x14ac:dyDescent="0.2">
      <c r="A543" s="73"/>
      <c r="B543" s="73"/>
      <c r="C543" s="74"/>
      <c r="D543" s="75"/>
      <c r="E543" s="85"/>
      <c r="F543" s="161"/>
      <c r="G543" s="76"/>
      <c r="H543" s="87"/>
      <c r="I543" s="75"/>
      <c r="J543" s="75"/>
      <c r="K543" s="75"/>
      <c r="L543" s="88"/>
      <c r="M543" s="77"/>
      <c r="N543" s="77"/>
      <c r="O543" s="78"/>
      <c r="S543" s="148"/>
      <c r="T543"/>
      <c r="U543"/>
    </row>
    <row r="544" spans="1:21" x14ac:dyDescent="0.2">
      <c r="A544" s="73"/>
      <c r="B544" s="73"/>
      <c r="C544" s="74"/>
      <c r="D544" s="75"/>
      <c r="E544" s="85"/>
      <c r="F544" s="161"/>
      <c r="G544" s="76"/>
      <c r="H544" s="87"/>
      <c r="I544" s="75"/>
      <c r="J544" s="75"/>
      <c r="K544" s="75"/>
      <c r="L544" s="88"/>
      <c r="M544" s="77"/>
      <c r="N544" s="77"/>
      <c r="O544" s="78"/>
      <c r="S544" s="148"/>
      <c r="T544"/>
      <c r="U544"/>
    </row>
    <row r="545" spans="1:21" x14ac:dyDescent="0.2">
      <c r="A545" s="73"/>
      <c r="B545" s="73"/>
      <c r="C545" s="74"/>
      <c r="D545" s="75"/>
      <c r="E545" s="85"/>
      <c r="F545" s="161"/>
      <c r="G545" s="76"/>
      <c r="H545" s="87"/>
      <c r="I545" s="75"/>
      <c r="J545" s="75"/>
      <c r="K545" s="75"/>
      <c r="L545" s="88"/>
      <c r="M545" s="77"/>
      <c r="N545" s="77"/>
      <c r="O545" s="78"/>
      <c r="S545" s="148"/>
      <c r="T545"/>
      <c r="U545"/>
    </row>
    <row r="546" spans="1:21" x14ac:dyDescent="0.2">
      <c r="A546" s="73"/>
      <c r="B546" s="73"/>
      <c r="C546" s="74"/>
      <c r="D546" s="75"/>
      <c r="E546" s="85"/>
      <c r="F546" s="161"/>
      <c r="G546" s="76"/>
      <c r="H546" s="87"/>
      <c r="I546" s="75"/>
      <c r="J546" s="75"/>
      <c r="K546" s="75"/>
      <c r="L546" s="88"/>
      <c r="M546" s="77"/>
      <c r="N546" s="77"/>
      <c r="O546" s="78"/>
      <c r="S546" s="148"/>
      <c r="T546"/>
      <c r="U546"/>
    </row>
    <row r="547" spans="1:21" x14ac:dyDescent="0.2">
      <c r="A547" s="73"/>
      <c r="B547" s="73"/>
      <c r="C547" s="74"/>
      <c r="D547" s="75"/>
      <c r="E547" s="85"/>
      <c r="F547" s="161"/>
      <c r="G547" s="76"/>
      <c r="H547" s="87"/>
      <c r="I547" s="75"/>
      <c r="J547" s="75"/>
      <c r="K547" s="75"/>
      <c r="L547" s="88"/>
      <c r="M547" s="77"/>
      <c r="N547" s="77"/>
      <c r="O547" s="78"/>
      <c r="S547" s="148"/>
      <c r="T547"/>
      <c r="U547"/>
    </row>
    <row r="548" spans="1:21" x14ac:dyDescent="0.2">
      <c r="A548" s="73"/>
      <c r="B548" s="73"/>
      <c r="C548" s="74"/>
      <c r="D548" s="75"/>
      <c r="E548" s="85"/>
      <c r="F548" s="161"/>
      <c r="G548" s="76"/>
      <c r="H548" s="87"/>
      <c r="I548" s="75"/>
      <c r="J548" s="75"/>
      <c r="K548" s="75"/>
      <c r="L548" s="88"/>
      <c r="M548" s="77"/>
      <c r="N548" s="77"/>
      <c r="O548" s="78"/>
      <c r="S548" s="148"/>
      <c r="T548"/>
      <c r="U548"/>
    </row>
    <row r="549" spans="1:21" x14ac:dyDescent="0.2">
      <c r="A549" s="73"/>
      <c r="B549" s="73"/>
      <c r="C549" s="74"/>
      <c r="D549" s="75"/>
      <c r="E549" s="85"/>
      <c r="F549" s="161"/>
      <c r="G549" s="76"/>
      <c r="H549" s="87"/>
      <c r="I549" s="75"/>
      <c r="J549" s="75"/>
      <c r="K549" s="75"/>
      <c r="L549" s="88"/>
      <c r="M549" s="77"/>
      <c r="N549" s="77"/>
      <c r="O549" s="78"/>
      <c r="S549" s="148"/>
      <c r="T549"/>
      <c r="U549"/>
    </row>
    <row r="550" spans="1:21" x14ac:dyDescent="0.2">
      <c r="A550" s="73"/>
      <c r="B550" s="73"/>
      <c r="C550" s="74"/>
      <c r="D550" s="75"/>
      <c r="E550" s="85"/>
      <c r="F550" s="161"/>
      <c r="G550" s="76"/>
      <c r="H550" s="87"/>
      <c r="I550" s="75"/>
      <c r="J550" s="75"/>
      <c r="K550" s="75"/>
      <c r="L550" s="88"/>
      <c r="M550" s="77"/>
      <c r="N550" s="77"/>
      <c r="O550" s="78"/>
      <c r="S550" s="148"/>
      <c r="T550"/>
      <c r="U550"/>
    </row>
    <row r="551" spans="1:21" x14ac:dyDescent="0.2">
      <c r="A551" s="73"/>
      <c r="B551" s="73"/>
      <c r="C551" s="74"/>
      <c r="D551" s="75"/>
      <c r="E551" s="85"/>
      <c r="F551" s="161"/>
      <c r="G551" s="76"/>
      <c r="H551" s="87"/>
      <c r="I551" s="75"/>
      <c r="J551" s="75"/>
      <c r="K551" s="75"/>
      <c r="L551" s="88"/>
      <c r="M551" s="77"/>
      <c r="N551" s="77"/>
      <c r="O551" s="78"/>
      <c r="S551" s="148"/>
      <c r="T551"/>
      <c r="U551"/>
    </row>
    <row r="552" spans="1:21" x14ac:dyDescent="0.2">
      <c r="A552" s="73"/>
      <c r="B552" s="73"/>
      <c r="C552" s="74"/>
      <c r="D552" s="75"/>
      <c r="E552" s="85"/>
      <c r="F552" s="161"/>
      <c r="G552" s="76"/>
      <c r="H552" s="87"/>
      <c r="I552" s="75"/>
      <c r="J552" s="75"/>
      <c r="K552" s="75"/>
      <c r="L552" s="88"/>
      <c r="M552" s="77"/>
      <c r="N552" s="77"/>
      <c r="O552" s="78"/>
      <c r="S552" s="148"/>
      <c r="T552"/>
      <c r="U552"/>
    </row>
    <row r="553" spans="1:21" x14ac:dyDescent="0.2">
      <c r="A553" s="73"/>
      <c r="B553" s="73"/>
      <c r="C553" s="74"/>
      <c r="D553" s="75"/>
      <c r="E553" s="85"/>
      <c r="F553" s="161"/>
      <c r="G553" s="76"/>
      <c r="H553" s="87"/>
      <c r="I553" s="75"/>
      <c r="J553" s="75"/>
      <c r="K553" s="75"/>
      <c r="L553" s="88"/>
      <c r="M553" s="77"/>
      <c r="N553" s="77"/>
      <c r="O553" s="78"/>
      <c r="S553" s="148"/>
      <c r="T553"/>
      <c r="U553"/>
    </row>
    <row r="554" spans="1:21" x14ac:dyDescent="0.2">
      <c r="A554" s="73"/>
      <c r="B554" s="73"/>
      <c r="C554" s="74"/>
      <c r="D554" s="75"/>
      <c r="E554" s="85"/>
      <c r="F554" s="161"/>
      <c r="G554" s="76"/>
      <c r="H554" s="87"/>
      <c r="I554" s="75"/>
      <c r="J554" s="75"/>
      <c r="K554" s="75"/>
      <c r="L554" s="88"/>
      <c r="M554" s="77"/>
      <c r="N554" s="77"/>
      <c r="O554" s="78"/>
      <c r="S554" s="148"/>
      <c r="T554"/>
      <c r="U554"/>
    </row>
    <row r="555" spans="1:21" x14ac:dyDescent="0.2">
      <c r="A555" s="73"/>
      <c r="B555" s="73"/>
      <c r="C555" s="74"/>
      <c r="D555" s="75"/>
      <c r="E555" s="85"/>
      <c r="F555" s="161"/>
      <c r="G555" s="76"/>
      <c r="H555" s="87"/>
      <c r="I555" s="75"/>
      <c r="J555" s="75"/>
      <c r="K555" s="75"/>
      <c r="L555" s="88"/>
      <c r="M555" s="77"/>
      <c r="N555" s="77"/>
      <c r="O555" s="78"/>
      <c r="S555" s="148"/>
      <c r="T555"/>
      <c r="U555"/>
    </row>
    <row r="556" spans="1:21" x14ac:dyDescent="0.2">
      <c r="A556" s="73"/>
      <c r="B556" s="73"/>
      <c r="C556" s="74"/>
      <c r="D556" s="75"/>
      <c r="E556" s="85"/>
      <c r="F556" s="161"/>
      <c r="G556" s="76"/>
      <c r="H556" s="87"/>
      <c r="I556" s="75"/>
      <c r="J556" s="75"/>
      <c r="K556" s="75"/>
      <c r="L556" s="88"/>
      <c r="M556" s="77"/>
      <c r="N556" s="77"/>
      <c r="O556" s="78"/>
      <c r="S556" s="148"/>
      <c r="T556"/>
      <c r="U556"/>
    </row>
    <row r="557" spans="1:21" x14ac:dyDescent="0.2">
      <c r="A557" s="73"/>
      <c r="B557" s="73"/>
      <c r="C557" s="74"/>
      <c r="D557" s="75"/>
      <c r="E557" s="85"/>
      <c r="F557" s="161"/>
      <c r="G557" s="76"/>
      <c r="H557" s="87"/>
      <c r="I557" s="75"/>
      <c r="J557" s="75"/>
      <c r="K557" s="75"/>
      <c r="L557" s="88"/>
      <c r="M557" s="77"/>
      <c r="N557" s="77"/>
      <c r="O557" s="78"/>
      <c r="S557" s="148"/>
      <c r="T557"/>
      <c r="U557"/>
    </row>
    <row r="558" spans="1:21" x14ac:dyDescent="0.2">
      <c r="A558" s="73"/>
      <c r="B558" s="73"/>
      <c r="C558" s="74"/>
      <c r="D558" s="75"/>
      <c r="E558" s="85"/>
      <c r="F558" s="161"/>
      <c r="G558" s="76"/>
      <c r="H558" s="87"/>
      <c r="I558" s="75"/>
      <c r="J558" s="75"/>
      <c r="K558" s="75"/>
      <c r="L558" s="88"/>
      <c r="M558" s="77"/>
      <c r="N558" s="77"/>
      <c r="O558" s="78"/>
      <c r="S558" s="148"/>
      <c r="T558"/>
      <c r="U558"/>
    </row>
    <row r="559" spans="1:21" x14ac:dyDescent="0.2">
      <c r="A559" s="73"/>
      <c r="B559" s="73"/>
      <c r="C559" s="74"/>
      <c r="D559" s="75"/>
      <c r="E559" s="85"/>
      <c r="F559" s="161"/>
      <c r="G559" s="76"/>
      <c r="H559" s="87"/>
      <c r="I559" s="75"/>
      <c r="J559" s="75"/>
      <c r="K559" s="75"/>
      <c r="L559" s="88"/>
      <c r="M559" s="77"/>
      <c r="N559" s="77"/>
      <c r="O559" s="78"/>
      <c r="S559" s="148"/>
      <c r="T559"/>
      <c r="U559"/>
    </row>
    <row r="560" spans="1:21" x14ac:dyDescent="0.2">
      <c r="A560" s="73"/>
      <c r="B560" s="73"/>
      <c r="C560" s="74"/>
      <c r="D560" s="75"/>
      <c r="E560" s="85"/>
      <c r="F560" s="161"/>
      <c r="G560" s="76"/>
      <c r="H560" s="87"/>
      <c r="I560" s="75"/>
      <c r="J560" s="75"/>
      <c r="K560" s="75"/>
      <c r="L560" s="88"/>
      <c r="M560" s="77"/>
      <c r="N560" s="77"/>
      <c r="O560" s="78"/>
      <c r="S560" s="148"/>
      <c r="T560"/>
      <c r="U560"/>
    </row>
    <row r="561" spans="1:21" x14ac:dyDescent="0.2">
      <c r="A561" s="73"/>
      <c r="B561" s="73"/>
      <c r="C561" s="74"/>
      <c r="D561" s="75"/>
      <c r="E561" s="85"/>
      <c r="F561" s="161"/>
      <c r="G561" s="76"/>
      <c r="H561" s="87"/>
      <c r="I561" s="75"/>
      <c r="J561" s="75"/>
      <c r="K561" s="75"/>
      <c r="L561" s="88"/>
      <c r="M561" s="77"/>
      <c r="N561" s="77"/>
      <c r="O561" s="78"/>
      <c r="S561" s="148"/>
      <c r="T561"/>
      <c r="U561"/>
    </row>
    <row r="562" spans="1:21" x14ac:dyDescent="0.2">
      <c r="A562" s="73"/>
      <c r="B562" s="73"/>
      <c r="C562" s="74"/>
      <c r="D562" s="75"/>
      <c r="E562" s="85"/>
      <c r="F562" s="161"/>
      <c r="G562" s="76"/>
      <c r="H562" s="87"/>
      <c r="I562" s="75"/>
      <c r="J562" s="75"/>
      <c r="K562" s="75"/>
      <c r="L562" s="88"/>
      <c r="M562" s="77"/>
      <c r="N562" s="77"/>
      <c r="O562" s="78"/>
      <c r="S562" s="148"/>
      <c r="T562"/>
      <c r="U562"/>
    </row>
    <row r="563" spans="1:21" x14ac:dyDescent="0.2">
      <c r="A563" s="73"/>
      <c r="B563" s="73"/>
      <c r="C563" s="74"/>
      <c r="D563" s="75"/>
      <c r="E563" s="85"/>
      <c r="F563" s="161"/>
      <c r="G563" s="76"/>
      <c r="H563" s="87"/>
      <c r="I563" s="75"/>
      <c r="J563" s="75"/>
      <c r="K563" s="75"/>
      <c r="L563" s="88"/>
      <c r="M563" s="77"/>
      <c r="N563" s="77"/>
      <c r="O563" s="78"/>
      <c r="S563" s="148"/>
      <c r="T563"/>
      <c r="U563"/>
    </row>
    <row r="564" spans="1:21" x14ac:dyDescent="0.2">
      <c r="A564" s="73"/>
      <c r="B564" s="73"/>
      <c r="C564" s="74"/>
      <c r="D564" s="75"/>
      <c r="E564" s="85"/>
      <c r="F564" s="161"/>
      <c r="G564" s="76"/>
      <c r="H564" s="87"/>
      <c r="I564" s="75"/>
      <c r="J564" s="75"/>
      <c r="K564" s="75"/>
      <c r="L564" s="88"/>
      <c r="M564" s="77"/>
      <c r="N564" s="77"/>
      <c r="O564" s="78"/>
      <c r="S564" s="148"/>
      <c r="T564"/>
      <c r="U564"/>
    </row>
    <row r="565" spans="1:21" x14ac:dyDescent="0.2">
      <c r="A565" s="73"/>
      <c r="B565" s="73"/>
      <c r="C565" s="74"/>
      <c r="D565" s="75"/>
      <c r="E565" s="85"/>
      <c r="F565" s="161"/>
      <c r="G565" s="76"/>
      <c r="H565" s="87"/>
      <c r="I565" s="75"/>
      <c r="J565" s="75"/>
      <c r="K565" s="75"/>
      <c r="L565" s="88"/>
      <c r="M565" s="77"/>
      <c r="N565" s="77"/>
      <c r="O565" s="78"/>
      <c r="S565" s="148"/>
      <c r="T565"/>
      <c r="U565"/>
    </row>
    <row r="566" spans="1:21" x14ac:dyDescent="0.2">
      <c r="A566" s="73"/>
      <c r="B566" s="73"/>
      <c r="C566" s="74"/>
      <c r="D566" s="75"/>
      <c r="E566" s="85"/>
      <c r="F566" s="161"/>
      <c r="G566" s="76"/>
      <c r="H566" s="87"/>
      <c r="I566" s="75"/>
      <c r="J566" s="75"/>
      <c r="K566" s="75"/>
      <c r="L566" s="88"/>
      <c r="M566" s="77"/>
      <c r="N566" s="77"/>
      <c r="O566" s="78"/>
      <c r="S566" s="148"/>
      <c r="T566"/>
      <c r="U566"/>
    </row>
    <row r="567" spans="1:21" x14ac:dyDescent="0.2">
      <c r="A567" s="73"/>
      <c r="B567" s="73"/>
      <c r="C567" s="74"/>
      <c r="D567" s="75"/>
      <c r="E567" s="85"/>
      <c r="F567" s="161"/>
      <c r="G567" s="76"/>
      <c r="H567" s="87"/>
      <c r="I567" s="75"/>
      <c r="J567" s="75"/>
      <c r="K567" s="75"/>
      <c r="L567" s="88"/>
      <c r="M567" s="77"/>
      <c r="N567" s="77"/>
      <c r="O567" s="78"/>
      <c r="S567" s="148"/>
      <c r="T567"/>
      <c r="U567"/>
    </row>
    <row r="568" spans="1:21" x14ac:dyDescent="0.2">
      <c r="A568" s="73"/>
      <c r="B568" s="73"/>
      <c r="C568" s="74"/>
      <c r="D568" s="75"/>
      <c r="E568" s="85"/>
      <c r="F568" s="161"/>
      <c r="G568" s="76"/>
      <c r="H568" s="87"/>
      <c r="I568" s="75"/>
      <c r="J568" s="75"/>
      <c r="K568" s="75"/>
      <c r="L568" s="88"/>
      <c r="M568" s="77"/>
      <c r="N568" s="77"/>
      <c r="O568" s="78"/>
      <c r="S568" s="148"/>
      <c r="T568"/>
      <c r="U568"/>
    </row>
    <row r="569" spans="1:21" x14ac:dyDescent="0.2">
      <c r="A569" s="73"/>
      <c r="B569" s="73"/>
      <c r="C569" s="74"/>
      <c r="D569" s="75"/>
      <c r="E569" s="85"/>
      <c r="F569" s="161"/>
      <c r="G569" s="76"/>
      <c r="H569" s="87"/>
      <c r="I569" s="75"/>
      <c r="J569" s="75"/>
      <c r="K569" s="75"/>
      <c r="L569" s="88"/>
      <c r="M569" s="77"/>
      <c r="N569" s="77"/>
      <c r="O569" s="78"/>
      <c r="S569" s="148"/>
      <c r="T569"/>
      <c r="U569"/>
    </row>
    <row r="570" spans="1:21" x14ac:dyDescent="0.2">
      <c r="A570" s="73"/>
      <c r="B570" s="73"/>
      <c r="C570" s="74"/>
      <c r="D570" s="75"/>
      <c r="E570" s="85"/>
      <c r="F570" s="161"/>
      <c r="G570" s="76"/>
      <c r="H570" s="87"/>
      <c r="I570" s="75"/>
      <c r="J570" s="75"/>
      <c r="K570" s="75"/>
      <c r="L570" s="88"/>
      <c r="M570" s="77"/>
      <c r="N570" s="77"/>
      <c r="O570" s="78"/>
      <c r="S570" s="148"/>
      <c r="T570"/>
      <c r="U570"/>
    </row>
    <row r="571" spans="1:21" x14ac:dyDescent="0.2">
      <c r="A571" s="73"/>
      <c r="B571" s="73"/>
      <c r="C571" s="74"/>
      <c r="D571" s="75"/>
      <c r="E571" s="85"/>
      <c r="F571" s="161"/>
      <c r="G571" s="76"/>
      <c r="H571" s="87"/>
      <c r="I571" s="75"/>
      <c r="J571" s="75"/>
      <c r="K571" s="75"/>
      <c r="L571" s="88"/>
      <c r="M571" s="77"/>
      <c r="N571" s="77"/>
      <c r="O571" s="78"/>
      <c r="S571" s="148"/>
      <c r="T571"/>
      <c r="U571"/>
    </row>
    <row r="572" spans="1:21" x14ac:dyDescent="0.2">
      <c r="A572" s="73"/>
      <c r="B572" s="73"/>
      <c r="C572" s="74"/>
      <c r="D572" s="75"/>
      <c r="E572" s="85"/>
      <c r="F572" s="161"/>
      <c r="G572" s="76"/>
      <c r="H572" s="87"/>
      <c r="I572" s="75"/>
      <c r="J572" s="75"/>
      <c r="K572" s="75"/>
      <c r="L572" s="88"/>
      <c r="M572" s="77"/>
      <c r="N572" s="77"/>
      <c r="O572" s="78"/>
      <c r="S572" s="148"/>
      <c r="T572"/>
      <c r="U572"/>
    </row>
    <row r="573" spans="1:21" x14ac:dyDescent="0.2">
      <c r="A573" s="73"/>
      <c r="B573" s="73"/>
      <c r="C573" s="74"/>
      <c r="D573" s="75"/>
      <c r="E573" s="85"/>
      <c r="F573" s="161"/>
      <c r="G573" s="76"/>
      <c r="H573" s="87"/>
      <c r="I573" s="75"/>
      <c r="J573" s="75"/>
      <c r="K573" s="75"/>
      <c r="L573" s="88"/>
      <c r="M573" s="77"/>
      <c r="N573" s="77"/>
      <c r="O573" s="78"/>
      <c r="S573" s="148"/>
      <c r="T573"/>
      <c r="U573"/>
    </row>
    <row r="574" spans="1:21" x14ac:dyDescent="0.2">
      <c r="A574" s="73"/>
      <c r="B574" s="73"/>
      <c r="C574" s="74"/>
      <c r="D574" s="75"/>
      <c r="E574" s="85"/>
      <c r="F574" s="161"/>
      <c r="G574" s="76"/>
      <c r="H574" s="87"/>
      <c r="I574" s="75"/>
      <c r="J574" s="75"/>
      <c r="K574" s="75"/>
      <c r="L574" s="88"/>
      <c r="M574" s="77"/>
      <c r="N574" s="77"/>
      <c r="O574" s="78"/>
      <c r="S574" s="148"/>
      <c r="T574"/>
      <c r="U574"/>
    </row>
    <row r="575" spans="1:21" x14ac:dyDescent="0.2">
      <c r="A575" s="73"/>
      <c r="B575" s="73"/>
      <c r="C575" s="74"/>
      <c r="D575" s="75"/>
      <c r="E575" s="85"/>
      <c r="F575" s="161"/>
      <c r="G575" s="76"/>
      <c r="H575" s="87"/>
      <c r="I575" s="75"/>
      <c r="J575" s="75"/>
      <c r="K575" s="75"/>
      <c r="L575" s="88"/>
      <c r="M575" s="77"/>
      <c r="N575" s="77"/>
      <c r="O575" s="78"/>
      <c r="S575" s="148"/>
      <c r="T575"/>
      <c r="U575"/>
    </row>
    <row r="576" spans="1:21" x14ac:dyDescent="0.2">
      <c r="A576" s="73"/>
      <c r="B576" s="73"/>
      <c r="C576" s="74"/>
      <c r="D576" s="75"/>
      <c r="E576" s="85"/>
      <c r="F576" s="161"/>
      <c r="G576" s="76"/>
      <c r="H576" s="87"/>
      <c r="I576" s="75"/>
      <c r="J576" s="75"/>
      <c r="K576" s="75"/>
      <c r="L576" s="88"/>
      <c r="M576" s="77"/>
      <c r="N576" s="77"/>
      <c r="O576" s="78"/>
      <c r="S576" s="148"/>
      <c r="T576"/>
      <c r="U576"/>
    </row>
    <row r="577" spans="1:21" x14ac:dyDescent="0.2">
      <c r="A577" s="73"/>
      <c r="B577" s="73"/>
      <c r="C577" s="74"/>
      <c r="D577" s="75"/>
      <c r="E577" s="85"/>
      <c r="F577" s="161"/>
      <c r="G577" s="76"/>
      <c r="H577" s="87"/>
      <c r="I577" s="75"/>
      <c r="J577" s="75"/>
      <c r="K577" s="75"/>
      <c r="L577" s="88"/>
      <c r="M577" s="77"/>
      <c r="N577" s="77"/>
      <c r="O577" s="78"/>
      <c r="S577" s="148"/>
      <c r="T577"/>
      <c r="U577"/>
    </row>
    <row r="578" spans="1:21" x14ac:dyDescent="0.2">
      <c r="A578" s="73"/>
      <c r="B578" s="73"/>
      <c r="C578" s="74"/>
      <c r="D578" s="75"/>
      <c r="E578" s="85"/>
      <c r="F578" s="161"/>
      <c r="G578" s="76"/>
      <c r="H578" s="87"/>
      <c r="I578" s="75"/>
      <c r="J578" s="75"/>
      <c r="K578" s="75"/>
      <c r="L578" s="88"/>
      <c r="M578" s="77"/>
      <c r="N578" s="77"/>
      <c r="O578" s="78"/>
      <c r="S578" s="148"/>
      <c r="T578"/>
      <c r="U578"/>
    </row>
    <row r="579" spans="1:21" x14ac:dyDescent="0.2">
      <c r="A579" s="73"/>
      <c r="B579" s="73"/>
      <c r="C579" s="74"/>
      <c r="D579" s="75"/>
      <c r="E579" s="85"/>
      <c r="F579" s="161"/>
      <c r="G579" s="76"/>
      <c r="H579" s="87"/>
      <c r="I579" s="75"/>
      <c r="J579" s="75"/>
      <c r="K579" s="75"/>
      <c r="L579" s="88"/>
      <c r="M579" s="77"/>
      <c r="N579" s="77"/>
      <c r="O579" s="78"/>
      <c r="S579" s="148"/>
      <c r="T579"/>
      <c r="U579"/>
    </row>
    <row r="580" spans="1:21" x14ac:dyDescent="0.2">
      <c r="A580" s="73"/>
      <c r="B580" s="73"/>
      <c r="C580" s="74"/>
      <c r="D580" s="75"/>
      <c r="E580" s="85"/>
      <c r="F580" s="161"/>
      <c r="G580" s="76"/>
      <c r="H580" s="87"/>
      <c r="I580" s="75"/>
      <c r="J580" s="75"/>
      <c r="K580" s="75"/>
      <c r="L580" s="88"/>
      <c r="M580" s="77"/>
      <c r="N580" s="77"/>
      <c r="O580" s="78"/>
      <c r="S580" s="148"/>
      <c r="T580"/>
      <c r="U580"/>
    </row>
    <row r="581" spans="1:21" x14ac:dyDescent="0.2">
      <c r="A581" s="73"/>
      <c r="B581" s="73"/>
      <c r="C581" s="74"/>
      <c r="D581" s="75"/>
      <c r="E581" s="85"/>
      <c r="F581" s="161"/>
      <c r="G581" s="76"/>
      <c r="H581" s="87"/>
      <c r="I581" s="75"/>
      <c r="J581" s="75"/>
      <c r="K581" s="75"/>
      <c r="L581" s="88"/>
      <c r="M581" s="77"/>
      <c r="N581" s="77"/>
      <c r="O581" s="78"/>
      <c r="S581" s="148"/>
      <c r="T581"/>
      <c r="U581"/>
    </row>
    <row r="582" spans="1:21" x14ac:dyDescent="0.2">
      <c r="A582" s="73"/>
      <c r="B582" s="73"/>
      <c r="C582" s="74"/>
      <c r="D582" s="75"/>
      <c r="E582" s="85"/>
      <c r="F582" s="161"/>
      <c r="G582" s="76"/>
      <c r="H582" s="87"/>
      <c r="I582" s="75"/>
      <c r="J582" s="75"/>
      <c r="K582" s="75"/>
      <c r="L582" s="88"/>
      <c r="M582" s="77"/>
      <c r="N582" s="77"/>
      <c r="O582" s="78"/>
      <c r="S582" s="148"/>
      <c r="T582"/>
      <c r="U582"/>
    </row>
    <row r="583" spans="1:21" x14ac:dyDescent="0.2">
      <c r="A583" s="73"/>
      <c r="B583" s="73"/>
      <c r="C583" s="74"/>
      <c r="D583" s="75"/>
      <c r="E583" s="85"/>
      <c r="F583" s="161"/>
      <c r="G583" s="76"/>
      <c r="H583" s="87"/>
      <c r="I583" s="75"/>
      <c r="J583" s="75"/>
      <c r="K583" s="75"/>
      <c r="L583" s="88"/>
      <c r="M583" s="77"/>
      <c r="N583" s="77"/>
      <c r="O583" s="78"/>
      <c r="S583" s="148"/>
      <c r="T583"/>
      <c r="U583"/>
    </row>
    <row r="584" spans="1:21" x14ac:dyDescent="0.2">
      <c r="A584" s="73"/>
      <c r="B584" s="73"/>
      <c r="C584" s="74"/>
      <c r="D584" s="75"/>
      <c r="E584" s="85"/>
      <c r="F584" s="161"/>
      <c r="G584" s="76"/>
      <c r="H584" s="87"/>
      <c r="I584" s="75"/>
      <c r="J584" s="75"/>
      <c r="K584" s="75"/>
      <c r="L584" s="88"/>
      <c r="M584" s="77"/>
      <c r="N584" s="77"/>
      <c r="O584" s="78"/>
      <c r="S584" s="148"/>
      <c r="T584"/>
      <c r="U584"/>
    </row>
    <row r="585" spans="1:21" x14ac:dyDescent="0.2">
      <c r="A585" s="73"/>
      <c r="B585" s="73"/>
      <c r="C585" s="74"/>
      <c r="D585" s="75"/>
      <c r="E585" s="85"/>
      <c r="F585" s="161"/>
      <c r="G585" s="76"/>
      <c r="H585" s="87"/>
      <c r="I585" s="75"/>
      <c r="J585" s="75"/>
      <c r="K585" s="75"/>
      <c r="L585" s="88"/>
      <c r="M585" s="77"/>
      <c r="N585" s="77"/>
      <c r="O585" s="78"/>
      <c r="S585" s="148"/>
      <c r="T585"/>
      <c r="U585"/>
    </row>
    <row r="586" spans="1:21" x14ac:dyDescent="0.2">
      <c r="A586" s="73"/>
      <c r="B586" s="73"/>
      <c r="C586" s="74"/>
      <c r="D586" s="75"/>
      <c r="E586" s="85"/>
      <c r="F586" s="161"/>
      <c r="G586" s="76"/>
      <c r="H586" s="87"/>
      <c r="I586" s="75"/>
      <c r="J586" s="75"/>
      <c r="K586" s="75"/>
      <c r="L586" s="88"/>
      <c r="M586" s="77"/>
      <c r="N586" s="77"/>
      <c r="O586" s="78"/>
      <c r="S586" s="148"/>
      <c r="T586"/>
      <c r="U586"/>
    </row>
    <row r="587" spans="1:21" x14ac:dyDescent="0.2">
      <c r="A587" s="73"/>
      <c r="B587" s="73"/>
      <c r="C587" s="74"/>
      <c r="D587" s="75"/>
      <c r="E587" s="85"/>
      <c r="F587" s="161"/>
      <c r="G587" s="76"/>
      <c r="H587" s="87"/>
      <c r="I587" s="75"/>
      <c r="J587" s="75"/>
      <c r="K587" s="75"/>
      <c r="L587" s="88"/>
      <c r="M587" s="77"/>
      <c r="N587" s="77"/>
      <c r="O587" s="78"/>
      <c r="S587" s="148"/>
      <c r="T587"/>
      <c r="U587"/>
    </row>
    <row r="588" spans="1:21" x14ac:dyDescent="0.2">
      <c r="A588" s="73"/>
      <c r="B588" s="73"/>
      <c r="C588" s="74"/>
      <c r="D588" s="75"/>
      <c r="E588" s="85"/>
      <c r="F588" s="161"/>
      <c r="G588" s="76"/>
      <c r="H588" s="87"/>
      <c r="I588" s="75"/>
      <c r="J588" s="75"/>
      <c r="K588" s="75"/>
      <c r="L588" s="88"/>
      <c r="M588" s="77"/>
      <c r="N588" s="77"/>
      <c r="O588" s="78"/>
      <c r="S588" s="148"/>
      <c r="T588"/>
      <c r="U588"/>
    </row>
    <row r="589" spans="1:21" x14ac:dyDescent="0.2">
      <c r="A589" s="73"/>
      <c r="B589" s="73"/>
      <c r="C589" s="74"/>
      <c r="D589" s="75"/>
      <c r="E589" s="85"/>
      <c r="F589" s="161"/>
      <c r="G589" s="76"/>
      <c r="H589" s="87"/>
      <c r="I589" s="75"/>
      <c r="J589" s="75"/>
      <c r="K589" s="75"/>
      <c r="L589" s="88"/>
      <c r="M589" s="77"/>
      <c r="N589" s="77"/>
      <c r="O589" s="78"/>
      <c r="S589" s="148"/>
      <c r="T589"/>
      <c r="U589"/>
    </row>
    <row r="590" spans="1:21" x14ac:dyDescent="0.2">
      <c r="A590" s="73"/>
      <c r="B590" s="73"/>
      <c r="C590" s="74"/>
      <c r="D590" s="75"/>
      <c r="E590" s="85"/>
      <c r="F590" s="161"/>
      <c r="G590" s="76"/>
      <c r="H590" s="87"/>
      <c r="I590" s="75"/>
      <c r="J590" s="75"/>
      <c r="K590" s="75"/>
      <c r="L590" s="88"/>
      <c r="M590" s="77"/>
      <c r="N590" s="77"/>
      <c r="O590" s="78"/>
      <c r="S590" s="148"/>
      <c r="T590"/>
      <c r="U590"/>
    </row>
    <row r="591" spans="1:21" x14ac:dyDescent="0.2">
      <c r="A591" s="73"/>
      <c r="B591" s="73"/>
      <c r="C591" s="74"/>
      <c r="D591" s="75"/>
      <c r="E591" s="85"/>
      <c r="F591" s="161"/>
      <c r="G591" s="76"/>
      <c r="H591" s="87"/>
      <c r="I591" s="75"/>
      <c r="J591" s="75"/>
      <c r="K591" s="75"/>
      <c r="L591" s="88"/>
      <c r="M591" s="77"/>
      <c r="N591" s="77"/>
      <c r="O591" s="78"/>
      <c r="S591" s="148"/>
      <c r="T591"/>
      <c r="U591"/>
    </row>
    <row r="592" spans="1:21" x14ac:dyDescent="0.2">
      <c r="A592" s="73"/>
      <c r="B592" s="73"/>
      <c r="C592" s="74"/>
      <c r="D592" s="75"/>
      <c r="E592" s="85"/>
      <c r="F592" s="161"/>
      <c r="G592" s="76"/>
      <c r="H592" s="87"/>
      <c r="I592" s="75"/>
      <c r="J592" s="75"/>
      <c r="K592" s="75"/>
      <c r="L592" s="88"/>
      <c r="M592" s="77"/>
      <c r="N592" s="77"/>
      <c r="O592" s="78"/>
      <c r="S592" s="148"/>
      <c r="T592"/>
      <c r="U592"/>
    </row>
    <row r="593" spans="1:21" x14ac:dyDescent="0.2">
      <c r="A593" s="73"/>
      <c r="B593" s="73"/>
      <c r="C593" s="74"/>
      <c r="D593" s="75"/>
      <c r="E593" s="85"/>
      <c r="F593" s="161"/>
      <c r="G593" s="76"/>
      <c r="H593" s="87"/>
      <c r="I593" s="75"/>
      <c r="J593" s="75"/>
      <c r="K593" s="75"/>
      <c r="L593" s="88"/>
      <c r="M593" s="77"/>
      <c r="N593" s="77"/>
      <c r="O593" s="78"/>
      <c r="S593" s="148"/>
      <c r="T593"/>
      <c r="U593"/>
    </row>
    <row r="594" spans="1:21" x14ac:dyDescent="0.2">
      <c r="A594" s="73"/>
      <c r="B594" s="73"/>
      <c r="C594" s="74"/>
      <c r="D594" s="75"/>
      <c r="E594" s="85"/>
      <c r="F594" s="161"/>
      <c r="G594" s="76"/>
      <c r="H594" s="87"/>
      <c r="I594" s="75"/>
      <c r="J594" s="75"/>
      <c r="K594" s="75"/>
      <c r="L594" s="88"/>
      <c r="M594" s="77"/>
      <c r="N594" s="77"/>
      <c r="O594" s="78"/>
      <c r="S594" s="148"/>
      <c r="T594"/>
      <c r="U594"/>
    </row>
    <row r="595" spans="1:21" x14ac:dyDescent="0.2">
      <c r="A595" s="73"/>
      <c r="B595" s="73"/>
      <c r="C595" s="74"/>
      <c r="D595" s="75"/>
      <c r="E595" s="85"/>
      <c r="F595" s="161"/>
      <c r="G595" s="76"/>
      <c r="H595" s="87"/>
      <c r="I595" s="75"/>
      <c r="J595" s="75"/>
      <c r="K595" s="75"/>
      <c r="L595" s="88"/>
      <c r="M595" s="77"/>
      <c r="N595" s="77"/>
      <c r="O595" s="78"/>
      <c r="S595" s="148"/>
      <c r="T595"/>
      <c r="U595"/>
    </row>
    <row r="596" spans="1:21" x14ac:dyDescent="0.2">
      <c r="A596" s="73"/>
      <c r="B596" s="73"/>
      <c r="C596" s="74"/>
      <c r="D596" s="75"/>
      <c r="E596" s="85"/>
      <c r="F596" s="161"/>
      <c r="G596" s="76"/>
      <c r="H596" s="87"/>
      <c r="I596" s="75"/>
      <c r="J596" s="75"/>
      <c r="K596" s="75"/>
      <c r="L596" s="88"/>
      <c r="M596" s="77"/>
      <c r="N596" s="77"/>
      <c r="O596" s="78"/>
      <c r="S596" s="148"/>
      <c r="T596"/>
      <c r="U596"/>
    </row>
    <row r="597" spans="1:21" x14ac:dyDescent="0.2">
      <c r="A597" s="73"/>
      <c r="B597" s="73"/>
      <c r="C597" s="74"/>
      <c r="D597" s="75"/>
      <c r="E597" s="85"/>
      <c r="F597" s="161"/>
      <c r="G597" s="76"/>
      <c r="H597" s="87"/>
      <c r="I597" s="75"/>
      <c r="J597" s="75"/>
      <c r="K597" s="75"/>
      <c r="L597" s="88"/>
      <c r="M597" s="77"/>
      <c r="N597" s="77"/>
      <c r="O597" s="78"/>
      <c r="S597" s="148"/>
      <c r="T597"/>
      <c r="U597"/>
    </row>
    <row r="598" spans="1:21" x14ac:dyDescent="0.2">
      <c r="A598" s="73"/>
      <c r="B598" s="73"/>
      <c r="C598" s="74"/>
      <c r="D598" s="75"/>
      <c r="E598" s="85"/>
      <c r="F598" s="161"/>
      <c r="G598" s="76"/>
      <c r="H598" s="87"/>
      <c r="I598" s="75"/>
      <c r="J598" s="75"/>
      <c r="K598" s="75"/>
      <c r="L598" s="88"/>
      <c r="M598" s="77"/>
      <c r="N598" s="77"/>
      <c r="O598" s="78"/>
      <c r="S598" s="148"/>
      <c r="T598"/>
      <c r="U598"/>
    </row>
    <row r="599" spans="1:21" x14ac:dyDescent="0.2">
      <c r="A599" s="73"/>
      <c r="B599" s="73"/>
      <c r="C599" s="74"/>
      <c r="D599" s="75"/>
      <c r="E599" s="85"/>
      <c r="F599" s="161"/>
      <c r="G599" s="76"/>
      <c r="H599" s="87"/>
      <c r="I599" s="75"/>
      <c r="J599" s="75"/>
      <c r="K599" s="75"/>
      <c r="L599" s="88"/>
      <c r="M599" s="77"/>
      <c r="N599" s="77"/>
      <c r="O599" s="78"/>
      <c r="S599" s="148"/>
      <c r="T599"/>
      <c r="U599"/>
    </row>
    <row r="600" spans="1:21" x14ac:dyDescent="0.2">
      <c r="A600" s="73"/>
      <c r="B600" s="73"/>
      <c r="C600" s="74"/>
      <c r="D600" s="75"/>
      <c r="E600" s="85"/>
      <c r="F600" s="161"/>
      <c r="G600" s="76"/>
      <c r="H600" s="87"/>
      <c r="I600" s="75"/>
      <c r="J600" s="75"/>
      <c r="K600" s="75"/>
      <c r="L600" s="88"/>
      <c r="M600" s="77"/>
      <c r="N600" s="77"/>
      <c r="O600" s="78"/>
      <c r="S600" s="148"/>
      <c r="T600"/>
      <c r="U600"/>
    </row>
    <row r="601" spans="1:21" x14ac:dyDescent="0.2">
      <c r="A601" s="73"/>
      <c r="B601" s="73"/>
      <c r="C601" s="74"/>
      <c r="D601" s="75"/>
      <c r="E601" s="85"/>
      <c r="F601" s="161"/>
      <c r="G601" s="76"/>
      <c r="H601" s="87"/>
      <c r="I601" s="75"/>
      <c r="J601" s="75"/>
      <c r="K601" s="75"/>
      <c r="L601" s="88"/>
      <c r="M601" s="77"/>
      <c r="N601" s="77"/>
      <c r="O601" s="78"/>
      <c r="S601" s="148"/>
      <c r="T601"/>
      <c r="U601"/>
    </row>
    <row r="602" spans="1:21" x14ac:dyDescent="0.2">
      <c r="A602" s="73"/>
      <c r="B602" s="73"/>
      <c r="C602" s="74"/>
      <c r="D602" s="75"/>
      <c r="E602" s="85"/>
      <c r="F602" s="161"/>
      <c r="G602" s="76"/>
      <c r="H602" s="87"/>
      <c r="I602" s="75"/>
      <c r="J602" s="75"/>
      <c r="K602" s="75"/>
      <c r="L602" s="88"/>
      <c r="M602" s="77"/>
      <c r="N602" s="77"/>
      <c r="O602" s="78"/>
      <c r="S602" s="148"/>
      <c r="T602"/>
      <c r="U602"/>
    </row>
    <row r="603" spans="1:21" x14ac:dyDescent="0.2">
      <c r="A603" s="73"/>
      <c r="B603" s="73"/>
      <c r="C603" s="74"/>
      <c r="D603" s="75"/>
      <c r="E603" s="85"/>
      <c r="F603" s="161"/>
      <c r="G603" s="76"/>
      <c r="H603" s="87"/>
      <c r="I603" s="75"/>
      <c r="J603" s="75"/>
      <c r="K603" s="75"/>
      <c r="L603" s="88"/>
      <c r="M603" s="77"/>
      <c r="N603" s="77"/>
      <c r="O603" s="78"/>
      <c r="S603" s="148"/>
      <c r="T603"/>
      <c r="U603"/>
    </row>
    <row r="604" spans="1:21" x14ac:dyDescent="0.2">
      <c r="A604" s="73"/>
      <c r="B604" s="73"/>
      <c r="C604" s="74"/>
      <c r="D604" s="75"/>
      <c r="E604" s="85"/>
      <c r="F604" s="161"/>
      <c r="G604" s="76"/>
      <c r="H604" s="87"/>
      <c r="I604" s="75"/>
      <c r="J604" s="75"/>
      <c r="K604" s="75"/>
      <c r="L604" s="88"/>
      <c r="M604" s="77"/>
      <c r="N604" s="77"/>
      <c r="O604" s="78"/>
      <c r="S604" s="148"/>
      <c r="T604"/>
      <c r="U604"/>
    </row>
    <row r="605" spans="1:21" x14ac:dyDescent="0.2">
      <c r="A605" s="73"/>
      <c r="B605" s="73"/>
      <c r="C605" s="74"/>
      <c r="D605" s="75"/>
      <c r="E605" s="85"/>
      <c r="F605" s="161"/>
      <c r="G605" s="76"/>
      <c r="H605" s="87"/>
      <c r="I605" s="75"/>
      <c r="J605" s="75"/>
      <c r="K605" s="75"/>
      <c r="L605" s="88"/>
      <c r="M605" s="77"/>
      <c r="N605" s="77"/>
      <c r="O605" s="78"/>
      <c r="S605" s="148"/>
      <c r="T605"/>
      <c r="U605"/>
    </row>
    <row r="606" spans="1:21" x14ac:dyDescent="0.2">
      <c r="A606" s="73"/>
      <c r="B606" s="73"/>
      <c r="C606" s="74"/>
      <c r="D606" s="75"/>
      <c r="E606" s="85"/>
      <c r="F606" s="161"/>
      <c r="G606" s="76"/>
      <c r="H606" s="87"/>
      <c r="I606" s="75"/>
      <c r="J606" s="75"/>
      <c r="K606" s="75"/>
      <c r="L606" s="88"/>
      <c r="M606" s="77"/>
      <c r="N606" s="77"/>
      <c r="O606" s="78"/>
      <c r="S606" s="148"/>
      <c r="T606"/>
      <c r="U606"/>
    </row>
    <row r="607" spans="1:21" x14ac:dyDescent="0.2">
      <c r="A607" s="73"/>
      <c r="B607" s="73"/>
      <c r="C607" s="74"/>
      <c r="D607" s="75"/>
      <c r="E607" s="85"/>
      <c r="F607" s="161"/>
      <c r="G607" s="76"/>
      <c r="H607" s="87"/>
      <c r="I607" s="75"/>
      <c r="J607" s="75"/>
      <c r="K607" s="75"/>
      <c r="L607" s="88"/>
      <c r="M607" s="77"/>
      <c r="N607" s="77"/>
      <c r="O607" s="78"/>
      <c r="S607" s="148"/>
      <c r="T607"/>
      <c r="U607"/>
    </row>
    <row r="608" spans="1:21" x14ac:dyDescent="0.2">
      <c r="A608" s="73"/>
      <c r="B608" s="73"/>
      <c r="C608" s="74"/>
      <c r="D608" s="75"/>
      <c r="E608" s="85"/>
      <c r="F608" s="161"/>
      <c r="G608" s="76"/>
      <c r="H608" s="87"/>
      <c r="I608" s="75"/>
      <c r="J608" s="75"/>
      <c r="K608" s="75"/>
      <c r="L608" s="88"/>
      <c r="M608" s="77"/>
      <c r="N608" s="77"/>
      <c r="O608" s="78"/>
      <c r="S608" s="148"/>
      <c r="T608"/>
      <c r="U608"/>
    </row>
    <row r="609" spans="1:21" x14ac:dyDescent="0.2">
      <c r="A609" s="73"/>
      <c r="B609" s="73"/>
      <c r="C609" s="74"/>
      <c r="D609" s="75"/>
      <c r="E609" s="85"/>
      <c r="F609" s="161"/>
      <c r="G609" s="76"/>
      <c r="H609" s="87"/>
      <c r="I609" s="75"/>
      <c r="J609" s="75"/>
      <c r="K609" s="75"/>
      <c r="L609" s="88"/>
      <c r="M609" s="77"/>
      <c r="N609" s="77"/>
      <c r="O609" s="78"/>
      <c r="S609" s="148"/>
      <c r="T609"/>
      <c r="U609"/>
    </row>
    <row r="610" spans="1:21" x14ac:dyDescent="0.2">
      <c r="A610" s="73"/>
      <c r="B610" s="73"/>
      <c r="C610" s="74"/>
      <c r="D610" s="75"/>
      <c r="E610" s="85"/>
      <c r="F610" s="161"/>
      <c r="G610" s="76"/>
      <c r="H610" s="87"/>
      <c r="I610" s="75"/>
      <c r="J610" s="75"/>
      <c r="K610" s="75"/>
      <c r="L610" s="88"/>
      <c r="M610" s="77"/>
      <c r="N610" s="77"/>
      <c r="O610" s="78"/>
      <c r="S610" s="148"/>
      <c r="T610"/>
      <c r="U610"/>
    </row>
    <row r="611" spans="1:21" x14ac:dyDescent="0.2">
      <c r="A611" s="73"/>
      <c r="B611" s="73"/>
      <c r="C611" s="74"/>
      <c r="D611" s="75"/>
      <c r="E611" s="85"/>
      <c r="F611" s="161"/>
      <c r="G611" s="76"/>
      <c r="H611" s="87"/>
      <c r="I611" s="75"/>
      <c r="J611" s="75"/>
      <c r="K611" s="75"/>
      <c r="L611" s="88"/>
      <c r="M611" s="77"/>
      <c r="N611" s="77"/>
      <c r="O611" s="78"/>
      <c r="S611" s="148"/>
      <c r="T611"/>
      <c r="U611"/>
    </row>
    <row r="612" spans="1:21" x14ac:dyDescent="0.2">
      <c r="A612" s="73"/>
      <c r="B612" s="73"/>
      <c r="C612" s="74"/>
      <c r="D612" s="75"/>
      <c r="E612" s="85"/>
      <c r="F612" s="161"/>
      <c r="G612" s="76"/>
      <c r="H612" s="87"/>
      <c r="I612" s="75"/>
      <c r="J612" s="75"/>
      <c r="K612" s="75"/>
      <c r="L612" s="88"/>
      <c r="M612" s="77"/>
      <c r="N612" s="77"/>
      <c r="O612" s="78"/>
      <c r="S612" s="148"/>
      <c r="T612"/>
      <c r="U612"/>
    </row>
    <row r="613" spans="1:21" x14ac:dyDescent="0.2">
      <c r="A613" s="73"/>
      <c r="B613" s="73"/>
      <c r="C613" s="74"/>
      <c r="D613" s="75"/>
      <c r="E613" s="85"/>
      <c r="F613" s="161"/>
      <c r="G613" s="76"/>
      <c r="H613" s="87"/>
      <c r="I613" s="75"/>
      <c r="J613" s="75"/>
      <c r="K613" s="75"/>
      <c r="L613" s="88"/>
      <c r="M613" s="77"/>
      <c r="N613" s="77"/>
      <c r="O613" s="78"/>
      <c r="S613" s="148"/>
      <c r="T613"/>
      <c r="U613"/>
    </row>
    <row r="614" spans="1:21" x14ac:dyDescent="0.2">
      <c r="A614" s="73"/>
      <c r="B614" s="73"/>
      <c r="C614" s="74"/>
      <c r="D614" s="75"/>
      <c r="E614" s="85"/>
      <c r="F614" s="161"/>
      <c r="G614" s="76"/>
      <c r="H614" s="87"/>
      <c r="I614" s="75"/>
      <c r="J614" s="75"/>
      <c r="K614" s="75"/>
      <c r="L614" s="88"/>
      <c r="M614" s="77"/>
      <c r="N614" s="77"/>
      <c r="O614" s="78"/>
      <c r="S614" s="148"/>
      <c r="T614"/>
      <c r="U614"/>
    </row>
    <row r="615" spans="1:21" x14ac:dyDescent="0.2">
      <c r="A615" s="73"/>
      <c r="B615" s="73"/>
      <c r="C615" s="74"/>
      <c r="D615" s="75"/>
      <c r="E615" s="85"/>
      <c r="F615" s="161"/>
      <c r="G615" s="76"/>
      <c r="H615" s="87"/>
      <c r="I615" s="75"/>
      <c r="J615" s="75"/>
      <c r="K615" s="75"/>
      <c r="L615" s="88"/>
      <c r="M615" s="77"/>
      <c r="N615" s="77"/>
      <c r="O615" s="78"/>
      <c r="S615" s="148"/>
      <c r="T615"/>
      <c r="U615"/>
    </row>
    <row r="616" spans="1:21" x14ac:dyDescent="0.2">
      <c r="A616" s="73"/>
      <c r="B616" s="73"/>
      <c r="C616" s="74"/>
      <c r="D616" s="75"/>
      <c r="E616" s="85"/>
      <c r="F616" s="161"/>
      <c r="G616" s="76"/>
      <c r="H616" s="87"/>
      <c r="I616" s="75"/>
      <c r="J616" s="75"/>
      <c r="K616" s="75"/>
      <c r="L616" s="88"/>
      <c r="M616" s="77"/>
      <c r="N616" s="77"/>
      <c r="O616" s="78"/>
      <c r="S616" s="148"/>
      <c r="T616"/>
      <c r="U616"/>
    </row>
    <row r="617" spans="1:21" x14ac:dyDescent="0.2">
      <c r="A617" s="73"/>
      <c r="B617" s="73"/>
      <c r="C617" s="74"/>
      <c r="D617" s="75"/>
      <c r="E617" s="85"/>
      <c r="F617" s="161"/>
      <c r="G617" s="76"/>
      <c r="H617" s="87"/>
      <c r="I617" s="75"/>
      <c r="J617" s="75"/>
      <c r="K617" s="75"/>
      <c r="L617" s="88"/>
      <c r="M617" s="77"/>
      <c r="N617" s="77"/>
      <c r="O617" s="78"/>
      <c r="S617" s="148"/>
      <c r="T617"/>
      <c r="U617"/>
    </row>
    <row r="618" spans="1:21" x14ac:dyDescent="0.2">
      <c r="A618" s="73"/>
      <c r="B618" s="73"/>
      <c r="C618" s="74"/>
      <c r="D618" s="75"/>
      <c r="E618" s="85"/>
      <c r="F618" s="161"/>
      <c r="G618" s="76"/>
      <c r="H618" s="87"/>
      <c r="I618" s="75"/>
      <c r="J618" s="75"/>
      <c r="K618" s="75"/>
      <c r="L618" s="88"/>
      <c r="M618" s="77"/>
      <c r="N618" s="77"/>
      <c r="O618" s="78"/>
      <c r="S618" s="148"/>
      <c r="T618"/>
      <c r="U618"/>
    </row>
    <row r="619" spans="1:21" x14ac:dyDescent="0.2">
      <c r="A619" s="73"/>
      <c r="B619" s="73"/>
      <c r="C619" s="74"/>
      <c r="D619" s="75"/>
      <c r="E619" s="85"/>
      <c r="F619" s="161"/>
      <c r="G619" s="76"/>
      <c r="H619" s="87"/>
      <c r="I619" s="75"/>
      <c r="J619" s="75"/>
      <c r="K619" s="75"/>
      <c r="L619" s="88"/>
      <c r="M619" s="77"/>
      <c r="N619" s="77"/>
      <c r="O619" s="78"/>
      <c r="S619" s="148"/>
      <c r="T619"/>
      <c r="U619"/>
    </row>
    <row r="620" spans="1:21" x14ac:dyDescent="0.2">
      <c r="A620" s="73"/>
      <c r="B620" s="73"/>
      <c r="C620" s="74"/>
      <c r="D620" s="75"/>
      <c r="E620" s="85"/>
      <c r="F620" s="161"/>
      <c r="G620" s="76"/>
      <c r="H620" s="87"/>
      <c r="I620" s="75"/>
      <c r="J620" s="75"/>
      <c r="K620" s="75"/>
      <c r="L620" s="88"/>
      <c r="M620" s="77"/>
      <c r="N620" s="77"/>
      <c r="O620" s="78"/>
      <c r="S620" s="148"/>
      <c r="T620"/>
      <c r="U620"/>
    </row>
    <row r="621" spans="1:21" x14ac:dyDescent="0.2">
      <c r="A621" s="73"/>
      <c r="B621" s="73"/>
      <c r="C621" s="74"/>
      <c r="D621" s="75"/>
      <c r="E621" s="85"/>
      <c r="F621" s="161"/>
      <c r="G621" s="76"/>
      <c r="H621" s="87"/>
      <c r="I621" s="75"/>
      <c r="J621" s="75"/>
      <c r="K621" s="75"/>
      <c r="L621" s="88"/>
      <c r="M621" s="77"/>
      <c r="N621" s="77"/>
      <c r="O621" s="78"/>
      <c r="S621" s="148"/>
      <c r="T621"/>
      <c r="U621"/>
    </row>
    <row r="622" spans="1:21" x14ac:dyDescent="0.2">
      <c r="A622" s="73"/>
      <c r="B622" s="73"/>
      <c r="C622" s="74"/>
      <c r="D622" s="75"/>
      <c r="E622" s="85"/>
      <c r="F622" s="161"/>
      <c r="G622" s="76"/>
      <c r="H622" s="87"/>
      <c r="I622" s="75"/>
      <c r="J622" s="75"/>
      <c r="K622" s="75"/>
      <c r="L622" s="88"/>
      <c r="M622" s="77"/>
      <c r="N622" s="77"/>
      <c r="O622" s="78"/>
      <c r="S622" s="148"/>
      <c r="T622"/>
      <c r="U622"/>
    </row>
    <row r="623" spans="1:21" x14ac:dyDescent="0.2">
      <c r="A623" s="73"/>
      <c r="B623" s="73"/>
      <c r="C623" s="74"/>
      <c r="D623" s="75"/>
      <c r="E623" s="85"/>
      <c r="F623" s="161"/>
      <c r="G623" s="76"/>
      <c r="H623" s="87"/>
      <c r="I623" s="75"/>
      <c r="J623" s="75"/>
      <c r="K623" s="75"/>
      <c r="L623" s="88"/>
      <c r="M623" s="77"/>
      <c r="N623" s="77"/>
      <c r="O623" s="78"/>
      <c r="S623" s="148"/>
      <c r="T623"/>
      <c r="U623"/>
    </row>
    <row r="624" spans="1:21" x14ac:dyDescent="0.2">
      <c r="A624" s="73"/>
      <c r="B624" s="73"/>
      <c r="C624" s="74"/>
      <c r="D624" s="75"/>
      <c r="E624" s="85"/>
      <c r="F624" s="161"/>
      <c r="G624" s="76"/>
      <c r="H624" s="87"/>
      <c r="I624" s="75"/>
      <c r="J624" s="75"/>
      <c r="K624" s="75"/>
      <c r="L624" s="88"/>
      <c r="M624" s="77"/>
      <c r="N624" s="77"/>
      <c r="O624" s="78"/>
      <c r="S624" s="148"/>
      <c r="T624"/>
      <c r="U624"/>
    </row>
    <row r="625" spans="1:21" x14ac:dyDescent="0.2">
      <c r="A625" s="73"/>
      <c r="B625" s="73"/>
      <c r="C625" s="74"/>
      <c r="D625" s="75"/>
      <c r="E625" s="85"/>
      <c r="F625" s="161"/>
      <c r="G625" s="76"/>
      <c r="H625" s="87"/>
      <c r="I625" s="75"/>
      <c r="J625" s="75"/>
      <c r="K625" s="75"/>
      <c r="L625" s="88"/>
      <c r="M625" s="77"/>
      <c r="N625" s="77"/>
      <c r="O625" s="78"/>
      <c r="S625" s="148"/>
      <c r="T625"/>
      <c r="U625"/>
    </row>
    <row r="626" spans="1:21" x14ac:dyDescent="0.2">
      <c r="A626" s="73"/>
      <c r="B626" s="73"/>
      <c r="C626" s="74"/>
      <c r="D626" s="75"/>
      <c r="E626" s="85"/>
      <c r="F626" s="161"/>
      <c r="G626" s="76"/>
      <c r="H626" s="87"/>
      <c r="I626" s="75"/>
      <c r="J626" s="75"/>
      <c r="K626" s="75"/>
      <c r="L626" s="88"/>
      <c r="M626" s="77"/>
      <c r="N626" s="77"/>
      <c r="O626" s="78"/>
      <c r="S626" s="148"/>
      <c r="T626"/>
      <c r="U626"/>
    </row>
    <row r="627" spans="1:21" x14ac:dyDescent="0.2">
      <c r="A627" s="73"/>
      <c r="B627" s="73"/>
      <c r="C627" s="74"/>
      <c r="D627" s="75"/>
      <c r="E627" s="85"/>
      <c r="F627" s="161"/>
      <c r="G627" s="76"/>
      <c r="H627" s="87"/>
      <c r="I627" s="75"/>
      <c r="J627" s="75"/>
      <c r="K627" s="75"/>
      <c r="L627" s="88"/>
      <c r="M627" s="77"/>
      <c r="N627" s="77"/>
      <c r="O627" s="78"/>
      <c r="S627" s="148"/>
      <c r="T627"/>
      <c r="U627"/>
    </row>
    <row r="628" spans="1:21" x14ac:dyDescent="0.2">
      <c r="A628" s="73"/>
      <c r="B628" s="73"/>
      <c r="C628" s="74"/>
      <c r="D628" s="75"/>
      <c r="E628" s="85"/>
      <c r="F628" s="161"/>
      <c r="G628" s="76"/>
      <c r="H628" s="87"/>
      <c r="I628" s="75"/>
      <c r="J628" s="75"/>
      <c r="K628" s="75"/>
      <c r="L628" s="88"/>
      <c r="M628" s="77"/>
      <c r="N628" s="77"/>
      <c r="O628" s="78"/>
      <c r="S628" s="148"/>
      <c r="T628"/>
      <c r="U628"/>
    </row>
    <row r="629" spans="1:21" x14ac:dyDescent="0.2">
      <c r="A629" s="73"/>
      <c r="B629" s="73"/>
      <c r="C629" s="74"/>
      <c r="D629" s="75"/>
      <c r="E629" s="85"/>
      <c r="F629" s="161"/>
      <c r="G629" s="76"/>
      <c r="H629" s="87"/>
      <c r="I629" s="75"/>
      <c r="J629" s="75"/>
      <c r="K629" s="75"/>
      <c r="L629" s="88"/>
      <c r="M629" s="77"/>
      <c r="N629" s="77"/>
      <c r="O629" s="78"/>
      <c r="S629" s="148"/>
      <c r="T629"/>
      <c r="U629"/>
    </row>
    <row r="630" spans="1:21" x14ac:dyDescent="0.2">
      <c r="A630" s="73"/>
      <c r="B630" s="73"/>
      <c r="C630" s="74"/>
      <c r="D630" s="75"/>
      <c r="E630" s="85"/>
      <c r="F630" s="161"/>
      <c r="G630" s="76"/>
      <c r="H630" s="87"/>
      <c r="I630" s="75"/>
      <c r="J630" s="75"/>
      <c r="K630" s="75"/>
      <c r="L630" s="88"/>
      <c r="M630" s="77"/>
      <c r="N630" s="77"/>
      <c r="O630" s="78"/>
      <c r="S630" s="148"/>
      <c r="T630"/>
      <c r="U630"/>
    </row>
    <row r="631" spans="1:21" x14ac:dyDescent="0.2">
      <c r="A631" s="73"/>
      <c r="B631" s="73"/>
      <c r="C631" s="74"/>
      <c r="D631" s="75"/>
      <c r="E631" s="85"/>
      <c r="F631" s="161"/>
      <c r="G631" s="76"/>
      <c r="H631" s="87"/>
      <c r="I631" s="75"/>
      <c r="J631" s="75"/>
      <c r="K631" s="75"/>
      <c r="L631" s="88"/>
      <c r="M631" s="77"/>
      <c r="N631" s="77"/>
      <c r="O631" s="78"/>
      <c r="S631" s="148"/>
      <c r="T631"/>
      <c r="U631"/>
    </row>
    <row r="632" spans="1:21" x14ac:dyDescent="0.2">
      <c r="A632" s="73"/>
      <c r="B632" s="73"/>
      <c r="C632" s="74"/>
      <c r="D632" s="75"/>
      <c r="E632" s="85"/>
      <c r="F632" s="161"/>
      <c r="G632" s="76"/>
      <c r="H632" s="87"/>
      <c r="I632" s="75"/>
      <c r="J632" s="75"/>
      <c r="K632" s="75"/>
      <c r="L632" s="88"/>
      <c r="M632" s="77"/>
      <c r="N632" s="77"/>
      <c r="O632" s="78"/>
      <c r="S632" s="148"/>
      <c r="T632"/>
      <c r="U632"/>
    </row>
    <row r="633" spans="1:21" x14ac:dyDescent="0.2">
      <c r="A633" s="73"/>
      <c r="B633" s="73"/>
      <c r="C633" s="74"/>
      <c r="D633" s="75"/>
      <c r="E633" s="85"/>
      <c r="F633" s="161"/>
      <c r="G633" s="76"/>
      <c r="H633" s="87"/>
      <c r="I633" s="75"/>
      <c r="J633" s="75"/>
      <c r="K633" s="75"/>
      <c r="L633" s="88"/>
      <c r="M633" s="77"/>
      <c r="N633" s="77"/>
      <c r="O633" s="78"/>
      <c r="S633" s="148"/>
      <c r="T633"/>
      <c r="U633"/>
    </row>
    <row r="634" spans="1:21" x14ac:dyDescent="0.2">
      <c r="A634" s="73"/>
      <c r="B634" s="73"/>
      <c r="C634" s="74"/>
      <c r="D634" s="75"/>
      <c r="E634" s="85"/>
      <c r="F634" s="161"/>
      <c r="G634" s="76"/>
      <c r="H634" s="87"/>
      <c r="I634" s="75"/>
      <c r="J634" s="75"/>
      <c r="K634" s="75"/>
      <c r="L634" s="88"/>
      <c r="M634" s="77"/>
      <c r="N634" s="77"/>
      <c r="O634" s="78"/>
      <c r="S634" s="148"/>
      <c r="T634"/>
      <c r="U634"/>
    </row>
    <row r="635" spans="1:21" x14ac:dyDescent="0.2">
      <c r="A635" s="73"/>
      <c r="B635" s="73"/>
      <c r="C635" s="74"/>
      <c r="D635" s="75"/>
      <c r="E635" s="85"/>
      <c r="F635" s="161"/>
      <c r="G635" s="76"/>
      <c r="H635" s="87"/>
      <c r="I635" s="75"/>
      <c r="J635" s="75"/>
      <c r="K635" s="75"/>
      <c r="L635" s="88"/>
      <c r="M635" s="77"/>
      <c r="N635" s="77"/>
      <c r="O635" s="78"/>
      <c r="S635" s="148"/>
      <c r="T635"/>
      <c r="U635"/>
    </row>
    <row r="636" spans="1:21" x14ac:dyDescent="0.2">
      <c r="A636" s="73"/>
      <c r="B636" s="73"/>
      <c r="C636" s="74"/>
      <c r="D636" s="75"/>
      <c r="E636" s="85"/>
      <c r="F636" s="161"/>
      <c r="G636" s="76"/>
      <c r="H636" s="87"/>
      <c r="I636" s="75"/>
      <c r="J636" s="75"/>
      <c r="K636" s="75"/>
      <c r="L636" s="88"/>
      <c r="M636" s="77"/>
      <c r="N636" s="77"/>
      <c r="O636" s="78"/>
      <c r="S636" s="148"/>
      <c r="T636"/>
      <c r="U636"/>
    </row>
    <row r="637" spans="1:21" x14ac:dyDescent="0.2">
      <c r="A637" s="73"/>
      <c r="B637" s="73"/>
      <c r="C637" s="74"/>
      <c r="D637" s="75"/>
      <c r="E637" s="85"/>
      <c r="F637" s="161"/>
      <c r="G637" s="76"/>
      <c r="H637" s="87"/>
      <c r="I637" s="75"/>
      <c r="J637" s="75"/>
      <c r="K637" s="75"/>
      <c r="L637" s="88"/>
      <c r="M637" s="77"/>
      <c r="N637" s="77"/>
      <c r="O637" s="78"/>
      <c r="S637" s="148"/>
      <c r="T637"/>
      <c r="U637"/>
    </row>
    <row r="638" spans="1:21" x14ac:dyDescent="0.2">
      <c r="A638" s="73"/>
      <c r="B638" s="73"/>
      <c r="C638" s="74"/>
      <c r="D638" s="75"/>
      <c r="E638" s="85"/>
      <c r="F638" s="161"/>
      <c r="G638" s="76"/>
      <c r="H638" s="87"/>
      <c r="I638" s="75"/>
      <c r="J638" s="75"/>
      <c r="K638" s="75"/>
      <c r="L638" s="88"/>
      <c r="M638" s="77"/>
      <c r="N638" s="77"/>
      <c r="O638" s="78"/>
      <c r="S638" s="148"/>
      <c r="T638"/>
      <c r="U638"/>
    </row>
    <row r="639" spans="1:21" x14ac:dyDescent="0.2">
      <c r="A639" s="73"/>
      <c r="B639" s="73"/>
      <c r="C639" s="74"/>
      <c r="D639" s="75"/>
      <c r="E639" s="85"/>
      <c r="F639" s="161"/>
      <c r="G639" s="76"/>
      <c r="H639" s="87"/>
      <c r="I639" s="75"/>
      <c r="J639" s="75"/>
      <c r="K639" s="75"/>
      <c r="L639" s="88"/>
      <c r="M639" s="77"/>
      <c r="N639" s="77"/>
      <c r="O639" s="78"/>
      <c r="S639" s="148"/>
      <c r="T639"/>
      <c r="U639"/>
    </row>
    <row r="640" spans="1:21" x14ac:dyDescent="0.2">
      <c r="A640" s="73"/>
      <c r="B640" s="73"/>
      <c r="C640" s="74"/>
      <c r="D640" s="75"/>
      <c r="E640" s="85"/>
      <c r="F640" s="161"/>
      <c r="G640" s="76"/>
      <c r="H640" s="87"/>
      <c r="I640" s="75"/>
      <c r="J640" s="75"/>
      <c r="K640" s="75"/>
      <c r="L640" s="88"/>
      <c r="M640" s="77"/>
      <c r="N640" s="77"/>
      <c r="O640" s="78"/>
      <c r="S640" s="148"/>
      <c r="T640"/>
      <c r="U640"/>
    </row>
    <row r="641" spans="1:21" x14ac:dyDescent="0.2">
      <c r="A641" s="73"/>
      <c r="B641" s="73"/>
      <c r="C641" s="74"/>
      <c r="D641" s="75"/>
      <c r="E641" s="85"/>
      <c r="F641" s="161"/>
      <c r="G641" s="76"/>
      <c r="H641" s="87"/>
      <c r="I641" s="75"/>
      <c r="J641" s="75"/>
      <c r="K641" s="75"/>
      <c r="L641" s="88"/>
      <c r="M641" s="77"/>
      <c r="N641" s="77"/>
      <c r="O641" s="78"/>
      <c r="S641" s="148"/>
      <c r="T641"/>
      <c r="U641"/>
    </row>
    <row r="642" spans="1:21" x14ac:dyDescent="0.2">
      <c r="A642" s="73"/>
      <c r="B642" s="73"/>
      <c r="C642" s="74"/>
      <c r="D642" s="75"/>
      <c r="E642" s="85"/>
      <c r="F642" s="161"/>
      <c r="G642" s="76"/>
      <c r="H642" s="87"/>
      <c r="I642" s="75"/>
      <c r="J642" s="75"/>
      <c r="K642" s="75"/>
      <c r="L642" s="88"/>
      <c r="M642" s="77"/>
      <c r="N642" s="77"/>
      <c r="O642" s="78"/>
      <c r="S642" s="148"/>
      <c r="T642"/>
      <c r="U642"/>
    </row>
    <row r="643" spans="1:21" x14ac:dyDescent="0.2">
      <c r="A643" s="73"/>
      <c r="B643" s="73"/>
      <c r="C643" s="74"/>
      <c r="D643" s="75"/>
      <c r="E643" s="85"/>
      <c r="F643" s="161"/>
      <c r="G643" s="76"/>
      <c r="H643" s="87"/>
      <c r="I643" s="75"/>
      <c r="J643" s="75"/>
      <c r="K643" s="75"/>
      <c r="L643" s="88"/>
      <c r="M643" s="77"/>
      <c r="N643" s="77"/>
      <c r="O643" s="78"/>
      <c r="S643" s="148"/>
      <c r="T643"/>
      <c r="U643"/>
    </row>
    <row r="644" spans="1:21" x14ac:dyDescent="0.2">
      <c r="A644" s="73"/>
      <c r="B644" s="73"/>
      <c r="C644" s="74"/>
      <c r="D644" s="75"/>
      <c r="E644" s="85"/>
      <c r="F644" s="161"/>
      <c r="G644" s="76"/>
      <c r="H644" s="87"/>
      <c r="I644" s="75"/>
      <c r="J644" s="75"/>
      <c r="K644" s="75"/>
      <c r="L644" s="88"/>
      <c r="M644" s="77"/>
      <c r="N644" s="77"/>
      <c r="O644" s="78"/>
      <c r="S644" s="148"/>
      <c r="T644"/>
      <c r="U644"/>
    </row>
    <row r="645" spans="1:21" x14ac:dyDescent="0.2">
      <c r="A645" s="73"/>
      <c r="B645" s="73"/>
      <c r="C645" s="74"/>
      <c r="D645" s="75"/>
      <c r="E645" s="85"/>
      <c r="F645" s="161"/>
      <c r="G645" s="76"/>
      <c r="H645" s="87"/>
      <c r="I645" s="75"/>
      <c r="J645" s="75"/>
      <c r="K645" s="75"/>
      <c r="L645" s="88"/>
      <c r="M645" s="77"/>
      <c r="N645" s="77"/>
      <c r="O645" s="78"/>
      <c r="S645" s="148"/>
      <c r="T645"/>
      <c r="U645"/>
    </row>
    <row r="646" spans="1:21" x14ac:dyDescent="0.2">
      <c r="A646" s="73"/>
      <c r="B646" s="73"/>
      <c r="C646" s="74"/>
      <c r="D646" s="75"/>
      <c r="E646" s="85"/>
      <c r="F646" s="161"/>
      <c r="G646" s="76"/>
      <c r="H646" s="87"/>
      <c r="I646" s="75"/>
      <c r="J646" s="75"/>
      <c r="K646" s="75"/>
      <c r="L646" s="88"/>
      <c r="M646" s="77"/>
      <c r="N646" s="77"/>
      <c r="O646" s="78"/>
      <c r="S646" s="148"/>
      <c r="T646"/>
      <c r="U646"/>
    </row>
    <row r="647" spans="1:21" x14ac:dyDescent="0.2">
      <c r="A647" s="73"/>
      <c r="B647" s="73"/>
      <c r="C647" s="74"/>
      <c r="D647" s="75"/>
      <c r="E647" s="85"/>
      <c r="F647" s="161"/>
      <c r="G647" s="76"/>
      <c r="H647" s="87"/>
      <c r="I647" s="75"/>
      <c r="J647" s="75"/>
      <c r="K647" s="75"/>
      <c r="L647" s="88"/>
      <c r="M647" s="77"/>
      <c r="N647" s="77"/>
      <c r="O647" s="78"/>
      <c r="S647" s="148"/>
      <c r="T647"/>
      <c r="U647"/>
    </row>
    <row r="648" spans="1:21" x14ac:dyDescent="0.2">
      <c r="A648" s="73"/>
      <c r="B648" s="73"/>
      <c r="C648" s="74"/>
      <c r="D648" s="75"/>
      <c r="E648" s="85"/>
      <c r="F648" s="161"/>
      <c r="G648" s="76"/>
      <c r="H648" s="87"/>
      <c r="I648" s="75"/>
      <c r="J648" s="75"/>
      <c r="K648" s="75"/>
      <c r="L648" s="88"/>
      <c r="M648" s="77"/>
      <c r="N648" s="77"/>
      <c r="O648" s="78"/>
      <c r="S648" s="148"/>
      <c r="T648"/>
      <c r="U648"/>
    </row>
    <row r="649" spans="1:21" x14ac:dyDescent="0.2">
      <c r="A649" s="73"/>
      <c r="B649" s="73"/>
      <c r="C649" s="74"/>
      <c r="D649" s="75"/>
      <c r="E649" s="85"/>
      <c r="F649" s="161"/>
      <c r="G649" s="76"/>
      <c r="H649" s="87"/>
      <c r="I649" s="75"/>
      <c r="J649" s="75"/>
      <c r="K649" s="75"/>
      <c r="L649" s="88"/>
      <c r="M649" s="77"/>
      <c r="N649" s="77"/>
      <c r="O649" s="78"/>
      <c r="S649" s="148"/>
      <c r="T649"/>
      <c r="U649"/>
    </row>
    <row r="650" spans="1:21" x14ac:dyDescent="0.2">
      <c r="A650" s="73"/>
      <c r="B650" s="73"/>
      <c r="C650" s="74"/>
      <c r="D650" s="75"/>
      <c r="E650" s="85"/>
      <c r="F650" s="161"/>
      <c r="G650" s="76"/>
      <c r="H650" s="87"/>
      <c r="I650" s="75"/>
      <c r="J650" s="75"/>
      <c r="K650" s="75"/>
      <c r="L650" s="88"/>
      <c r="M650" s="77"/>
      <c r="N650" s="77"/>
      <c r="O650" s="78"/>
      <c r="S650" s="148"/>
      <c r="T650"/>
      <c r="U650"/>
    </row>
    <row r="651" spans="1:21" x14ac:dyDescent="0.2">
      <c r="A651" s="73"/>
      <c r="B651" s="73"/>
      <c r="C651" s="74"/>
      <c r="D651" s="75"/>
      <c r="E651" s="85"/>
      <c r="F651" s="161"/>
      <c r="G651" s="76"/>
      <c r="H651" s="87"/>
      <c r="I651" s="75"/>
      <c r="J651" s="75"/>
      <c r="K651" s="75"/>
      <c r="L651" s="88"/>
      <c r="M651" s="77"/>
      <c r="N651" s="77"/>
      <c r="O651" s="78"/>
      <c r="S651" s="148"/>
      <c r="T651"/>
      <c r="U651"/>
    </row>
    <row r="652" spans="1:21" x14ac:dyDescent="0.2">
      <c r="A652" s="73"/>
      <c r="B652" s="73"/>
      <c r="C652" s="74"/>
      <c r="D652" s="75"/>
      <c r="E652" s="85"/>
      <c r="F652" s="161"/>
      <c r="G652" s="76"/>
      <c r="H652" s="87"/>
      <c r="I652" s="75"/>
      <c r="J652" s="75"/>
      <c r="K652" s="75"/>
      <c r="L652" s="88"/>
      <c r="M652" s="77"/>
      <c r="N652" s="77"/>
      <c r="O652" s="78"/>
      <c r="S652" s="148"/>
      <c r="T652"/>
      <c r="U652"/>
    </row>
    <row r="653" spans="1:21" x14ac:dyDescent="0.2">
      <c r="A653" s="73"/>
      <c r="B653" s="73"/>
      <c r="C653" s="74"/>
      <c r="D653" s="75"/>
      <c r="E653" s="85"/>
      <c r="F653" s="161"/>
      <c r="G653" s="76"/>
      <c r="H653" s="87"/>
      <c r="I653" s="75"/>
      <c r="J653" s="75"/>
      <c r="K653" s="75"/>
      <c r="L653" s="88"/>
      <c r="M653" s="77"/>
      <c r="N653" s="77"/>
      <c r="O653" s="78"/>
      <c r="S653" s="148"/>
      <c r="T653"/>
      <c r="U653"/>
    </row>
    <row r="654" spans="1:21" x14ac:dyDescent="0.2">
      <c r="A654" s="73"/>
      <c r="B654" s="73"/>
      <c r="C654" s="74"/>
      <c r="D654" s="75"/>
      <c r="E654" s="85"/>
      <c r="F654" s="161"/>
      <c r="G654" s="76"/>
      <c r="H654" s="87"/>
      <c r="I654" s="75"/>
      <c r="J654" s="75"/>
      <c r="K654" s="75"/>
      <c r="L654" s="88"/>
      <c r="M654" s="77"/>
      <c r="N654" s="77"/>
      <c r="O654" s="78"/>
      <c r="S654" s="148"/>
      <c r="T654"/>
      <c r="U654"/>
    </row>
    <row r="655" spans="1:21" x14ac:dyDescent="0.2">
      <c r="A655" s="73"/>
      <c r="B655" s="73"/>
      <c r="C655" s="74"/>
      <c r="D655" s="75"/>
      <c r="E655" s="85"/>
      <c r="F655" s="161"/>
      <c r="G655" s="76"/>
      <c r="H655" s="87"/>
      <c r="I655" s="75"/>
      <c r="J655" s="75"/>
      <c r="K655" s="75"/>
      <c r="L655" s="88"/>
      <c r="M655" s="77"/>
      <c r="N655" s="77"/>
      <c r="O655" s="78"/>
      <c r="S655" s="148"/>
      <c r="T655"/>
      <c r="U655"/>
    </row>
    <row r="656" spans="1:21" x14ac:dyDescent="0.2">
      <c r="A656" s="73"/>
      <c r="B656" s="73"/>
      <c r="C656" s="74"/>
      <c r="D656" s="75"/>
      <c r="E656" s="85"/>
      <c r="F656" s="161"/>
      <c r="G656" s="76"/>
      <c r="H656" s="87"/>
      <c r="I656" s="75"/>
      <c r="J656" s="75"/>
      <c r="K656" s="75"/>
      <c r="L656" s="88"/>
      <c r="M656" s="77"/>
      <c r="N656" s="77"/>
      <c r="O656" s="78"/>
      <c r="S656" s="148"/>
      <c r="T656"/>
      <c r="U656"/>
    </row>
    <row r="657" spans="1:21" x14ac:dyDescent="0.2">
      <c r="A657" s="73"/>
      <c r="B657" s="73"/>
      <c r="C657" s="74"/>
      <c r="D657" s="75"/>
      <c r="E657" s="85"/>
      <c r="F657" s="161"/>
      <c r="G657" s="76"/>
      <c r="H657" s="87"/>
      <c r="I657" s="75"/>
      <c r="J657" s="75"/>
      <c r="K657" s="75"/>
      <c r="L657" s="88"/>
      <c r="M657" s="77"/>
      <c r="N657" s="77"/>
      <c r="O657" s="78"/>
      <c r="S657" s="148"/>
      <c r="T657"/>
      <c r="U657"/>
    </row>
    <row r="658" spans="1:21" x14ac:dyDescent="0.2">
      <c r="A658" s="73"/>
      <c r="B658" s="73"/>
      <c r="C658" s="74"/>
      <c r="D658" s="75"/>
      <c r="E658" s="85"/>
      <c r="F658" s="161"/>
      <c r="G658" s="76"/>
      <c r="H658" s="87"/>
      <c r="I658" s="75"/>
      <c r="J658" s="75"/>
      <c r="K658" s="75"/>
      <c r="L658" s="88"/>
      <c r="M658" s="77"/>
      <c r="N658" s="77"/>
      <c r="O658" s="78"/>
      <c r="S658" s="148"/>
      <c r="T658"/>
      <c r="U658"/>
    </row>
    <row r="659" spans="1:21" x14ac:dyDescent="0.2">
      <c r="A659" s="73"/>
      <c r="B659" s="73"/>
      <c r="C659" s="74"/>
      <c r="D659" s="75"/>
      <c r="E659" s="85"/>
      <c r="F659" s="161"/>
      <c r="G659" s="76"/>
      <c r="H659" s="87"/>
      <c r="I659" s="75"/>
      <c r="J659" s="75"/>
      <c r="K659" s="75"/>
      <c r="L659" s="88"/>
      <c r="M659" s="77"/>
      <c r="N659" s="77"/>
      <c r="O659" s="78"/>
      <c r="S659" s="148"/>
      <c r="T659"/>
      <c r="U659"/>
    </row>
    <row r="660" spans="1:21" x14ac:dyDescent="0.2">
      <c r="A660" s="73"/>
      <c r="B660" s="73"/>
      <c r="C660" s="74"/>
      <c r="D660" s="75"/>
      <c r="E660" s="85"/>
      <c r="F660" s="161"/>
      <c r="G660" s="76"/>
      <c r="H660" s="87"/>
      <c r="I660" s="75"/>
      <c r="J660" s="75"/>
      <c r="K660" s="75"/>
      <c r="L660" s="88"/>
      <c r="M660" s="77"/>
      <c r="N660" s="77"/>
      <c r="O660" s="78"/>
      <c r="S660" s="148"/>
      <c r="T660"/>
      <c r="U660"/>
    </row>
    <row r="661" spans="1:21" x14ac:dyDescent="0.2">
      <c r="A661" s="73"/>
      <c r="B661" s="73"/>
      <c r="C661" s="74"/>
      <c r="D661" s="75"/>
      <c r="E661" s="85"/>
      <c r="F661" s="161"/>
      <c r="G661" s="76"/>
      <c r="H661" s="87"/>
      <c r="I661" s="75"/>
      <c r="J661" s="75"/>
      <c r="K661" s="75"/>
      <c r="L661" s="88"/>
      <c r="M661" s="77"/>
      <c r="N661" s="77"/>
      <c r="O661" s="78"/>
      <c r="S661" s="148"/>
      <c r="T661"/>
      <c r="U661"/>
    </row>
    <row r="662" spans="1:21" x14ac:dyDescent="0.2">
      <c r="A662" s="73"/>
      <c r="B662" s="73"/>
      <c r="C662" s="74"/>
      <c r="D662" s="75"/>
      <c r="E662" s="85"/>
      <c r="F662" s="161"/>
      <c r="G662" s="76"/>
      <c r="H662" s="87"/>
      <c r="I662" s="75"/>
      <c r="J662" s="75"/>
      <c r="K662" s="75"/>
      <c r="L662" s="88"/>
      <c r="M662" s="77"/>
      <c r="N662" s="77"/>
      <c r="O662" s="78"/>
      <c r="S662" s="148"/>
      <c r="T662"/>
      <c r="U662"/>
    </row>
    <row r="663" spans="1:21" x14ac:dyDescent="0.2">
      <c r="A663" s="73"/>
      <c r="B663" s="73"/>
      <c r="C663" s="74"/>
      <c r="D663" s="75"/>
      <c r="E663" s="85"/>
      <c r="F663" s="161"/>
      <c r="G663" s="76"/>
      <c r="H663" s="87"/>
      <c r="I663" s="75"/>
      <c r="J663" s="75"/>
      <c r="K663" s="75"/>
      <c r="L663" s="88"/>
      <c r="M663" s="77"/>
      <c r="N663" s="77"/>
      <c r="O663" s="78"/>
      <c r="S663" s="148"/>
      <c r="T663"/>
      <c r="U663"/>
    </row>
    <row r="664" spans="1:21" x14ac:dyDescent="0.2">
      <c r="A664" s="73"/>
      <c r="B664" s="73"/>
      <c r="C664" s="74"/>
      <c r="D664" s="75"/>
      <c r="E664" s="85"/>
      <c r="F664" s="161"/>
      <c r="G664" s="76"/>
      <c r="H664" s="87"/>
      <c r="I664" s="75"/>
      <c r="J664" s="75"/>
      <c r="K664" s="75"/>
      <c r="L664" s="88"/>
      <c r="M664" s="77"/>
      <c r="N664" s="77"/>
      <c r="O664" s="78"/>
      <c r="S664" s="148"/>
      <c r="T664"/>
      <c r="U664"/>
    </row>
    <row r="665" spans="1:21" x14ac:dyDescent="0.2">
      <c r="A665" s="73"/>
      <c r="B665" s="73"/>
      <c r="C665" s="74"/>
      <c r="D665" s="75"/>
      <c r="E665" s="85"/>
      <c r="F665" s="161"/>
      <c r="G665" s="76"/>
      <c r="H665" s="87"/>
      <c r="I665" s="75"/>
      <c r="J665" s="75"/>
      <c r="K665" s="75"/>
      <c r="L665" s="88"/>
      <c r="M665" s="77"/>
      <c r="N665" s="77"/>
      <c r="O665" s="78"/>
      <c r="S665" s="148"/>
      <c r="T665"/>
      <c r="U665"/>
    </row>
    <row r="666" spans="1:21" x14ac:dyDescent="0.2">
      <c r="A666" s="73"/>
      <c r="B666" s="73"/>
      <c r="C666" s="74"/>
      <c r="D666" s="75"/>
      <c r="E666" s="85"/>
      <c r="F666" s="161"/>
      <c r="G666" s="76"/>
      <c r="H666" s="87"/>
      <c r="I666" s="75"/>
      <c r="J666" s="75"/>
      <c r="K666" s="75"/>
      <c r="L666" s="88"/>
      <c r="M666" s="77"/>
      <c r="N666" s="77"/>
      <c r="O666" s="78"/>
      <c r="S666" s="148"/>
      <c r="T666"/>
      <c r="U666"/>
    </row>
    <row r="667" spans="1:21" x14ac:dyDescent="0.2">
      <c r="A667" s="73"/>
      <c r="B667" s="73"/>
      <c r="C667" s="74"/>
      <c r="D667" s="75"/>
      <c r="E667" s="85"/>
      <c r="F667" s="161"/>
      <c r="G667" s="76"/>
      <c r="H667" s="87"/>
      <c r="I667" s="75"/>
      <c r="J667" s="75"/>
      <c r="K667" s="75"/>
      <c r="L667" s="88"/>
      <c r="M667" s="77"/>
      <c r="N667" s="77"/>
      <c r="O667" s="78"/>
      <c r="S667" s="148"/>
      <c r="T667"/>
      <c r="U667"/>
    </row>
    <row r="668" spans="1:21" x14ac:dyDescent="0.2">
      <c r="A668" s="73"/>
      <c r="B668" s="73"/>
      <c r="C668" s="74"/>
      <c r="D668" s="75"/>
      <c r="E668" s="85"/>
      <c r="F668" s="161"/>
      <c r="G668" s="76"/>
      <c r="H668" s="87"/>
      <c r="I668" s="75"/>
      <c r="J668" s="75"/>
      <c r="K668" s="75"/>
      <c r="L668" s="88"/>
      <c r="M668" s="77"/>
      <c r="N668" s="77"/>
      <c r="O668" s="78"/>
      <c r="S668" s="148"/>
      <c r="T668"/>
      <c r="U668"/>
    </row>
    <row r="669" spans="1:21" x14ac:dyDescent="0.2">
      <c r="A669" s="73"/>
      <c r="B669" s="73"/>
      <c r="C669" s="74"/>
      <c r="D669" s="75"/>
      <c r="E669" s="85"/>
      <c r="F669" s="161"/>
      <c r="G669" s="76"/>
      <c r="H669" s="87"/>
      <c r="I669" s="75"/>
      <c r="J669" s="75"/>
      <c r="K669" s="75"/>
      <c r="L669" s="88"/>
      <c r="M669" s="77"/>
      <c r="N669" s="77"/>
      <c r="O669" s="78"/>
      <c r="S669" s="148"/>
      <c r="T669"/>
      <c r="U669"/>
    </row>
    <row r="670" spans="1:21" x14ac:dyDescent="0.2">
      <c r="A670" s="73"/>
      <c r="B670" s="73"/>
      <c r="C670" s="74"/>
      <c r="D670" s="75"/>
      <c r="E670" s="85"/>
      <c r="F670" s="161"/>
      <c r="G670" s="76"/>
      <c r="H670" s="87"/>
      <c r="I670" s="75"/>
      <c r="J670" s="75"/>
      <c r="K670" s="75"/>
      <c r="L670" s="88"/>
      <c r="M670" s="77"/>
      <c r="N670" s="77"/>
      <c r="O670" s="78"/>
      <c r="S670" s="148"/>
      <c r="T670"/>
      <c r="U670"/>
    </row>
    <row r="671" spans="1:21" x14ac:dyDescent="0.2">
      <c r="A671" s="73"/>
      <c r="B671" s="73"/>
      <c r="C671" s="74"/>
      <c r="D671" s="75"/>
      <c r="E671" s="85"/>
      <c r="F671" s="161"/>
      <c r="G671" s="76"/>
      <c r="H671" s="87"/>
      <c r="I671" s="75"/>
      <c r="J671" s="75"/>
      <c r="K671" s="75"/>
      <c r="L671" s="88"/>
      <c r="M671" s="77"/>
      <c r="N671" s="77"/>
      <c r="O671" s="78"/>
      <c r="S671" s="148"/>
      <c r="T671"/>
      <c r="U671"/>
    </row>
    <row r="672" spans="1:21" x14ac:dyDescent="0.2">
      <c r="A672" s="73"/>
      <c r="B672" s="73"/>
      <c r="C672" s="74"/>
      <c r="D672" s="75"/>
      <c r="E672" s="85"/>
      <c r="F672" s="161"/>
      <c r="G672" s="76"/>
      <c r="H672" s="87"/>
      <c r="I672" s="75"/>
      <c r="J672" s="75"/>
      <c r="K672" s="75"/>
      <c r="L672" s="88"/>
      <c r="M672" s="77"/>
      <c r="N672" s="77"/>
      <c r="O672" s="78"/>
      <c r="S672" s="148"/>
      <c r="T672"/>
      <c r="U672"/>
    </row>
    <row r="673" spans="1:21" x14ac:dyDescent="0.2">
      <c r="A673" s="73"/>
      <c r="B673" s="73"/>
      <c r="C673" s="74"/>
      <c r="D673" s="75"/>
      <c r="E673" s="85"/>
      <c r="F673" s="161"/>
      <c r="G673" s="76"/>
      <c r="H673" s="87"/>
      <c r="I673" s="75"/>
      <c r="J673" s="75"/>
      <c r="K673" s="75"/>
      <c r="L673" s="88"/>
      <c r="M673" s="77"/>
      <c r="N673" s="77"/>
      <c r="O673" s="78"/>
      <c r="S673" s="148"/>
      <c r="T673"/>
      <c r="U673"/>
    </row>
    <row r="674" spans="1:21" x14ac:dyDescent="0.2">
      <c r="A674" s="73"/>
      <c r="B674" s="73"/>
      <c r="C674" s="74"/>
      <c r="D674" s="75"/>
      <c r="E674" s="85"/>
      <c r="F674" s="161"/>
      <c r="G674" s="76"/>
      <c r="H674" s="87"/>
      <c r="I674" s="75"/>
      <c r="J674" s="75"/>
      <c r="K674" s="75"/>
      <c r="L674" s="88"/>
      <c r="M674" s="77"/>
      <c r="N674" s="77"/>
      <c r="O674" s="78"/>
      <c r="S674" s="148"/>
      <c r="T674"/>
      <c r="U674"/>
    </row>
    <row r="675" spans="1:21" x14ac:dyDescent="0.2">
      <c r="A675" s="73"/>
      <c r="B675" s="73"/>
      <c r="C675" s="74"/>
      <c r="D675" s="75"/>
      <c r="E675" s="85"/>
      <c r="F675" s="161"/>
      <c r="G675" s="76"/>
      <c r="H675" s="87"/>
      <c r="I675" s="75"/>
      <c r="J675" s="75"/>
      <c r="K675" s="75"/>
      <c r="L675" s="88"/>
      <c r="M675" s="77"/>
      <c r="N675" s="77"/>
      <c r="O675" s="78"/>
      <c r="S675" s="148"/>
      <c r="T675"/>
      <c r="U675"/>
    </row>
    <row r="676" spans="1:21" x14ac:dyDescent="0.2">
      <c r="A676" s="73"/>
      <c r="B676" s="73"/>
      <c r="C676" s="74"/>
      <c r="D676" s="75"/>
      <c r="E676" s="85"/>
      <c r="F676" s="161"/>
      <c r="G676" s="76"/>
      <c r="H676" s="87"/>
      <c r="I676" s="75"/>
      <c r="J676" s="75"/>
      <c r="K676" s="75"/>
      <c r="L676" s="88"/>
      <c r="M676" s="77"/>
      <c r="N676" s="77"/>
      <c r="O676" s="78"/>
      <c r="S676" s="148"/>
      <c r="T676"/>
      <c r="U676"/>
    </row>
    <row r="677" spans="1:21" x14ac:dyDescent="0.2">
      <c r="A677" s="73"/>
      <c r="B677" s="73"/>
      <c r="C677" s="74"/>
      <c r="D677" s="75"/>
      <c r="E677" s="85"/>
      <c r="F677" s="161"/>
      <c r="G677" s="76"/>
      <c r="H677" s="87"/>
      <c r="I677" s="75"/>
      <c r="J677" s="75"/>
      <c r="K677" s="75"/>
      <c r="L677" s="88"/>
      <c r="M677" s="77"/>
      <c r="N677" s="77"/>
      <c r="O677" s="78"/>
      <c r="S677" s="148"/>
      <c r="T677"/>
      <c r="U677"/>
    </row>
    <row r="678" spans="1:21" x14ac:dyDescent="0.2">
      <c r="A678" s="73"/>
      <c r="B678" s="73"/>
      <c r="C678" s="74"/>
      <c r="D678" s="75"/>
      <c r="E678" s="85"/>
      <c r="F678" s="161"/>
      <c r="G678" s="76"/>
      <c r="H678" s="87"/>
      <c r="I678" s="75"/>
      <c r="J678" s="75"/>
      <c r="K678" s="75"/>
      <c r="L678" s="88"/>
      <c r="M678" s="77"/>
      <c r="N678" s="77"/>
      <c r="O678" s="78"/>
      <c r="S678" s="148"/>
      <c r="T678"/>
      <c r="U678"/>
    </row>
    <row r="679" spans="1:21" x14ac:dyDescent="0.2">
      <c r="A679" s="73"/>
      <c r="B679" s="73"/>
      <c r="C679" s="74"/>
      <c r="D679" s="75"/>
      <c r="E679" s="85"/>
      <c r="F679" s="161"/>
      <c r="G679" s="76"/>
      <c r="H679" s="87"/>
      <c r="I679" s="75"/>
      <c r="J679" s="75"/>
      <c r="K679" s="75"/>
      <c r="L679" s="88"/>
      <c r="M679" s="77"/>
      <c r="N679" s="77"/>
      <c r="O679" s="78"/>
      <c r="S679" s="148"/>
      <c r="T679"/>
      <c r="U679"/>
    </row>
    <row r="680" spans="1:21" x14ac:dyDescent="0.2">
      <c r="A680" s="73"/>
      <c r="B680" s="73"/>
      <c r="C680" s="74"/>
      <c r="D680" s="75"/>
      <c r="E680" s="85"/>
      <c r="F680" s="161"/>
      <c r="G680" s="76"/>
      <c r="H680" s="87"/>
      <c r="I680" s="75"/>
      <c r="J680" s="75"/>
      <c r="K680" s="75"/>
      <c r="L680" s="88"/>
      <c r="M680" s="77"/>
      <c r="N680" s="77"/>
      <c r="O680" s="78"/>
      <c r="S680" s="148"/>
      <c r="T680"/>
      <c r="U680"/>
    </row>
    <row r="681" spans="1:21" x14ac:dyDescent="0.2">
      <c r="A681" s="73"/>
      <c r="B681" s="73"/>
      <c r="C681" s="74"/>
      <c r="D681" s="75"/>
      <c r="E681" s="85"/>
      <c r="F681" s="161"/>
      <c r="G681" s="76"/>
      <c r="H681" s="87"/>
      <c r="I681" s="75"/>
      <c r="J681" s="75"/>
      <c r="K681" s="75"/>
      <c r="L681" s="88"/>
      <c r="M681" s="77"/>
      <c r="N681" s="77"/>
      <c r="O681" s="78"/>
      <c r="S681" s="148"/>
      <c r="T681"/>
      <c r="U681"/>
    </row>
    <row r="682" spans="1:21" x14ac:dyDescent="0.2">
      <c r="A682" s="73"/>
      <c r="B682" s="73"/>
      <c r="C682" s="74"/>
      <c r="D682" s="75"/>
      <c r="E682" s="85"/>
      <c r="F682" s="161"/>
      <c r="G682" s="76"/>
      <c r="H682" s="87"/>
      <c r="I682" s="75"/>
      <c r="J682" s="75"/>
      <c r="K682" s="75"/>
      <c r="L682" s="88"/>
      <c r="M682" s="77"/>
      <c r="N682" s="77"/>
      <c r="O682" s="78"/>
      <c r="S682" s="148"/>
      <c r="T682"/>
      <c r="U682"/>
    </row>
    <row r="683" spans="1:21" x14ac:dyDescent="0.2">
      <c r="A683" s="73"/>
      <c r="B683" s="73"/>
      <c r="C683" s="74"/>
      <c r="D683" s="75"/>
      <c r="E683" s="85"/>
      <c r="F683" s="161"/>
      <c r="G683" s="76"/>
      <c r="H683" s="87"/>
      <c r="I683" s="75"/>
      <c r="J683" s="75"/>
      <c r="K683" s="75"/>
      <c r="L683" s="88"/>
      <c r="M683" s="77"/>
      <c r="N683" s="77"/>
      <c r="O683" s="78"/>
      <c r="S683" s="148"/>
      <c r="T683"/>
      <c r="U683"/>
    </row>
    <row r="684" spans="1:21" x14ac:dyDescent="0.2">
      <c r="A684" s="73"/>
      <c r="B684" s="73"/>
      <c r="C684" s="74"/>
      <c r="D684" s="75"/>
      <c r="E684" s="85"/>
      <c r="F684" s="161"/>
      <c r="G684" s="76"/>
      <c r="H684" s="87"/>
      <c r="I684" s="75"/>
      <c r="J684" s="75"/>
      <c r="K684" s="75"/>
      <c r="L684" s="88"/>
      <c r="M684" s="77"/>
      <c r="N684" s="77"/>
      <c r="O684" s="78"/>
      <c r="S684" s="148"/>
      <c r="T684"/>
      <c r="U684"/>
    </row>
    <row r="685" spans="1:21" x14ac:dyDescent="0.2">
      <c r="A685" s="73"/>
      <c r="B685" s="73"/>
      <c r="C685" s="74"/>
      <c r="D685" s="75"/>
      <c r="E685" s="85"/>
      <c r="F685" s="161"/>
      <c r="G685" s="76"/>
      <c r="H685" s="87"/>
      <c r="I685" s="75"/>
      <c r="J685" s="75"/>
      <c r="K685" s="75"/>
      <c r="L685" s="88"/>
      <c r="M685" s="77"/>
      <c r="N685" s="77"/>
      <c r="O685" s="78"/>
      <c r="S685" s="148"/>
      <c r="T685"/>
      <c r="U685"/>
    </row>
    <row r="686" spans="1:21" x14ac:dyDescent="0.2">
      <c r="A686" s="73"/>
      <c r="B686" s="73"/>
      <c r="C686" s="74"/>
      <c r="D686" s="75"/>
      <c r="E686" s="85"/>
      <c r="F686" s="161"/>
      <c r="G686" s="76"/>
      <c r="H686" s="87"/>
      <c r="I686" s="75"/>
      <c r="J686" s="75"/>
      <c r="K686" s="75"/>
      <c r="L686" s="88"/>
      <c r="M686" s="77"/>
      <c r="N686" s="77"/>
      <c r="O686" s="78"/>
      <c r="S686" s="148"/>
      <c r="T686"/>
      <c r="U686"/>
    </row>
    <row r="687" spans="1:21" x14ac:dyDescent="0.2">
      <c r="A687" s="73"/>
      <c r="B687" s="73"/>
      <c r="C687" s="74"/>
      <c r="D687" s="75"/>
      <c r="E687" s="85"/>
      <c r="F687" s="161"/>
      <c r="G687" s="76"/>
      <c r="H687" s="87"/>
      <c r="I687" s="75"/>
      <c r="J687" s="75"/>
      <c r="K687" s="75"/>
      <c r="L687" s="88"/>
      <c r="M687" s="77"/>
      <c r="N687" s="77"/>
      <c r="O687" s="78"/>
      <c r="S687" s="148"/>
      <c r="T687"/>
      <c r="U687"/>
    </row>
    <row r="688" spans="1:21" x14ac:dyDescent="0.2">
      <c r="A688" s="73"/>
      <c r="B688" s="73"/>
      <c r="C688" s="74"/>
      <c r="D688" s="75"/>
      <c r="E688" s="85"/>
      <c r="F688" s="161"/>
      <c r="G688" s="76"/>
      <c r="H688" s="87"/>
      <c r="I688" s="75"/>
      <c r="J688" s="75"/>
      <c r="K688" s="75"/>
      <c r="L688" s="88"/>
      <c r="M688" s="77"/>
      <c r="N688" s="77"/>
      <c r="O688" s="78"/>
      <c r="S688" s="148"/>
      <c r="T688"/>
      <c r="U688"/>
    </row>
    <row r="689" spans="1:21" x14ac:dyDescent="0.2">
      <c r="A689" s="73"/>
      <c r="B689" s="73"/>
      <c r="C689" s="74"/>
      <c r="D689" s="75"/>
      <c r="E689" s="85"/>
      <c r="F689" s="161"/>
      <c r="G689" s="76"/>
      <c r="H689" s="87"/>
      <c r="I689" s="75"/>
      <c r="J689" s="75"/>
      <c r="K689" s="75"/>
      <c r="L689" s="88"/>
      <c r="M689" s="77"/>
      <c r="N689" s="77"/>
      <c r="O689" s="78"/>
      <c r="S689" s="148"/>
      <c r="T689"/>
      <c r="U689"/>
    </row>
    <row r="690" spans="1:21" x14ac:dyDescent="0.2">
      <c r="A690" s="73"/>
      <c r="B690" s="73"/>
      <c r="C690" s="74"/>
      <c r="D690" s="75"/>
      <c r="E690" s="85"/>
      <c r="F690" s="161"/>
      <c r="G690" s="76"/>
      <c r="H690" s="87"/>
      <c r="I690" s="75"/>
      <c r="J690" s="75"/>
      <c r="K690" s="75"/>
      <c r="L690" s="88"/>
      <c r="M690" s="77"/>
      <c r="N690" s="77"/>
      <c r="O690" s="78"/>
      <c r="S690" s="148"/>
      <c r="T690"/>
      <c r="U690"/>
    </row>
    <row r="691" spans="1:21" x14ac:dyDescent="0.2">
      <c r="A691" s="73"/>
      <c r="B691" s="73"/>
      <c r="C691" s="74"/>
      <c r="D691" s="75"/>
      <c r="E691" s="85"/>
      <c r="F691" s="161"/>
      <c r="G691" s="76"/>
      <c r="H691" s="87"/>
      <c r="I691" s="75"/>
      <c r="J691" s="75"/>
      <c r="K691" s="75"/>
      <c r="L691" s="88"/>
      <c r="M691" s="77"/>
      <c r="N691" s="77"/>
      <c r="O691" s="78"/>
      <c r="S691" s="148"/>
      <c r="T691"/>
      <c r="U691"/>
    </row>
    <row r="692" spans="1:21" x14ac:dyDescent="0.2">
      <c r="A692" s="73"/>
      <c r="B692" s="73"/>
      <c r="C692" s="74"/>
      <c r="D692" s="75"/>
      <c r="E692" s="85"/>
      <c r="F692" s="161"/>
      <c r="G692" s="76"/>
      <c r="H692" s="87"/>
      <c r="I692" s="75"/>
      <c r="J692" s="75"/>
      <c r="K692" s="75"/>
      <c r="L692" s="88"/>
      <c r="M692" s="77"/>
      <c r="N692" s="77"/>
      <c r="O692" s="78"/>
      <c r="S692" s="148"/>
      <c r="T692"/>
      <c r="U692"/>
    </row>
    <row r="693" spans="1:21" x14ac:dyDescent="0.2">
      <c r="A693" s="73"/>
      <c r="B693" s="73"/>
      <c r="C693" s="74"/>
      <c r="D693" s="75"/>
      <c r="E693" s="85"/>
      <c r="F693" s="161"/>
      <c r="G693" s="76"/>
      <c r="H693" s="87"/>
      <c r="I693" s="75"/>
      <c r="J693" s="75"/>
      <c r="K693" s="75"/>
      <c r="L693" s="88"/>
      <c r="M693" s="77"/>
      <c r="N693" s="77"/>
      <c r="O693" s="78"/>
      <c r="S693" s="148"/>
      <c r="T693"/>
      <c r="U693"/>
    </row>
    <row r="694" spans="1:21" x14ac:dyDescent="0.2">
      <c r="A694" s="73"/>
      <c r="B694" s="73"/>
      <c r="C694" s="74"/>
      <c r="D694" s="75"/>
      <c r="E694" s="85"/>
      <c r="F694" s="161"/>
      <c r="G694" s="76"/>
      <c r="H694" s="87"/>
      <c r="I694" s="75"/>
      <c r="J694" s="75"/>
      <c r="K694" s="75"/>
      <c r="L694" s="88"/>
      <c r="M694" s="77"/>
      <c r="N694" s="77"/>
      <c r="O694" s="78"/>
      <c r="S694" s="148"/>
      <c r="T694"/>
      <c r="U694"/>
    </row>
    <row r="695" spans="1:21" x14ac:dyDescent="0.2">
      <c r="A695" s="73"/>
      <c r="B695" s="73"/>
      <c r="C695" s="74"/>
      <c r="D695" s="75"/>
      <c r="E695" s="85"/>
      <c r="F695" s="161"/>
      <c r="G695" s="76"/>
      <c r="H695" s="87"/>
      <c r="I695" s="75"/>
      <c r="J695" s="75"/>
      <c r="K695" s="75"/>
      <c r="L695" s="88"/>
      <c r="M695" s="77"/>
      <c r="N695" s="77"/>
      <c r="O695" s="78"/>
      <c r="S695" s="148"/>
      <c r="T695"/>
      <c r="U695"/>
    </row>
    <row r="696" spans="1:21" x14ac:dyDescent="0.2">
      <c r="A696" s="73"/>
      <c r="B696" s="73"/>
      <c r="C696" s="74"/>
      <c r="D696" s="75"/>
      <c r="E696" s="85"/>
      <c r="F696" s="161"/>
      <c r="G696" s="76"/>
      <c r="H696" s="87"/>
      <c r="I696" s="75"/>
      <c r="J696" s="75"/>
      <c r="K696" s="75"/>
      <c r="L696" s="88"/>
      <c r="M696" s="77"/>
      <c r="N696" s="77"/>
      <c r="O696" s="78"/>
      <c r="S696" s="148"/>
      <c r="T696"/>
      <c r="U696"/>
    </row>
    <row r="697" spans="1:21" x14ac:dyDescent="0.2">
      <c r="A697" s="73"/>
      <c r="B697" s="73"/>
      <c r="C697" s="74"/>
      <c r="D697" s="75"/>
      <c r="E697" s="85"/>
      <c r="F697" s="161"/>
      <c r="G697" s="76"/>
      <c r="H697" s="87"/>
      <c r="I697" s="75"/>
      <c r="J697" s="75"/>
      <c r="K697" s="75"/>
      <c r="L697" s="88"/>
      <c r="M697" s="77"/>
      <c r="N697" s="77"/>
      <c r="O697" s="78"/>
      <c r="S697" s="148"/>
      <c r="T697"/>
      <c r="U697"/>
    </row>
    <row r="698" spans="1:21" x14ac:dyDescent="0.2">
      <c r="A698" s="73"/>
      <c r="B698" s="73"/>
      <c r="C698" s="74"/>
      <c r="D698" s="75"/>
      <c r="E698" s="85"/>
      <c r="F698" s="161"/>
      <c r="G698" s="76"/>
      <c r="H698" s="87"/>
      <c r="I698" s="75"/>
      <c r="J698" s="75"/>
      <c r="K698" s="75"/>
      <c r="L698" s="88"/>
      <c r="M698" s="77"/>
      <c r="N698" s="77"/>
      <c r="O698" s="78"/>
      <c r="S698" s="148"/>
      <c r="T698"/>
      <c r="U698"/>
    </row>
    <row r="699" spans="1:21" x14ac:dyDescent="0.2">
      <c r="A699" s="73"/>
      <c r="B699" s="73"/>
      <c r="C699" s="74"/>
      <c r="D699" s="75"/>
      <c r="E699" s="85"/>
      <c r="F699" s="161"/>
      <c r="G699" s="76"/>
      <c r="H699" s="87"/>
      <c r="I699" s="75"/>
      <c r="J699" s="75"/>
      <c r="K699" s="75"/>
      <c r="L699" s="88"/>
      <c r="M699" s="77"/>
      <c r="N699" s="77"/>
      <c r="O699" s="78"/>
      <c r="S699" s="148"/>
      <c r="T699"/>
      <c r="U699"/>
    </row>
    <row r="700" spans="1:21" x14ac:dyDescent="0.2">
      <c r="A700" s="73"/>
      <c r="B700" s="73"/>
      <c r="C700" s="74"/>
      <c r="D700" s="75"/>
      <c r="E700" s="85"/>
      <c r="F700" s="161"/>
      <c r="G700" s="76"/>
      <c r="H700" s="87"/>
      <c r="I700" s="75"/>
      <c r="J700" s="75"/>
      <c r="K700" s="75"/>
      <c r="L700" s="88"/>
      <c r="M700" s="77"/>
      <c r="N700" s="77"/>
      <c r="O700" s="78"/>
      <c r="S700" s="148"/>
      <c r="T700"/>
      <c r="U700"/>
    </row>
    <row r="701" spans="1:21" x14ac:dyDescent="0.2">
      <c r="A701" s="73"/>
      <c r="B701" s="73"/>
      <c r="C701" s="74"/>
      <c r="D701" s="75"/>
      <c r="E701" s="85"/>
      <c r="F701" s="161"/>
      <c r="G701" s="76"/>
      <c r="H701" s="87"/>
      <c r="I701" s="75"/>
      <c r="J701" s="75"/>
      <c r="K701" s="75"/>
      <c r="L701" s="88"/>
      <c r="M701" s="77"/>
      <c r="N701" s="77"/>
      <c r="O701" s="78"/>
      <c r="S701" s="148"/>
      <c r="T701"/>
      <c r="U701"/>
    </row>
    <row r="702" spans="1:21" x14ac:dyDescent="0.2">
      <c r="A702" s="73"/>
      <c r="B702" s="73"/>
      <c r="C702" s="74"/>
      <c r="D702" s="75"/>
      <c r="E702" s="85"/>
      <c r="F702" s="161"/>
      <c r="G702" s="76"/>
      <c r="H702" s="87"/>
      <c r="I702" s="75"/>
      <c r="J702" s="75"/>
      <c r="K702" s="75"/>
      <c r="L702" s="88"/>
      <c r="M702" s="77"/>
      <c r="N702" s="77"/>
      <c r="O702" s="78"/>
      <c r="S702" s="148"/>
      <c r="T702"/>
      <c r="U702"/>
    </row>
    <row r="703" spans="1:21" x14ac:dyDescent="0.2">
      <c r="A703" s="73"/>
      <c r="B703" s="73"/>
      <c r="C703" s="74"/>
      <c r="D703" s="75"/>
      <c r="E703" s="85"/>
      <c r="F703" s="161"/>
      <c r="G703" s="76"/>
      <c r="H703" s="87"/>
      <c r="I703" s="75"/>
      <c r="J703" s="75"/>
      <c r="K703" s="75"/>
      <c r="L703" s="88"/>
      <c r="M703" s="77"/>
      <c r="N703" s="77"/>
      <c r="O703" s="78"/>
      <c r="S703" s="148"/>
      <c r="T703"/>
      <c r="U703"/>
    </row>
    <row r="704" spans="1:21" x14ac:dyDescent="0.2">
      <c r="A704" s="73"/>
      <c r="B704" s="73"/>
      <c r="C704" s="74"/>
      <c r="D704" s="75"/>
      <c r="E704" s="85"/>
      <c r="F704" s="161"/>
      <c r="G704" s="76"/>
      <c r="H704" s="87"/>
      <c r="I704" s="75"/>
      <c r="J704" s="75"/>
      <c r="K704" s="75"/>
      <c r="L704" s="88"/>
      <c r="M704" s="77"/>
      <c r="N704" s="77"/>
      <c r="O704" s="78"/>
      <c r="S704" s="148"/>
      <c r="T704"/>
      <c r="U704"/>
    </row>
    <row r="705" spans="1:21" x14ac:dyDescent="0.2">
      <c r="A705" s="73"/>
      <c r="B705" s="73"/>
      <c r="C705" s="74"/>
      <c r="D705" s="75"/>
      <c r="E705" s="85"/>
      <c r="F705" s="161"/>
      <c r="G705" s="76"/>
      <c r="H705" s="87"/>
      <c r="I705" s="75"/>
      <c r="J705" s="75"/>
      <c r="K705" s="75"/>
      <c r="L705" s="88"/>
      <c r="M705" s="77"/>
      <c r="N705" s="77"/>
      <c r="O705" s="78"/>
      <c r="S705" s="148"/>
      <c r="T705"/>
      <c r="U705"/>
    </row>
    <row r="706" spans="1:21" x14ac:dyDescent="0.2">
      <c r="A706" s="73"/>
      <c r="B706" s="73"/>
      <c r="C706" s="74"/>
      <c r="D706" s="75"/>
      <c r="E706" s="85"/>
      <c r="F706" s="161"/>
      <c r="G706" s="76"/>
      <c r="H706" s="87"/>
      <c r="I706" s="75"/>
      <c r="J706" s="75"/>
      <c r="K706" s="75"/>
      <c r="L706" s="88"/>
      <c r="M706" s="77"/>
      <c r="N706" s="77"/>
      <c r="O706" s="78"/>
      <c r="S706" s="148"/>
      <c r="T706"/>
      <c r="U706"/>
    </row>
    <row r="707" spans="1:21" x14ac:dyDescent="0.2">
      <c r="A707" s="73"/>
      <c r="B707" s="73"/>
      <c r="C707" s="74"/>
      <c r="D707" s="75"/>
      <c r="E707" s="85"/>
      <c r="F707" s="161"/>
      <c r="G707" s="76"/>
      <c r="H707" s="87"/>
      <c r="I707" s="75"/>
      <c r="J707" s="75"/>
      <c r="K707" s="75"/>
      <c r="L707" s="88"/>
      <c r="M707" s="77"/>
      <c r="N707" s="77"/>
      <c r="O707" s="78"/>
      <c r="S707" s="148"/>
      <c r="T707"/>
      <c r="U707"/>
    </row>
    <row r="708" spans="1:21" x14ac:dyDescent="0.2">
      <c r="A708" s="73"/>
      <c r="B708" s="73"/>
      <c r="C708" s="74"/>
      <c r="D708" s="75"/>
      <c r="E708" s="85"/>
      <c r="F708" s="161"/>
      <c r="G708" s="76"/>
      <c r="H708" s="87"/>
      <c r="I708" s="75"/>
      <c r="J708" s="75"/>
      <c r="K708" s="75"/>
      <c r="L708" s="88"/>
      <c r="M708" s="77"/>
      <c r="N708" s="77"/>
      <c r="O708" s="78"/>
      <c r="S708" s="148"/>
      <c r="T708"/>
      <c r="U708"/>
    </row>
    <row r="709" spans="1:21" x14ac:dyDescent="0.2">
      <c r="A709" s="73"/>
      <c r="B709" s="73"/>
      <c r="C709" s="74"/>
      <c r="D709" s="75"/>
      <c r="E709" s="85"/>
      <c r="F709" s="161"/>
      <c r="G709" s="76"/>
      <c r="H709" s="87"/>
      <c r="I709" s="75"/>
      <c r="J709" s="75"/>
      <c r="K709" s="75"/>
      <c r="L709" s="88"/>
      <c r="M709" s="77"/>
      <c r="N709" s="77"/>
      <c r="O709" s="78"/>
      <c r="S709" s="148"/>
      <c r="T709"/>
      <c r="U709"/>
    </row>
    <row r="710" spans="1:21" x14ac:dyDescent="0.2">
      <c r="A710" s="73"/>
      <c r="B710" s="73"/>
      <c r="C710" s="74"/>
      <c r="D710" s="75"/>
      <c r="E710" s="85"/>
      <c r="F710" s="161"/>
      <c r="G710" s="76"/>
      <c r="H710" s="87"/>
      <c r="I710" s="75"/>
      <c r="J710" s="75"/>
      <c r="K710" s="75"/>
      <c r="L710" s="88"/>
      <c r="M710" s="77"/>
      <c r="N710" s="77"/>
      <c r="O710" s="78"/>
      <c r="S710" s="148"/>
      <c r="T710"/>
      <c r="U710"/>
    </row>
    <row r="711" spans="1:21" x14ac:dyDescent="0.2">
      <c r="A711" s="73"/>
      <c r="B711" s="73"/>
      <c r="C711" s="74"/>
      <c r="D711" s="75"/>
      <c r="E711" s="85"/>
      <c r="F711" s="161"/>
      <c r="G711" s="76"/>
      <c r="H711" s="87"/>
      <c r="I711" s="75"/>
      <c r="J711" s="75"/>
      <c r="K711" s="75"/>
      <c r="L711" s="88"/>
      <c r="M711" s="77"/>
      <c r="N711" s="77"/>
      <c r="O711" s="78"/>
      <c r="S711" s="148"/>
      <c r="T711"/>
      <c r="U711"/>
    </row>
    <row r="712" spans="1:21" x14ac:dyDescent="0.2">
      <c r="A712" s="73"/>
      <c r="B712" s="73"/>
      <c r="C712" s="74"/>
      <c r="D712" s="75"/>
      <c r="E712" s="85"/>
      <c r="F712" s="161"/>
      <c r="G712" s="76"/>
      <c r="H712" s="87"/>
      <c r="I712" s="75"/>
      <c r="J712" s="75"/>
      <c r="K712" s="75"/>
      <c r="L712" s="88"/>
      <c r="M712" s="77"/>
      <c r="N712" s="77"/>
      <c r="O712" s="78"/>
      <c r="S712" s="148"/>
      <c r="T712"/>
      <c r="U712"/>
    </row>
    <row r="713" spans="1:21" x14ac:dyDescent="0.2">
      <c r="A713" s="73"/>
      <c r="B713" s="73"/>
      <c r="C713" s="74"/>
      <c r="D713" s="75"/>
      <c r="E713" s="85"/>
      <c r="F713" s="161"/>
      <c r="G713" s="76"/>
      <c r="H713" s="87"/>
      <c r="I713" s="75"/>
      <c r="J713" s="75"/>
      <c r="K713" s="75"/>
      <c r="L713" s="88"/>
      <c r="M713" s="77"/>
      <c r="N713" s="77"/>
      <c r="O713" s="78"/>
      <c r="S713" s="148"/>
      <c r="T713"/>
      <c r="U713"/>
    </row>
    <row r="714" spans="1:21" x14ac:dyDescent="0.2">
      <c r="A714" s="73"/>
      <c r="B714" s="73"/>
      <c r="C714" s="74"/>
      <c r="D714" s="75"/>
      <c r="E714" s="85"/>
      <c r="F714" s="161"/>
      <c r="G714" s="76"/>
      <c r="H714" s="87"/>
      <c r="I714" s="75"/>
      <c r="J714" s="75"/>
      <c r="K714" s="75"/>
      <c r="L714" s="88"/>
      <c r="M714" s="77"/>
      <c r="N714" s="77"/>
      <c r="O714" s="78"/>
      <c r="S714" s="148"/>
      <c r="T714"/>
      <c r="U714"/>
    </row>
    <row r="715" spans="1:21" x14ac:dyDescent="0.2">
      <c r="A715" s="73"/>
      <c r="B715" s="73"/>
      <c r="C715" s="74"/>
      <c r="D715" s="75"/>
      <c r="E715" s="85"/>
      <c r="F715" s="161"/>
      <c r="G715" s="76"/>
      <c r="H715" s="87"/>
      <c r="I715" s="75"/>
      <c r="J715" s="75"/>
      <c r="K715" s="75"/>
      <c r="L715" s="88"/>
      <c r="M715" s="77"/>
      <c r="N715" s="77"/>
      <c r="O715" s="78"/>
      <c r="S715" s="148"/>
      <c r="T715"/>
      <c r="U715"/>
    </row>
    <row r="716" spans="1:21" x14ac:dyDescent="0.2">
      <c r="A716" s="73"/>
      <c r="B716" s="73"/>
      <c r="C716" s="74"/>
      <c r="D716" s="75"/>
      <c r="E716" s="85"/>
      <c r="F716" s="161"/>
      <c r="G716" s="76"/>
      <c r="H716" s="87"/>
      <c r="I716" s="75"/>
      <c r="J716" s="75"/>
      <c r="K716" s="75"/>
      <c r="L716" s="88"/>
      <c r="M716" s="77"/>
      <c r="N716" s="77"/>
      <c r="O716" s="78"/>
      <c r="S716" s="148"/>
      <c r="T716"/>
      <c r="U716"/>
    </row>
    <row r="717" spans="1:21" x14ac:dyDescent="0.2">
      <c r="A717" s="73"/>
      <c r="B717" s="73"/>
      <c r="C717" s="74"/>
      <c r="D717" s="75"/>
      <c r="E717" s="85"/>
      <c r="F717" s="161"/>
      <c r="G717" s="76"/>
      <c r="H717" s="87"/>
      <c r="I717" s="75"/>
      <c r="J717" s="75"/>
      <c r="K717" s="75"/>
      <c r="L717" s="88"/>
      <c r="M717" s="77"/>
      <c r="N717" s="77"/>
      <c r="O717" s="78"/>
      <c r="S717" s="148"/>
      <c r="T717"/>
      <c r="U717"/>
    </row>
    <row r="718" spans="1:21" x14ac:dyDescent="0.2">
      <c r="A718" s="73"/>
      <c r="B718" s="73"/>
      <c r="C718" s="74"/>
      <c r="D718" s="75"/>
      <c r="E718" s="85"/>
      <c r="F718" s="161"/>
      <c r="G718" s="76"/>
      <c r="H718" s="87"/>
      <c r="I718" s="75"/>
      <c r="J718" s="75"/>
      <c r="K718" s="75"/>
      <c r="L718" s="88"/>
      <c r="M718" s="77"/>
      <c r="N718" s="77"/>
      <c r="O718" s="78"/>
      <c r="S718" s="148"/>
      <c r="T718"/>
      <c r="U718"/>
    </row>
    <row r="719" spans="1:21" x14ac:dyDescent="0.2">
      <c r="A719" s="73"/>
      <c r="B719" s="73"/>
      <c r="C719" s="74"/>
      <c r="D719" s="75"/>
      <c r="E719" s="85"/>
      <c r="F719" s="161"/>
      <c r="G719" s="76"/>
      <c r="H719" s="87"/>
      <c r="I719" s="75"/>
      <c r="J719" s="75"/>
      <c r="K719" s="75"/>
      <c r="L719" s="88"/>
      <c r="M719" s="77"/>
      <c r="N719" s="77"/>
      <c r="O719" s="78"/>
      <c r="S719" s="148"/>
      <c r="T719"/>
      <c r="U719"/>
    </row>
    <row r="720" spans="1:21" x14ac:dyDescent="0.2">
      <c r="A720" s="73"/>
      <c r="B720" s="73"/>
      <c r="C720" s="74"/>
      <c r="D720" s="75"/>
      <c r="E720" s="85"/>
      <c r="F720" s="161"/>
      <c r="G720" s="76"/>
      <c r="H720" s="87"/>
      <c r="I720" s="75"/>
      <c r="J720" s="75"/>
      <c r="K720" s="75"/>
      <c r="L720" s="88"/>
      <c r="M720" s="77"/>
      <c r="N720" s="77"/>
      <c r="O720" s="78"/>
      <c r="S720" s="148"/>
      <c r="T720"/>
      <c r="U720"/>
    </row>
    <row r="721" spans="1:21" x14ac:dyDescent="0.2">
      <c r="A721" s="73"/>
      <c r="B721" s="73"/>
      <c r="C721" s="74"/>
      <c r="D721" s="75"/>
      <c r="E721" s="85"/>
      <c r="F721" s="161"/>
      <c r="G721" s="76"/>
      <c r="H721" s="87"/>
      <c r="I721" s="75"/>
      <c r="J721" s="75"/>
      <c r="K721" s="75"/>
      <c r="L721" s="88"/>
      <c r="M721" s="77"/>
      <c r="N721" s="77"/>
      <c r="O721" s="78"/>
      <c r="S721" s="148"/>
      <c r="T721"/>
      <c r="U721"/>
    </row>
    <row r="722" spans="1:21" x14ac:dyDescent="0.2">
      <c r="A722" s="73"/>
      <c r="B722" s="73"/>
      <c r="C722" s="74"/>
      <c r="D722" s="75"/>
      <c r="E722" s="85"/>
      <c r="F722" s="161"/>
      <c r="G722" s="76"/>
      <c r="H722" s="87"/>
      <c r="I722" s="75"/>
      <c r="J722" s="75"/>
      <c r="K722" s="75"/>
      <c r="L722" s="88"/>
      <c r="M722" s="77"/>
      <c r="N722" s="77"/>
      <c r="O722" s="78"/>
      <c r="S722" s="148"/>
      <c r="T722"/>
      <c r="U722"/>
    </row>
    <row r="723" spans="1:21" x14ac:dyDescent="0.2">
      <c r="A723" s="73"/>
      <c r="B723" s="73"/>
      <c r="C723" s="74"/>
      <c r="D723" s="75"/>
      <c r="E723" s="85"/>
      <c r="F723" s="161"/>
      <c r="G723" s="76"/>
      <c r="H723" s="87"/>
      <c r="I723" s="75"/>
      <c r="J723" s="75"/>
      <c r="K723" s="75"/>
      <c r="L723" s="88"/>
      <c r="M723" s="77"/>
      <c r="N723" s="77"/>
      <c r="O723" s="78"/>
      <c r="S723" s="148"/>
      <c r="T723"/>
      <c r="U723"/>
    </row>
    <row r="724" spans="1:21" x14ac:dyDescent="0.2">
      <c r="A724" s="73"/>
      <c r="B724" s="73"/>
      <c r="C724" s="74"/>
      <c r="D724" s="75"/>
      <c r="E724" s="85"/>
      <c r="F724" s="161"/>
      <c r="G724" s="76"/>
      <c r="H724" s="87"/>
      <c r="I724" s="75"/>
      <c r="J724" s="75"/>
      <c r="K724" s="75"/>
      <c r="L724" s="88"/>
      <c r="M724" s="77"/>
      <c r="N724" s="77"/>
      <c r="O724" s="78"/>
      <c r="S724" s="148"/>
      <c r="T724"/>
      <c r="U724"/>
    </row>
    <row r="725" spans="1:21" x14ac:dyDescent="0.2">
      <c r="A725" s="73"/>
      <c r="B725" s="73"/>
      <c r="C725" s="74"/>
      <c r="D725" s="75"/>
      <c r="E725" s="85"/>
      <c r="F725" s="161"/>
      <c r="G725" s="76"/>
      <c r="H725" s="87"/>
      <c r="I725" s="75"/>
      <c r="J725" s="75"/>
      <c r="K725" s="75"/>
      <c r="L725" s="88"/>
      <c r="M725" s="77"/>
      <c r="N725" s="77"/>
      <c r="O725" s="78"/>
      <c r="S725" s="148"/>
      <c r="T725"/>
      <c r="U725"/>
    </row>
    <row r="726" spans="1:21" x14ac:dyDescent="0.2">
      <c r="A726" s="73"/>
      <c r="B726" s="73"/>
      <c r="C726" s="74"/>
      <c r="D726" s="75"/>
      <c r="E726" s="85"/>
      <c r="F726" s="161"/>
      <c r="G726" s="76"/>
      <c r="H726" s="87"/>
      <c r="I726" s="75"/>
      <c r="J726" s="75"/>
      <c r="K726" s="75"/>
      <c r="L726" s="88"/>
      <c r="M726" s="77"/>
      <c r="N726" s="77"/>
      <c r="O726" s="78"/>
      <c r="S726" s="148"/>
      <c r="T726"/>
      <c r="U726"/>
    </row>
    <row r="727" spans="1:21" x14ac:dyDescent="0.2">
      <c r="A727" s="73"/>
      <c r="B727" s="73"/>
      <c r="C727" s="74"/>
      <c r="D727" s="75"/>
      <c r="E727" s="85"/>
      <c r="F727" s="161"/>
      <c r="G727" s="76"/>
      <c r="H727" s="87"/>
      <c r="I727" s="75"/>
      <c r="J727" s="75"/>
      <c r="K727" s="75"/>
      <c r="L727" s="88"/>
      <c r="M727" s="77"/>
      <c r="N727" s="77"/>
      <c r="O727" s="78"/>
      <c r="S727" s="148"/>
      <c r="T727"/>
      <c r="U727"/>
    </row>
    <row r="728" spans="1:21" x14ac:dyDescent="0.2">
      <c r="A728" s="73"/>
      <c r="B728" s="73"/>
      <c r="C728" s="74"/>
      <c r="D728" s="75"/>
      <c r="E728" s="85"/>
      <c r="F728" s="161"/>
      <c r="G728" s="76"/>
      <c r="H728" s="87"/>
      <c r="I728" s="75"/>
      <c r="J728" s="75"/>
      <c r="K728" s="75"/>
      <c r="L728" s="88"/>
      <c r="M728" s="77"/>
      <c r="N728" s="77"/>
      <c r="O728" s="78"/>
      <c r="S728" s="148"/>
      <c r="T728"/>
      <c r="U728"/>
    </row>
    <row r="729" spans="1:21" x14ac:dyDescent="0.2">
      <c r="A729" s="73"/>
      <c r="B729" s="73"/>
      <c r="C729" s="74"/>
      <c r="D729" s="75"/>
      <c r="E729" s="85"/>
      <c r="F729" s="161"/>
      <c r="G729" s="76"/>
      <c r="H729" s="87"/>
      <c r="I729" s="75"/>
      <c r="J729" s="75"/>
      <c r="K729" s="75"/>
      <c r="L729" s="88"/>
      <c r="M729" s="77"/>
      <c r="N729" s="77"/>
      <c r="O729" s="78"/>
      <c r="S729" s="148"/>
      <c r="T729"/>
      <c r="U729"/>
    </row>
    <row r="730" spans="1:21" x14ac:dyDescent="0.2">
      <c r="A730" s="73"/>
      <c r="B730" s="73"/>
      <c r="C730" s="74"/>
      <c r="D730" s="75"/>
      <c r="E730" s="85"/>
      <c r="F730" s="161"/>
      <c r="G730" s="76"/>
      <c r="H730" s="87"/>
      <c r="I730" s="75"/>
      <c r="J730" s="75"/>
      <c r="K730" s="75"/>
      <c r="L730" s="88"/>
      <c r="M730" s="77"/>
      <c r="N730" s="77"/>
      <c r="O730" s="78"/>
      <c r="S730" s="148"/>
      <c r="T730"/>
      <c r="U730"/>
    </row>
    <row r="731" spans="1:21" x14ac:dyDescent="0.2">
      <c r="A731" s="73"/>
      <c r="B731" s="73"/>
      <c r="C731" s="74"/>
      <c r="D731" s="75"/>
      <c r="E731" s="85"/>
      <c r="F731" s="161"/>
      <c r="G731" s="76"/>
      <c r="H731" s="87"/>
      <c r="I731" s="75"/>
      <c r="J731" s="75"/>
      <c r="K731" s="75"/>
      <c r="L731" s="88"/>
      <c r="M731" s="77"/>
      <c r="N731" s="77"/>
      <c r="O731" s="78"/>
      <c r="S731" s="148"/>
      <c r="T731"/>
      <c r="U731"/>
    </row>
    <row r="732" spans="1:21" x14ac:dyDescent="0.2">
      <c r="A732" s="73"/>
      <c r="B732" s="73"/>
      <c r="C732" s="74"/>
      <c r="D732" s="75"/>
      <c r="E732" s="85"/>
      <c r="F732" s="161"/>
      <c r="G732" s="76"/>
      <c r="H732" s="87"/>
      <c r="I732" s="75"/>
      <c r="J732" s="75"/>
      <c r="K732" s="75"/>
      <c r="L732" s="88"/>
      <c r="M732" s="77"/>
      <c r="N732" s="77"/>
      <c r="O732" s="78"/>
      <c r="S732" s="148"/>
      <c r="T732"/>
      <c r="U732"/>
    </row>
    <row r="733" spans="1:21" x14ac:dyDescent="0.2">
      <c r="A733" s="73"/>
      <c r="B733" s="73"/>
      <c r="C733" s="74"/>
      <c r="D733" s="75"/>
      <c r="E733" s="85"/>
      <c r="F733" s="161"/>
      <c r="G733" s="76"/>
      <c r="H733" s="87"/>
      <c r="I733" s="75"/>
      <c r="J733" s="75"/>
      <c r="K733" s="75"/>
      <c r="L733" s="88"/>
      <c r="M733" s="77"/>
      <c r="N733" s="77"/>
      <c r="O733" s="78"/>
      <c r="S733" s="148"/>
      <c r="T733"/>
      <c r="U733"/>
    </row>
    <row r="734" spans="1:21" x14ac:dyDescent="0.2">
      <c r="A734" s="73"/>
      <c r="B734" s="73"/>
      <c r="C734" s="74"/>
      <c r="D734" s="75"/>
      <c r="E734" s="85"/>
      <c r="F734" s="161"/>
      <c r="G734" s="76"/>
      <c r="H734" s="87"/>
      <c r="I734" s="75"/>
      <c r="J734" s="75"/>
      <c r="K734" s="75"/>
      <c r="L734" s="88"/>
      <c r="M734" s="77"/>
      <c r="N734" s="77"/>
      <c r="O734" s="78"/>
      <c r="S734" s="148"/>
      <c r="T734"/>
      <c r="U734"/>
    </row>
    <row r="735" spans="1:21" x14ac:dyDescent="0.2">
      <c r="A735" s="73"/>
      <c r="B735" s="73"/>
      <c r="C735" s="74"/>
      <c r="D735" s="75"/>
      <c r="E735" s="85"/>
      <c r="F735" s="161"/>
      <c r="G735" s="76"/>
      <c r="H735" s="87"/>
      <c r="I735" s="75"/>
      <c r="J735" s="75"/>
      <c r="K735" s="75"/>
      <c r="L735" s="88"/>
      <c r="M735" s="77"/>
      <c r="N735" s="77"/>
      <c r="O735" s="78"/>
      <c r="S735" s="148"/>
      <c r="T735"/>
      <c r="U735"/>
    </row>
    <row r="736" spans="1:21" x14ac:dyDescent="0.2">
      <c r="A736" s="73"/>
      <c r="B736" s="73"/>
      <c r="C736" s="74"/>
      <c r="D736" s="75"/>
      <c r="E736" s="85"/>
      <c r="F736" s="161"/>
      <c r="G736" s="76"/>
      <c r="H736" s="87"/>
      <c r="I736" s="75"/>
      <c r="J736" s="75"/>
      <c r="K736" s="75"/>
      <c r="L736" s="88"/>
      <c r="M736" s="77"/>
      <c r="N736" s="77"/>
      <c r="O736" s="78"/>
      <c r="S736" s="148"/>
      <c r="T736"/>
      <c r="U736"/>
    </row>
    <row r="737" spans="1:21" x14ac:dyDescent="0.2">
      <c r="A737" s="73"/>
      <c r="B737" s="73"/>
      <c r="C737" s="74"/>
      <c r="D737" s="75"/>
      <c r="E737" s="85"/>
      <c r="F737" s="161"/>
      <c r="G737" s="76"/>
      <c r="H737" s="87"/>
      <c r="I737" s="75"/>
      <c r="J737" s="75"/>
      <c r="K737" s="75"/>
      <c r="L737" s="88"/>
      <c r="M737" s="77"/>
      <c r="N737" s="77"/>
      <c r="O737" s="78"/>
      <c r="S737" s="148"/>
      <c r="T737"/>
      <c r="U737"/>
    </row>
    <row r="738" spans="1:21" x14ac:dyDescent="0.2">
      <c r="A738" s="73"/>
      <c r="B738" s="73"/>
      <c r="C738" s="74"/>
      <c r="D738" s="75"/>
      <c r="E738" s="85"/>
      <c r="F738" s="161"/>
      <c r="G738" s="76"/>
      <c r="H738" s="87"/>
      <c r="I738" s="75"/>
      <c r="J738" s="75"/>
      <c r="K738" s="75"/>
      <c r="L738" s="88"/>
      <c r="M738" s="77"/>
      <c r="N738" s="77"/>
      <c r="O738" s="78"/>
      <c r="S738" s="148"/>
      <c r="T738"/>
      <c r="U738"/>
    </row>
    <row r="739" spans="1:21" x14ac:dyDescent="0.2">
      <c r="A739" s="73"/>
      <c r="B739" s="73"/>
      <c r="C739" s="74"/>
      <c r="D739" s="75"/>
      <c r="E739" s="85"/>
      <c r="F739" s="161"/>
      <c r="G739" s="76"/>
      <c r="H739" s="87"/>
      <c r="I739" s="75"/>
      <c r="J739" s="75"/>
      <c r="K739" s="75"/>
      <c r="L739" s="88"/>
      <c r="M739" s="77"/>
      <c r="N739" s="77"/>
      <c r="O739" s="78"/>
      <c r="S739" s="148"/>
      <c r="T739"/>
      <c r="U739"/>
    </row>
    <row r="740" spans="1:21" x14ac:dyDescent="0.2">
      <c r="A740" s="73"/>
      <c r="B740" s="73"/>
      <c r="C740" s="74"/>
      <c r="D740" s="75"/>
      <c r="E740" s="85"/>
      <c r="F740" s="161"/>
      <c r="G740" s="76"/>
      <c r="H740" s="87"/>
      <c r="I740" s="75"/>
      <c r="J740" s="75"/>
      <c r="K740" s="75"/>
      <c r="L740" s="88"/>
      <c r="M740" s="77"/>
      <c r="N740" s="77"/>
      <c r="O740" s="78"/>
      <c r="S740" s="148"/>
      <c r="T740"/>
      <c r="U740"/>
    </row>
    <row r="741" spans="1:21" x14ac:dyDescent="0.2">
      <c r="A741" s="73"/>
      <c r="B741" s="73"/>
      <c r="C741" s="74"/>
      <c r="D741" s="75"/>
      <c r="E741" s="85"/>
      <c r="F741" s="161"/>
      <c r="G741" s="76"/>
      <c r="H741" s="87"/>
      <c r="I741" s="75"/>
      <c r="J741" s="75"/>
      <c r="K741" s="75"/>
      <c r="L741" s="88"/>
      <c r="M741" s="77"/>
      <c r="N741" s="77"/>
      <c r="O741" s="78"/>
      <c r="S741" s="148"/>
      <c r="T741"/>
      <c r="U741"/>
    </row>
    <row r="742" spans="1:21" x14ac:dyDescent="0.2">
      <c r="A742" s="73"/>
      <c r="B742" s="73"/>
      <c r="C742" s="74"/>
      <c r="D742" s="75"/>
      <c r="E742" s="85"/>
      <c r="F742" s="161"/>
      <c r="G742" s="76"/>
      <c r="H742" s="87"/>
      <c r="I742" s="75"/>
      <c r="J742" s="75"/>
      <c r="K742" s="75"/>
      <c r="L742" s="88"/>
      <c r="M742" s="77"/>
      <c r="N742" s="77"/>
      <c r="O742" s="78"/>
      <c r="S742" s="148"/>
      <c r="T742"/>
      <c r="U742"/>
    </row>
    <row r="743" spans="1:21" x14ac:dyDescent="0.2">
      <c r="A743" s="73"/>
      <c r="B743" s="73"/>
      <c r="C743" s="74"/>
      <c r="D743" s="75"/>
      <c r="E743" s="85"/>
      <c r="F743" s="161"/>
      <c r="G743" s="76"/>
      <c r="H743" s="87"/>
      <c r="I743" s="75"/>
      <c r="J743" s="75"/>
      <c r="K743" s="75"/>
      <c r="L743" s="88"/>
      <c r="M743" s="77"/>
      <c r="N743" s="77"/>
      <c r="O743" s="78"/>
      <c r="S743" s="148"/>
      <c r="T743"/>
      <c r="U743"/>
    </row>
    <row r="744" spans="1:21" x14ac:dyDescent="0.2">
      <c r="A744" s="73"/>
      <c r="B744" s="73"/>
      <c r="C744" s="74"/>
      <c r="D744" s="75"/>
      <c r="E744" s="85"/>
      <c r="F744" s="161"/>
      <c r="G744" s="76"/>
      <c r="H744" s="87"/>
      <c r="I744" s="75"/>
      <c r="J744" s="75"/>
      <c r="K744" s="75"/>
      <c r="L744" s="88"/>
      <c r="M744" s="77"/>
      <c r="N744" s="77"/>
      <c r="O744" s="78"/>
      <c r="S744" s="148"/>
      <c r="T744"/>
      <c r="U744"/>
    </row>
    <row r="745" spans="1:21" x14ac:dyDescent="0.2">
      <c r="A745" s="73"/>
      <c r="B745" s="73"/>
      <c r="C745" s="74"/>
      <c r="D745" s="75"/>
      <c r="E745" s="85"/>
      <c r="F745" s="161"/>
      <c r="G745" s="76"/>
      <c r="H745" s="87"/>
      <c r="I745" s="75"/>
      <c r="J745" s="75"/>
      <c r="K745" s="75"/>
      <c r="L745" s="88"/>
      <c r="M745" s="77"/>
      <c r="N745" s="77"/>
      <c r="O745" s="78"/>
      <c r="S745" s="148"/>
      <c r="T745"/>
      <c r="U745"/>
    </row>
    <row r="746" spans="1:21" x14ac:dyDescent="0.2">
      <c r="A746" s="73"/>
      <c r="B746" s="73"/>
      <c r="C746" s="74"/>
      <c r="D746" s="75"/>
      <c r="E746" s="85"/>
      <c r="F746" s="161"/>
      <c r="G746" s="76"/>
      <c r="H746" s="87"/>
      <c r="I746" s="75"/>
      <c r="J746" s="75"/>
      <c r="K746" s="75"/>
      <c r="L746" s="88"/>
      <c r="M746" s="77"/>
      <c r="N746" s="77"/>
      <c r="O746" s="78"/>
      <c r="S746" s="148"/>
      <c r="T746"/>
      <c r="U746"/>
    </row>
    <row r="747" spans="1:21" x14ac:dyDescent="0.2">
      <c r="A747" s="73"/>
      <c r="B747" s="73"/>
      <c r="C747" s="74"/>
      <c r="D747" s="75"/>
      <c r="E747" s="85"/>
      <c r="F747" s="161"/>
      <c r="G747" s="76"/>
      <c r="H747" s="87"/>
      <c r="I747" s="75"/>
      <c r="J747" s="75"/>
      <c r="K747" s="75"/>
      <c r="L747" s="88"/>
      <c r="M747" s="77"/>
      <c r="N747" s="77"/>
      <c r="O747" s="78"/>
      <c r="S747" s="148"/>
      <c r="T747"/>
      <c r="U747"/>
    </row>
    <row r="748" spans="1:21" x14ac:dyDescent="0.2">
      <c r="A748" s="73"/>
      <c r="B748" s="73"/>
      <c r="C748" s="74"/>
      <c r="D748" s="75"/>
      <c r="E748" s="85"/>
      <c r="F748" s="161"/>
      <c r="G748" s="76"/>
      <c r="H748" s="87"/>
      <c r="I748" s="75"/>
      <c r="J748" s="75"/>
      <c r="K748" s="75"/>
      <c r="L748" s="88"/>
      <c r="M748" s="77"/>
      <c r="N748" s="77"/>
      <c r="O748" s="78"/>
      <c r="S748" s="148"/>
      <c r="T748"/>
      <c r="U748"/>
    </row>
    <row r="749" spans="1:21" x14ac:dyDescent="0.2">
      <c r="A749" s="73"/>
      <c r="B749" s="73"/>
      <c r="C749" s="74"/>
      <c r="D749" s="75"/>
      <c r="E749" s="85"/>
      <c r="F749" s="161"/>
      <c r="G749" s="76"/>
      <c r="H749" s="87"/>
      <c r="I749" s="75"/>
      <c r="J749" s="75"/>
      <c r="K749" s="75"/>
      <c r="L749" s="88"/>
      <c r="M749" s="77"/>
      <c r="N749" s="77"/>
      <c r="O749" s="78"/>
      <c r="S749" s="148"/>
      <c r="T749"/>
      <c r="U749"/>
    </row>
    <row r="750" spans="1:21" x14ac:dyDescent="0.2">
      <c r="A750" s="73"/>
      <c r="B750" s="73"/>
      <c r="C750" s="74"/>
      <c r="D750" s="75"/>
      <c r="E750" s="85"/>
      <c r="F750" s="161"/>
      <c r="G750" s="76"/>
      <c r="H750" s="87"/>
      <c r="I750" s="75"/>
      <c r="J750" s="75"/>
      <c r="K750" s="75"/>
      <c r="L750" s="88"/>
      <c r="M750" s="77"/>
      <c r="N750" s="77"/>
      <c r="O750" s="78"/>
      <c r="S750" s="148"/>
      <c r="T750"/>
      <c r="U750"/>
    </row>
    <row r="751" spans="1:21" x14ac:dyDescent="0.2">
      <c r="A751" s="73"/>
      <c r="B751" s="73"/>
      <c r="C751" s="74"/>
      <c r="D751" s="75"/>
      <c r="E751" s="85"/>
      <c r="F751" s="161"/>
      <c r="G751" s="76"/>
      <c r="H751" s="87"/>
      <c r="I751" s="75"/>
      <c r="J751" s="75"/>
      <c r="K751" s="75"/>
      <c r="L751" s="88"/>
      <c r="M751" s="77"/>
      <c r="N751" s="77"/>
      <c r="O751" s="78"/>
      <c r="S751" s="148"/>
      <c r="T751"/>
      <c r="U751"/>
    </row>
    <row r="752" spans="1:21" x14ac:dyDescent="0.2">
      <c r="A752" s="73"/>
      <c r="B752" s="73"/>
      <c r="C752" s="74"/>
      <c r="D752" s="75"/>
      <c r="E752" s="85"/>
      <c r="F752" s="161"/>
      <c r="G752" s="76"/>
      <c r="H752" s="87"/>
      <c r="I752" s="75"/>
      <c r="J752" s="75"/>
      <c r="K752" s="75"/>
      <c r="L752" s="88"/>
      <c r="M752" s="77"/>
      <c r="N752" s="77"/>
      <c r="O752" s="78"/>
      <c r="S752" s="148"/>
      <c r="T752"/>
      <c r="U752"/>
    </row>
    <row r="753" spans="1:21" x14ac:dyDescent="0.2">
      <c r="A753" s="73"/>
      <c r="B753" s="73"/>
      <c r="C753" s="74"/>
      <c r="D753" s="75"/>
      <c r="E753" s="85"/>
      <c r="F753" s="161"/>
      <c r="G753" s="76"/>
      <c r="H753" s="87"/>
      <c r="I753" s="75"/>
      <c r="J753" s="75"/>
      <c r="K753" s="75"/>
      <c r="L753" s="88"/>
      <c r="M753" s="77"/>
      <c r="N753" s="77"/>
      <c r="O753" s="78"/>
      <c r="S753" s="148"/>
      <c r="T753"/>
      <c r="U753"/>
    </row>
    <row r="754" spans="1:21" x14ac:dyDescent="0.2">
      <c r="A754" s="73"/>
      <c r="B754" s="73"/>
      <c r="C754" s="74"/>
      <c r="D754" s="75"/>
      <c r="E754" s="85"/>
      <c r="F754" s="161"/>
      <c r="G754" s="76"/>
      <c r="H754" s="87"/>
      <c r="I754" s="75"/>
      <c r="J754" s="75"/>
      <c r="K754" s="75"/>
      <c r="L754" s="88"/>
      <c r="M754" s="77"/>
      <c r="N754" s="77"/>
      <c r="O754" s="78"/>
      <c r="S754" s="148"/>
      <c r="T754"/>
      <c r="U754"/>
    </row>
    <row r="755" spans="1:21" x14ac:dyDescent="0.2">
      <c r="A755" s="73"/>
      <c r="B755" s="73"/>
      <c r="C755" s="74"/>
      <c r="D755" s="75"/>
      <c r="E755" s="85"/>
      <c r="F755" s="161"/>
      <c r="G755" s="76"/>
      <c r="H755" s="87"/>
      <c r="I755" s="75"/>
      <c r="J755" s="75"/>
      <c r="K755" s="75"/>
      <c r="L755" s="88"/>
      <c r="M755" s="77"/>
      <c r="N755" s="77"/>
      <c r="O755" s="78"/>
      <c r="S755" s="148"/>
      <c r="T755"/>
      <c r="U755"/>
    </row>
    <row r="756" spans="1:21" x14ac:dyDescent="0.2">
      <c r="A756" s="73"/>
      <c r="B756" s="73"/>
      <c r="C756" s="74"/>
      <c r="D756" s="75"/>
      <c r="E756" s="85"/>
      <c r="F756" s="161"/>
      <c r="G756" s="76"/>
      <c r="H756" s="87"/>
      <c r="I756" s="75"/>
      <c r="J756" s="75"/>
      <c r="K756" s="75"/>
      <c r="L756" s="88"/>
      <c r="M756" s="77"/>
      <c r="N756" s="77"/>
      <c r="O756" s="78"/>
      <c r="S756" s="148"/>
      <c r="T756"/>
      <c r="U756"/>
    </row>
    <row r="757" spans="1:21" x14ac:dyDescent="0.2">
      <c r="A757" s="73"/>
      <c r="B757" s="73"/>
      <c r="C757" s="74"/>
      <c r="D757" s="75"/>
      <c r="E757" s="85"/>
      <c r="F757" s="161"/>
      <c r="G757" s="76"/>
      <c r="H757" s="87"/>
      <c r="I757" s="75"/>
      <c r="J757" s="75"/>
      <c r="K757" s="75"/>
      <c r="L757" s="88"/>
      <c r="M757" s="77"/>
      <c r="N757" s="77"/>
      <c r="O757" s="78"/>
      <c r="S757" s="148"/>
      <c r="T757"/>
      <c r="U757"/>
    </row>
    <row r="758" spans="1:21" x14ac:dyDescent="0.2">
      <c r="A758" s="73"/>
      <c r="B758" s="73"/>
      <c r="C758" s="74"/>
      <c r="D758" s="75"/>
      <c r="E758" s="85"/>
      <c r="F758" s="161"/>
      <c r="G758" s="76"/>
      <c r="H758" s="87"/>
      <c r="I758" s="75"/>
      <c r="J758" s="75"/>
      <c r="K758" s="75"/>
      <c r="L758" s="88"/>
      <c r="M758" s="77"/>
      <c r="N758" s="77"/>
      <c r="O758" s="78"/>
      <c r="S758" s="148"/>
      <c r="T758"/>
      <c r="U758"/>
    </row>
    <row r="759" spans="1:21" x14ac:dyDescent="0.2">
      <c r="A759" s="73"/>
      <c r="B759" s="73"/>
      <c r="C759" s="74"/>
      <c r="D759" s="75"/>
      <c r="E759" s="85"/>
      <c r="F759" s="161"/>
      <c r="G759" s="76"/>
      <c r="H759" s="87"/>
      <c r="I759" s="75"/>
      <c r="J759" s="75"/>
      <c r="K759" s="75"/>
      <c r="L759" s="88"/>
      <c r="M759" s="77"/>
      <c r="N759" s="77"/>
      <c r="O759" s="78"/>
      <c r="S759" s="148"/>
      <c r="T759"/>
      <c r="U759"/>
    </row>
    <row r="760" spans="1:21" x14ac:dyDescent="0.2">
      <c r="A760" s="73"/>
      <c r="B760" s="73"/>
      <c r="C760" s="74"/>
      <c r="D760" s="75"/>
      <c r="E760" s="85"/>
      <c r="F760" s="161"/>
      <c r="G760" s="76"/>
      <c r="H760" s="87"/>
      <c r="I760" s="75"/>
      <c r="J760" s="75"/>
      <c r="K760" s="75"/>
      <c r="L760" s="88"/>
      <c r="M760" s="77"/>
      <c r="N760" s="77"/>
      <c r="O760" s="78"/>
      <c r="S760" s="148"/>
      <c r="T760"/>
      <c r="U760"/>
    </row>
    <row r="761" spans="1:21" x14ac:dyDescent="0.2">
      <c r="A761" s="73"/>
      <c r="B761" s="73"/>
      <c r="C761" s="74"/>
      <c r="D761" s="75"/>
      <c r="E761" s="85"/>
      <c r="F761" s="161"/>
      <c r="G761" s="76"/>
      <c r="H761" s="87"/>
      <c r="I761" s="75"/>
      <c r="J761" s="75"/>
      <c r="K761" s="75"/>
      <c r="L761" s="88"/>
      <c r="M761" s="77"/>
      <c r="N761" s="77"/>
      <c r="O761" s="78"/>
      <c r="S761" s="148"/>
      <c r="T761"/>
      <c r="U761"/>
    </row>
    <row r="762" spans="1:21" x14ac:dyDescent="0.2">
      <c r="A762" s="73"/>
      <c r="B762" s="73"/>
      <c r="C762" s="74"/>
      <c r="D762" s="75"/>
      <c r="E762" s="85"/>
      <c r="F762" s="161"/>
      <c r="G762" s="76"/>
      <c r="H762" s="87"/>
      <c r="I762" s="75"/>
      <c r="J762" s="75"/>
      <c r="K762" s="75"/>
      <c r="L762" s="88"/>
      <c r="M762" s="77"/>
      <c r="N762" s="77"/>
      <c r="O762" s="78"/>
      <c r="S762" s="148"/>
      <c r="T762"/>
      <c r="U762"/>
    </row>
    <row r="763" spans="1:21" x14ac:dyDescent="0.2">
      <c r="A763" s="73"/>
      <c r="B763" s="73"/>
      <c r="C763" s="74"/>
      <c r="D763" s="75"/>
      <c r="E763" s="85"/>
      <c r="F763" s="161"/>
      <c r="G763" s="76"/>
      <c r="H763" s="87"/>
      <c r="I763" s="75"/>
      <c r="J763" s="75"/>
      <c r="K763" s="75"/>
      <c r="L763" s="88"/>
      <c r="M763" s="77"/>
      <c r="N763" s="77"/>
      <c r="O763" s="78"/>
      <c r="S763" s="148"/>
      <c r="T763"/>
      <c r="U763"/>
    </row>
    <row r="764" spans="1:21" x14ac:dyDescent="0.2">
      <c r="A764" s="73"/>
      <c r="B764" s="73"/>
      <c r="C764" s="74"/>
      <c r="D764" s="75"/>
      <c r="E764" s="85"/>
      <c r="F764" s="161"/>
      <c r="G764" s="76"/>
      <c r="H764" s="87"/>
      <c r="I764" s="75"/>
      <c r="J764" s="75"/>
      <c r="K764" s="75"/>
      <c r="L764" s="88"/>
      <c r="M764" s="77"/>
      <c r="N764" s="77"/>
      <c r="O764" s="78"/>
      <c r="S764" s="148"/>
      <c r="T764"/>
      <c r="U764"/>
    </row>
    <row r="765" spans="1:21" x14ac:dyDescent="0.2">
      <c r="A765" s="73"/>
      <c r="B765" s="73"/>
      <c r="C765" s="74"/>
      <c r="D765" s="75"/>
      <c r="E765" s="85"/>
      <c r="F765" s="161"/>
      <c r="G765" s="76"/>
      <c r="H765" s="87"/>
      <c r="I765" s="75"/>
      <c r="J765" s="75"/>
      <c r="K765" s="75"/>
      <c r="L765" s="88"/>
      <c r="M765" s="77"/>
      <c r="N765" s="77"/>
      <c r="O765" s="78"/>
      <c r="S765" s="148"/>
      <c r="T765"/>
      <c r="U765"/>
    </row>
    <row r="766" spans="1:21" x14ac:dyDescent="0.2">
      <c r="A766" s="73"/>
      <c r="B766" s="73"/>
      <c r="C766" s="74"/>
      <c r="D766" s="75"/>
      <c r="E766" s="85"/>
      <c r="F766" s="161"/>
      <c r="G766" s="76"/>
      <c r="H766" s="87"/>
      <c r="I766" s="75"/>
      <c r="J766" s="75"/>
      <c r="K766" s="75"/>
      <c r="L766" s="88"/>
      <c r="M766" s="77"/>
      <c r="N766" s="77"/>
      <c r="O766" s="78"/>
      <c r="S766" s="148"/>
      <c r="T766"/>
      <c r="U766"/>
    </row>
    <row r="767" spans="1:21" x14ac:dyDescent="0.2">
      <c r="A767" s="73"/>
      <c r="B767" s="73"/>
      <c r="C767" s="74"/>
      <c r="D767" s="75"/>
      <c r="E767" s="85"/>
      <c r="F767" s="161"/>
      <c r="G767" s="76"/>
      <c r="H767" s="87"/>
      <c r="I767" s="75"/>
      <c r="J767" s="75"/>
      <c r="K767" s="75"/>
      <c r="L767" s="88"/>
      <c r="M767" s="77"/>
      <c r="N767" s="77"/>
      <c r="O767" s="78"/>
      <c r="S767" s="148"/>
      <c r="T767"/>
      <c r="U767"/>
    </row>
    <row r="768" spans="1:21" x14ac:dyDescent="0.2">
      <c r="A768" s="73"/>
      <c r="B768" s="73"/>
      <c r="C768" s="74"/>
      <c r="D768" s="75"/>
      <c r="E768" s="85"/>
      <c r="F768" s="161"/>
      <c r="G768" s="76"/>
      <c r="H768" s="87"/>
      <c r="I768" s="75"/>
      <c r="J768" s="75"/>
      <c r="K768" s="75"/>
      <c r="L768" s="88"/>
      <c r="M768" s="77"/>
      <c r="N768" s="77"/>
      <c r="O768" s="78"/>
      <c r="S768" s="148"/>
      <c r="T768"/>
      <c r="U768"/>
    </row>
    <row r="769" spans="1:21" x14ac:dyDescent="0.2">
      <c r="A769" s="73"/>
      <c r="B769" s="73"/>
      <c r="C769" s="74"/>
      <c r="D769" s="75"/>
      <c r="E769" s="85"/>
      <c r="F769" s="161"/>
      <c r="G769" s="76"/>
      <c r="H769" s="87"/>
      <c r="I769" s="75"/>
      <c r="J769" s="75"/>
      <c r="K769" s="75"/>
      <c r="L769" s="88"/>
      <c r="M769" s="77"/>
      <c r="N769" s="77"/>
      <c r="O769" s="78"/>
      <c r="S769" s="148"/>
      <c r="T769"/>
      <c r="U769"/>
    </row>
    <row r="770" spans="1:21" x14ac:dyDescent="0.2">
      <c r="A770" s="73"/>
      <c r="B770" s="73"/>
      <c r="C770" s="74"/>
      <c r="D770" s="75"/>
      <c r="E770" s="85"/>
      <c r="F770" s="161"/>
      <c r="G770" s="76"/>
      <c r="H770" s="87"/>
      <c r="I770" s="75"/>
      <c r="J770" s="75"/>
      <c r="K770" s="75"/>
      <c r="L770" s="88"/>
      <c r="M770" s="77"/>
      <c r="N770" s="77"/>
      <c r="O770" s="78"/>
      <c r="S770" s="148"/>
      <c r="T770"/>
      <c r="U770"/>
    </row>
    <row r="771" spans="1:21" x14ac:dyDescent="0.2">
      <c r="A771" s="73"/>
      <c r="B771" s="73"/>
      <c r="C771" s="74"/>
      <c r="D771" s="75"/>
      <c r="E771" s="85"/>
      <c r="F771" s="161"/>
      <c r="G771" s="76"/>
      <c r="H771" s="87"/>
      <c r="I771" s="75"/>
      <c r="J771" s="75"/>
      <c r="K771" s="75"/>
      <c r="L771" s="88"/>
      <c r="M771" s="77"/>
      <c r="N771" s="77"/>
      <c r="O771" s="78"/>
      <c r="S771" s="148"/>
      <c r="T771"/>
      <c r="U771"/>
    </row>
    <row r="772" spans="1:21" x14ac:dyDescent="0.2">
      <c r="A772" s="73"/>
      <c r="B772" s="73"/>
      <c r="C772" s="74"/>
      <c r="D772" s="75"/>
      <c r="E772" s="85"/>
      <c r="F772" s="161"/>
      <c r="G772" s="76"/>
      <c r="H772" s="87"/>
      <c r="I772" s="75"/>
      <c r="J772" s="75"/>
      <c r="K772" s="75"/>
      <c r="L772" s="88"/>
      <c r="M772" s="77"/>
      <c r="N772" s="77"/>
      <c r="O772" s="78"/>
      <c r="S772" s="148"/>
      <c r="T772"/>
      <c r="U772"/>
    </row>
    <row r="773" spans="1:21" x14ac:dyDescent="0.2">
      <c r="A773" s="73"/>
      <c r="B773" s="73"/>
      <c r="C773" s="74"/>
      <c r="D773" s="75"/>
      <c r="E773" s="85"/>
      <c r="F773" s="161"/>
      <c r="G773" s="76"/>
      <c r="H773" s="87"/>
      <c r="I773" s="75"/>
      <c r="J773" s="75"/>
      <c r="K773" s="75"/>
      <c r="L773" s="88"/>
      <c r="M773" s="77"/>
      <c r="N773" s="77"/>
      <c r="O773" s="78"/>
      <c r="S773" s="148"/>
      <c r="T773"/>
      <c r="U773"/>
    </row>
    <row r="774" spans="1:21" x14ac:dyDescent="0.2">
      <c r="A774" s="73"/>
      <c r="B774" s="73"/>
      <c r="C774" s="74"/>
      <c r="D774" s="75"/>
      <c r="E774" s="85"/>
      <c r="F774" s="161"/>
      <c r="G774" s="76"/>
      <c r="H774" s="87"/>
      <c r="I774" s="75"/>
      <c r="J774" s="75"/>
      <c r="K774" s="75"/>
      <c r="L774" s="88"/>
      <c r="M774" s="77"/>
      <c r="N774" s="77"/>
      <c r="O774" s="78"/>
      <c r="S774" s="148"/>
      <c r="T774"/>
      <c r="U774"/>
    </row>
    <row r="775" spans="1:21" x14ac:dyDescent="0.2">
      <c r="A775" s="73"/>
      <c r="B775" s="73"/>
      <c r="C775" s="74"/>
      <c r="D775" s="75"/>
      <c r="E775" s="85"/>
      <c r="F775" s="161"/>
      <c r="G775" s="76"/>
      <c r="H775" s="87"/>
      <c r="I775" s="75"/>
      <c r="J775" s="75"/>
      <c r="K775" s="75"/>
      <c r="L775" s="88"/>
      <c r="M775" s="77"/>
      <c r="N775" s="77"/>
      <c r="O775" s="78"/>
      <c r="S775" s="148"/>
      <c r="T775"/>
      <c r="U775"/>
    </row>
    <row r="776" spans="1:21" x14ac:dyDescent="0.2">
      <c r="A776" s="73"/>
      <c r="B776" s="73"/>
      <c r="C776" s="74"/>
      <c r="D776" s="75"/>
      <c r="E776" s="85"/>
      <c r="F776" s="161"/>
      <c r="G776" s="76"/>
      <c r="H776" s="87"/>
      <c r="I776" s="75"/>
      <c r="J776" s="75"/>
      <c r="K776" s="75"/>
      <c r="L776" s="88"/>
      <c r="M776" s="77"/>
      <c r="N776" s="77"/>
      <c r="O776" s="78"/>
      <c r="S776" s="148"/>
      <c r="T776"/>
      <c r="U776"/>
    </row>
    <row r="777" spans="1:21" x14ac:dyDescent="0.2">
      <c r="A777" s="73"/>
      <c r="B777" s="73"/>
      <c r="C777" s="74"/>
      <c r="D777" s="75"/>
      <c r="E777" s="85"/>
      <c r="F777" s="161"/>
      <c r="G777" s="76"/>
      <c r="H777" s="87"/>
      <c r="I777" s="75"/>
      <c r="J777" s="75"/>
      <c r="K777" s="75"/>
      <c r="L777" s="88"/>
      <c r="M777" s="77"/>
      <c r="N777" s="77"/>
      <c r="O777" s="78"/>
      <c r="S777" s="148"/>
      <c r="T777"/>
      <c r="U777"/>
    </row>
    <row r="778" spans="1:21" x14ac:dyDescent="0.2">
      <c r="A778" s="73"/>
      <c r="B778" s="73"/>
      <c r="C778" s="74"/>
      <c r="D778" s="75"/>
      <c r="E778" s="85"/>
      <c r="F778" s="161"/>
      <c r="G778" s="76"/>
      <c r="H778" s="87"/>
      <c r="I778" s="75"/>
      <c r="J778" s="75"/>
      <c r="K778" s="75"/>
      <c r="L778" s="88"/>
      <c r="M778" s="77"/>
      <c r="N778" s="77"/>
      <c r="O778" s="78"/>
      <c r="S778" s="148"/>
      <c r="T778"/>
      <c r="U778"/>
    </row>
    <row r="779" spans="1:21" x14ac:dyDescent="0.2">
      <c r="A779" s="73"/>
      <c r="B779" s="73"/>
      <c r="C779" s="74"/>
      <c r="D779" s="75"/>
      <c r="E779" s="85"/>
      <c r="F779" s="161"/>
      <c r="G779" s="76"/>
      <c r="H779" s="87"/>
      <c r="I779" s="75"/>
      <c r="J779" s="75"/>
      <c r="K779" s="75"/>
      <c r="L779" s="88"/>
      <c r="M779" s="77"/>
      <c r="N779" s="77"/>
      <c r="O779" s="78"/>
      <c r="S779" s="148"/>
      <c r="T779"/>
      <c r="U779"/>
    </row>
    <row r="780" spans="1:21" x14ac:dyDescent="0.2">
      <c r="A780" s="73"/>
      <c r="B780" s="73"/>
      <c r="C780" s="74"/>
      <c r="D780" s="75"/>
      <c r="E780" s="85"/>
      <c r="F780" s="161"/>
      <c r="G780" s="76"/>
      <c r="H780" s="87"/>
      <c r="I780" s="75"/>
      <c r="J780" s="75"/>
      <c r="K780" s="75"/>
      <c r="L780" s="88"/>
      <c r="M780" s="77"/>
      <c r="N780" s="77"/>
      <c r="O780" s="78"/>
      <c r="S780" s="148"/>
      <c r="T780"/>
      <c r="U780"/>
    </row>
    <row r="781" spans="1:21" x14ac:dyDescent="0.2">
      <c r="A781" s="73"/>
      <c r="B781" s="73"/>
      <c r="C781" s="74"/>
      <c r="D781" s="75"/>
      <c r="E781" s="85"/>
      <c r="F781" s="161"/>
      <c r="G781" s="76"/>
      <c r="H781" s="87"/>
      <c r="I781" s="75"/>
      <c r="J781" s="75"/>
      <c r="K781" s="75"/>
      <c r="L781" s="88"/>
      <c r="M781" s="77"/>
      <c r="N781" s="77"/>
      <c r="O781" s="78"/>
      <c r="S781" s="148"/>
      <c r="T781"/>
      <c r="U781"/>
    </row>
    <row r="782" spans="1:21" x14ac:dyDescent="0.2">
      <c r="A782" s="73"/>
      <c r="B782" s="73"/>
      <c r="C782" s="74"/>
      <c r="D782" s="75"/>
      <c r="E782" s="85"/>
      <c r="F782" s="161"/>
      <c r="G782" s="76"/>
      <c r="H782" s="87"/>
      <c r="I782" s="75"/>
      <c r="J782" s="75"/>
      <c r="K782" s="75"/>
      <c r="L782" s="88"/>
      <c r="M782" s="77"/>
      <c r="N782" s="77"/>
      <c r="O782" s="78"/>
      <c r="S782" s="148"/>
      <c r="T782"/>
      <c r="U782"/>
    </row>
    <row r="783" spans="1:21" x14ac:dyDescent="0.2">
      <c r="A783" s="73"/>
      <c r="B783" s="73"/>
      <c r="C783" s="74"/>
      <c r="D783" s="75"/>
      <c r="E783" s="85"/>
      <c r="F783" s="161"/>
      <c r="G783" s="76"/>
      <c r="H783" s="87"/>
      <c r="I783" s="75"/>
      <c r="J783" s="75"/>
      <c r="K783" s="75"/>
      <c r="L783" s="88"/>
      <c r="M783" s="77"/>
      <c r="N783" s="77"/>
      <c r="O783" s="78"/>
      <c r="S783" s="148"/>
      <c r="T783"/>
      <c r="U783"/>
    </row>
    <row r="784" spans="1:21" x14ac:dyDescent="0.2">
      <c r="A784" s="73"/>
      <c r="B784" s="73"/>
      <c r="C784" s="74"/>
      <c r="D784" s="75"/>
      <c r="E784" s="85"/>
      <c r="F784" s="161"/>
      <c r="G784" s="76"/>
      <c r="H784" s="87"/>
      <c r="I784" s="75"/>
      <c r="J784" s="75"/>
      <c r="K784" s="75"/>
      <c r="L784" s="88"/>
      <c r="M784" s="77"/>
      <c r="N784" s="77"/>
      <c r="O784" s="78"/>
      <c r="S784" s="148"/>
      <c r="T784"/>
      <c r="U784"/>
    </row>
    <row r="785" spans="1:21" x14ac:dyDescent="0.2">
      <c r="A785" s="73"/>
      <c r="B785" s="73"/>
      <c r="C785" s="74"/>
      <c r="D785" s="75"/>
      <c r="E785" s="85"/>
      <c r="F785" s="161"/>
      <c r="G785" s="76"/>
      <c r="H785" s="87"/>
      <c r="I785" s="75"/>
      <c r="J785" s="75"/>
      <c r="K785" s="75"/>
      <c r="L785" s="88"/>
      <c r="M785" s="77"/>
      <c r="N785" s="77"/>
      <c r="O785" s="78"/>
      <c r="S785" s="148"/>
      <c r="T785"/>
      <c r="U785"/>
    </row>
    <row r="786" spans="1:21" x14ac:dyDescent="0.2">
      <c r="A786" s="73"/>
      <c r="B786" s="73"/>
      <c r="C786" s="74"/>
      <c r="D786" s="75"/>
      <c r="E786" s="85"/>
      <c r="F786" s="161"/>
      <c r="G786" s="76"/>
      <c r="H786" s="87"/>
      <c r="I786" s="75"/>
      <c r="J786" s="75"/>
      <c r="K786" s="75"/>
      <c r="L786" s="88"/>
      <c r="M786" s="77"/>
      <c r="N786" s="77"/>
      <c r="O786" s="78"/>
      <c r="S786" s="148"/>
      <c r="T786"/>
      <c r="U786"/>
    </row>
    <row r="787" spans="1:21" x14ac:dyDescent="0.2">
      <c r="A787" s="73"/>
      <c r="B787" s="73"/>
      <c r="C787" s="74"/>
      <c r="D787" s="75"/>
      <c r="E787" s="85"/>
      <c r="F787" s="161"/>
      <c r="G787" s="76"/>
      <c r="H787" s="87"/>
      <c r="I787" s="75"/>
      <c r="J787" s="75"/>
      <c r="K787" s="75"/>
      <c r="L787" s="88"/>
      <c r="M787" s="77"/>
      <c r="N787" s="77"/>
      <c r="O787" s="78"/>
      <c r="S787" s="148"/>
      <c r="T787"/>
      <c r="U787"/>
    </row>
    <row r="788" spans="1:21" x14ac:dyDescent="0.2">
      <c r="A788" s="73"/>
      <c r="B788" s="73"/>
      <c r="C788" s="74"/>
      <c r="D788" s="75"/>
      <c r="E788" s="85"/>
      <c r="F788" s="161"/>
      <c r="G788" s="76"/>
      <c r="H788" s="87"/>
      <c r="I788" s="75"/>
      <c r="J788" s="75"/>
      <c r="K788" s="75"/>
      <c r="L788" s="88"/>
      <c r="M788" s="77"/>
      <c r="N788" s="77"/>
      <c r="O788" s="78"/>
      <c r="S788" s="148"/>
      <c r="T788"/>
      <c r="U788"/>
    </row>
    <row r="789" spans="1:21" x14ac:dyDescent="0.2">
      <c r="A789" s="73"/>
      <c r="B789" s="73"/>
      <c r="C789" s="74"/>
      <c r="D789" s="75"/>
      <c r="E789" s="85"/>
      <c r="F789" s="161"/>
      <c r="G789" s="76"/>
      <c r="H789" s="87"/>
      <c r="I789" s="75"/>
      <c r="J789" s="75"/>
      <c r="K789" s="75"/>
      <c r="L789" s="88"/>
      <c r="M789" s="77"/>
      <c r="N789" s="77"/>
      <c r="O789" s="78"/>
      <c r="S789" s="148"/>
      <c r="T789"/>
      <c r="U789"/>
    </row>
    <row r="790" spans="1:21" x14ac:dyDescent="0.2">
      <c r="A790" s="73"/>
      <c r="B790" s="73"/>
      <c r="C790" s="74"/>
      <c r="D790" s="75"/>
      <c r="E790" s="85"/>
      <c r="F790" s="161"/>
      <c r="G790" s="76"/>
      <c r="H790" s="87"/>
      <c r="I790" s="75"/>
      <c r="J790" s="75"/>
      <c r="K790" s="75"/>
      <c r="L790" s="88"/>
      <c r="M790" s="77"/>
      <c r="N790" s="77"/>
      <c r="O790" s="78"/>
      <c r="S790" s="148"/>
      <c r="T790"/>
      <c r="U790"/>
    </row>
    <row r="791" spans="1:21" x14ac:dyDescent="0.2">
      <c r="A791" s="73"/>
      <c r="B791" s="73"/>
      <c r="C791" s="74"/>
      <c r="D791" s="75"/>
      <c r="E791" s="85"/>
      <c r="F791" s="161"/>
      <c r="G791" s="76"/>
      <c r="H791" s="87"/>
      <c r="I791" s="75"/>
      <c r="J791" s="75"/>
      <c r="K791" s="75"/>
      <c r="L791" s="88"/>
      <c r="M791" s="77"/>
      <c r="N791" s="77"/>
      <c r="O791" s="78"/>
      <c r="S791" s="148"/>
      <c r="T791"/>
      <c r="U791"/>
    </row>
    <row r="792" spans="1:21" x14ac:dyDescent="0.2">
      <c r="A792" s="73"/>
      <c r="B792" s="73"/>
      <c r="C792" s="74"/>
      <c r="D792" s="75"/>
      <c r="E792" s="85"/>
      <c r="F792" s="161"/>
      <c r="G792" s="76"/>
      <c r="H792" s="87"/>
      <c r="I792" s="75"/>
      <c r="J792" s="75"/>
      <c r="K792" s="75"/>
      <c r="L792" s="88"/>
      <c r="M792" s="77"/>
      <c r="N792" s="77"/>
      <c r="O792" s="78"/>
      <c r="S792" s="148"/>
      <c r="T792"/>
      <c r="U792"/>
    </row>
    <row r="793" spans="1:21" x14ac:dyDescent="0.2">
      <c r="A793" s="73"/>
      <c r="B793" s="73"/>
      <c r="C793" s="74"/>
      <c r="D793" s="75"/>
      <c r="E793" s="85"/>
      <c r="F793" s="161"/>
      <c r="G793" s="76"/>
      <c r="H793" s="87"/>
      <c r="I793" s="75"/>
      <c r="J793" s="75"/>
      <c r="K793" s="75"/>
      <c r="L793" s="88"/>
      <c r="M793" s="77"/>
      <c r="N793" s="77"/>
      <c r="O793" s="78"/>
      <c r="S793" s="148"/>
      <c r="T793"/>
      <c r="U793"/>
    </row>
    <row r="794" spans="1:21" x14ac:dyDescent="0.2">
      <c r="A794" s="73"/>
      <c r="B794" s="73"/>
      <c r="C794" s="74"/>
      <c r="D794" s="75"/>
      <c r="E794" s="85"/>
      <c r="F794" s="161"/>
      <c r="G794" s="76"/>
      <c r="H794" s="87"/>
      <c r="I794" s="75"/>
      <c r="J794" s="75"/>
      <c r="K794" s="75"/>
      <c r="L794" s="88"/>
      <c r="M794" s="77"/>
      <c r="N794" s="77"/>
      <c r="O794" s="78"/>
      <c r="S794" s="148"/>
      <c r="T794"/>
      <c r="U794"/>
    </row>
    <row r="795" spans="1:21" x14ac:dyDescent="0.2">
      <c r="A795" s="73"/>
      <c r="B795" s="73"/>
      <c r="C795" s="74"/>
      <c r="D795" s="75"/>
      <c r="E795" s="85"/>
      <c r="F795" s="161"/>
      <c r="G795" s="76"/>
      <c r="H795" s="87"/>
      <c r="I795" s="75"/>
      <c r="J795" s="75"/>
      <c r="K795" s="75"/>
      <c r="L795" s="88"/>
      <c r="M795" s="77"/>
      <c r="N795" s="77"/>
      <c r="O795" s="78"/>
      <c r="S795" s="148"/>
      <c r="T795"/>
      <c r="U795"/>
    </row>
    <row r="796" spans="1:21" x14ac:dyDescent="0.2">
      <c r="A796" s="73"/>
      <c r="B796" s="73"/>
      <c r="C796" s="74"/>
      <c r="D796" s="75"/>
      <c r="E796" s="85"/>
      <c r="F796" s="161"/>
      <c r="G796" s="76"/>
      <c r="H796" s="87"/>
      <c r="I796" s="75"/>
      <c r="J796" s="75"/>
      <c r="K796" s="75"/>
      <c r="L796" s="88"/>
      <c r="M796" s="77"/>
      <c r="N796" s="77"/>
      <c r="O796" s="78"/>
      <c r="S796" s="148"/>
      <c r="T796"/>
      <c r="U796"/>
    </row>
    <row r="797" spans="1:21" x14ac:dyDescent="0.2">
      <c r="A797" s="73"/>
      <c r="B797" s="73"/>
      <c r="C797" s="74"/>
      <c r="D797" s="75"/>
      <c r="E797" s="85"/>
      <c r="F797" s="161"/>
      <c r="G797" s="76"/>
      <c r="H797" s="87"/>
      <c r="I797" s="75"/>
      <c r="J797" s="75"/>
      <c r="K797" s="75"/>
      <c r="L797" s="88"/>
      <c r="M797" s="77"/>
      <c r="N797" s="77"/>
      <c r="O797" s="78"/>
      <c r="S797" s="148"/>
      <c r="T797"/>
      <c r="U797"/>
    </row>
    <row r="798" spans="1:21" x14ac:dyDescent="0.2">
      <c r="A798" s="73"/>
      <c r="B798" s="73"/>
      <c r="C798" s="74"/>
      <c r="D798" s="75"/>
      <c r="E798" s="85"/>
      <c r="F798" s="161"/>
      <c r="G798" s="76"/>
      <c r="H798" s="87"/>
      <c r="I798" s="75"/>
      <c r="J798" s="75"/>
      <c r="K798" s="75"/>
      <c r="L798" s="88"/>
      <c r="M798" s="77"/>
      <c r="N798" s="77"/>
      <c r="O798" s="78"/>
      <c r="S798" s="148"/>
      <c r="T798"/>
      <c r="U798"/>
    </row>
    <row r="799" spans="1:21" x14ac:dyDescent="0.2">
      <c r="A799" s="73"/>
      <c r="B799" s="73"/>
      <c r="C799" s="74"/>
      <c r="D799" s="75"/>
      <c r="E799" s="85"/>
      <c r="F799" s="161"/>
      <c r="G799" s="76"/>
      <c r="H799" s="87"/>
      <c r="I799" s="75"/>
      <c r="J799" s="75"/>
      <c r="K799" s="75"/>
      <c r="L799" s="88"/>
      <c r="M799" s="77"/>
      <c r="N799" s="77"/>
      <c r="O799" s="78"/>
      <c r="S799" s="148"/>
      <c r="T799"/>
      <c r="U799"/>
    </row>
    <row r="800" spans="1:21" x14ac:dyDescent="0.2">
      <c r="A800" s="73"/>
      <c r="B800" s="73"/>
      <c r="C800" s="74"/>
      <c r="D800" s="75"/>
      <c r="E800" s="85"/>
      <c r="F800" s="161"/>
      <c r="G800" s="76"/>
      <c r="H800" s="87"/>
      <c r="I800" s="75"/>
      <c r="J800" s="75"/>
      <c r="K800" s="75"/>
      <c r="L800" s="88"/>
      <c r="M800" s="77"/>
      <c r="N800" s="77"/>
      <c r="O800" s="78"/>
      <c r="S800" s="148"/>
      <c r="T800"/>
      <c r="U800"/>
    </row>
    <row r="801" spans="1:21" x14ac:dyDescent="0.2">
      <c r="A801" s="73"/>
      <c r="B801" s="73"/>
      <c r="C801" s="74"/>
      <c r="D801" s="75"/>
      <c r="E801" s="85"/>
      <c r="F801" s="161"/>
      <c r="G801" s="76"/>
      <c r="H801" s="87"/>
      <c r="I801" s="75"/>
      <c r="J801" s="75"/>
      <c r="K801" s="75"/>
      <c r="L801" s="88"/>
      <c r="M801" s="77"/>
      <c r="N801" s="77"/>
      <c r="O801" s="78"/>
      <c r="S801" s="148"/>
      <c r="T801"/>
      <c r="U801"/>
    </row>
    <row r="802" spans="1:21" x14ac:dyDescent="0.2">
      <c r="A802" s="73"/>
      <c r="B802" s="73"/>
      <c r="C802" s="74"/>
      <c r="D802" s="75"/>
      <c r="E802" s="85"/>
      <c r="F802" s="161"/>
      <c r="G802" s="76"/>
      <c r="H802" s="87"/>
      <c r="I802" s="75"/>
      <c r="J802" s="75"/>
      <c r="K802" s="75"/>
      <c r="L802" s="88"/>
      <c r="M802" s="77"/>
      <c r="N802" s="77"/>
      <c r="O802" s="78"/>
      <c r="S802" s="148"/>
      <c r="T802"/>
      <c r="U802"/>
    </row>
    <row r="803" spans="1:21" x14ac:dyDescent="0.2">
      <c r="A803" s="73"/>
      <c r="B803" s="73"/>
      <c r="C803" s="74"/>
      <c r="D803" s="75"/>
      <c r="E803" s="85"/>
      <c r="F803" s="161"/>
      <c r="G803" s="76"/>
      <c r="H803" s="87"/>
      <c r="I803" s="75"/>
      <c r="J803" s="75"/>
      <c r="K803" s="75"/>
      <c r="L803" s="88"/>
      <c r="M803" s="77"/>
      <c r="N803" s="77"/>
      <c r="O803" s="78"/>
      <c r="S803" s="148"/>
      <c r="T803"/>
      <c r="U803"/>
    </row>
    <row r="804" spans="1:21" x14ac:dyDescent="0.2">
      <c r="A804" s="73"/>
      <c r="B804" s="73"/>
      <c r="C804" s="74"/>
      <c r="D804" s="75"/>
      <c r="E804" s="85"/>
      <c r="F804" s="161"/>
      <c r="G804" s="76"/>
      <c r="H804" s="87"/>
      <c r="I804" s="75"/>
      <c r="J804" s="75"/>
      <c r="K804" s="75"/>
      <c r="L804" s="88"/>
      <c r="M804" s="77"/>
      <c r="N804" s="77"/>
      <c r="O804" s="78"/>
      <c r="S804" s="148"/>
      <c r="T804"/>
      <c r="U804"/>
    </row>
    <row r="805" spans="1:21" x14ac:dyDescent="0.2">
      <c r="A805" s="73"/>
      <c r="B805" s="73"/>
      <c r="C805" s="74"/>
      <c r="D805" s="75"/>
      <c r="E805" s="85"/>
      <c r="F805" s="161"/>
      <c r="G805" s="76"/>
      <c r="H805" s="87"/>
      <c r="I805" s="75"/>
      <c r="J805" s="75"/>
      <c r="K805" s="75"/>
      <c r="L805" s="88"/>
      <c r="M805" s="77"/>
      <c r="N805" s="77"/>
      <c r="O805" s="78"/>
      <c r="S805" s="148"/>
      <c r="T805"/>
      <c r="U805"/>
    </row>
    <row r="806" spans="1:21" x14ac:dyDescent="0.2">
      <c r="A806" s="73"/>
      <c r="B806" s="73"/>
      <c r="C806" s="74"/>
      <c r="D806" s="75"/>
      <c r="E806" s="85"/>
      <c r="F806" s="161"/>
      <c r="G806" s="76"/>
      <c r="H806" s="87"/>
      <c r="I806" s="75"/>
      <c r="J806" s="75"/>
      <c r="K806" s="75"/>
      <c r="L806" s="88"/>
      <c r="M806" s="77"/>
      <c r="N806" s="77"/>
      <c r="O806" s="78"/>
      <c r="S806" s="148"/>
      <c r="T806"/>
      <c r="U806"/>
    </row>
    <row r="807" spans="1:21" x14ac:dyDescent="0.2">
      <c r="A807" s="73"/>
      <c r="B807" s="73"/>
      <c r="C807" s="74"/>
      <c r="D807" s="75"/>
      <c r="E807" s="85"/>
      <c r="F807" s="161"/>
      <c r="G807" s="76"/>
      <c r="H807" s="87"/>
      <c r="I807" s="75"/>
      <c r="J807" s="75"/>
      <c r="K807" s="75"/>
      <c r="L807" s="88"/>
      <c r="M807" s="77"/>
      <c r="N807" s="77"/>
      <c r="O807" s="78"/>
      <c r="S807" s="148"/>
      <c r="T807"/>
      <c r="U807"/>
    </row>
    <row r="808" spans="1:21" x14ac:dyDescent="0.2">
      <c r="A808" s="73"/>
      <c r="B808" s="73"/>
      <c r="C808" s="74"/>
      <c r="D808" s="75"/>
      <c r="E808" s="85"/>
      <c r="F808" s="161"/>
      <c r="G808" s="76"/>
      <c r="H808" s="87"/>
      <c r="I808" s="75"/>
      <c r="J808" s="75"/>
      <c r="K808" s="75"/>
      <c r="L808" s="88"/>
      <c r="M808" s="77"/>
      <c r="N808" s="77"/>
      <c r="O808" s="78"/>
      <c r="S808" s="148"/>
      <c r="T808"/>
      <c r="U808"/>
    </row>
    <row r="809" spans="1:21" x14ac:dyDescent="0.2">
      <c r="A809" s="73"/>
      <c r="B809" s="73"/>
      <c r="C809" s="74"/>
      <c r="D809" s="75"/>
      <c r="E809" s="85"/>
      <c r="F809" s="161"/>
      <c r="G809" s="76"/>
      <c r="H809" s="87"/>
      <c r="I809" s="75"/>
      <c r="J809" s="75"/>
      <c r="K809" s="75"/>
      <c r="L809" s="88"/>
      <c r="M809" s="77"/>
      <c r="N809" s="77"/>
      <c r="O809" s="78"/>
      <c r="S809" s="148"/>
      <c r="T809"/>
      <c r="U809"/>
    </row>
    <row r="810" spans="1:21" x14ac:dyDescent="0.2">
      <c r="A810" s="73"/>
      <c r="B810" s="73"/>
      <c r="C810" s="74"/>
      <c r="D810" s="75"/>
      <c r="E810" s="85"/>
      <c r="F810" s="161"/>
      <c r="G810" s="76"/>
      <c r="H810" s="87"/>
      <c r="I810" s="75"/>
      <c r="J810" s="75"/>
      <c r="K810" s="75"/>
      <c r="L810" s="88"/>
      <c r="M810" s="77"/>
      <c r="N810" s="77"/>
      <c r="O810" s="78"/>
      <c r="S810" s="148"/>
      <c r="T810"/>
      <c r="U810"/>
    </row>
    <row r="811" spans="1:21" x14ac:dyDescent="0.2">
      <c r="A811" s="73"/>
      <c r="B811" s="73"/>
      <c r="C811" s="74"/>
      <c r="D811" s="75"/>
      <c r="E811" s="85"/>
      <c r="F811" s="161"/>
      <c r="G811" s="76"/>
      <c r="H811" s="87"/>
      <c r="I811" s="75"/>
      <c r="J811" s="75"/>
      <c r="K811" s="75"/>
      <c r="L811" s="88"/>
      <c r="M811" s="77"/>
      <c r="N811" s="77"/>
      <c r="O811" s="78"/>
      <c r="S811" s="148"/>
      <c r="T811"/>
      <c r="U811"/>
    </row>
    <row r="812" spans="1:21" x14ac:dyDescent="0.2">
      <c r="A812" s="73"/>
      <c r="B812" s="73"/>
      <c r="C812" s="74"/>
      <c r="D812" s="75"/>
      <c r="E812" s="85"/>
      <c r="F812" s="161"/>
      <c r="G812" s="76"/>
      <c r="H812" s="87"/>
      <c r="I812" s="75"/>
      <c r="J812" s="75"/>
      <c r="K812" s="75"/>
      <c r="L812" s="88"/>
      <c r="M812" s="77"/>
      <c r="N812" s="77"/>
      <c r="O812" s="78"/>
      <c r="S812" s="148"/>
      <c r="T812"/>
      <c r="U812"/>
    </row>
    <row r="813" spans="1:21" x14ac:dyDescent="0.2">
      <c r="A813" s="73"/>
      <c r="B813" s="73"/>
      <c r="C813" s="74"/>
      <c r="D813" s="75"/>
      <c r="E813" s="85"/>
      <c r="F813" s="161"/>
      <c r="G813" s="76"/>
      <c r="H813" s="87"/>
      <c r="I813" s="75"/>
      <c r="J813" s="75"/>
      <c r="K813" s="75"/>
      <c r="L813" s="88"/>
      <c r="M813" s="77"/>
      <c r="N813" s="77"/>
      <c r="O813" s="78"/>
      <c r="S813" s="148"/>
      <c r="T813"/>
      <c r="U813"/>
    </row>
    <row r="814" spans="1:21" x14ac:dyDescent="0.2">
      <c r="A814" s="73"/>
      <c r="B814" s="73"/>
      <c r="C814" s="74"/>
      <c r="D814" s="75"/>
      <c r="E814" s="85"/>
      <c r="F814" s="161"/>
      <c r="G814" s="76"/>
      <c r="H814" s="87"/>
      <c r="I814" s="75"/>
      <c r="J814" s="75"/>
      <c r="K814" s="75"/>
      <c r="L814" s="88"/>
      <c r="M814" s="77"/>
      <c r="N814" s="77"/>
      <c r="O814" s="78"/>
      <c r="S814" s="148"/>
      <c r="T814"/>
      <c r="U814"/>
    </row>
    <row r="815" spans="1:21" x14ac:dyDescent="0.2">
      <c r="A815" s="73"/>
      <c r="B815" s="73"/>
      <c r="C815" s="74"/>
      <c r="D815" s="75"/>
      <c r="E815" s="85"/>
      <c r="F815" s="161"/>
      <c r="G815" s="76"/>
      <c r="H815" s="87"/>
      <c r="I815" s="75"/>
      <c r="J815" s="75"/>
      <c r="K815" s="75"/>
      <c r="L815" s="88"/>
      <c r="M815" s="77"/>
      <c r="N815" s="77"/>
      <c r="O815" s="78"/>
      <c r="S815" s="148"/>
      <c r="T815"/>
      <c r="U815"/>
    </row>
    <row r="816" spans="1:21" x14ac:dyDescent="0.2">
      <c r="A816" s="73"/>
      <c r="B816" s="73"/>
      <c r="C816" s="74"/>
      <c r="D816" s="75"/>
      <c r="E816" s="85"/>
      <c r="F816" s="161"/>
      <c r="G816" s="76"/>
      <c r="H816" s="87"/>
      <c r="I816" s="75"/>
      <c r="J816" s="75"/>
      <c r="K816" s="75"/>
      <c r="L816" s="88"/>
      <c r="M816" s="77"/>
      <c r="N816" s="77"/>
      <c r="O816" s="78"/>
      <c r="S816" s="148"/>
      <c r="T816"/>
      <c r="U816"/>
    </row>
    <row r="817" spans="1:21" x14ac:dyDescent="0.2">
      <c r="A817" s="73"/>
      <c r="B817" s="73"/>
      <c r="C817" s="74"/>
      <c r="D817" s="75"/>
      <c r="E817" s="85"/>
      <c r="F817" s="161"/>
      <c r="G817" s="76"/>
      <c r="H817" s="87"/>
      <c r="I817" s="75"/>
      <c r="J817" s="75"/>
      <c r="K817" s="75"/>
      <c r="L817" s="88"/>
      <c r="M817" s="77"/>
      <c r="N817" s="77"/>
      <c r="O817" s="78"/>
      <c r="S817" s="148"/>
      <c r="T817"/>
      <c r="U817"/>
    </row>
    <row r="818" spans="1:21" x14ac:dyDescent="0.2">
      <c r="A818" s="73"/>
      <c r="B818" s="73"/>
      <c r="C818" s="74"/>
      <c r="D818" s="75"/>
      <c r="E818" s="85"/>
      <c r="F818" s="161"/>
      <c r="G818" s="76"/>
      <c r="H818" s="87"/>
      <c r="I818" s="75"/>
      <c r="J818" s="75"/>
      <c r="K818" s="75"/>
      <c r="L818" s="88"/>
      <c r="M818" s="77"/>
      <c r="N818" s="77"/>
      <c r="O818" s="78"/>
      <c r="S818" s="148"/>
      <c r="T818"/>
      <c r="U818"/>
    </row>
    <row r="819" spans="1:21" x14ac:dyDescent="0.2">
      <c r="A819" s="73"/>
      <c r="B819" s="73"/>
      <c r="C819" s="74"/>
      <c r="D819" s="75"/>
      <c r="E819" s="85"/>
      <c r="F819" s="161"/>
      <c r="G819" s="76"/>
      <c r="H819" s="87"/>
      <c r="I819" s="75"/>
      <c r="J819" s="75"/>
      <c r="K819" s="75"/>
      <c r="L819" s="88"/>
      <c r="M819" s="77"/>
      <c r="N819" s="77"/>
      <c r="O819" s="78"/>
      <c r="S819" s="148"/>
      <c r="T819"/>
      <c r="U819"/>
    </row>
    <row r="820" spans="1:21" x14ac:dyDescent="0.2">
      <c r="A820" s="73"/>
      <c r="B820" s="73"/>
      <c r="C820" s="74"/>
      <c r="D820" s="75"/>
      <c r="E820" s="85"/>
      <c r="F820" s="161"/>
      <c r="G820" s="76"/>
      <c r="H820" s="87"/>
      <c r="I820" s="75"/>
      <c r="J820" s="75"/>
      <c r="K820" s="75"/>
      <c r="L820" s="88"/>
      <c r="M820" s="77"/>
      <c r="N820" s="77"/>
      <c r="O820" s="78"/>
      <c r="S820" s="148"/>
      <c r="T820"/>
      <c r="U820"/>
    </row>
    <row r="821" spans="1:21" x14ac:dyDescent="0.2">
      <c r="A821" s="73"/>
      <c r="B821" s="73"/>
      <c r="C821" s="74"/>
      <c r="D821" s="75"/>
      <c r="E821" s="85"/>
      <c r="F821" s="161"/>
      <c r="G821" s="76"/>
      <c r="H821" s="87"/>
      <c r="I821" s="75"/>
      <c r="J821" s="75"/>
      <c r="K821" s="75"/>
      <c r="L821" s="88"/>
      <c r="M821" s="77"/>
      <c r="N821" s="77"/>
      <c r="O821" s="78"/>
      <c r="S821" s="148"/>
      <c r="T821"/>
      <c r="U821"/>
    </row>
    <row r="822" spans="1:21" x14ac:dyDescent="0.2">
      <c r="A822" s="73"/>
      <c r="B822" s="73"/>
      <c r="C822" s="74"/>
      <c r="D822" s="75"/>
      <c r="E822" s="85"/>
      <c r="F822" s="161"/>
      <c r="G822" s="76"/>
      <c r="H822" s="87"/>
      <c r="I822" s="75"/>
      <c r="J822" s="75"/>
      <c r="K822" s="75"/>
      <c r="L822" s="88"/>
      <c r="M822" s="77"/>
      <c r="N822" s="77"/>
      <c r="O822" s="78"/>
      <c r="S822" s="148"/>
      <c r="T822"/>
      <c r="U822"/>
    </row>
    <row r="823" spans="1:21" x14ac:dyDescent="0.2">
      <c r="A823" s="73"/>
      <c r="B823" s="73"/>
      <c r="C823" s="74"/>
      <c r="D823" s="75"/>
      <c r="E823" s="85"/>
      <c r="F823" s="161"/>
      <c r="G823" s="76"/>
      <c r="H823" s="87"/>
      <c r="I823" s="75"/>
      <c r="J823" s="75"/>
      <c r="K823" s="75"/>
      <c r="L823" s="88"/>
      <c r="M823" s="77"/>
      <c r="N823" s="77"/>
      <c r="O823" s="78"/>
      <c r="S823" s="148"/>
      <c r="T823"/>
      <c r="U823"/>
    </row>
    <row r="824" spans="1:21" x14ac:dyDescent="0.2">
      <c r="A824" s="73"/>
      <c r="B824" s="73"/>
      <c r="C824" s="74"/>
      <c r="D824" s="75"/>
      <c r="E824" s="85"/>
      <c r="F824" s="161"/>
      <c r="G824" s="76"/>
      <c r="H824" s="87"/>
      <c r="I824" s="75"/>
      <c r="J824" s="75"/>
      <c r="K824" s="75"/>
      <c r="L824" s="88"/>
      <c r="M824" s="77"/>
      <c r="N824" s="77"/>
      <c r="O824" s="78"/>
      <c r="S824" s="148"/>
      <c r="T824"/>
      <c r="U824"/>
    </row>
    <row r="825" spans="1:21" x14ac:dyDescent="0.2">
      <c r="A825" s="73"/>
      <c r="B825" s="73"/>
      <c r="C825" s="74"/>
      <c r="D825" s="75"/>
      <c r="E825" s="85"/>
      <c r="F825" s="161"/>
      <c r="G825" s="76"/>
      <c r="H825" s="87"/>
      <c r="I825" s="75"/>
      <c r="J825" s="75"/>
      <c r="K825" s="75"/>
      <c r="L825" s="88"/>
      <c r="M825" s="77"/>
      <c r="N825" s="77"/>
      <c r="O825" s="78"/>
      <c r="S825" s="148"/>
      <c r="T825"/>
      <c r="U825"/>
    </row>
    <row r="826" spans="1:21" x14ac:dyDescent="0.2">
      <c r="A826" s="73"/>
      <c r="B826" s="73"/>
      <c r="C826" s="74"/>
      <c r="D826" s="75"/>
      <c r="E826" s="85"/>
      <c r="F826" s="161"/>
      <c r="G826" s="76"/>
      <c r="H826" s="87"/>
      <c r="I826" s="75"/>
      <c r="J826" s="75"/>
      <c r="K826" s="75"/>
      <c r="L826" s="88"/>
      <c r="M826" s="77"/>
      <c r="N826" s="77"/>
      <c r="O826" s="78"/>
      <c r="S826" s="148"/>
      <c r="T826"/>
      <c r="U826"/>
    </row>
    <row r="827" spans="1:21" x14ac:dyDescent="0.2">
      <c r="A827" s="73"/>
      <c r="B827" s="73"/>
      <c r="C827" s="74"/>
      <c r="D827" s="75"/>
      <c r="E827" s="85"/>
      <c r="F827" s="161"/>
      <c r="G827" s="76"/>
      <c r="H827" s="87"/>
      <c r="I827" s="75"/>
      <c r="J827" s="75"/>
      <c r="K827" s="75"/>
      <c r="L827" s="88"/>
      <c r="M827" s="77"/>
      <c r="N827" s="77"/>
      <c r="O827" s="78"/>
      <c r="S827" s="148"/>
      <c r="T827"/>
      <c r="U827"/>
    </row>
    <row r="828" spans="1:21" x14ac:dyDescent="0.2">
      <c r="A828" s="73"/>
      <c r="B828" s="73"/>
      <c r="C828" s="74"/>
      <c r="D828" s="75"/>
      <c r="E828" s="85"/>
      <c r="F828" s="161"/>
      <c r="G828" s="76"/>
      <c r="H828" s="87"/>
      <c r="I828" s="75"/>
      <c r="J828" s="75"/>
      <c r="K828" s="75"/>
      <c r="L828" s="88"/>
      <c r="M828" s="77"/>
      <c r="N828" s="77"/>
      <c r="O828" s="78"/>
      <c r="S828" s="148"/>
      <c r="T828"/>
      <c r="U828"/>
    </row>
    <row r="829" spans="1:21" x14ac:dyDescent="0.2">
      <c r="A829" s="73"/>
      <c r="B829" s="73"/>
      <c r="C829" s="74"/>
      <c r="D829" s="75"/>
      <c r="E829" s="85"/>
      <c r="F829" s="161"/>
      <c r="G829" s="76"/>
      <c r="H829" s="87"/>
      <c r="I829" s="75"/>
      <c r="J829" s="75"/>
      <c r="K829" s="75"/>
      <c r="L829" s="88"/>
      <c r="M829" s="77"/>
      <c r="N829" s="77"/>
      <c r="O829" s="78"/>
      <c r="S829" s="148"/>
      <c r="T829"/>
      <c r="U829"/>
    </row>
    <row r="830" spans="1:21" x14ac:dyDescent="0.2">
      <c r="A830" s="73"/>
      <c r="B830" s="73"/>
      <c r="C830" s="74"/>
      <c r="D830" s="75"/>
      <c r="E830" s="85"/>
      <c r="F830" s="161"/>
      <c r="G830" s="76"/>
      <c r="H830" s="87"/>
      <c r="I830" s="75"/>
      <c r="J830" s="75"/>
      <c r="K830" s="75"/>
      <c r="L830" s="88"/>
      <c r="M830" s="77"/>
      <c r="N830" s="77"/>
      <c r="O830" s="78"/>
      <c r="S830" s="148"/>
      <c r="T830"/>
      <c r="U830"/>
    </row>
    <row r="831" spans="1:21" x14ac:dyDescent="0.2">
      <c r="A831" s="73"/>
      <c r="B831" s="73"/>
      <c r="C831" s="74"/>
      <c r="D831" s="75"/>
      <c r="E831" s="85"/>
      <c r="F831" s="161"/>
      <c r="G831" s="76"/>
      <c r="H831" s="87"/>
      <c r="I831" s="75"/>
      <c r="J831" s="75"/>
      <c r="K831" s="75"/>
      <c r="L831" s="88"/>
      <c r="M831" s="77"/>
      <c r="N831" s="77"/>
      <c r="O831" s="78"/>
      <c r="S831" s="148"/>
      <c r="T831"/>
      <c r="U831"/>
    </row>
    <row r="832" spans="1:21" x14ac:dyDescent="0.2">
      <c r="A832" s="73"/>
      <c r="B832" s="73"/>
      <c r="C832" s="74"/>
      <c r="D832" s="75"/>
      <c r="E832" s="85"/>
      <c r="F832" s="161"/>
      <c r="G832" s="76"/>
      <c r="H832" s="87"/>
      <c r="I832" s="75"/>
      <c r="J832" s="75"/>
      <c r="K832" s="75"/>
      <c r="L832" s="88"/>
      <c r="M832" s="77"/>
      <c r="N832" s="77"/>
      <c r="O832" s="78"/>
      <c r="S832" s="148"/>
      <c r="T832"/>
      <c r="U832"/>
    </row>
    <row r="833" spans="1:21" x14ac:dyDescent="0.2">
      <c r="A833" s="73"/>
      <c r="B833" s="73"/>
      <c r="C833" s="74"/>
      <c r="D833" s="75"/>
      <c r="E833" s="85"/>
      <c r="F833" s="161"/>
      <c r="G833" s="76"/>
      <c r="H833" s="87"/>
      <c r="I833" s="75"/>
      <c r="J833" s="75"/>
      <c r="K833" s="75"/>
      <c r="L833" s="88"/>
      <c r="M833" s="77"/>
      <c r="N833" s="77"/>
      <c r="O833" s="78"/>
      <c r="S833" s="148"/>
      <c r="T833"/>
      <c r="U833"/>
    </row>
    <row r="834" spans="1:21" x14ac:dyDescent="0.2">
      <c r="A834" s="73"/>
      <c r="B834" s="73"/>
      <c r="C834" s="74"/>
      <c r="D834" s="75"/>
      <c r="E834" s="85"/>
      <c r="F834" s="161"/>
      <c r="G834" s="76"/>
      <c r="H834" s="87"/>
      <c r="I834" s="75"/>
      <c r="J834" s="75"/>
      <c r="K834" s="75"/>
      <c r="L834" s="88"/>
      <c r="M834" s="77"/>
      <c r="N834" s="77"/>
      <c r="O834" s="78"/>
      <c r="S834" s="148"/>
      <c r="T834"/>
      <c r="U834"/>
    </row>
    <row r="835" spans="1:21" x14ac:dyDescent="0.2">
      <c r="A835" s="73"/>
      <c r="B835" s="73"/>
      <c r="C835" s="74"/>
      <c r="D835" s="75"/>
      <c r="E835" s="85"/>
      <c r="F835" s="161"/>
      <c r="G835" s="76"/>
      <c r="H835" s="87"/>
      <c r="I835" s="75"/>
      <c r="J835" s="75"/>
      <c r="K835" s="75"/>
      <c r="L835" s="88"/>
      <c r="M835" s="77"/>
      <c r="N835" s="77"/>
      <c r="O835" s="78"/>
      <c r="S835" s="148"/>
      <c r="T835"/>
      <c r="U835"/>
    </row>
    <row r="836" spans="1:21" x14ac:dyDescent="0.2">
      <c r="A836" s="73"/>
      <c r="B836" s="73"/>
      <c r="C836" s="74"/>
      <c r="D836" s="75"/>
      <c r="E836" s="85"/>
      <c r="F836" s="161"/>
      <c r="G836" s="76"/>
      <c r="H836" s="87"/>
      <c r="I836" s="75"/>
      <c r="J836" s="75"/>
      <c r="K836" s="75"/>
      <c r="L836" s="88"/>
      <c r="M836" s="77"/>
      <c r="N836" s="77"/>
      <c r="O836" s="78"/>
      <c r="S836" s="148"/>
      <c r="T836"/>
      <c r="U836"/>
    </row>
    <row r="837" spans="1:21" x14ac:dyDescent="0.2">
      <c r="A837" s="73"/>
      <c r="B837" s="73"/>
      <c r="C837" s="74"/>
      <c r="D837" s="75"/>
      <c r="E837" s="85"/>
      <c r="F837" s="161"/>
      <c r="G837" s="76"/>
      <c r="H837" s="87"/>
      <c r="I837" s="75"/>
      <c r="J837" s="75"/>
      <c r="K837" s="75"/>
      <c r="L837" s="88"/>
      <c r="M837" s="77"/>
      <c r="N837" s="77"/>
      <c r="O837" s="78"/>
      <c r="S837" s="148"/>
      <c r="T837"/>
      <c r="U837"/>
    </row>
    <row r="838" spans="1:21" x14ac:dyDescent="0.2">
      <c r="A838" s="73"/>
      <c r="B838" s="73"/>
      <c r="C838" s="74"/>
      <c r="D838" s="75"/>
      <c r="E838" s="85"/>
      <c r="F838" s="161"/>
      <c r="G838" s="76"/>
      <c r="H838" s="87"/>
      <c r="I838" s="75"/>
      <c r="J838" s="75"/>
      <c r="K838" s="75"/>
      <c r="L838" s="88"/>
      <c r="M838" s="77"/>
      <c r="N838" s="77"/>
      <c r="O838" s="78"/>
      <c r="S838" s="148"/>
      <c r="T838"/>
      <c r="U838"/>
    </row>
    <row r="839" spans="1:21" x14ac:dyDescent="0.2">
      <c r="A839" s="73"/>
      <c r="B839" s="73"/>
      <c r="C839" s="74"/>
      <c r="D839" s="75"/>
      <c r="E839" s="85"/>
      <c r="F839" s="161"/>
      <c r="G839" s="76"/>
      <c r="H839" s="87"/>
      <c r="I839" s="75"/>
      <c r="J839" s="75"/>
      <c r="K839" s="75"/>
      <c r="L839" s="88"/>
      <c r="M839" s="77"/>
      <c r="N839" s="77"/>
      <c r="O839" s="78"/>
      <c r="S839" s="148"/>
      <c r="T839"/>
      <c r="U839"/>
    </row>
    <row r="840" spans="1:21" x14ac:dyDescent="0.2">
      <c r="A840" s="73"/>
      <c r="B840" s="73"/>
      <c r="C840" s="74"/>
      <c r="D840" s="75"/>
      <c r="E840" s="85"/>
      <c r="F840" s="161"/>
      <c r="G840" s="76"/>
      <c r="H840" s="87"/>
      <c r="I840" s="75"/>
      <c r="J840" s="75"/>
      <c r="K840" s="75"/>
      <c r="L840" s="88"/>
      <c r="M840" s="77"/>
      <c r="N840" s="77"/>
      <c r="O840" s="78"/>
      <c r="S840" s="148"/>
      <c r="T840"/>
      <c r="U840"/>
    </row>
    <row r="841" spans="1:21" x14ac:dyDescent="0.2">
      <c r="A841" s="73"/>
      <c r="B841" s="73"/>
      <c r="C841" s="74"/>
      <c r="D841" s="75"/>
      <c r="E841" s="85"/>
      <c r="F841" s="161"/>
      <c r="G841" s="76"/>
      <c r="H841" s="87"/>
      <c r="I841" s="75"/>
      <c r="J841" s="75"/>
      <c r="K841" s="75"/>
      <c r="L841" s="88"/>
      <c r="M841" s="77"/>
      <c r="N841" s="77"/>
      <c r="O841" s="78"/>
      <c r="S841" s="148"/>
      <c r="T841"/>
      <c r="U841"/>
    </row>
    <row r="842" spans="1:21" x14ac:dyDescent="0.2">
      <c r="A842" s="73"/>
      <c r="B842" s="73"/>
      <c r="C842" s="74"/>
      <c r="D842" s="75"/>
      <c r="E842" s="85"/>
      <c r="F842" s="161"/>
      <c r="G842" s="76"/>
      <c r="H842" s="87"/>
      <c r="I842" s="75"/>
      <c r="J842" s="75"/>
      <c r="K842" s="75"/>
      <c r="L842" s="88"/>
      <c r="M842" s="77"/>
      <c r="N842" s="77"/>
      <c r="O842" s="78"/>
      <c r="S842" s="148"/>
      <c r="T842"/>
      <c r="U842"/>
    </row>
    <row r="843" spans="1:21" x14ac:dyDescent="0.2">
      <c r="A843" s="73"/>
      <c r="B843" s="73"/>
      <c r="C843" s="74"/>
      <c r="D843" s="75"/>
      <c r="E843" s="85"/>
      <c r="F843" s="161"/>
      <c r="G843" s="76"/>
      <c r="H843" s="87"/>
      <c r="I843" s="75"/>
      <c r="J843" s="75"/>
      <c r="K843" s="75"/>
      <c r="L843" s="88"/>
      <c r="M843" s="77"/>
      <c r="N843" s="77"/>
      <c r="O843" s="78"/>
      <c r="S843" s="148"/>
      <c r="T843"/>
      <c r="U843"/>
    </row>
    <row r="844" spans="1:21" x14ac:dyDescent="0.2">
      <c r="A844" s="73"/>
      <c r="B844" s="73"/>
      <c r="C844" s="74"/>
      <c r="D844" s="75"/>
      <c r="E844" s="85"/>
      <c r="F844" s="161"/>
      <c r="G844" s="76"/>
      <c r="H844" s="87"/>
      <c r="I844" s="75"/>
      <c r="J844" s="75"/>
      <c r="K844" s="75"/>
      <c r="L844" s="88"/>
      <c r="M844" s="77"/>
      <c r="N844" s="77"/>
      <c r="O844" s="78"/>
      <c r="S844" s="148"/>
      <c r="T844"/>
      <c r="U844"/>
    </row>
    <row r="845" spans="1:21" x14ac:dyDescent="0.2">
      <c r="A845" s="73"/>
      <c r="B845" s="73"/>
      <c r="C845" s="74"/>
      <c r="D845" s="75"/>
      <c r="E845" s="85"/>
      <c r="F845" s="161"/>
      <c r="G845" s="76"/>
      <c r="H845" s="87"/>
      <c r="I845" s="75"/>
      <c r="J845" s="75"/>
      <c r="K845" s="75"/>
      <c r="L845" s="88"/>
      <c r="M845" s="77"/>
      <c r="N845" s="77"/>
      <c r="O845" s="78"/>
      <c r="S845" s="148"/>
      <c r="T845"/>
      <c r="U845"/>
    </row>
    <row r="846" spans="1:21" x14ac:dyDescent="0.2">
      <c r="A846" s="73"/>
      <c r="B846" s="73"/>
      <c r="C846" s="74"/>
      <c r="D846" s="75"/>
      <c r="E846" s="85"/>
      <c r="F846" s="161"/>
      <c r="G846" s="76"/>
      <c r="H846" s="87"/>
      <c r="I846" s="75"/>
      <c r="J846" s="75"/>
      <c r="K846" s="75"/>
      <c r="L846" s="88"/>
      <c r="M846" s="77"/>
      <c r="N846" s="77"/>
      <c r="O846" s="78"/>
      <c r="S846" s="148"/>
      <c r="T846"/>
      <c r="U846"/>
    </row>
    <row r="847" spans="1:21" x14ac:dyDescent="0.2">
      <c r="A847" s="73"/>
      <c r="B847" s="73"/>
      <c r="C847" s="74"/>
      <c r="D847" s="75"/>
      <c r="E847" s="85"/>
      <c r="F847" s="161"/>
      <c r="G847" s="76"/>
      <c r="H847" s="87"/>
      <c r="I847" s="75"/>
      <c r="J847" s="75"/>
      <c r="K847" s="75"/>
      <c r="L847" s="88"/>
      <c r="M847" s="77"/>
      <c r="N847" s="77"/>
      <c r="O847" s="78"/>
      <c r="S847" s="148"/>
      <c r="T847"/>
      <c r="U847"/>
    </row>
    <row r="848" spans="1:21" x14ac:dyDescent="0.2">
      <c r="A848" s="73"/>
      <c r="B848" s="73"/>
      <c r="C848" s="74"/>
      <c r="D848" s="75"/>
      <c r="E848" s="85"/>
      <c r="F848" s="161"/>
      <c r="G848" s="76"/>
      <c r="H848" s="87"/>
      <c r="I848" s="75"/>
      <c r="J848" s="75"/>
      <c r="K848" s="75"/>
      <c r="L848" s="88"/>
      <c r="M848" s="77"/>
      <c r="N848" s="77"/>
      <c r="O848" s="78"/>
      <c r="S848" s="148"/>
      <c r="T848"/>
      <c r="U848"/>
    </row>
    <row r="849" spans="1:21" x14ac:dyDescent="0.2">
      <c r="A849" s="73"/>
      <c r="B849" s="73"/>
      <c r="C849" s="74"/>
      <c r="D849" s="75"/>
      <c r="E849" s="85"/>
      <c r="F849" s="161"/>
      <c r="G849" s="76"/>
      <c r="H849" s="87"/>
      <c r="I849" s="75"/>
      <c r="J849" s="75"/>
      <c r="K849" s="75"/>
      <c r="L849" s="88"/>
      <c r="M849" s="77"/>
      <c r="N849" s="77"/>
      <c r="O849" s="78"/>
      <c r="S849" s="148"/>
      <c r="T849"/>
      <c r="U849"/>
    </row>
    <row r="850" spans="1:21" x14ac:dyDescent="0.2">
      <c r="A850" s="73"/>
      <c r="B850" s="73"/>
      <c r="C850" s="74"/>
      <c r="D850" s="75"/>
      <c r="E850" s="85"/>
      <c r="F850" s="161"/>
      <c r="G850" s="76"/>
      <c r="H850" s="87"/>
      <c r="I850" s="75"/>
      <c r="J850" s="75"/>
      <c r="K850" s="75"/>
      <c r="L850" s="88"/>
      <c r="M850" s="77"/>
      <c r="N850" s="77"/>
      <c r="O850" s="78"/>
      <c r="S850" s="148"/>
      <c r="T850"/>
      <c r="U850"/>
    </row>
    <row r="851" spans="1:21" x14ac:dyDescent="0.2">
      <c r="A851" s="73"/>
      <c r="B851" s="73"/>
      <c r="C851" s="74"/>
      <c r="D851" s="75"/>
      <c r="E851" s="85"/>
      <c r="F851" s="161"/>
      <c r="G851" s="76"/>
      <c r="H851" s="87"/>
      <c r="I851" s="75"/>
      <c r="J851" s="75"/>
      <c r="K851" s="75"/>
      <c r="L851" s="88"/>
      <c r="M851" s="77"/>
      <c r="N851" s="77"/>
      <c r="O851" s="78"/>
      <c r="S851" s="148"/>
      <c r="T851"/>
      <c r="U851"/>
    </row>
    <row r="852" spans="1:21" x14ac:dyDescent="0.2">
      <c r="A852" s="73"/>
      <c r="B852" s="73"/>
      <c r="C852" s="74"/>
      <c r="D852" s="75"/>
      <c r="E852" s="85"/>
      <c r="F852" s="161"/>
      <c r="G852" s="76"/>
      <c r="H852" s="87"/>
      <c r="I852" s="75"/>
      <c r="J852" s="75"/>
      <c r="K852" s="75"/>
      <c r="L852" s="88"/>
      <c r="M852" s="77"/>
      <c r="N852" s="77"/>
      <c r="O852" s="78"/>
      <c r="S852" s="148"/>
      <c r="T852"/>
      <c r="U852"/>
    </row>
    <row r="853" spans="1:21" x14ac:dyDescent="0.2">
      <c r="A853" s="73"/>
      <c r="B853" s="73"/>
      <c r="C853" s="74"/>
      <c r="D853" s="75"/>
      <c r="E853" s="85"/>
      <c r="F853" s="161"/>
      <c r="G853" s="76"/>
      <c r="H853" s="87"/>
      <c r="I853" s="75"/>
      <c r="J853" s="75"/>
      <c r="K853" s="75"/>
      <c r="L853" s="88"/>
      <c r="M853" s="77"/>
      <c r="N853" s="77"/>
      <c r="O853" s="78"/>
      <c r="S853" s="148"/>
      <c r="T853"/>
      <c r="U853"/>
    </row>
    <row r="854" spans="1:21" x14ac:dyDescent="0.2">
      <c r="A854" s="73"/>
      <c r="B854" s="73"/>
      <c r="C854" s="74"/>
      <c r="D854" s="75"/>
      <c r="E854" s="85"/>
      <c r="F854" s="161"/>
      <c r="G854" s="76"/>
      <c r="H854" s="87"/>
      <c r="I854" s="75"/>
      <c r="J854" s="75"/>
      <c r="K854" s="75"/>
      <c r="L854" s="88"/>
      <c r="M854" s="77"/>
      <c r="N854" s="77"/>
      <c r="O854" s="78"/>
      <c r="S854" s="148"/>
      <c r="T854"/>
      <c r="U854"/>
    </row>
    <row r="855" spans="1:21" x14ac:dyDescent="0.2">
      <c r="A855" s="73"/>
      <c r="B855" s="73"/>
      <c r="C855" s="74"/>
      <c r="D855" s="75"/>
      <c r="E855" s="85"/>
      <c r="F855" s="161"/>
      <c r="G855" s="76"/>
      <c r="H855" s="87"/>
      <c r="I855" s="75"/>
      <c r="J855" s="75"/>
      <c r="K855" s="75"/>
      <c r="L855" s="88"/>
      <c r="M855" s="77"/>
      <c r="N855" s="77"/>
      <c r="O855" s="78"/>
      <c r="S855" s="148"/>
      <c r="T855"/>
      <c r="U855"/>
    </row>
    <row r="856" spans="1:21" x14ac:dyDescent="0.2">
      <c r="A856" s="73"/>
      <c r="B856" s="73"/>
      <c r="C856" s="74"/>
      <c r="D856" s="75"/>
      <c r="E856" s="85"/>
      <c r="F856" s="161"/>
      <c r="G856" s="76"/>
      <c r="H856" s="87"/>
      <c r="I856" s="75"/>
      <c r="J856" s="75"/>
      <c r="K856" s="75"/>
      <c r="L856" s="88"/>
      <c r="M856" s="77"/>
      <c r="N856" s="77"/>
      <c r="O856" s="78"/>
      <c r="S856" s="148"/>
      <c r="T856"/>
      <c r="U856"/>
    </row>
    <row r="857" spans="1:21" x14ac:dyDescent="0.2">
      <c r="A857" s="73"/>
      <c r="B857" s="73"/>
      <c r="C857" s="74"/>
      <c r="D857" s="75"/>
      <c r="E857" s="85"/>
      <c r="F857" s="161"/>
      <c r="G857" s="76"/>
      <c r="H857" s="87"/>
      <c r="I857" s="75"/>
      <c r="J857" s="75"/>
      <c r="K857" s="75"/>
      <c r="L857" s="88"/>
      <c r="M857" s="77"/>
      <c r="N857" s="77"/>
      <c r="O857" s="78"/>
      <c r="S857" s="148"/>
      <c r="T857"/>
      <c r="U857"/>
    </row>
    <row r="858" spans="1:21" x14ac:dyDescent="0.2">
      <c r="A858" s="73"/>
      <c r="B858" s="73"/>
      <c r="C858" s="74"/>
      <c r="D858" s="75"/>
      <c r="E858" s="85"/>
      <c r="F858" s="161"/>
      <c r="G858" s="76"/>
      <c r="H858" s="87"/>
      <c r="I858" s="75"/>
      <c r="J858" s="75"/>
      <c r="K858" s="75"/>
      <c r="L858" s="88"/>
      <c r="M858" s="77"/>
      <c r="N858" s="77"/>
      <c r="O858" s="78"/>
      <c r="S858" s="148"/>
      <c r="T858"/>
      <c r="U858"/>
    </row>
    <row r="859" spans="1:21" x14ac:dyDescent="0.2">
      <c r="A859" s="73"/>
      <c r="B859" s="73"/>
      <c r="C859" s="74"/>
      <c r="D859" s="75"/>
      <c r="E859" s="85"/>
      <c r="F859" s="161"/>
      <c r="G859" s="76"/>
      <c r="H859" s="87"/>
      <c r="I859" s="75"/>
      <c r="J859" s="75"/>
      <c r="K859" s="75"/>
      <c r="L859" s="88"/>
      <c r="M859" s="77"/>
      <c r="N859" s="77"/>
      <c r="O859" s="78"/>
      <c r="S859" s="148"/>
      <c r="T859"/>
      <c r="U859"/>
    </row>
    <row r="860" spans="1:21" x14ac:dyDescent="0.2">
      <c r="A860" s="73"/>
      <c r="B860" s="73"/>
      <c r="C860" s="74"/>
      <c r="D860" s="75"/>
      <c r="E860" s="85"/>
      <c r="F860" s="161"/>
      <c r="G860" s="76"/>
      <c r="H860" s="87"/>
      <c r="I860" s="75"/>
      <c r="J860" s="75"/>
      <c r="K860" s="75"/>
      <c r="L860" s="88"/>
      <c r="M860" s="77"/>
      <c r="N860" s="77"/>
      <c r="O860" s="78"/>
      <c r="S860" s="148"/>
      <c r="T860"/>
      <c r="U860"/>
    </row>
    <row r="861" spans="1:21" x14ac:dyDescent="0.2">
      <c r="A861" s="73"/>
      <c r="B861" s="73"/>
      <c r="C861" s="74"/>
      <c r="D861" s="75"/>
      <c r="E861" s="85"/>
      <c r="F861" s="161"/>
      <c r="G861" s="76"/>
      <c r="H861" s="87"/>
      <c r="I861" s="75"/>
      <c r="J861" s="75"/>
      <c r="K861" s="75"/>
      <c r="L861" s="88"/>
      <c r="M861" s="77"/>
      <c r="N861" s="77"/>
      <c r="O861" s="78"/>
      <c r="S861" s="148"/>
      <c r="T861"/>
      <c r="U861"/>
    </row>
    <row r="862" spans="1:21" x14ac:dyDescent="0.2">
      <c r="A862" s="73"/>
      <c r="B862" s="73"/>
      <c r="C862" s="74"/>
      <c r="D862" s="75"/>
      <c r="E862" s="85"/>
      <c r="F862" s="161"/>
      <c r="G862" s="76"/>
      <c r="H862" s="87"/>
      <c r="I862" s="75"/>
      <c r="J862" s="75"/>
      <c r="K862" s="75"/>
      <c r="L862" s="88"/>
      <c r="M862" s="77"/>
      <c r="N862" s="77"/>
      <c r="O862" s="78"/>
      <c r="S862" s="148"/>
      <c r="T862"/>
      <c r="U862"/>
    </row>
    <row r="863" spans="1:21" x14ac:dyDescent="0.2">
      <c r="A863" s="73"/>
      <c r="B863" s="73"/>
      <c r="C863" s="74"/>
      <c r="D863" s="75"/>
      <c r="E863" s="85"/>
      <c r="F863" s="161"/>
      <c r="G863" s="76"/>
      <c r="H863" s="87"/>
      <c r="I863" s="75"/>
      <c r="J863" s="75"/>
      <c r="K863" s="75"/>
      <c r="L863" s="88"/>
      <c r="M863" s="77"/>
      <c r="N863" s="77"/>
      <c r="O863" s="78"/>
      <c r="S863" s="148"/>
      <c r="T863"/>
      <c r="U863"/>
    </row>
    <row r="864" spans="1:21" x14ac:dyDescent="0.2">
      <c r="A864" s="73"/>
      <c r="B864" s="73"/>
      <c r="C864" s="74"/>
      <c r="D864" s="75"/>
      <c r="E864" s="85"/>
      <c r="F864" s="161"/>
      <c r="G864" s="76"/>
      <c r="H864" s="87"/>
      <c r="I864" s="75"/>
      <c r="J864" s="75"/>
      <c r="K864" s="75"/>
      <c r="L864" s="88"/>
      <c r="M864" s="77"/>
      <c r="N864" s="77"/>
      <c r="O864" s="78"/>
      <c r="S864" s="148"/>
      <c r="T864"/>
      <c r="U864"/>
    </row>
    <row r="865" spans="1:21" x14ac:dyDescent="0.2">
      <c r="A865" s="73"/>
      <c r="B865" s="73"/>
      <c r="C865" s="74"/>
      <c r="D865" s="75"/>
      <c r="E865" s="85"/>
      <c r="F865" s="161"/>
      <c r="G865" s="76"/>
      <c r="H865" s="87"/>
      <c r="I865" s="75"/>
      <c r="J865" s="75"/>
      <c r="K865" s="75"/>
      <c r="L865" s="88"/>
      <c r="M865" s="77"/>
      <c r="N865" s="77"/>
      <c r="O865" s="78"/>
      <c r="S865" s="148"/>
      <c r="T865"/>
      <c r="U865"/>
    </row>
    <row r="866" spans="1:21" x14ac:dyDescent="0.2">
      <c r="A866" s="73"/>
      <c r="B866" s="73"/>
      <c r="C866" s="74"/>
      <c r="D866" s="75"/>
      <c r="E866" s="85"/>
      <c r="F866" s="161"/>
      <c r="G866" s="76"/>
      <c r="H866" s="87"/>
      <c r="I866" s="75"/>
      <c r="J866" s="75"/>
      <c r="K866" s="75"/>
      <c r="L866" s="88"/>
      <c r="M866" s="77"/>
      <c r="N866" s="77"/>
      <c r="O866" s="78"/>
      <c r="S866" s="148"/>
      <c r="T866"/>
      <c r="U866"/>
    </row>
    <row r="867" spans="1:21" x14ac:dyDescent="0.2">
      <c r="A867" s="73"/>
      <c r="B867" s="73"/>
      <c r="C867" s="74"/>
      <c r="D867" s="75"/>
      <c r="E867" s="85"/>
      <c r="F867" s="161"/>
      <c r="G867" s="76"/>
      <c r="H867" s="87"/>
      <c r="I867" s="75"/>
      <c r="J867" s="75"/>
      <c r="K867" s="75"/>
      <c r="L867" s="88"/>
      <c r="M867" s="77"/>
      <c r="N867" s="77"/>
      <c r="O867" s="78"/>
      <c r="S867" s="148"/>
      <c r="T867"/>
      <c r="U867"/>
    </row>
    <row r="868" spans="1:21" x14ac:dyDescent="0.2">
      <c r="A868" s="73"/>
      <c r="B868" s="73"/>
      <c r="C868" s="74"/>
      <c r="D868" s="75"/>
      <c r="E868" s="85"/>
      <c r="F868" s="161"/>
      <c r="G868" s="76"/>
      <c r="H868" s="87"/>
      <c r="I868" s="75"/>
      <c r="J868" s="75"/>
      <c r="K868" s="75"/>
      <c r="L868" s="88"/>
      <c r="M868" s="77"/>
      <c r="N868" s="77"/>
      <c r="O868" s="78"/>
      <c r="S868" s="148"/>
      <c r="T868"/>
      <c r="U868"/>
    </row>
    <row r="869" spans="1:21" x14ac:dyDescent="0.2">
      <c r="A869" s="73"/>
      <c r="B869" s="73"/>
      <c r="C869" s="74"/>
      <c r="D869" s="75"/>
      <c r="E869" s="85"/>
      <c r="F869" s="161"/>
      <c r="G869" s="76"/>
      <c r="H869" s="87"/>
      <c r="I869" s="75"/>
      <c r="J869" s="75"/>
      <c r="K869" s="75"/>
      <c r="L869" s="88"/>
      <c r="M869" s="77"/>
      <c r="N869" s="77"/>
      <c r="O869" s="78"/>
      <c r="S869" s="148"/>
      <c r="T869"/>
      <c r="U869"/>
    </row>
    <row r="870" spans="1:21" x14ac:dyDescent="0.2">
      <c r="A870" s="73"/>
      <c r="B870" s="73"/>
      <c r="C870" s="74"/>
      <c r="D870" s="75"/>
      <c r="E870" s="85"/>
      <c r="F870" s="161"/>
      <c r="G870" s="76"/>
      <c r="H870" s="87"/>
      <c r="I870" s="75"/>
      <c r="J870" s="75"/>
      <c r="K870" s="75"/>
      <c r="L870" s="88"/>
      <c r="M870" s="77"/>
      <c r="N870" s="77"/>
      <c r="O870" s="78"/>
      <c r="S870" s="148"/>
      <c r="T870"/>
      <c r="U870"/>
    </row>
    <row r="871" spans="1:21" x14ac:dyDescent="0.2">
      <c r="A871" s="73"/>
      <c r="B871" s="73"/>
      <c r="C871" s="74"/>
      <c r="D871" s="75"/>
      <c r="E871" s="85"/>
      <c r="F871" s="161"/>
      <c r="G871" s="76"/>
      <c r="H871" s="87"/>
      <c r="I871" s="75"/>
      <c r="J871" s="75"/>
      <c r="K871" s="75"/>
      <c r="L871" s="88"/>
      <c r="M871" s="77"/>
      <c r="N871" s="77"/>
      <c r="O871" s="78"/>
      <c r="S871" s="148"/>
      <c r="T871"/>
      <c r="U871"/>
    </row>
    <row r="872" spans="1:21" x14ac:dyDescent="0.2">
      <c r="A872" s="73"/>
      <c r="B872" s="73"/>
      <c r="C872" s="74"/>
      <c r="D872" s="75"/>
      <c r="E872" s="85"/>
      <c r="F872" s="161"/>
      <c r="G872" s="76"/>
      <c r="H872" s="87"/>
      <c r="I872" s="75"/>
      <c r="J872" s="75"/>
      <c r="K872" s="75"/>
      <c r="L872" s="88"/>
      <c r="M872" s="77"/>
      <c r="N872" s="77"/>
      <c r="O872" s="78"/>
      <c r="S872" s="148"/>
      <c r="T872"/>
      <c r="U872"/>
    </row>
    <row r="873" spans="1:21" x14ac:dyDescent="0.2">
      <c r="A873" s="73"/>
      <c r="B873" s="73"/>
      <c r="C873" s="74"/>
      <c r="D873" s="75"/>
      <c r="E873" s="85"/>
      <c r="F873" s="161"/>
      <c r="G873" s="76"/>
      <c r="H873" s="87"/>
      <c r="I873" s="75"/>
      <c r="J873" s="75"/>
      <c r="K873" s="75"/>
      <c r="L873" s="88"/>
      <c r="M873" s="77"/>
      <c r="N873" s="77"/>
      <c r="O873" s="78"/>
      <c r="S873" s="148"/>
      <c r="T873"/>
      <c r="U873"/>
    </row>
    <row r="874" spans="1:21" x14ac:dyDescent="0.2">
      <c r="A874" s="73"/>
      <c r="B874" s="73"/>
      <c r="C874" s="74"/>
      <c r="D874" s="75"/>
      <c r="E874" s="85"/>
      <c r="F874" s="161"/>
      <c r="G874" s="76"/>
      <c r="H874" s="87"/>
      <c r="I874" s="75"/>
      <c r="J874" s="75"/>
      <c r="K874" s="75"/>
      <c r="L874" s="88"/>
      <c r="M874" s="77"/>
      <c r="N874" s="77"/>
      <c r="O874" s="78"/>
      <c r="S874" s="148"/>
      <c r="T874"/>
      <c r="U874"/>
    </row>
    <row r="875" spans="1:21" x14ac:dyDescent="0.2">
      <c r="A875" s="73"/>
      <c r="B875" s="73"/>
      <c r="C875" s="74"/>
      <c r="D875" s="75"/>
      <c r="E875" s="85"/>
      <c r="F875" s="161"/>
      <c r="G875" s="76"/>
      <c r="H875" s="87"/>
      <c r="I875" s="75"/>
      <c r="J875" s="75"/>
      <c r="K875" s="75"/>
      <c r="L875" s="88"/>
      <c r="M875" s="77"/>
      <c r="N875" s="77"/>
      <c r="O875" s="78"/>
      <c r="S875" s="148"/>
      <c r="T875"/>
      <c r="U875"/>
    </row>
    <row r="876" spans="1:21" x14ac:dyDescent="0.2">
      <c r="A876" s="73"/>
      <c r="B876" s="73"/>
      <c r="C876" s="74"/>
      <c r="D876" s="75"/>
      <c r="E876" s="85"/>
      <c r="F876" s="161"/>
      <c r="G876" s="76"/>
      <c r="H876" s="87"/>
      <c r="I876" s="75"/>
      <c r="J876" s="75"/>
      <c r="K876" s="75"/>
      <c r="L876" s="88"/>
      <c r="M876" s="77"/>
      <c r="N876" s="77"/>
      <c r="O876" s="78"/>
      <c r="S876" s="148"/>
      <c r="T876"/>
      <c r="U876"/>
    </row>
    <row r="877" spans="1:21" x14ac:dyDescent="0.2">
      <c r="A877" s="73"/>
      <c r="B877" s="73"/>
      <c r="C877" s="74"/>
      <c r="D877" s="75"/>
      <c r="E877" s="85"/>
      <c r="F877" s="161"/>
      <c r="G877" s="76"/>
      <c r="H877" s="87"/>
      <c r="I877" s="75"/>
      <c r="J877" s="75"/>
      <c r="K877" s="75"/>
      <c r="L877" s="88"/>
      <c r="M877" s="77"/>
      <c r="N877" s="77"/>
      <c r="O877" s="78"/>
      <c r="S877" s="148"/>
      <c r="T877"/>
      <c r="U877"/>
    </row>
    <row r="878" spans="1:21" x14ac:dyDescent="0.2">
      <c r="A878" s="73"/>
      <c r="B878" s="73"/>
      <c r="C878" s="74"/>
      <c r="D878" s="75"/>
      <c r="E878" s="85"/>
      <c r="F878" s="161"/>
      <c r="G878" s="76"/>
      <c r="H878" s="87"/>
      <c r="I878" s="75"/>
      <c r="J878" s="75"/>
      <c r="K878" s="75"/>
      <c r="L878" s="88"/>
      <c r="M878" s="77"/>
      <c r="N878" s="77"/>
      <c r="O878" s="78"/>
      <c r="S878" s="148"/>
      <c r="T878"/>
      <c r="U878"/>
    </row>
    <row r="879" spans="1:21" x14ac:dyDescent="0.2">
      <c r="A879" s="73"/>
      <c r="B879" s="73"/>
      <c r="C879" s="74"/>
      <c r="D879" s="75"/>
      <c r="E879" s="85"/>
      <c r="F879" s="161"/>
      <c r="G879" s="76"/>
      <c r="H879" s="87"/>
      <c r="I879" s="75"/>
      <c r="J879" s="75"/>
      <c r="K879" s="75"/>
      <c r="L879" s="88"/>
      <c r="M879" s="77"/>
      <c r="N879" s="77"/>
      <c r="O879" s="78"/>
      <c r="S879" s="148"/>
      <c r="T879"/>
      <c r="U879"/>
    </row>
    <row r="880" spans="1:21" x14ac:dyDescent="0.2">
      <c r="A880" s="73"/>
      <c r="B880" s="73"/>
      <c r="C880" s="74"/>
      <c r="D880" s="75"/>
      <c r="E880" s="85"/>
      <c r="F880" s="161"/>
      <c r="G880" s="76"/>
      <c r="H880" s="87"/>
      <c r="I880" s="75"/>
      <c r="J880" s="75"/>
      <c r="K880" s="75"/>
      <c r="L880" s="88"/>
      <c r="M880" s="77"/>
      <c r="N880" s="77"/>
      <c r="O880" s="78"/>
      <c r="S880" s="148"/>
      <c r="T880"/>
      <c r="U880"/>
    </row>
    <row r="881" spans="1:21" x14ac:dyDescent="0.2">
      <c r="A881" s="73"/>
      <c r="B881" s="73"/>
      <c r="C881" s="74"/>
      <c r="D881" s="75"/>
      <c r="E881" s="85"/>
      <c r="F881" s="161"/>
      <c r="G881" s="76"/>
      <c r="H881" s="87"/>
      <c r="I881" s="75"/>
      <c r="J881" s="75"/>
      <c r="K881" s="75"/>
      <c r="L881" s="88"/>
      <c r="M881" s="77"/>
      <c r="N881" s="77"/>
      <c r="O881" s="78"/>
      <c r="S881" s="148"/>
      <c r="T881"/>
      <c r="U881"/>
    </row>
    <row r="882" spans="1:21" x14ac:dyDescent="0.2">
      <c r="A882" s="73"/>
      <c r="B882" s="73"/>
      <c r="C882" s="74"/>
      <c r="D882" s="75"/>
      <c r="E882" s="85"/>
      <c r="F882" s="161"/>
      <c r="G882" s="76"/>
      <c r="H882" s="87"/>
      <c r="I882" s="75"/>
      <c r="J882" s="75"/>
      <c r="K882" s="75"/>
      <c r="L882" s="88"/>
      <c r="M882" s="77"/>
      <c r="N882" s="77"/>
      <c r="O882" s="78"/>
      <c r="S882" s="148"/>
      <c r="T882"/>
      <c r="U882"/>
    </row>
    <row r="883" spans="1:21" x14ac:dyDescent="0.2">
      <c r="A883" s="73"/>
      <c r="B883" s="73"/>
      <c r="C883" s="74"/>
      <c r="D883" s="75"/>
      <c r="E883" s="85"/>
      <c r="F883" s="161"/>
      <c r="G883" s="76"/>
      <c r="H883" s="87"/>
      <c r="I883" s="75"/>
      <c r="J883" s="75"/>
      <c r="K883" s="75"/>
      <c r="L883" s="88"/>
      <c r="M883" s="77"/>
      <c r="N883" s="77"/>
      <c r="O883" s="78"/>
      <c r="S883" s="148"/>
      <c r="T883"/>
      <c r="U883"/>
    </row>
    <row r="884" spans="1:21" x14ac:dyDescent="0.2">
      <c r="A884" s="73"/>
      <c r="B884" s="73"/>
      <c r="C884" s="74"/>
      <c r="D884" s="75"/>
      <c r="E884" s="85"/>
      <c r="F884" s="161"/>
      <c r="G884" s="76"/>
      <c r="H884" s="87"/>
      <c r="I884" s="75"/>
      <c r="J884" s="75"/>
      <c r="K884" s="75"/>
      <c r="L884" s="88"/>
      <c r="M884" s="77"/>
      <c r="N884" s="77"/>
      <c r="O884" s="78"/>
      <c r="S884" s="148"/>
      <c r="T884"/>
      <c r="U884"/>
    </row>
    <row r="885" spans="1:21" x14ac:dyDescent="0.2">
      <c r="A885" s="73"/>
      <c r="B885" s="73"/>
      <c r="C885" s="74"/>
      <c r="D885" s="75"/>
      <c r="E885" s="85"/>
      <c r="F885" s="161"/>
      <c r="G885" s="76"/>
      <c r="H885" s="87"/>
      <c r="I885" s="75"/>
      <c r="J885" s="75"/>
      <c r="K885" s="75"/>
      <c r="L885" s="88"/>
      <c r="M885" s="77"/>
      <c r="N885" s="77"/>
      <c r="O885" s="78"/>
      <c r="S885" s="148"/>
      <c r="T885"/>
      <c r="U885"/>
    </row>
    <row r="886" spans="1:21" x14ac:dyDescent="0.2">
      <c r="A886" s="73"/>
      <c r="B886" s="73"/>
      <c r="C886" s="74"/>
      <c r="D886" s="75"/>
      <c r="E886" s="85"/>
      <c r="F886" s="161"/>
      <c r="G886" s="76"/>
      <c r="H886" s="87"/>
      <c r="I886" s="75"/>
      <c r="J886" s="75"/>
      <c r="K886" s="75"/>
      <c r="L886" s="88"/>
      <c r="M886" s="77"/>
      <c r="N886" s="77"/>
      <c r="O886" s="78"/>
      <c r="S886" s="148"/>
      <c r="T886"/>
      <c r="U886"/>
    </row>
    <row r="887" spans="1:21" x14ac:dyDescent="0.2">
      <c r="A887" s="73"/>
      <c r="B887" s="73"/>
      <c r="C887" s="74"/>
      <c r="D887" s="75"/>
      <c r="E887" s="85"/>
      <c r="F887" s="161"/>
      <c r="G887" s="76"/>
      <c r="H887" s="87"/>
      <c r="I887" s="75"/>
      <c r="J887" s="75"/>
      <c r="K887" s="75"/>
      <c r="L887" s="88"/>
      <c r="M887" s="77"/>
      <c r="N887" s="77"/>
      <c r="O887" s="78"/>
      <c r="S887" s="148"/>
      <c r="T887"/>
      <c r="U887"/>
    </row>
    <row r="888" spans="1:21" x14ac:dyDescent="0.2">
      <c r="A888" s="73"/>
      <c r="B888" s="73"/>
      <c r="C888" s="74"/>
      <c r="D888" s="75"/>
      <c r="E888" s="85"/>
      <c r="F888" s="161"/>
      <c r="G888" s="76"/>
      <c r="H888" s="87"/>
      <c r="I888" s="75"/>
      <c r="J888" s="75"/>
      <c r="K888" s="75"/>
      <c r="L888" s="88"/>
      <c r="M888" s="77"/>
      <c r="N888" s="77"/>
      <c r="O888" s="78"/>
      <c r="S888" s="148"/>
      <c r="T888"/>
      <c r="U888"/>
    </row>
    <row r="889" spans="1:21" x14ac:dyDescent="0.2">
      <c r="A889" s="73"/>
      <c r="B889" s="73"/>
      <c r="C889" s="74"/>
      <c r="D889" s="75"/>
      <c r="E889" s="85"/>
      <c r="F889" s="161"/>
      <c r="G889" s="76"/>
      <c r="H889" s="87"/>
      <c r="I889" s="75"/>
      <c r="J889" s="75"/>
      <c r="K889" s="75"/>
      <c r="L889" s="88"/>
      <c r="M889" s="77"/>
      <c r="N889" s="77"/>
      <c r="O889" s="78"/>
      <c r="S889" s="148"/>
      <c r="T889"/>
      <c r="U889"/>
    </row>
    <row r="890" spans="1:21" x14ac:dyDescent="0.2">
      <c r="A890" s="73"/>
      <c r="B890" s="73"/>
      <c r="C890" s="74"/>
      <c r="D890" s="75"/>
      <c r="E890" s="85"/>
      <c r="F890" s="161"/>
      <c r="G890" s="76"/>
      <c r="H890" s="87"/>
      <c r="I890" s="75"/>
      <c r="J890" s="75"/>
      <c r="K890" s="75"/>
      <c r="L890" s="88"/>
      <c r="M890" s="77"/>
      <c r="N890" s="77"/>
      <c r="O890" s="78"/>
      <c r="S890" s="148"/>
      <c r="T890"/>
      <c r="U890"/>
    </row>
    <row r="891" spans="1:21" x14ac:dyDescent="0.2">
      <c r="A891" s="73"/>
      <c r="B891" s="73"/>
      <c r="C891" s="74"/>
      <c r="D891" s="75"/>
      <c r="E891" s="85"/>
      <c r="F891" s="161"/>
      <c r="G891" s="76"/>
      <c r="H891" s="87"/>
      <c r="I891" s="75"/>
      <c r="J891" s="75"/>
      <c r="K891" s="75"/>
      <c r="L891" s="88"/>
      <c r="M891" s="77"/>
      <c r="N891" s="77"/>
      <c r="O891" s="78"/>
      <c r="S891" s="148"/>
      <c r="T891"/>
      <c r="U891"/>
    </row>
    <row r="892" spans="1:21" x14ac:dyDescent="0.2">
      <c r="A892" s="73"/>
      <c r="B892" s="73"/>
      <c r="C892" s="74"/>
      <c r="D892" s="75"/>
      <c r="E892" s="85"/>
      <c r="F892" s="161"/>
      <c r="G892" s="76"/>
      <c r="H892" s="87"/>
      <c r="I892" s="75"/>
      <c r="J892" s="75"/>
      <c r="K892" s="75"/>
      <c r="L892" s="88"/>
      <c r="M892" s="77"/>
      <c r="N892" s="77"/>
      <c r="O892" s="78"/>
      <c r="S892" s="148"/>
      <c r="T892"/>
      <c r="U892"/>
    </row>
    <row r="893" spans="1:21" x14ac:dyDescent="0.2">
      <c r="A893" s="73"/>
      <c r="B893" s="73"/>
      <c r="C893" s="74"/>
      <c r="D893" s="75"/>
      <c r="E893" s="85"/>
      <c r="F893" s="161"/>
      <c r="G893" s="76"/>
      <c r="H893" s="87"/>
      <c r="I893" s="75"/>
      <c r="J893" s="75"/>
      <c r="K893" s="75"/>
      <c r="L893" s="88"/>
      <c r="M893" s="77"/>
      <c r="N893" s="77"/>
      <c r="O893" s="78"/>
      <c r="S893" s="148"/>
      <c r="T893"/>
      <c r="U893"/>
    </row>
    <row r="894" spans="1:21" x14ac:dyDescent="0.2">
      <c r="A894" s="73"/>
      <c r="B894" s="73"/>
      <c r="C894" s="74"/>
      <c r="D894" s="75"/>
      <c r="E894" s="85"/>
      <c r="F894" s="161"/>
      <c r="G894" s="76"/>
      <c r="H894" s="87"/>
      <c r="I894" s="75"/>
      <c r="J894" s="75"/>
      <c r="K894" s="75"/>
      <c r="L894" s="88"/>
      <c r="M894" s="77"/>
      <c r="N894" s="77"/>
      <c r="O894" s="78"/>
      <c r="S894" s="148"/>
      <c r="T894"/>
      <c r="U894"/>
    </row>
    <row r="895" spans="1:21" x14ac:dyDescent="0.2">
      <c r="A895" s="73"/>
      <c r="B895" s="73"/>
      <c r="C895" s="74"/>
      <c r="D895" s="75"/>
      <c r="E895" s="85"/>
      <c r="F895" s="161"/>
      <c r="G895" s="76"/>
      <c r="H895" s="87"/>
      <c r="I895" s="75"/>
      <c r="J895" s="75"/>
      <c r="K895" s="75"/>
      <c r="L895" s="88"/>
      <c r="M895" s="77"/>
      <c r="N895" s="77"/>
      <c r="O895" s="78"/>
      <c r="S895" s="148"/>
      <c r="T895"/>
      <c r="U895"/>
    </row>
    <row r="896" spans="1:21" x14ac:dyDescent="0.2">
      <c r="A896" s="73"/>
      <c r="B896" s="73"/>
      <c r="C896" s="74"/>
      <c r="D896" s="75"/>
      <c r="E896" s="85"/>
      <c r="F896" s="161"/>
      <c r="G896" s="76"/>
      <c r="H896" s="87"/>
      <c r="I896" s="75"/>
      <c r="J896" s="75"/>
      <c r="K896" s="75"/>
      <c r="L896" s="88"/>
      <c r="M896" s="77"/>
      <c r="N896" s="77"/>
      <c r="O896" s="78"/>
      <c r="S896" s="148"/>
      <c r="T896"/>
      <c r="U896"/>
    </row>
    <row r="897" spans="1:21" x14ac:dyDescent="0.2">
      <c r="A897" s="73"/>
      <c r="B897" s="73"/>
      <c r="C897" s="74"/>
      <c r="D897" s="75"/>
      <c r="E897" s="85"/>
      <c r="F897" s="161"/>
      <c r="G897" s="76"/>
      <c r="H897" s="87"/>
      <c r="I897" s="75"/>
      <c r="J897" s="75"/>
      <c r="K897" s="75"/>
      <c r="L897" s="88"/>
      <c r="M897" s="77"/>
      <c r="N897" s="77"/>
      <c r="O897" s="78"/>
      <c r="S897" s="148"/>
      <c r="T897"/>
      <c r="U897"/>
    </row>
    <row r="898" spans="1:21" x14ac:dyDescent="0.2">
      <c r="A898" s="73"/>
      <c r="B898" s="73"/>
      <c r="C898" s="74"/>
      <c r="D898" s="75"/>
      <c r="E898" s="85"/>
      <c r="F898" s="161"/>
      <c r="G898" s="76"/>
      <c r="H898" s="87"/>
      <c r="I898" s="75"/>
      <c r="J898" s="75"/>
      <c r="K898" s="75"/>
      <c r="L898" s="88"/>
      <c r="M898" s="77"/>
      <c r="N898" s="77"/>
      <c r="O898" s="78"/>
      <c r="S898" s="148"/>
      <c r="T898"/>
      <c r="U898"/>
    </row>
    <row r="899" spans="1:21" x14ac:dyDescent="0.2">
      <c r="A899" s="73"/>
      <c r="B899" s="73"/>
      <c r="C899" s="74"/>
      <c r="D899" s="75"/>
      <c r="E899" s="85"/>
      <c r="F899" s="161"/>
      <c r="G899" s="76"/>
      <c r="H899" s="87"/>
      <c r="I899" s="75"/>
      <c r="J899" s="75"/>
      <c r="K899" s="75"/>
      <c r="L899" s="88"/>
      <c r="M899" s="77"/>
      <c r="N899" s="77"/>
      <c r="O899" s="78"/>
      <c r="S899" s="148"/>
      <c r="T899"/>
      <c r="U899"/>
    </row>
    <row r="900" spans="1:21" x14ac:dyDescent="0.2">
      <c r="A900" s="73"/>
      <c r="B900" s="73"/>
      <c r="C900" s="74"/>
      <c r="D900" s="75"/>
      <c r="E900" s="85"/>
      <c r="F900" s="161"/>
      <c r="G900" s="76"/>
      <c r="H900" s="87"/>
      <c r="I900" s="75"/>
      <c r="J900" s="75"/>
      <c r="K900" s="75"/>
      <c r="L900" s="88"/>
      <c r="M900" s="77"/>
      <c r="N900" s="77"/>
      <c r="O900" s="78"/>
      <c r="S900" s="148"/>
      <c r="T900"/>
      <c r="U900"/>
    </row>
    <row r="901" spans="1:21" x14ac:dyDescent="0.2">
      <c r="A901" s="73"/>
      <c r="B901" s="73"/>
      <c r="C901" s="74"/>
      <c r="D901" s="75"/>
      <c r="E901" s="85"/>
      <c r="F901" s="161"/>
      <c r="G901" s="76"/>
      <c r="H901" s="87"/>
      <c r="I901" s="75"/>
      <c r="J901" s="75"/>
      <c r="K901" s="75"/>
      <c r="L901" s="88"/>
      <c r="M901" s="77"/>
      <c r="N901" s="77"/>
      <c r="O901" s="78"/>
      <c r="S901" s="148"/>
      <c r="T901"/>
      <c r="U901"/>
    </row>
    <row r="902" spans="1:21" x14ac:dyDescent="0.2">
      <c r="A902" s="73"/>
      <c r="B902" s="73"/>
      <c r="C902" s="74"/>
      <c r="D902" s="75"/>
      <c r="E902" s="85"/>
      <c r="F902" s="161"/>
      <c r="G902" s="76"/>
      <c r="H902" s="87"/>
      <c r="I902" s="75"/>
      <c r="J902" s="75"/>
      <c r="K902" s="75"/>
      <c r="L902" s="88"/>
      <c r="M902" s="77"/>
      <c r="N902" s="77"/>
      <c r="O902" s="78"/>
      <c r="S902" s="148"/>
      <c r="T902"/>
      <c r="U902"/>
    </row>
    <row r="903" spans="1:21" x14ac:dyDescent="0.2">
      <c r="A903" s="73"/>
      <c r="B903" s="73"/>
      <c r="C903" s="74"/>
      <c r="D903" s="75"/>
      <c r="E903" s="85"/>
      <c r="F903" s="161"/>
      <c r="G903" s="76"/>
      <c r="H903" s="87"/>
      <c r="I903" s="75"/>
      <c r="J903" s="75"/>
      <c r="K903" s="75"/>
      <c r="L903" s="88"/>
      <c r="M903" s="77"/>
      <c r="N903" s="77"/>
      <c r="O903" s="78"/>
      <c r="S903" s="148"/>
      <c r="T903"/>
      <c r="U903"/>
    </row>
    <row r="904" spans="1:21" x14ac:dyDescent="0.2">
      <c r="A904" s="73"/>
      <c r="B904" s="73"/>
      <c r="C904" s="74"/>
      <c r="D904" s="75"/>
      <c r="E904" s="85"/>
      <c r="F904" s="161"/>
      <c r="G904" s="76"/>
      <c r="H904" s="87"/>
      <c r="I904" s="75"/>
      <c r="J904" s="75"/>
      <c r="K904" s="75"/>
      <c r="L904" s="88"/>
      <c r="M904" s="77"/>
      <c r="N904" s="77"/>
      <c r="O904" s="78"/>
      <c r="S904" s="148"/>
      <c r="T904"/>
      <c r="U904"/>
    </row>
    <row r="905" spans="1:21" x14ac:dyDescent="0.2">
      <c r="A905" s="73"/>
      <c r="B905" s="73"/>
      <c r="C905" s="74"/>
      <c r="D905" s="75"/>
      <c r="E905" s="85"/>
      <c r="F905" s="161"/>
      <c r="G905" s="76"/>
      <c r="H905" s="87"/>
      <c r="I905" s="75"/>
      <c r="J905" s="75"/>
      <c r="K905" s="75"/>
      <c r="L905" s="88"/>
      <c r="M905" s="77"/>
      <c r="N905" s="77"/>
      <c r="O905" s="78"/>
      <c r="S905" s="148"/>
      <c r="T905"/>
      <c r="U905"/>
    </row>
    <row r="906" spans="1:21" x14ac:dyDescent="0.2">
      <c r="A906" s="73"/>
      <c r="B906" s="73"/>
      <c r="C906" s="74"/>
      <c r="D906" s="75"/>
      <c r="E906" s="85"/>
      <c r="F906" s="161"/>
      <c r="G906" s="76"/>
      <c r="H906" s="87"/>
      <c r="I906" s="75"/>
      <c r="J906" s="75"/>
      <c r="K906" s="75"/>
      <c r="L906" s="88"/>
      <c r="M906" s="77"/>
      <c r="N906" s="77"/>
      <c r="O906" s="78"/>
      <c r="S906" s="148"/>
      <c r="T906"/>
      <c r="U906"/>
    </row>
    <row r="907" spans="1:21" x14ac:dyDescent="0.2">
      <c r="A907" s="73"/>
      <c r="B907" s="73"/>
      <c r="C907" s="74"/>
      <c r="D907" s="75"/>
      <c r="E907" s="85"/>
      <c r="F907" s="161"/>
      <c r="G907" s="76"/>
      <c r="H907" s="87"/>
      <c r="I907" s="75"/>
      <c r="J907" s="75"/>
      <c r="K907" s="75"/>
      <c r="L907" s="88"/>
      <c r="M907" s="77"/>
      <c r="N907" s="77"/>
      <c r="O907" s="78"/>
      <c r="S907" s="148"/>
      <c r="T907"/>
      <c r="U907"/>
    </row>
    <row r="908" spans="1:21" x14ac:dyDescent="0.2">
      <c r="A908" s="73"/>
      <c r="B908" s="73"/>
      <c r="C908" s="74"/>
      <c r="D908" s="75"/>
      <c r="E908" s="85"/>
      <c r="F908" s="161"/>
      <c r="G908" s="76"/>
      <c r="H908" s="87"/>
      <c r="I908" s="75"/>
      <c r="J908" s="75"/>
      <c r="K908" s="75"/>
      <c r="L908" s="88"/>
      <c r="M908" s="77"/>
      <c r="N908" s="77"/>
      <c r="O908" s="78"/>
      <c r="S908" s="148"/>
      <c r="T908"/>
      <c r="U908"/>
    </row>
    <row r="909" spans="1:21" x14ac:dyDescent="0.2">
      <c r="A909" s="73"/>
      <c r="B909" s="73"/>
      <c r="C909" s="74"/>
      <c r="D909" s="75"/>
      <c r="E909" s="85"/>
      <c r="F909" s="161"/>
      <c r="G909" s="76"/>
      <c r="H909" s="87"/>
      <c r="I909" s="75"/>
      <c r="J909" s="75"/>
      <c r="K909" s="75"/>
      <c r="L909" s="88"/>
      <c r="M909" s="77"/>
      <c r="N909" s="77"/>
      <c r="O909" s="78"/>
      <c r="S909" s="148"/>
      <c r="T909"/>
      <c r="U909"/>
    </row>
    <row r="910" spans="1:21" x14ac:dyDescent="0.2">
      <c r="A910" s="73"/>
      <c r="B910" s="73"/>
      <c r="C910" s="74"/>
      <c r="D910" s="75"/>
      <c r="E910" s="85"/>
      <c r="F910" s="161"/>
      <c r="G910" s="76"/>
      <c r="H910" s="87"/>
      <c r="I910" s="75"/>
      <c r="J910" s="75"/>
      <c r="K910" s="75"/>
      <c r="L910" s="88"/>
      <c r="M910" s="77"/>
      <c r="N910" s="77"/>
      <c r="O910" s="78"/>
      <c r="S910" s="148"/>
      <c r="T910"/>
      <c r="U910"/>
    </row>
    <row r="911" spans="1:21" x14ac:dyDescent="0.2">
      <c r="A911" s="73"/>
      <c r="B911" s="73"/>
      <c r="C911" s="74"/>
      <c r="D911" s="75"/>
      <c r="E911" s="85"/>
      <c r="F911" s="161"/>
      <c r="G911" s="76"/>
      <c r="H911" s="87"/>
      <c r="I911" s="75"/>
      <c r="J911" s="75"/>
      <c r="K911" s="75"/>
      <c r="L911" s="88"/>
      <c r="M911" s="77"/>
      <c r="N911" s="77"/>
      <c r="O911" s="78"/>
      <c r="S911" s="148"/>
      <c r="T911"/>
      <c r="U911"/>
    </row>
    <row r="912" spans="1:21" x14ac:dyDescent="0.2">
      <c r="A912" s="73"/>
      <c r="B912" s="73"/>
      <c r="C912" s="74"/>
      <c r="D912" s="75"/>
      <c r="E912" s="85"/>
      <c r="F912" s="161"/>
      <c r="G912" s="76"/>
      <c r="H912" s="87"/>
      <c r="I912" s="75"/>
      <c r="J912" s="75"/>
      <c r="K912" s="75"/>
      <c r="L912" s="88"/>
      <c r="M912" s="77"/>
      <c r="N912" s="77"/>
      <c r="O912" s="78"/>
      <c r="S912" s="148"/>
      <c r="T912"/>
      <c r="U912"/>
    </row>
    <row r="913" spans="1:21" x14ac:dyDescent="0.2">
      <c r="A913" s="73"/>
      <c r="B913" s="73"/>
      <c r="C913" s="74"/>
      <c r="D913" s="75"/>
      <c r="E913" s="85"/>
      <c r="F913" s="161"/>
      <c r="G913" s="76"/>
      <c r="H913" s="87"/>
      <c r="I913" s="75"/>
      <c r="J913" s="75"/>
      <c r="K913" s="75"/>
      <c r="L913" s="88"/>
      <c r="M913" s="77"/>
      <c r="N913" s="77"/>
      <c r="O913" s="78"/>
      <c r="S913" s="148"/>
      <c r="T913"/>
      <c r="U913"/>
    </row>
    <row r="914" spans="1:21" x14ac:dyDescent="0.2">
      <c r="A914" s="73"/>
      <c r="B914" s="73"/>
      <c r="C914" s="74"/>
      <c r="D914" s="75"/>
      <c r="E914" s="85"/>
      <c r="F914" s="161"/>
      <c r="G914" s="76"/>
      <c r="H914" s="87"/>
      <c r="I914" s="75"/>
      <c r="J914" s="75"/>
      <c r="K914" s="75"/>
      <c r="L914" s="88"/>
      <c r="M914" s="77"/>
      <c r="N914" s="77"/>
      <c r="O914" s="78"/>
      <c r="S914" s="148"/>
      <c r="T914"/>
      <c r="U914"/>
    </row>
    <row r="915" spans="1:21" x14ac:dyDescent="0.2">
      <c r="A915" s="73"/>
      <c r="B915" s="73"/>
      <c r="C915" s="74"/>
      <c r="D915" s="75"/>
      <c r="E915" s="85"/>
      <c r="F915" s="161"/>
      <c r="G915" s="76"/>
      <c r="H915" s="87"/>
      <c r="I915" s="75"/>
      <c r="J915" s="75"/>
      <c r="K915" s="75"/>
      <c r="L915" s="88"/>
      <c r="M915" s="77"/>
      <c r="N915" s="77"/>
      <c r="O915" s="78"/>
      <c r="S915" s="148"/>
      <c r="T915"/>
      <c r="U915"/>
    </row>
    <row r="916" spans="1:21" x14ac:dyDescent="0.2">
      <c r="A916" s="73"/>
      <c r="B916" s="73"/>
      <c r="C916" s="74"/>
      <c r="D916" s="75"/>
      <c r="E916" s="85"/>
      <c r="F916" s="161"/>
      <c r="G916" s="76"/>
      <c r="H916" s="87"/>
      <c r="I916" s="75"/>
      <c r="J916" s="75"/>
      <c r="K916" s="75"/>
      <c r="L916" s="88"/>
      <c r="M916" s="77"/>
      <c r="N916" s="77"/>
      <c r="O916" s="78"/>
      <c r="S916" s="148"/>
      <c r="T916"/>
      <c r="U916"/>
    </row>
    <row r="917" spans="1:21" x14ac:dyDescent="0.2">
      <c r="A917" s="73"/>
      <c r="B917" s="73"/>
      <c r="C917" s="74"/>
      <c r="D917" s="75"/>
      <c r="E917" s="85"/>
      <c r="F917" s="161"/>
      <c r="G917" s="76"/>
      <c r="H917" s="87"/>
      <c r="I917" s="75"/>
      <c r="J917" s="75"/>
      <c r="K917" s="75"/>
      <c r="L917" s="88"/>
      <c r="M917" s="77"/>
      <c r="N917" s="77"/>
      <c r="O917" s="78"/>
      <c r="S917" s="148"/>
      <c r="T917"/>
      <c r="U917"/>
    </row>
    <row r="918" spans="1:21" x14ac:dyDescent="0.2">
      <c r="A918" s="73"/>
      <c r="B918" s="73"/>
      <c r="C918" s="74"/>
      <c r="D918" s="75"/>
      <c r="E918" s="85"/>
      <c r="F918" s="161"/>
      <c r="G918" s="76"/>
      <c r="H918" s="87"/>
      <c r="I918" s="75"/>
      <c r="J918" s="75"/>
      <c r="K918" s="75"/>
      <c r="L918" s="88"/>
      <c r="M918" s="77"/>
      <c r="N918" s="77"/>
      <c r="O918" s="78"/>
      <c r="S918" s="148"/>
      <c r="T918"/>
      <c r="U918"/>
    </row>
    <row r="919" spans="1:21" x14ac:dyDescent="0.2">
      <c r="A919" s="73"/>
      <c r="B919" s="73"/>
      <c r="C919" s="74"/>
      <c r="D919" s="75"/>
      <c r="E919" s="85"/>
      <c r="F919" s="161"/>
      <c r="G919" s="76"/>
      <c r="H919" s="87"/>
      <c r="I919" s="75"/>
      <c r="J919" s="75"/>
      <c r="K919" s="75"/>
      <c r="L919" s="88"/>
      <c r="M919" s="77"/>
      <c r="N919" s="77"/>
      <c r="O919" s="78"/>
      <c r="S919" s="148"/>
      <c r="T919"/>
      <c r="U919"/>
    </row>
    <row r="920" spans="1:21" x14ac:dyDescent="0.2">
      <c r="A920" s="73"/>
      <c r="B920" s="73"/>
      <c r="C920" s="74"/>
      <c r="D920" s="75"/>
      <c r="E920" s="85"/>
      <c r="F920" s="161"/>
      <c r="G920" s="76"/>
      <c r="H920" s="87"/>
      <c r="I920" s="75"/>
      <c r="J920" s="75"/>
      <c r="K920" s="75"/>
      <c r="L920" s="88"/>
      <c r="M920" s="77"/>
      <c r="N920" s="77"/>
      <c r="O920" s="78"/>
      <c r="S920" s="148"/>
      <c r="T920"/>
      <c r="U920"/>
    </row>
    <row r="921" spans="1:21" x14ac:dyDescent="0.2">
      <c r="A921" s="73"/>
      <c r="B921" s="73"/>
      <c r="C921" s="74"/>
      <c r="D921" s="75"/>
      <c r="E921" s="85"/>
      <c r="F921" s="161"/>
      <c r="G921" s="76"/>
      <c r="H921" s="87"/>
      <c r="I921" s="75"/>
      <c r="J921" s="75"/>
      <c r="K921" s="75"/>
      <c r="L921" s="88"/>
      <c r="M921" s="77"/>
      <c r="N921" s="77"/>
      <c r="O921" s="78"/>
      <c r="S921" s="148"/>
      <c r="T921"/>
      <c r="U921"/>
    </row>
    <row r="922" spans="1:21" x14ac:dyDescent="0.2">
      <c r="A922" s="73"/>
      <c r="B922" s="73"/>
      <c r="C922" s="74"/>
      <c r="D922" s="75"/>
      <c r="E922" s="85"/>
      <c r="F922" s="161"/>
      <c r="G922" s="76"/>
      <c r="H922" s="87"/>
      <c r="I922" s="75"/>
      <c r="J922" s="75"/>
      <c r="K922" s="75"/>
      <c r="L922" s="88"/>
      <c r="M922" s="77"/>
      <c r="N922" s="77"/>
      <c r="O922" s="78"/>
      <c r="S922" s="148"/>
      <c r="T922"/>
      <c r="U922"/>
    </row>
    <row r="923" spans="1:21" x14ac:dyDescent="0.2">
      <c r="A923" s="73"/>
      <c r="B923" s="73"/>
      <c r="C923" s="74"/>
      <c r="D923" s="75"/>
      <c r="E923" s="85"/>
      <c r="F923" s="161"/>
      <c r="G923" s="76"/>
      <c r="H923" s="87"/>
      <c r="I923" s="75"/>
      <c r="J923" s="75"/>
      <c r="K923" s="75"/>
      <c r="L923" s="88"/>
      <c r="M923" s="77"/>
      <c r="N923" s="77"/>
      <c r="O923" s="78"/>
      <c r="S923" s="148"/>
      <c r="T923"/>
      <c r="U923"/>
    </row>
    <row r="924" spans="1:21" x14ac:dyDescent="0.2">
      <c r="A924" s="73"/>
      <c r="B924" s="73"/>
      <c r="C924" s="74"/>
      <c r="D924" s="75"/>
      <c r="E924" s="85"/>
      <c r="F924" s="161"/>
      <c r="G924" s="76"/>
      <c r="H924" s="87"/>
      <c r="I924" s="75"/>
      <c r="J924" s="75"/>
      <c r="K924" s="75"/>
      <c r="L924" s="88"/>
      <c r="M924" s="77"/>
      <c r="N924" s="77"/>
      <c r="O924" s="78"/>
      <c r="S924" s="148"/>
      <c r="T924"/>
      <c r="U924"/>
    </row>
    <row r="925" spans="1:21" x14ac:dyDescent="0.2">
      <c r="A925" s="73"/>
      <c r="B925" s="73"/>
      <c r="C925" s="74"/>
      <c r="D925" s="75"/>
      <c r="E925" s="85"/>
      <c r="F925" s="161"/>
      <c r="G925" s="76"/>
      <c r="H925" s="87"/>
      <c r="I925" s="75"/>
      <c r="J925" s="75"/>
      <c r="K925" s="75"/>
      <c r="L925" s="88"/>
      <c r="M925" s="77"/>
      <c r="N925" s="77"/>
      <c r="O925" s="78"/>
      <c r="S925" s="148"/>
      <c r="T925"/>
      <c r="U925"/>
    </row>
    <row r="926" spans="1:21" x14ac:dyDescent="0.2">
      <c r="A926" s="73"/>
      <c r="B926" s="73"/>
      <c r="C926" s="74"/>
      <c r="D926" s="75"/>
      <c r="E926" s="85"/>
      <c r="F926" s="161"/>
      <c r="G926" s="76"/>
      <c r="H926" s="87"/>
      <c r="I926" s="75"/>
      <c r="J926" s="75"/>
      <c r="K926" s="75"/>
      <c r="L926" s="88"/>
      <c r="M926" s="77"/>
      <c r="N926" s="77"/>
      <c r="O926" s="78"/>
      <c r="S926" s="148"/>
      <c r="T926"/>
      <c r="U926"/>
    </row>
    <row r="927" spans="1:21" x14ac:dyDescent="0.2">
      <c r="A927" s="73"/>
      <c r="B927" s="73"/>
      <c r="C927" s="74"/>
      <c r="D927" s="75"/>
      <c r="E927" s="85"/>
      <c r="F927" s="161"/>
      <c r="G927" s="76"/>
      <c r="H927" s="87"/>
      <c r="I927" s="75"/>
      <c r="J927" s="75"/>
      <c r="K927" s="75"/>
      <c r="L927" s="88"/>
      <c r="M927" s="77"/>
      <c r="N927" s="77"/>
      <c r="O927" s="78"/>
      <c r="S927" s="148"/>
      <c r="T927"/>
      <c r="U927"/>
    </row>
    <row r="928" spans="1:21" x14ac:dyDescent="0.2">
      <c r="A928" s="73"/>
      <c r="B928" s="73"/>
      <c r="C928" s="74"/>
      <c r="D928" s="75"/>
      <c r="E928" s="85"/>
      <c r="F928" s="161"/>
      <c r="G928" s="76"/>
      <c r="H928" s="87"/>
      <c r="I928" s="75"/>
      <c r="J928" s="75"/>
      <c r="K928" s="75"/>
      <c r="L928" s="88"/>
      <c r="M928" s="77"/>
      <c r="N928" s="77"/>
      <c r="O928" s="78"/>
      <c r="S928" s="148"/>
      <c r="T928"/>
      <c r="U928"/>
    </row>
    <row r="929" spans="1:21" x14ac:dyDescent="0.2">
      <c r="A929" s="73"/>
      <c r="B929" s="73"/>
      <c r="C929" s="74"/>
      <c r="D929" s="75"/>
      <c r="E929" s="85"/>
      <c r="F929" s="161"/>
      <c r="G929" s="76"/>
      <c r="H929" s="87"/>
      <c r="I929" s="75"/>
      <c r="J929" s="75"/>
      <c r="K929" s="75"/>
      <c r="L929" s="88"/>
      <c r="M929" s="77"/>
      <c r="N929" s="77"/>
      <c r="O929" s="78"/>
      <c r="S929" s="148"/>
      <c r="T929"/>
      <c r="U929"/>
    </row>
    <row r="930" spans="1:21" x14ac:dyDescent="0.2">
      <c r="A930" s="73"/>
      <c r="B930" s="73"/>
      <c r="C930" s="74"/>
      <c r="D930" s="75"/>
      <c r="E930" s="85"/>
      <c r="F930" s="161"/>
      <c r="G930" s="76"/>
      <c r="H930" s="87"/>
      <c r="I930" s="75"/>
      <c r="J930" s="75"/>
      <c r="K930" s="75"/>
      <c r="L930" s="88"/>
      <c r="M930" s="77"/>
      <c r="N930" s="77"/>
      <c r="O930" s="78"/>
      <c r="S930" s="148"/>
      <c r="T930"/>
      <c r="U930"/>
    </row>
    <row r="931" spans="1:21" x14ac:dyDescent="0.2">
      <c r="A931" s="73"/>
      <c r="B931" s="73"/>
      <c r="C931" s="74"/>
      <c r="D931" s="75"/>
      <c r="E931" s="85"/>
      <c r="F931" s="161"/>
      <c r="G931" s="76"/>
      <c r="H931" s="87"/>
      <c r="I931" s="75"/>
      <c r="J931" s="75"/>
      <c r="K931" s="75"/>
      <c r="L931" s="88"/>
      <c r="M931" s="77"/>
      <c r="N931" s="77"/>
      <c r="O931" s="78"/>
      <c r="S931" s="148"/>
      <c r="T931"/>
      <c r="U931"/>
    </row>
    <row r="932" spans="1:21" x14ac:dyDescent="0.2">
      <c r="A932" s="73"/>
      <c r="B932" s="73"/>
      <c r="C932" s="74"/>
      <c r="D932" s="75"/>
      <c r="E932" s="85"/>
      <c r="F932" s="161"/>
      <c r="G932" s="76"/>
      <c r="H932" s="87"/>
      <c r="I932" s="75"/>
      <c r="J932" s="75"/>
      <c r="K932" s="75"/>
      <c r="L932" s="88"/>
      <c r="M932" s="77"/>
      <c r="N932" s="77"/>
      <c r="O932" s="78"/>
      <c r="S932" s="148"/>
      <c r="T932"/>
      <c r="U932"/>
    </row>
    <row r="933" spans="1:21" x14ac:dyDescent="0.2">
      <c r="A933" s="73"/>
      <c r="B933" s="73"/>
      <c r="C933" s="74"/>
      <c r="D933" s="75"/>
      <c r="E933" s="85"/>
      <c r="F933" s="161"/>
      <c r="G933" s="76"/>
      <c r="H933" s="87"/>
      <c r="I933" s="75"/>
      <c r="J933" s="75"/>
      <c r="K933" s="75"/>
      <c r="L933" s="88"/>
      <c r="M933" s="77"/>
      <c r="N933" s="77"/>
      <c r="O933" s="78"/>
      <c r="S933" s="148"/>
      <c r="T933"/>
      <c r="U933"/>
    </row>
    <row r="934" spans="1:21" x14ac:dyDescent="0.2">
      <c r="A934" s="73"/>
      <c r="B934" s="73"/>
      <c r="C934" s="74"/>
      <c r="D934" s="75"/>
      <c r="E934" s="85"/>
      <c r="F934" s="161"/>
      <c r="G934" s="76"/>
      <c r="H934" s="87"/>
      <c r="I934" s="75"/>
      <c r="J934" s="75"/>
      <c r="K934" s="75"/>
      <c r="L934" s="88"/>
      <c r="M934" s="77"/>
      <c r="N934" s="77"/>
      <c r="O934" s="78"/>
      <c r="S934" s="148"/>
      <c r="T934"/>
      <c r="U934"/>
    </row>
    <row r="935" spans="1:21" x14ac:dyDescent="0.2">
      <c r="A935" s="73"/>
      <c r="B935" s="73"/>
      <c r="C935" s="74"/>
      <c r="D935" s="75"/>
      <c r="E935" s="85"/>
      <c r="F935" s="161"/>
      <c r="G935" s="76"/>
      <c r="H935" s="87"/>
      <c r="I935" s="75"/>
      <c r="J935" s="75"/>
      <c r="K935" s="75"/>
      <c r="L935" s="88"/>
      <c r="M935" s="77"/>
      <c r="N935" s="77"/>
      <c r="O935" s="78"/>
      <c r="S935" s="148"/>
      <c r="T935"/>
      <c r="U935"/>
    </row>
    <row r="936" spans="1:21" x14ac:dyDescent="0.2">
      <c r="A936" s="73"/>
      <c r="B936" s="73"/>
      <c r="C936" s="74"/>
      <c r="D936" s="75"/>
      <c r="E936" s="85"/>
      <c r="F936" s="161"/>
      <c r="G936" s="76"/>
      <c r="H936" s="87"/>
      <c r="I936" s="75"/>
      <c r="J936" s="75"/>
      <c r="K936" s="75"/>
      <c r="L936" s="88"/>
      <c r="M936" s="77"/>
      <c r="N936" s="77"/>
      <c r="O936" s="78"/>
      <c r="S936" s="148"/>
      <c r="T936"/>
      <c r="U936"/>
    </row>
    <row r="937" spans="1:21" x14ac:dyDescent="0.2">
      <c r="A937" s="73"/>
      <c r="B937" s="73"/>
      <c r="C937" s="74"/>
      <c r="D937" s="75"/>
      <c r="E937" s="85"/>
      <c r="F937" s="161"/>
      <c r="G937" s="76"/>
      <c r="H937" s="87"/>
      <c r="I937" s="75"/>
      <c r="J937" s="75"/>
      <c r="K937" s="75"/>
      <c r="L937" s="88"/>
      <c r="M937" s="77"/>
      <c r="N937" s="77"/>
      <c r="O937" s="78"/>
      <c r="S937" s="148"/>
      <c r="T937"/>
      <c r="U937"/>
    </row>
    <row r="938" spans="1:21" x14ac:dyDescent="0.2">
      <c r="A938" s="73"/>
      <c r="B938" s="73"/>
      <c r="C938" s="74"/>
      <c r="D938" s="75"/>
      <c r="E938" s="85"/>
      <c r="F938" s="161"/>
      <c r="G938" s="76"/>
      <c r="H938" s="87"/>
      <c r="I938" s="75"/>
      <c r="J938" s="75"/>
      <c r="K938" s="75"/>
      <c r="L938" s="88"/>
      <c r="M938" s="77"/>
      <c r="N938" s="77"/>
      <c r="O938" s="78"/>
      <c r="S938" s="148"/>
      <c r="T938"/>
      <c r="U938"/>
    </row>
    <row r="939" spans="1:21" x14ac:dyDescent="0.2">
      <c r="A939" s="73"/>
      <c r="B939" s="73"/>
      <c r="C939" s="74"/>
      <c r="D939" s="75"/>
      <c r="E939" s="85"/>
      <c r="F939" s="161"/>
      <c r="G939" s="76"/>
      <c r="H939" s="87"/>
      <c r="I939" s="75"/>
      <c r="J939" s="75"/>
      <c r="K939" s="75"/>
      <c r="L939" s="88"/>
      <c r="M939" s="77"/>
      <c r="N939" s="77"/>
      <c r="O939" s="78"/>
      <c r="S939" s="148"/>
      <c r="T939"/>
      <c r="U939"/>
    </row>
    <row r="940" spans="1:21" x14ac:dyDescent="0.2">
      <c r="A940" s="73"/>
      <c r="B940" s="73"/>
      <c r="C940" s="74"/>
      <c r="D940" s="75"/>
      <c r="E940" s="85"/>
      <c r="F940" s="161"/>
      <c r="G940" s="76"/>
      <c r="H940" s="87"/>
      <c r="I940" s="75"/>
      <c r="J940" s="75"/>
      <c r="K940" s="75"/>
      <c r="L940" s="88"/>
      <c r="M940" s="77"/>
      <c r="N940" s="77"/>
      <c r="O940" s="78"/>
      <c r="S940" s="148"/>
      <c r="T940"/>
      <c r="U940"/>
    </row>
    <row r="941" spans="1:21" x14ac:dyDescent="0.2">
      <c r="A941" s="73"/>
      <c r="B941" s="73"/>
      <c r="C941" s="74"/>
      <c r="D941" s="75"/>
      <c r="E941" s="85"/>
      <c r="F941" s="161"/>
      <c r="G941" s="76"/>
      <c r="H941" s="87"/>
      <c r="I941" s="75"/>
      <c r="J941" s="75"/>
      <c r="K941" s="75"/>
      <c r="L941" s="88"/>
      <c r="M941" s="77"/>
      <c r="N941" s="77"/>
      <c r="O941" s="78"/>
      <c r="S941" s="148"/>
      <c r="T941"/>
      <c r="U941"/>
    </row>
    <row r="942" spans="1:21" x14ac:dyDescent="0.2">
      <c r="A942" s="73"/>
      <c r="B942" s="73"/>
      <c r="C942" s="74"/>
      <c r="D942" s="75"/>
      <c r="E942" s="85"/>
      <c r="F942" s="161"/>
      <c r="G942" s="76"/>
      <c r="H942" s="87"/>
      <c r="I942" s="75"/>
      <c r="J942" s="75"/>
      <c r="K942" s="75"/>
      <c r="L942" s="88"/>
      <c r="M942" s="77"/>
      <c r="N942" s="77"/>
      <c r="O942" s="78"/>
      <c r="S942" s="148"/>
      <c r="T942"/>
      <c r="U942"/>
    </row>
    <row r="943" spans="1:21" x14ac:dyDescent="0.2">
      <c r="A943" s="73"/>
      <c r="B943" s="73"/>
      <c r="C943" s="74"/>
      <c r="D943" s="75"/>
      <c r="E943" s="85"/>
      <c r="F943" s="161"/>
      <c r="G943" s="76"/>
      <c r="H943" s="87"/>
      <c r="I943" s="75"/>
      <c r="J943" s="75"/>
      <c r="K943" s="75"/>
      <c r="L943" s="88"/>
      <c r="M943" s="77"/>
      <c r="N943" s="77"/>
      <c r="O943" s="78"/>
      <c r="S943" s="148"/>
      <c r="T943"/>
      <c r="U943"/>
    </row>
    <row r="944" spans="1:21" x14ac:dyDescent="0.2">
      <c r="A944" s="73"/>
      <c r="B944" s="73"/>
      <c r="C944" s="74"/>
      <c r="D944" s="75"/>
      <c r="E944" s="85"/>
      <c r="F944" s="161"/>
      <c r="G944" s="76"/>
      <c r="H944" s="87"/>
      <c r="I944" s="75"/>
      <c r="J944" s="75"/>
      <c r="K944" s="75"/>
      <c r="L944" s="88"/>
      <c r="M944" s="77"/>
      <c r="N944" s="77"/>
      <c r="O944" s="78"/>
      <c r="S944" s="148"/>
      <c r="T944"/>
      <c r="U944"/>
    </row>
    <row r="945" spans="1:21" x14ac:dyDescent="0.2">
      <c r="A945" s="73"/>
      <c r="B945" s="73"/>
      <c r="C945" s="74"/>
      <c r="D945" s="75"/>
      <c r="E945" s="85"/>
      <c r="F945" s="161"/>
      <c r="G945" s="76"/>
      <c r="H945" s="87"/>
      <c r="I945" s="75"/>
      <c r="J945" s="75"/>
      <c r="K945" s="75"/>
      <c r="L945" s="88"/>
      <c r="M945" s="77"/>
      <c r="N945" s="77"/>
      <c r="O945" s="78"/>
      <c r="S945" s="148"/>
      <c r="T945"/>
      <c r="U945"/>
    </row>
    <row r="946" spans="1:21" x14ac:dyDescent="0.2">
      <c r="A946" s="73"/>
      <c r="B946" s="73"/>
      <c r="C946" s="74"/>
      <c r="D946" s="75"/>
      <c r="E946" s="85"/>
      <c r="F946" s="161"/>
      <c r="G946" s="76"/>
      <c r="H946" s="87"/>
      <c r="I946" s="75"/>
      <c r="J946" s="75"/>
      <c r="K946" s="75"/>
      <c r="L946" s="88"/>
      <c r="M946" s="77"/>
      <c r="N946" s="77"/>
      <c r="O946" s="78"/>
      <c r="S946" s="148"/>
      <c r="T946"/>
      <c r="U946"/>
    </row>
    <row r="947" spans="1:21" x14ac:dyDescent="0.2">
      <c r="A947" s="73"/>
      <c r="B947" s="73"/>
      <c r="C947" s="74"/>
      <c r="D947" s="75"/>
      <c r="E947" s="85"/>
      <c r="F947" s="161"/>
      <c r="G947" s="76"/>
      <c r="H947" s="87"/>
      <c r="I947" s="75"/>
      <c r="J947" s="75"/>
      <c r="K947" s="75"/>
      <c r="L947" s="88"/>
      <c r="M947" s="77"/>
      <c r="N947" s="77"/>
      <c r="O947" s="78"/>
      <c r="S947" s="148"/>
      <c r="T947"/>
      <c r="U947"/>
    </row>
    <row r="948" spans="1:21" x14ac:dyDescent="0.2">
      <c r="A948" s="73"/>
      <c r="B948" s="73"/>
      <c r="C948" s="74"/>
      <c r="D948" s="75"/>
      <c r="E948" s="85"/>
      <c r="F948" s="161"/>
      <c r="G948" s="76"/>
      <c r="H948" s="87"/>
      <c r="I948" s="75"/>
      <c r="J948" s="75"/>
      <c r="K948" s="75"/>
      <c r="L948" s="88"/>
      <c r="M948" s="77"/>
      <c r="N948" s="77"/>
      <c r="O948" s="78"/>
      <c r="S948" s="148"/>
      <c r="T948"/>
      <c r="U948"/>
    </row>
    <row r="949" spans="1:21" x14ac:dyDescent="0.2">
      <c r="A949" s="73"/>
      <c r="B949" s="73"/>
      <c r="C949" s="74"/>
      <c r="D949" s="75"/>
      <c r="E949" s="85"/>
      <c r="F949" s="161"/>
      <c r="G949" s="76"/>
      <c r="H949" s="87"/>
      <c r="I949" s="75"/>
      <c r="J949" s="75"/>
      <c r="K949" s="75"/>
      <c r="L949" s="88"/>
      <c r="M949" s="77"/>
      <c r="N949" s="77"/>
      <c r="O949" s="78"/>
      <c r="S949" s="148"/>
      <c r="T949"/>
      <c r="U949"/>
    </row>
    <row r="950" spans="1:21" x14ac:dyDescent="0.2">
      <c r="A950" s="73"/>
      <c r="B950" s="73"/>
      <c r="C950" s="74"/>
      <c r="D950" s="75"/>
      <c r="E950" s="85"/>
      <c r="F950" s="161"/>
      <c r="G950" s="76"/>
      <c r="H950" s="87"/>
      <c r="I950" s="75"/>
      <c r="J950" s="75"/>
      <c r="K950" s="75"/>
      <c r="L950" s="88"/>
      <c r="M950" s="77"/>
      <c r="N950" s="77"/>
      <c r="O950" s="78"/>
      <c r="S950" s="148"/>
      <c r="T950"/>
      <c r="U950"/>
    </row>
    <row r="951" spans="1:21" x14ac:dyDescent="0.2">
      <c r="A951" s="73"/>
      <c r="B951" s="73"/>
      <c r="C951" s="74"/>
      <c r="D951" s="75"/>
      <c r="E951" s="85"/>
      <c r="F951" s="161"/>
      <c r="G951" s="76"/>
      <c r="H951" s="87"/>
      <c r="I951" s="75"/>
      <c r="J951" s="75"/>
      <c r="K951" s="75"/>
      <c r="L951" s="88"/>
      <c r="M951" s="77"/>
      <c r="N951" s="77"/>
      <c r="O951" s="78"/>
      <c r="S951" s="148"/>
      <c r="T951"/>
      <c r="U951"/>
    </row>
    <row r="952" spans="1:21" x14ac:dyDescent="0.2">
      <c r="A952" s="73"/>
      <c r="B952" s="73"/>
      <c r="C952" s="74"/>
      <c r="D952" s="75"/>
      <c r="E952" s="85"/>
      <c r="F952" s="161"/>
      <c r="G952" s="76"/>
      <c r="H952" s="87"/>
      <c r="I952" s="75"/>
      <c r="J952" s="75"/>
      <c r="K952" s="75"/>
      <c r="L952" s="88"/>
      <c r="M952" s="77"/>
      <c r="N952" s="77"/>
      <c r="O952" s="78"/>
      <c r="S952" s="148"/>
      <c r="T952"/>
      <c r="U952"/>
    </row>
    <row r="953" spans="1:21" x14ac:dyDescent="0.2">
      <c r="A953" s="73"/>
      <c r="B953" s="73"/>
      <c r="C953" s="74"/>
      <c r="D953" s="75"/>
      <c r="E953" s="85"/>
      <c r="F953" s="161"/>
      <c r="G953" s="76"/>
      <c r="H953" s="87"/>
      <c r="I953" s="75"/>
      <c r="J953" s="75"/>
      <c r="K953" s="75"/>
      <c r="L953" s="88"/>
      <c r="M953" s="77"/>
      <c r="N953" s="77"/>
      <c r="O953" s="78"/>
      <c r="S953" s="148"/>
      <c r="T953"/>
      <c r="U953"/>
    </row>
    <row r="954" spans="1:21" x14ac:dyDescent="0.2">
      <c r="A954" s="73"/>
      <c r="B954" s="73"/>
      <c r="C954" s="74"/>
      <c r="D954" s="75"/>
      <c r="E954" s="85"/>
      <c r="F954" s="161"/>
      <c r="G954" s="76"/>
      <c r="H954" s="87"/>
      <c r="I954" s="75"/>
      <c r="J954" s="75"/>
      <c r="K954" s="75"/>
      <c r="L954" s="88"/>
      <c r="M954" s="77"/>
      <c r="N954" s="77"/>
      <c r="O954" s="78"/>
      <c r="S954" s="148"/>
      <c r="T954"/>
      <c r="U954"/>
    </row>
    <row r="955" spans="1:21" x14ac:dyDescent="0.2">
      <c r="A955" s="73"/>
      <c r="B955" s="73"/>
      <c r="C955" s="74"/>
      <c r="D955" s="75"/>
      <c r="E955" s="85"/>
      <c r="F955" s="161"/>
      <c r="G955" s="76"/>
      <c r="H955" s="87"/>
      <c r="I955" s="75"/>
      <c r="J955" s="75"/>
      <c r="K955" s="75"/>
      <c r="L955" s="88"/>
      <c r="M955" s="77"/>
      <c r="N955" s="77"/>
      <c r="O955" s="78"/>
      <c r="S955" s="148"/>
      <c r="T955"/>
      <c r="U955"/>
    </row>
    <row r="956" spans="1:21" x14ac:dyDescent="0.2">
      <c r="A956" s="73"/>
      <c r="B956" s="73"/>
      <c r="C956" s="74"/>
      <c r="D956" s="75"/>
      <c r="E956" s="85"/>
      <c r="F956" s="161"/>
      <c r="G956" s="76"/>
      <c r="H956" s="87"/>
      <c r="I956" s="75"/>
      <c r="J956" s="75"/>
      <c r="K956" s="75"/>
      <c r="L956" s="88"/>
      <c r="M956" s="77"/>
      <c r="N956" s="77"/>
      <c r="O956" s="78"/>
      <c r="S956" s="148"/>
      <c r="T956"/>
      <c r="U956"/>
    </row>
    <row r="957" spans="1:21" x14ac:dyDescent="0.2">
      <c r="A957" s="73"/>
      <c r="B957" s="73"/>
      <c r="C957" s="74"/>
      <c r="D957" s="75"/>
      <c r="E957" s="85"/>
      <c r="F957" s="161"/>
      <c r="G957" s="76"/>
      <c r="H957" s="87"/>
      <c r="I957" s="75"/>
      <c r="J957" s="75"/>
      <c r="K957" s="75"/>
      <c r="L957" s="88"/>
      <c r="M957" s="77"/>
      <c r="N957" s="77"/>
      <c r="O957" s="78"/>
      <c r="S957" s="148"/>
      <c r="T957"/>
      <c r="U957"/>
    </row>
    <row r="958" spans="1:21" x14ac:dyDescent="0.2">
      <c r="A958" s="73"/>
      <c r="B958" s="73"/>
      <c r="C958" s="74"/>
      <c r="D958" s="75"/>
      <c r="E958" s="85"/>
      <c r="F958" s="161"/>
      <c r="G958" s="76"/>
      <c r="H958" s="87"/>
      <c r="I958" s="75"/>
      <c r="J958" s="75"/>
      <c r="K958" s="75"/>
      <c r="L958" s="88"/>
      <c r="M958" s="77"/>
      <c r="N958" s="77"/>
      <c r="O958" s="78"/>
      <c r="S958" s="148"/>
      <c r="T958"/>
      <c r="U958"/>
    </row>
    <row r="959" spans="1:21" x14ac:dyDescent="0.2">
      <c r="A959" s="73"/>
      <c r="B959" s="73"/>
      <c r="C959" s="74"/>
      <c r="D959" s="75"/>
      <c r="E959" s="85"/>
      <c r="F959" s="161"/>
      <c r="G959" s="76"/>
      <c r="H959" s="87"/>
      <c r="I959" s="75"/>
      <c r="J959" s="75"/>
      <c r="K959" s="75"/>
      <c r="L959" s="88"/>
      <c r="M959" s="77"/>
      <c r="N959" s="77"/>
      <c r="O959" s="78"/>
      <c r="S959" s="148"/>
      <c r="T959"/>
      <c r="U959"/>
    </row>
    <row r="960" spans="1:21" x14ac:dyDescent="0.2">
      <c r="A960" s="73"/>
      <c r="B960" s="73"/>
      <c r="C960" s="74"/>
      <c r="D960" s="75"/>
      <c r="E960" s="85"/>
      <c r="F960" s="161"/>
      <c r="G960" s="76"/>
      <c r="H960" s="87"/>
      <c r="I960" s="75"/>
      <c r="J960" s="75"/>
      <c r="K960" s="75"/>
      <c r="L960" s="88"/>
      <c r="M960" s="77"/>
      <c r="N960" s="77"/>
      <c r="O960" s="78"/>
      <c r="S960" s="148"/>
      <c r="T960"/>
      <c r="U960"/>
    </row>
    <row r="961" spans="1:21" x14ac:dyDescent="0.2">
      <c r="A961" s="73"/>
      <c r="B961" s="73"/>
      <c r="C961" s="74"/>
      <c r="D961" s="75"/>
      <c r="E961" s="85"/>
      <c r="F961" s="161"/>
      <c r="G961" s="76"/>
      <c r="H961" s="87"/>
      <c r="I961" s="75"/>
      <c r="J961" s="75"/>
      <c r="K961" s="75"/>
      <c r="L961" s="88"/>
      <c r="M961" s="77"/>
      <c r="N961" s="77"/>
      <c r="O961" s="78"/>
      <c r="S961" s="148"/>
      <c r="T961"/>
      <c r="U961"/>
    </row>
    <row r="962" spans="1:21" x14ac:dyDescent="0.2">
      <c r="A962" s="73"/>
      <c r="B962" s="73"/>
      <c r="C962" s="74"/>
      <c r="D962" s="75"/>
      <c r="E962" s="85"/>
      <c r="F962" s="161"/>
      <c r="G962" s="76"/>
      <c r="H962" s="87"/>
      <c r="I962" s="75"/>
      <c r="J962" s="75"/>
      <c r="K962" s="75"/>
      <c r="L962" s="88"/>
      <c r="M962" s="77"/>
      <c r="N962" s="77"/>
      <c r="O962" s="78"/>
      <c r="S962" s="148"/>
      <c r="T962"/>
      <c r="U962"/>
    </row>
    <row r="963" spans="1:21" x14ac:dyDescent="0.2">
      <c r="A963" s="73"/>
      <c r="B963" s="73"/>
      <c r="C963" s="74"/>
      <c r="D963" s="75"/>
      <c r="E963" s="85"/>
      <c r="F963" s="161"/>
      <c r="G963" s="76"/>
      <c r="H963" s="87"/>
      <c r="I963" s="75"/>
      <c r="J963" s="75"/>
      <c r="K963" s="75"/>
      <c r="L963" s="88"/>
      <c r="M963" s="77"/>
      <c r="N963" s="77"/>
      <c r="O963" s="78"/>
      <c r="S963" s="148"/>
      <c r="T963"/>
      <c r="U963"/>
    </row>
    <row r="964" spans="1:21" x14ac:dyDescent="0.2">
      <c r="A964" s="73"/>
      <c r="B964" s="73"/>
      <c r="C964" s="74"/>
      <c r="D964" s="75"/>
      <c r="E964" s="85"/>
      <c r="F964" s="161"/>
      <c r="G964" s="76"/>
      <c r="H964" s="87"/>
      <c r="I964" s="75"/>
      <c r="J964" s="75"/>
      <c r="K964" s="75"/>
      <c r="L964" s="88"/>
      <c r="M964" s="77"/>
      <c r="N964" s="77"/>
      <c r="O964" s="78"/>
      <c r="S964" s="148"/>
      <c r="T964"/>
      <c r="U964"/>
    </row>
    <row r="965" spans="1:21" x14ac:dyDescent="0.2">
      <c r="A965" s="73"/>
      <c r="B965" s="73"/>
      <c r="C965" s="74"/>
      <c r="D965" s="75"/>
      <c r="E965" s="85"/>
      <c r="F965" s="161"/>
      <c r="G965" s="76"/>
      <c r="H965" s="87"/>
      <c r="I965" s="75"/>
      <c r="J965" s="75"/>
      <c r="K965" s="75"/>
      <c r="L965" s="88"/>
      <c r="M965" s="77"/>
      <c r="N965" s="77"/>
      <c r="O965" s="78"/>
      <c r="S965" s="148"/>
      <c r="T965"/>
      <c r="U965"/>
    </row>
    <row r="966" spans="1:21" x14ac:dyDescent="0.2">
      <c r="A966" s="73"/>
      <c r="B966" s="73"/>
      <c r="C966" s="74"/>
      <c r="D966" s="75"/>
      <c r="E966" s="85"/>
      <c r="F966" s="161"/>
      <c r="G966" s="76"/>
      <c r="H966" s="87"/>
      <c r="I966" s="75"/>
      <c r="J966" s="75"/>
      <c r="K966" s="75"/>
      <c r="L966" s="88"/>
      <c r="M966" s="77"/>
      <c r="N966" s="77"/>
      <c r="O966" s="78"/>
      <c r="S966" s="148"/>
      <c r="T966"/>
      <c r="U966"/>
    </row>
    <row r="967" spans="1:21" x14ac:dyDescent="0.2">
      <c r="A967" s="73"/>
      <c r="B967" s="73"/>
      <c r="C967" s="74"/>
      <c r="D967" s="75"/>
      <c r="E967" s="85"/>
      <c r="F967" s="161"/>
      <c r="G967" s="76"/>
      <c r="H967" s="87"/>
      <c r="I967" s="75"/>
      <c r="J967" s="75"/>
      <c r="K967" s="75"/>
      <c r="L967" s="88"/>
      <c r="M967" s="77"/>
      <c r="N967" s="77"/>
      <c r="O967" s="78"/>
      <c r="S967" s="148"/>
      <c r="T967"/>
      <c r="U967"/>
    </row>
    <row r="968" spans="1:21" x14ac:dyDescent="0.2">
      <c r="A968" s="73"/>
      <c r="B968" s="73"/>
      <c r="C968" s="74"/>
      <c r="D968" s="75"/>
      <c r="E968" s="85"/>
      <c r="F968" s="161"/>
      <c r="G968" s="76"/>
      <c r="H968" s="87"/>
      <c r="I968" s="75"/>
      <c r="J968" s="75"/>
      <c r="K968" s="75"/>
      <c r="L968" s="88"/>
      <c r="M968" s="77"/>
      <c r="N968" s="77"/>
      <c r="O968" s="78"/>
      <c r="S968" s="148"/>
      <c r="T968"/>
      <c r="U968"/>
    </row>
    <row r="969" spans="1:21" x14ac:dyDescent="0.2">
      <c r="A969" s="73"/>
      <c r="B969" s="73"/>
      <c r="C969" s="74"/>
      <c r="D969" s="75"/>
      <c r="E969" s="85"/>
      <c r="F969" s="161"/>
      <c r="G969" s="76"/>
      <c r="H969" s="87"/>
      <c r="I969" s="75"/>
      <c r="J969" s="75"/>
      <c r="K969" s="75"/>
      <c r="L969" s="88"/>
      <c r="M969" s="77"/>
      <c r="N969" s="77"/>
      <c r="O969" s="78"/>
      <c r="S969" s="148"/>
      <c r="T969"/>
      <c r="U969"/>
    </row>
    <row r="970" spans="1:21" x14ac:dyDescent="0.2">
      <c r="A970" s="73"/>
      <c r="B970" s="73"/>
      <c r="C970" s="74"/>
      <c r="D970" s="75"/>
      <c r="E970" s="85"/>
      <c r="F970" s="161"/>
      <c r="G970" s="76"/>
      <c r="H970" s="87"/>
      <c r="I970" s="75"/>
      <c r="J970" s="75"/>
      <c r="K970" s="75"/>
      <c r="L970" s="88"/>
      <c r="M970" s="77"/>
      <c r="N970" s="77"/>
      <c r="O970" s="78"/>
      <c r="S970" s="148"/>
      <c r="T970"/>
      <c r="U970"/>
    </row>
    <row r="971" spans="1:21" x14ac:dyDescent="0.2">
      <c r="A971" s="73"/>
      <c r="B971" s="73"/>
      <c r="C971" s="74"/>
      <c r="D971" s="75"/>
      <c r="E971" s="85"/>
      <c r="F971" s="161"/>
      <c r="G971" s="76"/>
      <c r="H971" s="87"/>
      <c r="I971" s="75"/>
      <c r="J971" s="75"/>
      <c r="K971" s="75"/>
      <c r="L971" s="88"/>
      <c r="M971" s="77"/>
      <c r="N971" s="77"/>
      <c r="O971" s="78"/>
      <c r="S971" s="148"/>
      <c r="T971"/>
      <c r="U971"/>
    </row>
    <row r="972" spans="1:21" x14ac:dyDescent="0.2">
      <c r="A972" s="73"/>
      <c r="B972" s="73"/>
      <c r="C972" s="74"/>
      <c r="D972" s="75"/>
      <c r="E972" s="85"/>
      <c r="F972" s="161"/>
      <c r="G972" s="76"/>
      <c r="H972" s="87"/>
      <c r="I972" s="75"/>
      <c r="J972" s="75"/>
      <c r="K972" s="75"/>
      <c r="L972" s="88"/>
      <c r="M972" s="77"/>
      <c r="N972" s="77"/>
      <c r="O972" s="78"/>
      <c r="S972" s="148"/>
      <c r="T972"/>
      <c r="U972"/>
    </row>
    <row r="973" spans="1:21" x14ac:dyDescent="0.2">
      <c r="A973" s="73"/>
      <c r="B973" s="73"/>
      <c r="C973" s="74"/>
      <c r="D973" s="75"/>
      <c r="E973" s="85"/>
      <c r="F973" s="161"/>
      <c r="G973" s="76"/>
      <c r="H973" s="87"/>
      <c r="I973" s="75"/>
      <c r="J973" s="75"/>
      <c r="K973" s="75"/>
      <c r="L973" s="88"/>
      <c r="M973" s="77"/>
      <c r="N973" s="77"/>
      <c r="O973" s="78"/>
      <c r="S973" s="148"/>
      <c r="T973"/>
      <c r="U973"/>
    </row>
    <row r="974" spans="1:21" x14ac:dyDescent="0.2">
      <c r="A974" s="73"/>
      <c r="B974" s="73"/>
      <c r="C974" s="74"/>
      <c r="D974" s="75"/>
      <c r="E974" s="85"/>
      <c r="F974" s="161"/>
      <c r="G974" s="76"/>
      <c r="H974" s="87"/>
      <c r="I974" s="75"/>
      <c r="J974" s="75"/>
      <c r="K974" s="75"/>
      <c r="L974" s="88"/>
      <c r="M974" s="77"/>
      <c r="N974" s="77"/>
      <c r="O974" s="78"/>
      <c r="S974" s="148"/>
      <c r="T974"/>
      <c r="U974"/>
    </row>
    <row r="975" spans="1:21" x14ac:dyDescent="0.2">
      <c r="A975" s="73"/>
      <c r="B975" s="73"/>
      <c r="C975" s="74"/>
      <c r="D975" s="75"/>
      <c r="E975" s="85"/>
      <c r="F975" s="161"/>
      <c r="G975" s="76"/>
      <c r="H975" s="87"/>
      <c r="I975" s="75"/>
      <c r="J975" s="75"/>
      <c r="K975" s="75"/>
      <c r="L975" s="88"/>
      <c r="M975" s="77"/>
      <c r="N975" s="77"/>
      <c r="O975" s="78"/>
      <c r="S975" s="148"/>
      <c r="T975"/>
      <c r="U975"/>
    </row>
    <row r="976" spans="1:21" x14ac:dyDescent="0.2">
      <c r="A976" s="73"/>
      <c r="B976" s="73"/>
      <c r="C976" s="74"/>
      <c r="D976" s="75"/>
      <c r="E976" s="85"/>
      <c r="F976" s="161"/>
      <c r="G976" s="76"/>
      <c r="H976" s="87"/>
      <c r="I976" s="75"/>
      <c r="J976" s="75"/>
      <c r="K976" s="75"/>
      <c r="L976" s="88"/>
      <c r="M976" s="77"/>
      <c r="N976" s="77"/>
      <c r="O976" s="78"/>
      <c r="S976" s="148"/>
      <c r="T976"/>
      <c r="U976"/>
    </row>
    <row r="977" spans="1:21" x14ac:dyDescent="0.2">
      <c r="A977" s="73"/>
      <c r="B977" s="73"/>
      <c r="C977" s="74"/>
      <c r="D977" s="75"/>
      <c r="E977" s="85"/>
      <c r="F977" s="161"/>
      <c r="G977" s="76"/>
      <c r="H977" s="87"/>
      <c r="I977" s="75"/>
      <c r="J977" s="75"/>
      <c r="K977" s="75"/>
      <c r="L977" s="88"/>
      <c r="M977" s="77"/>
      <c r="N977" s="77"/>
      <c r="O977" s="78"/>
      <c r="S977" s="148"/>
      <c r="T977"/>
      <c r="U977"/>
    </row>
    <row r="978" spans="1:21" x14ac:dyDescent="0.2">
      <c r="A978" s="73"/>
      <c r="B978" s="73"/>
      <c r="C978" s="74"/>
      <c r="D978" s="75"/>
      <c r="E978" s="85"/>
      <c r="F978" s="161"/>
      <c r="G978" s="76"/>
      <c r="H978" s="87"/>
      <c r="I978" s="75"/>
      <c r="J978" s="75"/>
      <c r="K978" s="75"/>
      <c r="L978" s="88"/>
      <c r="M978" s="77"/>
      <c r="N978" s="77"/>
      <c r="O978" s="78"/>
      <c r="S978" s="148"/>
      <c r="T978"/>
      <c r="U978"/>
    </row>
    <row r="979" spans="1:21" x14ac:dyDescent="0.2">
      <c r="A979" s="73"/>
      <c r="B979" s="73"/>
      <c r="C979" s="74"/>
      <c r="D979" s="75"/>
      <c r="E979" s="85"/>
      <c r="F979" s="161"/>
      <c r="G979" s="76"/>
      <c r="H979" s="87"/>
      <c r="I979" s="75"/>
      <c r="J979" s="75"/>
      <c r="K979" s="75"/>
      <c r="L979" s="88"/>
      <c r="M979" s="77"/>
      <c r="N979" s="77"/>
      <c r="O979" s="78"/>
      <c r="S979" s="148"/>
      <c r="T979"/>
      <c r="U979"/>
    </row>
    <row r="980" spans="1:21" x14ac:dyDescent="0.2">
      <c r="A980" s="73"/>
      <c r="B980" s="73"/>
      <c r="C980" s="74"/>
      <c r="D980" s="75"/>
      <c r="E980" s="85"/>
      <c r="F980" s="161"/>
      <c r="G980" s="76"/>
      <c r="H980" s="87"/>
      <c r="I980" s="75"/>
      <c r="J980" s="75"/>
      <c r="K980" s="75"/>
      <c r="L980" s="88"/>
      <c r="M980" s="77"/>
      <c r="N980" s="77"/>
      <c r="O980" s="78"/>
      <c r="S980" s="148"/>
      <c r="T980"/>
      <c r="U980"/>
    </row>
    <row r="981" spans="1:21" x14ac:dyDescent="0.2">
      <c r="A981" s="73"/>
      <c r="B981" s="73"/>
      <c r="C981" s="74"/>
      <c r="D981" s="75"/>
      <c r="E981" s="85"/>
      <c r="F981" s="161"/>
      <c r="G981" s="76"/>
      <c r="H981" s="87"/>
      <c r="I981" s="75"/>
      <c r="J981" s="75"/>
      <c r="K981" s="75"/>
      <c r="L981" s="88"/>
      <c r="M981" s="77"/>
      <c r="N981" s="77"/>
      <c r="O981" s="78"/>
      <c r="S981" s="148"/>
      <c r="T981"/>
      <c r="U981"/>
    </row>
    <row r="982" spans="1:21" x14ac:dyDescent="0.2">
      <c r="A982" s="73"/>
      <c r="B982" s="73"/>
      <c r="C982" s="74"/>
      <c r="D982" s="75"/>
      <c r="E982" s="85"/>
      <c r="F982" s="161"/>
      <c r="G982" s="76"/>
      <c r="H982" s="87"/>
      <c r="I982" s="75"/>
      <c r="J982" s="75"/>
      <c r="K982" s="75"/>
      <c r="L982" s="88"/>
      <c r="M982" s="77"/>
      <c r="N982" s="77"/>
      <c r="O982" s="78"/>
      <c r="S982" s="148"/>
      <c r="T982"/>
      <c r="U982"/>
    </row>
    <row r="983" spans="1:21" x14ac:dyDescent="0.2">
      <c r="A983" s="73"/>
      <c r="B983" s="73"/>
      <c r="C983" s="74"/>
      <c r="D983" s="75"/>
      <c r="E983" s="85"/>
      <c r="F983" s="161"/>
      <c r="G983" s="76"/>
      <c r="H983" s="87"/>
      <c r="I983" s="75"/>
      <c r="J983" s="75"/>
      <c r="K983" s="75"/>
      <c r="L983" s="88"/>
      <c r="M983" s="77"/>
      <c r="N983" s="77"/>
      <c r="O983" s="78"/>
      <c r="S983" s="148"/>
      <c r="T983"/>
      <c r="U983"/>
    </row>
    <row r="984" spans="1:21" x14ac:dyDescent="0.2">
      <c r="A984" s="73"/>
      <c r="B984" s="73"/>
      <c r="C984" s="74"/>
      <c r="D984" s="75"/>
      <c r="E984" s="85"/>
      <c r="F984" s="161"/>
      <c r="G984" s="76"/>
      <c r="H984" s="87"/>
      <c r="I984" s="75"/>
      <c r="J984" s="75"/>
      <c r="K984" s="75"/>
      <c r="L984" s="88"/>
      <c r="M984" s="77"/>
      <c r="N984" s="77"/>
      <c r="O984" s="78"/>
      <c r="S984" s="148"/>
      <c r="T984"/>
      <c r="U984"/>
    </row>
    <row r="985" spans="1:21" x14ac:dyDescent="0.2">
      <c r="A985" s="73"/>
      <c r="B985" s="73"/>
      <c r="C985" s="74"/>
      <c r="D985" s="75"/>
      <c r="E985" s="85"/>
      <c r="F985" s="161"/>
      <c r="G985" s="76"/>
      <c r="H985" s="87"/>
      <c r="I985" s="75"/>
      <c r="J985" s="75"/>
      <c r="K985" s="75"/>
      <c r="L985" s="88"/>
      <c r="M985" s="77"/>
      <c r="N985" s="77"/>
      <c r="O985" s="78"/>
      <c r="S985" s="148"/>
      <c r="T985"/>
      <c r="U985"/>
    </row>
    <row r="986" spans="1:21" x14ac:dyDescent="0.2">
      <c r="A986" s="73"/>
      <c r="B986" s="73"/>
      <c r="C986" s="74"/>
      <c r="D986" s="75"/>
      <c r="E986" s="85"/>
      <c r="F986" s="161"/>
      <c r="G986" s="76"/>
      <c r="H986" s="87"/>
      <c r="I986" s="75"/>
      <c r="J986" s="75"/>
      <c r="K986" s="75"/>
      <c r="L986" s="88"/>
      <c r="M986" s="77"/>
      <c r="N986" s="77"/>
      <c r="O986" s="78"/>
      <c r="S986" s="148"/>
      <c r="T986"/>
      <c r="U986"/>
    </row>
    <row r="987" spans="1:21" x14ac:dyDescent="0.2">
      <c r="A987" s="73"/>
      <c r="B987" s="73"/>
      <c r="C987" s="74"/>
      <c r="D987" s="75"/>
      <c r="E987" s="85"/>
      <c r="F987" s="161"/>
      <c r="G987" s="76"/>
      <c r="H987" s="87"/>
      <c r="I987" s="75"/>
      <c r="J987" s="75"/>
      <c r="K987" s="75"/>
      <c r="L987" s="88"/>
      <c r="M987" s="77"/>
      <c r="N987" s="77"/>
      <c r="O987" s="78"/>
      <c r="S987" s="148"/>
      <c r="T987"/>
      <c r="U987"/>
    </row>
    <row r="988" spans="1:21" x14ac:dyDescent="0.2">
      <c r="A988" s="73"/>
      <c r="B988" s="73"/>
      <c r="C988" s="74"/>
      <c r="D988" s="75"/>
      <c r="E988" s="85"/>
      <c r="F988" s="161"/>
      <c r="G988" s="76"/>
      <c r="H988" s="87"/>
      <c r="I988" s="75"/>
      <c r="J988" s="75"/>
      <c r="K988" s="75"/>
      <c r="L988" s="88"/>
      <c r="M988" s="77"/>
      <c r="N988" s="77"/>
      <c r="O988" s="78"/>
      <c r="S988" s="148"/>
      <c r="T988"/>
      <c r="U988"/>
    </row>
    <row r="989" spans="1:21" x14ac:dyDescent="0.2">
      <c r="A989" s="73"/>
      <c r="B989" s="73"/>
      <c r="C989" s="74"/>
      <c r="D989" s="75"/>
      <c r="E989" s="85"/>
      <c r="F989" s="161"/>
      <c r="G989" s="76"/>
      <c r="H989" s="87"/>
      <c r="I989" s="75"/>
      <c r="J989" s="75"/>
      <c r="K989" s="75"/>
      <c r="L989" s="88"/>
      <c r="M989" s="77"/>
      <c r="N989" s="77"/>
      <c r="O989" s="78"/>
      <c r="S989" s="148"/>
      <c r="T989"/>
      <c r="U989"/>
    </row>
    <row r="990" spans="1:21" x14ac:dyDescent="0.2">
      <c r="A990" s="73"/>
      <c r="B990" s="73"/>
      <c r="C990" s="74"/>
      <c r="D990" s="75"/>
      <c r="E990" s="85"/>
      <c r="F990" s="161"/>
      <c r="G990" s="76"/>
      <c r="H990" s="87"/>
      <c r="I990" s="75"/>
      <c r="J990" s="75"/>
      <c r="K990" s="75"/>
      <c r="L990" s="88"/>
      <c r="M990" s="77"/>
      <c r="N990" s="77"/>
      <c r="O990" s="78"/>
      <c r="S990" s="148"/>
      <c r="T990"/>
      <c r="U990"/>
    </row>
    <row r="991" spans="1:21" x14ac:dyDescent="0.2">
      <c r="A991" s="73"/>
      <c r="B991" s="73"/>
      <c r="C991" s="74"/>
      <c r="D991" s="75"/>
      <c r="E991" s="85"/>
      <c r="F991" s="161"/>
      <c r="G991" s="76"/>
      <c r="H991" s="87"/>
      <c r="I991" s="75"/>
      <c r="J991" s="75"/>
      <c r="K991" s="75"/>
      <c r="L991" s="88"/>
      <c r="M991" s="77"/>
      <c r="N991" s="77"/>
      <c r="O991" s="78"/>
      <c r="S991" s="148"/>
      <c r="T991"/>
      <c r="U991"/>
    </row>
    <row r="992" spans="1:21" x14ac:dyDescent="0.2">
      <c r="A992" s="73"/>
      <c r="B992" s="73"/>
      <c r="C992" s="74"/>
      <c r="D992" s="75"/>
      <c r="E992" s="85"/>
      <c r="F992" s="161"/>
      <c r="G992" s="76"/>
      <c r="H992" s="87"/>
      <c r="I992" s="75"/>
      <c r="J992" s="75"/>
      <c r="K992" s="75"/>
      <c r="L992" s="88"/>
      <c r="M992" s="77"/>
      <c r="N992" s="77"/>
      <c r="O992" s="78"/>
      <c r="S992" s="148"/>
      <c r="T992"/>
      <c r="U992"/>
    </row>
    <row r="993" spans="1:21" x14ac:dyDescent="0.2">
      <c r="A993" s="73"/>
      <c r="B993" s="73"/>
      <c r="C993" s="74"/>
      <c r="D993" s="75"/>
      <c r="E993" s="85"/>
      <c r="F993" s="161"/>
      <c r="G993" s="76"/>
      <c r="H993" s="87"/>
      <c r="I993" s="75"/>
      <c r="J993" s="75"/>
      <c r="K993" s="75"/>
      <c r="L993" s="88"/>
      <c r="M993" s="77"/>
      <c r="N993" s="77"/>
      <c r="O993" s="78"/>
      <c r="S993" s="148"/>
      <c r="T993"/>
      <c r="U993"/>
    </row>
    <row r="994" spans="1:21" x14ac:dyDescent="0.2">
      <c r="A994" s="73"/>
      <c r="B994" s="73"/>
      <c r="C994" s="74"/>
      <c r="D994" s="75"/>
      <c r="E994" s="85"/>
      <c r="F994" s="161"/>
      <c r="G994" s="76"/>
      <c r="H994" s="87"/>
      <c r="I994" s="75"/>
      <c r="J994" s="75"/>
      <c r="K994" s="75"/>
      <c r="L994" s="88"/>
      <c r="M994" s="77"/>
      <c r="N994" s="77"/>
      <c r="O994" s="78"/>
      <c r="S994" s="148"/>
      <c r="T994"/>
      <c r="U994"/>
    </row>
    <row r="995" spans="1:21" x14ac:dyDescent="0.2">
      <c r="A995" s="73"/>
      <c r="B995" s="73"/>
      <c r="C995" s="74"/>
      <c r="D995" s="75"/>
      <c r="E995" s="85"/>
      <c r="F995" s="161"/>
      <c r="G995" s="76"/>
      <c r="H995" s="87"/>
      <c r="I995" s="75"/>
      <c r="J995" s="75"/>
      <c r="K995" s="75"/>
      <c r="L995" s="88"/>
      <c r="M995" s="77"/>
      <c r="N995" s="77"/>
      <c r="O995" s="78"/>
      <c r="S995" s="148"/>
      <c r="T995"/>
      <c r="U995"/>
    </row>
    <row r="996" spans="1:21" x14ac:dyDescent="0.2">
      <c r="A996" s="73"/>
      <c r="B996" s="73"/>
      <c r="C996" s="74"/>
      <c r="D996" s="75"/>
      <c r="E996" s="85"/>
      <c r="F996" s="161"/>
      <c r="G996" s="76"/>
      <c r="H996" s="87"/>
      <c r="I996" s="75"/>
      <c r="J996" s="75"/>
      <c r="K996" s="75"/>
      <c r="L996" s="88"/>
      <c r="M996" s="77"/>
      <c r="N996" s="77"/>
      <c r="O996" s="78"/>
      <c r="S996" s="148"/>
      <c r="T996"/>
      <c r="U996"/>
    </row>
    <row r="997" spans="1:21" x14ac:dyDescent="0.2">
      <c r="A997" s="73"/>
      <c r="B997" s="73"/>
      <c r="C997" s="74"/>
      <c r="D997" s="75"/>
      <c r="E997" s="85"/>
      <c r="F997" s="161"/>
      <c r="G997" s="76"/>
      <c r="H997" s="87"/>
      <c r="I997" s="75"/>
      <c r="J997" s="75"/>
      <c r="K997" s="75"/>
      <c r="L997" s="88"/>
      <c r="M997" s="77"/>
      <c r="N997" s="77"/>
      <c r="O997" s="78"/>
      <c r="S997" s="148"/>
      <c r="T997"/>
      <c r="U997"/>
    </row>
    <row r="998" spans="1:21" x14ac:dyDescent="0.2">
      <c r="A998" s="73"/>
      <c r="B998" s="73"/>
      <c r="C998" s="74"/>
      <c r="D998" s="75"/>
      <c r="E998" s="85"/>
      <c r="F998" s="161"/>
      <c r="G998" s="76"/>
      <c r="H998" s="87"/>
      <c r="I998" s="75"/>
      <c r="J998" s="75"/>
      <c r="K998" s="75"/>
      <c r="L998" s="88"/>
      <c r="M998" s="77"/>
      <c r="N998" s="77"/>
      <c r="O998" s="78"/>
      <c r="S998" s="148"/>
      <c r="T998"/>
      <c r="U998"/>
    </row>
    <row r="999" spans="1:21" x14ac:dyDescent="0.2">
      <c r="A999" s="73"/>
      <c r="B999" s="73"/>
      <c r="C999" s="74"/>
      <c r="D999" s="75"/>
      <c r="E999" s="85"/>
      <c r="F999" s="161"/>
      <c r="G999" s="76"/>
      <c r="H999" s="87"/>
      <c r="I999" s="75"/>
      <c r="J999" s="75"/>
      <c r="K999" s="75"/>
      <c r="L999" s="88"/>
      <c r="M999" s="77"/>
      <c r="N999" s="77"/>
      <c r="O999" s="78"/>
      <c r="S999" s="148"/>
      <c r="T999"/>
      <c r="U999"/>
    </row>
    <row r="1000" spans="1:21" x14ac:dyDescent="0.2">
      <c r="A1000" s="73"/>
      <c r="B1000" s="73"/>
      <c r="C1000" s="74"/>
      <c r="D1000" s="75"/>
      <c r="E1000" s="85"/>
      <c r="F1000" s="161"/>
      <c r="G1000" s="76"/>
      <c r="H1000" s="87"/>
      <c r="I1000" s="75"/>
      <c r="J1000" s="75"/>
      <c r="K1000" s="75"/>
      <c r="L1000" s="88"/>
      <c r="M1000" s="77"/>
      <c r="N1000" s="77"/>
      <c r="O1000" s="78"/>
      <c r="S1000" s="148"/>
      <c r="T1000"/>
      <c r="U1000"/>
    </row>
    <row r="1001" spans="1:21" x14ac:dyDescent="0.2">
      <c r="A1001" s="73"/>
      <c r="B1001" s="73"/>
      <c r="C1001" s="74"/>
      <c r="D1001" s="75"/>
      <c r="E1001" s="85"/>
      <c r="F1001" s="161"/>
      <c r="G1001" s="76"/>
      <c r="H1001" s="87"/>
      <c r="I1001" s="75"/>
      <c r="J1001" s="75"/>
      <c r="K1001" s="75"/>
      <c r="L1001" s="88"/>
      <c r="M1001" s="77"/>
      <c r="N1001" s="77"/>
      <c r="O1001" s="78"/>
      <c r="S1001" s="148"/>
      <c r="T1001"/>
      <c r="U1001"/>
    </row>
    <row r="1002" spans="1:21" x14ac:dyDescent="0.2">
      <c r="A1002" s="73"/>
      <c r="B1002" s="73"/>
      <c r="C1002" s="74"/>
      <c r="D1002" s="75"/>
      <c r="E1002" s="85"/>
      <c r="F1002" s="161"/>
      <c r="G1002" s="76"/>
      <c r="H1002" s="87"/>
      <c r="I1002" s="75"/>
      <c r="J1002" s="75"/>
      <c r="K1002" s="75"/>
      <c r="L1002" s="88"/>
      <c r="M1002" s="77"/>
      <c r="N1002" s="77"/>
      <c r="O1002" s="78"/>
      <c r="S1002" s="148"/>
      <c r="T1002"/>
      <c r="U1002"/>
    </row>
    <row r="1003" spans="1:21" x14ac:dyDescent="0.2">
      <c r="A1003" s="73"/>
      <c r="B1003" s="73"/>
      <c r="C1003" s="74"/>
      <c r="D1003" s="75"/>
      <c r="E1003" s="85"/>
      <c r="F1003" s="161"/>
      <c r="G1003" s="76"/>
      <c r="H1003" s="87"/>
      <c r="I1003" s="75"/>
      <c r="J1003" s="75"/>
      <c r="K1003" s="75"/>
      <c r="L1003" s="88"/>
      <c r="M1003" s="77"/>
      <c r="N1003" s="77"/>
      <c r="O1003" s="78"/>
      <c r="S1003" s="148"/>
      <c r="T1003"/>
      <c r="U1003"/>
    </row>
    <row r="1004" spans="1:21" x14ac:dyDescent="0.2">
      <c r="A1004" s="73"/>
      <c r="B1004" s="73"/>
      <c r="C1004" s="74"/>
      <c r="D1004" s="75"/>
      <c r="E1004" s="85"/>
      <c r="F1004" s="161"/>
      <c r="G1004" s="76"/>
      <c r="H1004" s="87"/>
      <c r="I1004" s="75"/>
      <c r="J1004" s="75"/>
      <c r="K1004" s="75"/>
      <c r="L1004" s="88"/>
      <c r="M1004" s="77"/>
      <c r="N1004" s="77"/>
      <c r="O1004" s="78"/>
      <c r="S1004" s="148"/>
      <c r="T1004"/>
      <c r="U1004"/>
    </row>
    <row r="1005" spans="1:21" x14ac:dyDescent="0.2">
      <c r="A1005" s="73"/>
      <c r="B1005" s="73"/>
      <c r="C1005" s="74"/>
      <c r="D1005" s="75"/>
      <c r="E1005" s="85"/>
      <c r="F1005" s="161"/>
      <c r="G1005" s="76"/>
      <c r="H1005" s="87"/>
      <c r="I1005" s="75"/>
      <c r="J1005" s="75"/>
      <c r="K1005" s="75"/>
      <c r="L1005" s="88"/>
      <c r="M1005" s="77"/>
      <c r="N1005" s="77"/>
      <c r="O1005" s="78"/>
      <c r="S1005" s="148"/>
      <c r="T1005"/>
      <c r="U1005"/>
    </row>
    <row r="1006" spans="1:21" x14ac:dyDescent="0.2">
      <c r="A1006" s="73"/>
      <c r="B1006" s="73"/>
      <c r="C1006" s="74"/>
      <c r="D1006" s="75"/>
      <c r="E1006" s="85"/>
      <c r="F1006" s="161"/>
      <c r="G1006" s="76"/>
      <c r="H1006" s="87"/>
      <c r="I1006" s="75"/>
      <c r="J1006" s="75"/>
      <c r="K1006" s="75"/>
      <c r="L1006" s="88"/>
      <c r="M1006" s="77"/>
      <c r="N1006" s="77"/>
      <c r="O1006" s="78"/>
      <c r="S1006" s="148"/>
      <c r="T1006"/>
      <c r="U1006"/>
    </row>
    <row r="1007" spans="1:21" x14ac:dyDescent="0.2">
      <c r="A1007" s="73"/>
      <c r="B1007" s="73"/>
      <c r="C1007" s="74"/>
      <c r="D1007" s="75"/>
      <c r="E1007" s="85"/>
      <c r="F1007" s="161"/>
      <c r="G1007" s="76"/>
      <c r="H1007" s="87"/>
      <c r="I1007" s="75"/>
      <c r="J1007" s="75"/>
      <c r="K1007" s="75"/>
      <c r="L1007" s="88"/>
      <c r="M1007" s="77"/>
      <c r="N1007" s="77"/>
      <c r="O1007" s="78"/>
      <c r="S1007" s="148"/>
      <c r="T1007"/>
      <c r="U1007"/>
    </row>
    <row r="1008" spans="1:21" x14ac:dyDescent="0.2">
      <c r="A1008" s="73"/>
      <c r="B1008" s="73"/>
      <c r="C1008" s="74"/>
      <c r="D1008" s="75"/>
      <c r="E1008" s="85"/>
      <c r="F1008" s="161"/>
      <c r="G1008" s="76"/>
      <c r="H1008" s="87"/>
      <c r="I1008" s="75"/>
      <c r="J1008" s="75"/>
      <c r="K1008" s="75"/>
      <c r="L1008" s="88"/>
      <c r="M1008" s="77"/>
      <c r="N1008" s="77"/>
      <c r="O1008" s="78"/>
      <c r="S1008" s="148"/>
      <c r="T1008"/>
      <c r="U1008"/>
    </row>
    <row r="1009" spans="1:21" x14ac:dyDescent="0.2">
      <c r="A1009" s="73"/>
      <c r="B1009" s="73"/>
      <c r="C1009" s="74"/>
      <c r="D1009" s="75"/>
      <c r="E1009" s="85"/>
      <c r="F1009" s="161"/>
      <c r="G1009" s="76"/>
      <c r="H1009" s="87"/>
      <c r="I1009" s="75"/>
      <c r="J1009" s="75"/>
      <c r="K1009" s="75"/>
      <c r="L1009" s="88"/>
      <c r="M1009" s="77"/>
      <c r="N1009" s="77"/>
      <c r="O1009" s="78"/>
      <c r="S1009" s="148"/>
      <c r="T1009"/>
      <c r="U1009"/>
    </row>
    <row r="1010" spans="1:21" x14ac:dyDescent="0.2">
      <c r="A1010" s="73"/>
      <c r="B1010" s="73"/>
      <c r="C1010" s="74"/>
      <c r="D1010" s="75"/>
      <c r="E1010" s="85"/>
      <c r="F1010" s="161"/>
      <c r="G1010" s="76"/>
      <c r="H1010" s="87"/>
      <c r="I1010" s="75"/>
      <c r="J1010" s="75"/>
      <c r="K1010" s="75"/>
      <c r="L1010" s="88"/>
      <c r="M1010" s="77"/>
      <c r="N1010" s="77"/>
      <c r="O1010" s="78"/>
      <c r="S1010" s="148"/>
      <c r="T1010"/>
      <c r="U1010"/>
    </row>
    <row r="1011" spans="1:21" x14ac:dyDescent="0.2">
      <c r="A1011" s="73"/>
      <c r="B1011" s="73"/>
      <c r="C1011" s="74"/>
      <c r="D1011" s="75"/>
      <c r="E1011" s="85"/>
      <c r="F1011" s="161"/>
      <c r="G1011" s="76"/>
      <c r="H1011" s="87"/>
      <c r="I1011" s="75"/>
      <c r="J1011" s="75"/>
      <c r="K1011" s="75"/>
      <c r="L1011" s="88"/>
      <c r="M1011" s="77"/>
      <c r="N1011" s="77"/>
      <c r="O1011" s="78"/>
      <c r="S1011" s="148"/>
      <c r="T1011"/>
      <c r="U1011"/>
    </row>
    <row r="1012" spans="1:21" x14ac:dyDescent="0.2">
      <c r="A1012" s="73"/>
      <c r="B1012" s="73"/>
      <c r="C1012" s="74"/>
      <c r="D1012" s="75"/>
      <c r="E1012" s="85"/>
      <c r="F1012" s="161"/>
      <c r="G1012" s="76"/>
      <c r="H1012" s="87"/>
      <c r="I1012" s="75"/>
      <c r="J1012" s="75"/>
      <c r="K1012" s="75"/>
      <c r="L1012" s="88"/>
      <c r="M1012" s="77"/>
      <c r="N1012" s="77"/>
      <c r="O1012" s="78"/>
      <c r="S1012" s="148"/>
      <c r="T1012"/>
      <c r="U1012"/>
    </row>
    <row r="1013" spans="1:21" x14ac:dyDescent="0.2">
      <c r="A1013" s="73"/>
      <c r="B1013" s="73"/>
      <c r="C1013" s="74"/>
      <c r="D1013" s="75"/>
      <c r="E1013" s="85"/>
      <c r="F1013" s="161"/>
      <c r="G1013" s="76"/>
      <c r="H1013" s="87"/>
      <c r="I1013" s="75"/>
      <c r="J1013" s="75"/>
      <c r="K1013" s="75"/>
      <c r="L1013" s="88"/>
      <c r="M1013" s="77"/>
      <c r="N1013" s="77"/>
      <c r="O1013" s="78"/>
      <c r="S1013" s="148"/>
      <c r="T1013"/>
      <c r="U1013"/>
    </row>
    <row r="1014" spans="1:21" x14ac:dyDescent="0.2">
      <c r="A1014" s="73"/>
      <c r="B1014" s="73"/>
      <c r="C1014" s="74"/>
      <c r="D1014" s="75"/>
      <c r="E1014" s="85"/>
      <c r="F1014" s="161"/>
      <c r="G1014" s="76"/>
      <c r="H1014" s="87"/>
      <c r="I1014" s="75"/>
      <c r="J1014" s="75"/>
      <c r="K1014" s="75"/>
      <c r="L1014" s="88"/>
      <c r="M1014" s="77"/>
      <c r="N1014" s="77"/>
      <c r="O1014" s="78"/>
      <c r="S1014" s="148"/>
      <c r="T1014"/>
      <c r="U1014"/>
    </row>
    <row r="1015" spans="1:21" x14ac:dyDescent="0.2">
      <c r="A1015" s="73"/>
      <c r="B1015" s="73"/>
      <c r="C1015" s="74"/>
      <c r="D1015" s="75"/>
      <c r="E1015" s="85"/>
      <c r="F1015" s="161"/>
      <c r="G1015" s="76"/>
      <c r="H1015" s="87"/>
      <c r="I1015" s="75"/>
      <c r="J1015" s="75"/>
      <c r="K1015" s="75"/>
      <c r="L1015" s="88"/>
      <c r="M1015" s="77"/>
      <c r="N1015" s="77"/>
      <c r="O1015" s="78"/>
      <c r="S1015" s="148"/>
      <c r="T1015"/>
      <c r="U1015"/>
    </row>
    <row r="1016" spans="1:21" x14ac:dyDescent="0.2">
      <c r="A1016" s="73"/>
      <c r="B1016" s="73"/>
      <c r="C1016" s="74"/>
      <c r="D1016" s="75"/>
      <c r="E1016" s="85"/>
      <c r="F1016" s="161"/>
      <c r="G1016" s="76"/>
      <c r="H1016" s="87"/>
      <c r="I1016" s="75"/>
      <c r="J1016" s="75"/>
      <c r="K1016" s="75"/>
      <c r="L1016" s="88"/>
      <c r="M1016" s="77"/>
      <c r="N1016" s="77"/>
      <c r="O1016" s="78"/>
      <c r="S1016" s="148"/>
      <c r="T1016"/>
      <c r="U1016"/>
    </row>
    <row r="1017" spans="1:21" x14ac:dyDescent="0.2">
      <c r="A1017" s="73"/>
      <c r="B1017" s="73"/>
      <c r="C1017" s="74"/>
      <c r="D1017" s="75"/>
      <c r="E1017" s="85"/>
      <c r="F1017" s="161"/>
      <c r="G1017" s="76"/>
      <c r="H1017" s="87"/>
      <c r="I1017" s="75"/>
      <c r="J1017" s="75"/>
      <c r="K1017" s="75"/>
      <c r="L1017" s="88"/>
      <c r="M1017" s="77"/>
      <c r="N1017" s="77"/>
      <c r="O1017" s="78"/>
      <c r="S1017" s="148"/>
      <c r="T1017"/>
      <c r="U1017"/>
    </row>
    <row r="1018" spans="1:21" x14ac:dyDescent="0.2">
      <c r="A1018" s="73"/>
      <c r="B1018" s="73"/>
      <c r="C1018" s="74"/>
      <c r="D1018" s="75"/>
      <c r="E1018" s="85"/>
      <c r="F1018" s="161"/>
      <c r="G1018" s="76"/>
      <c r="H1018" s="87"/>
      <c r="I1018" s="75"/>
      <c r="J1018" s="75"/>
      <c r="K1018" s="75"/>
      <c r="L1018" s="88"/>
      <c r="M1018" s="77"/>
      <c r="N1018" s="77"/>
      <c r="O1018" s="78"/>
      <c r="S1018" s="148"/>
      <c r="T1018"/>
      <c r="U1018"/>
    </row>
    <row r="1019" spans="1:21" x14ac:dyDescent="0.2">
      <c r="A1019" s="73"/>
      <c r="B1019" s="73"/>
      <c r="C1019" s="74"/>
      <c r="D1019" s="75"/>
      <c r="E1019" s="85"/>
      <c r="F1019" s="161"/>
      <c r="G1019" s="76"/>
      <c r="H1019" s="87"/>
      <c r="I1019" s="75"/>
      <c r="J1019" s="75"/>
      <c r="K1019" s="75"/>
      <c r="L1019" s="88"/>
      <c r="M1019" s="77"/>
      <c r="N1019" s="77"/>
      <c r="O1019" s="78"/>
      <c r="S1019" s="148"/>
      <c r="T1019"/>
      <c r="U1019"/>
    </row>
    <row r="1020" spans="1:21" x14ac:dyDescent="0.2">
      <c r="A1020" s="73"/>
      <c r="B1020" s="73"/>
      <c r="C1020" s="74"/>
      <c r="D1020" s="75"/>
      <c r="E1020" s="85"/>
      <c r="F1020" s="161"/>
      <c r="G1020" s="76"/>
      <c r="H1020" s="87"/>
      <c r="I1020" s="75"/>
      <c r="J1020" s="75"/>
      <c r="K1020" s="75"/>
      <c r="L1020" s="88"/>
      <c r="M1020" s="77"/>
      <c r="N1020" s="77"/>
      <c r="O1020" s="78"/>
      <c r="S1020" s="148"/>
      <c r="T1020"/>
      <c r="U1020"/>
    </row>
    <row r="1021" spans="1:21" x14ac:dyDescent="0.2">
      <c r="A1021" s="73"/>
      <c r="B1021" s="73"/>
      <c r="C1021" s="74"/>
      <c r="D1021" s="75"/>
      <c r="E1021" s="85"/>
      <c r="F1021" s="161"/>
      <c r="G1021" s="76"/>
      <c r="H1021" s="87"/>
      <c r="I1021" s="75"/>
      <c r="J1021" s="75"/>
      <c r="K1021" s="75"/>
      <c r="L1021" s="88"/>
      <c r="M1021" s="77"/>
      <c r="N1021" s="77"/>
      <c r="O1021" s="78"/>
      <c r="S1021" s="148"/>
      <c r="T1021"/>
      <c r="U1021"/>
    </row>
    <row r="1022" spans="1:21" x14ac:dyDescent="0.2">
      <c r="A1022" s="73"/>
      <c r="B1022" s="73"/>
      <c r="C1022" s="74"/>
      <c r="D1022" s="75"/>
      <c r="E1022" s="85"/>
      <c r="F1022" s="161"/>
      <c r="G1022" s="76"/>
      <c r="H1022" s="87"/>
      <c r="I1022" s="75"/>
      <c r="J1022" s="75"/>
      <c r="K1022" s="75"/>
      <c r="L1022" s="88"/>
      <c r="M1022" s="77"/>
      <c r="N1022" s="77"/>
      <c r="O1022" s="78"/>
      <c r="S1022" s="148"/>
      <c r="T1022"/>
      <c r="U1022"/>
    </row>
    <row r="1023" spans="1:21" x14ac:dyDescent="0.2">
      <c r="A1023" s="73"/>
      <c r="B1023" s="73"/>
      <c r="C1023" s="74"/>
      <c r="D1023" s="75"/>
      <c r="E1023" s="85"/>
      <c r="F1023" s="161"/>
      <c r="G1023" s="76"/>
      <c r="H1023" s="87"/>
      <c r="I1023" s="75"/>
      <c r="J1023" s="75"/>
      <c r="K1023" s="75"/>
      <c r="L1023" s="88"/>
      <c r="M1023" s="77"/>
      <c r="N1023" s="77"/>
      <c r="O1023" s="78"/>
      <c r="S1023" s="148"/>
      <c r="T1023"/>
      <c r="U1023"/>
    </row>
    <row r="1024" spans="1:21" x14ac:dyDescent="0.2">
      <c r="A1024" s="73"/>
      <c r="B1024" s="73"/>
      <c r="C1024" s="74"/>
      <c r="D1024" s="75"/>
      <c r="E1024" s="85"/>
      <c r="F1024" s="161"/>
      <c r="G1024" s="76"/>
      <c r="H1024" s="87"/>
      <c r="I1024" s="75"/>
      <c r="J1024" s="75"/>
      <c r="K1024" s="75"/>
      <c r="L1024" s="88"/>
      <c r="M1024" s="77"/>
      <c r="N1024" s="77"/>
      <c r="O1024" s="78"/>
      <c r="S1024" s="148"/>
      <c r="T1024"/>
      <c r="U1024"/>
    </row>
    <row r="1025" spans="1:21" x14ac:dyDescent="0.2">
      <c r="A1025" s="73"/>
      <c r="B1025" s="73"/>
      <c r="C1025" s="74"/>
      <c r="D1025" s="75"/>
      <c r="E1025" s="85"/>
      <c r="F1025" s="161"/>
      <c r="G1025" s="76"/>
      <c r="H1025" s="87"/>
      <c r="I1025" s="75"/>
      <c r="J1025" s="75"/>
      <c r="K1025" s="75"/>
      <c r="L1025" s="88"/>
      <c r="M1025" s="77"/>
      <c r="N1025" s="77"/>
      <c r="O1025" s="78"/>
      <c r="S1025" s="148"/>
      <c r="T1025"/>
      <c r="U1025"/>
    </row>
    <row r="1026" spans="1:21" x14ac:dyDescent="0.2">
      <c r="A1026" s="73"/>
      <c r="B1026" s="73"/>
      <c r="C1026" s="74"/>
      <c r="D1026" s="75"/>
      <c r="E1026" s="85"/>
      <c r="F1026" s="161"/>
      <c r="G1026" s="76"/>
      <c r="H1026" s="87"/>
      <c r="I1026" s="75"/>
      <c r="J1026" s="75"/>
      <c r="K1026" s="75"/>
      <c r="L1026" s="88"/>
      <c r="M1026" s="77"/>
      <c r="N1026" s="77"/>
      <c r="O1026" s="78"/>
      <c r="S1026" s="148"/>
      <c r="T1026"/>
      <c r="U1026"/>
    </row>
    <row r="1027" spans="1:21" x14ac:dyDescent="0.2">
      <c r="A1027" s="73"/>
      <c r="B1027" s="73"/>
      <c r="C1027" s="74"/>
      <c r="D1027" s="75"/>
      <c r="E1027" s="85"/>
      <c r="F1027" s="161"/>
      <c r="G1027" s="76"/>
      <c r="H1027" s="87"/>
      <c r="I1027" s="75"/>
      <c r="J1027" s="75"/>
      <c r="K1027" s="75"/>
      <c r="L1027" s="88"/>
      <c r="M1027" s="77"/>
      <c r="N1027" s="77"/>
      <c r="O1027" s="78"/>
      <c r="S1027" s="148"/>
      <c r="T1027"/>
      <c r="U1027"/>
    </row>
    <row r="1028" spans="1:21" x14ac:dyDescent="0.2">
      <c r="A1028" s="73"/>
      <c r="B1028" s="73"/>
      <c r="C1028" s="74"/>
      <c r="D1028" s="75"/>
      <c r="E1028" s="85"/>
      <c r="F1028" s="161"/>
      <c r="G1028" s="76"/>
      <c r="H1028" s="87"/>
      <c r="I1028" s="75"/>
      <c r="J1028" s="75"/>
      <c r="K1028" s="75"/>
      <c r="L1028" s="88"/>
      <c r="M1028" s="77"/>
      <c r="N1028" s="77"/>
      <c r="O1028" s="78"/>
      <c r="S1028" s="148"/>
      <c r="T1028"/>
      <c r="U1028"/>
    </row>
    <row r="1029" spans="1:21" x14ac:dyDescent="0.2">
      <c r="A1029" s="73"/>
      <c r="B1029" s="73"/>
      <c r="C1029" s="74"/>
      <c r="D1029" s="75"/>
      <c r="E1029" s="85"/>
      <c r="F1029" s="161"/>
      <c r="G1029" s="76"/>
      <c r="H1029" s="87"/>
      <c r="I1029" s="75"/>
      <c r="J1029" s="75"/>
      <c r="K1029" s="75"/>
      <c r="L1029" s="88"/>
      <c r="M1029" s="77"/>
      <c r="N1029" s="77"/>
      <c r="O1029" s="78"/>
      <c r="S1029" s="148"/>
      <c r="T1029"/>
      <c r="U1029"/>
    </row>
    <row r="1030" spans="1:21" x14ac:dyDescent="0.2">
      <c r="A1030" s="73"/>
      <c r="B1030" s="73"/>
      <c r="C1030" s="74"/>
      <c r="D1030" s="75"/>
      <c r="E1030" s="85"/>
      <c r="F1030" s="161"/>
      <c r="G1030" s="76"/>
      <c r="H1030" s="87"/>
      <c r="I1030" s="75"/>
      <c r="J1030" s="75"/>
      <c r="K1030" s="75"/>
      <c r="L1030" s="88"/>
      <c r="M1030" s="77"/>
      <c r="N1030" s="77"/>
      <c r="O1030" s="78"/>
      <c r="S1030" s="148"/>
      <c r="T1030"/>
      <c r="U1030"/>
    </row>
    <row r="1031" spans="1:21" x14ac:dyDescent="0.2">
      <c r="A1031" s="73"/>
      <c r="B1031" s="73"/>
      <c r="C1031" s="74"/>
      <c r="D1031" s="75"/>
      <c r="E1031" s="85"/>
      <c r="F1031" s="161"/>
      <c r="G1031" s="76"/>
      <c r="H1031" s="87"/>
      <c r="I1031" s="75"/>
      <c r="J1031" s="75"/>
      <c r="K1031" s="75"/>
      <c r="L1031" s="88"/>
      <c r="M1031" s="77"/>
      <c r="N1031" s="77"/>
      <c r="O1031" s="78"/>
      <c r="S1031" s="148"/>
      <c r="T1031"/>
      <c r="U1031"/>
    </row>
    <row r="1032" spans="1:21" x14ac:dyDescent="0.2">
      <c r="A1032" s="73"/>
      <c r="B1032" s="73"/>
      <c r="C1032" s="74"/>
      <c r="D1032" s="75"/>
      <c r="E1032" s="85"/>
      <c r="F1032" s="161"/>
      <c r="G1032" s="76"/>
      <c r="H1032" s="87"/>
      <c r="I1032" s="75"/>
      <c r="J1032" s="75"/>
      <c r="K1032" s="75"/>
      <c r="L1032" s="88"/>
      <c r="M1032" s="77"/>
      <c r="N1032" s="77"/>
      <c r="O1032" s="78"/>
      <c r="S1032" s="148"/>
      <c r="T1032"/>
      <c r="U1032"/>
    </row>
    <row r="1033" spans="1:21" x14ac:dyDescent="0.2">
      <c r="A1033" s="73"/>
      <c r="B1033" s="73"/>
      <c r="C1033" s="74"/>
      <c r="D1033" s="75"/>
      <c r="E1033" s="85"/>
      <c r="F1033" s="161"/>
      <c r="G1033" s="76"/>
      <c r="H1033" s="87"/>
      <c r="I1033" s="75"/>
      <c r="J1033" s="75"/>
      <c r="K1033" s="75"/>
      <c r="L1033" s="88"/>
      <c r="M1033" s="77"/>
      <c r="N1033" s="77"/>
      <c r="O1033" s="78"/>
      <c r="S1033" s="148"/>
      <c r="T1033"/>
      <c r="U1033"/>
    </row>
    <row r="1034" spans="1:21" x14ac:dyDescent="0.2">
      <c r="A1034" s="73"/>
      <c r="B1034" s="73"/>
      <c r="C1034" s="74"/>
      <c r="D1034" s="75"/>
      <c r="E1034" s="85"/>
      <c r="F1034" s="161"/>
      <c r="G1034" s="76"/>
      <c r="H1034" s="87"/>
      <c r="I1034" s="75"/>
      <c r="J1034" s="75"/>
      <c r="K1034" s="75"/>
      <c r="L1034" s="88"/>
      <c r="M1034" s="77"/>
      <c r="N1034" s="77"/>
      <c r="O1034" s="78"/>
      <c r="S1034" s="148"/>
      <c r="T1034"/>
      <c r="U1034"/>
    </row>
    <row r="1035" spans="1:21" x14ac:dyDescent="0.2">
      <c r="A1035" s="73"/>
      <c r="B1035" s="73"/>
      <c r="C1035" s="74"/>
      <c r="D1035" s="75"/>
      <c r="E1035" s="85"/>
      <c r="F1035" s="161"/>
      <c r="G1035" s="76"/>
      <c r="H1035" s="87"/>
      <c r="I1035" s="75"/>
      <c r="J1035" s="75"/>
      <c r="K1035" s="75"/>
      <c r="L1035" s="88"/>
      <c r="M1035" s="77"/>
      <c r="N1035" s="77"/>
      <c r="O1035" s="78"/>
      <c r="S1035" s="148"/>
      <c r="T1035"/>
      <c r="U1035"/>
    </row>
    <row r="1036" spans="1:21" x14ac:dyDescent="0.2">
      <c r="A1036" s="73"/>
      <c r="B1036" s="73"/>
      <c r="C1036" s="74"/>
      <c r="D1036" s="75"/>
      <c r="E1036" s="85"/>
      <c r="F1036" s="161"/>
      <c r="G1036" s="76"/>
      <c r="H1036" s="87"/>
      <c r="I1036" s="75"/>
      <c r="J1036" s="75"/>
      <c r="K1036" s="75"/>
      <c r="L1036" s="88"/>
      <c r="M1036" s="77"/>
      <c r="N1036" s="77"/>
      <c r="O1036" s="78"/>
      <c r="S1036" s="148"/>
      <c r="T1036"/>
      <c r="U1036"/>
    </row>
    <row r="1037" spans="1:21" x14ac:dyDescent="0.2">
      <c r="A1037" s="73"/>
      <c r="B1037" s="73"/>
      <c r="C1037" s="74"/>
      <c r="D1037" s="75"/>
      <c r="E1037" s="85"/>
      <c r="F1037" s="161"/>
      <c r="G1037" s="76"/>
      <c r="H1037" s="87"/>
      <c r="I1037" s="75"/>
      <c r="J1037" s="75"/>
      <c r="K1037" s="75"/>
      <c r="L1037" s="88"/>
      <c r="M1037" s="77"/>
      <c r="N1037" s="77"/>
      <c r="O1037" s="78"/>
      <c r="S1037" s="148"/>
      <c r="T1037"/>
      <c r="U1037"/>
    </row>
    <row r="1038" spans="1:21" x14ac:dyDescent="0.2">
      <c r="A1038" s="73"/>
      <c r="B1038" s="73"/>
      <c r="C1038" s="74"/>
      <c r="D1038" s="75"/>
      <c r="E1038" s="85"/>
      <c r="F1038" s="161"/>
      <c r="G1038" s="76"/>
      <c r="H1038" s="87"/>
      <c r="I1038" s="75"/>
      <c r="J1038" s="75"/>
      <c r="K1038" s="75"/>
      <c r="L1038" s="88"/>
      <c r="M1038" s="77"/>
      <c r="N1038" s="77"/>
      <c r="O1038" s="78"/>
      <c r="S1038" s="148"/>
      <c r="T1038"/>
      <c r="U1038"/>
    </row>
    <row r="1039" spans="1:21" x14ac:dyDescent="0.2">
      <c r="A1039" s="73"/>
      <c r="B1039" s="73"/>
      <c r="C1039" s="74"/>
      <c r="D1039" s="75"/>
      <c r="E1039" s="85"/>
      <c r="F1039" s="161"/>
      <c r="G1039" s="76"/>
      <c r="H1039" s="87"/>
      <c r="I1039" s="75"/>
      <c r="J1039" s="75"/>
      <c r="K1039" s="75"/>
      <c r="L1039" s="88"/>
      <c r="M1039" s="77"/>
      <c r="N1039" s="77"/>
      <c r="O1039" s="78"/>
      <c r="S1039" s="148"/>
      <c r="T1039"/>
      <c r="U1039"/>
    </row>
    <row r="1040" spans="1:21" x14ac:dyDescent="0.2">
      <c r="A1040" s="73"/>
      <c r="B1040" s="73"/>
      <c r="C1040" s="74"/>
      <c r="D1040" s="75"/>
      <c r="E1040" s="85"/>
      <c r="F1040" s="161"/>
      <c r="G1040" s="76"/>
      <c r="H1040" s="87"/>
      <c r="I1040" s="75"/>
      <c r="J1040" s="75"/>
      <c r="K1040" s="75"/>
      <c r="L1040" s="88"/>
      <c r="M1040" s="77"/>
      <c r="N1040" s="77"/>
      <c r="O1040" s="78"/>
      <c r="S1040" s="148"/>
      <c r="T1040"/>
      <c r="U1040"/>
    </row>
    <row r="1041" spans="1:21" x14ac:dyDescent="0.2">
      <c r="A1041" s="73"/>
      <c r="B1041" s="73"/>
      <c r="C1041" s="74"/>
      <c r="D1041" s="75"/>
      <c r="E1041" s="85"/>
      <c r="F1041" s="161"/>
      <c r="G1041" s="76"/>
      <c r="H1041" s="87"/>
      <c r="I1041" s="75"/>
      <c r="J1041" s="75"/>
      <c r="K1041" s="75"/>
      <c r="L1041" s="88"/>
      <c r="M1041" s="77"/>
      <c r="N1041" s="77"/>
      <c r="O1041" s="78"/>
      <c r="S1041" s="148"/>
      <c r="T1041"/>
      <c r="U1041"/>
    </row>
    <row r="1042" spans="1:21" x14ac:dyDescent="0.2">
      <c r="A1042" s="73"/>
      <c r="B1042" s="73"/>
      <c r="C1042" s="74"/>
      <c r="D1042" s="75"/>
      <c r="E1042" s="85"/>
      <c r="F1042" s="161"/>
      <c r="G1042" s="76"/>
      <c r="H1042" s="87"/>
      <c r="I1042" s="75"/>
      <c r="J1042" s="75"/>
      <c r="K1042" s="75"/>
      <c r="L1042" s="88"/>
      <c r="M1042" s="77"/>
      <c r="N1042" s="77"/>
      <c r="O1042" s="78"/>
      <c r="S1042" s="148"/>
      <c r="T1042"/>
      <c r="U1042"/>
    </row>
    <row r="1043" spans="1:21" x14ac:dyDescent="0.2">
      <c r="A1043" s="73"/>
      <c r="B1043" s="73"/>
      <c r="C1043" s="74"/>
      <c r="D1043" s="75"/>
      <c r="E1043" s="85"/>
      <c r="F1043" s="161"/>
      <c r="G1043" s="76"/>
      <c r="H1043" s="87"/>
      <c r="I1043" s="75"/>
      <c r="J1043" s="75"/>
      <c r="K1043" s="75"/>
      <c r="L1043" s="88"/>
      <c r="M1043" s="77"/>
      <c r="N1043" s="77"/>
      <c r="O1043" s="78"/>
      <c r="S1043" s="148"/>
      <c r="T1043"/>
      <c r="U1043"/>
    </row>
    <row r="1044" spans="1:21" x14ac:dyDescent="0.2">
      <c r="A1044" s="73"/>
      <c r="B1044" s="73"/>
      <c r="C1044" s="74"/>
      <c r="D1044" s="75"/>
      <c r="E1044" s="85"/>
      <c r="F1044" s="161"/>
      <c r="G1044" s="76"/>
      <c r="H1044" s="87"/>
      <c r="I1044" s="75"/>
      <c r="J1044" s="75"/>
      <c r="K1044" s="75"/>
      <c r="L1044" s="88"/>
      <c r="M1044" s="77"/>
      <c r="N1044" s="77"/>
      <c r="O1044" s="78"/>
      <c r="S1044" s="148"/>
      <c r="T1044"/>
      <c r="U1044"/>
    </row>
    <row r="1045" spans="1:21" x14ac:dyDescent="0.2">
      <c r="A1045" s="73"/>
      <c r="B1045" s="73"/>
      <c r="C1045" s="74"/>
      <c r="D1045" s="75"/>
      <c r="E1045" s="85"/>
      <c r="F1045" s="161"/>
      <c r="G1045" s="76"/>
      <c r="H1045" s="87"/>
      <c r="I1045" s="75"/>
      <c r="J1045" s="75"/>
      <c r="K1045" s="75"/>
      <c r="L1045" s="88"/>
      <c r="M1045" s="77"/>
      <c r="N1045" s="77"/>
      <c r="O1045" s="78"/>
      <c r="S1045" s="148"/>
      <c r="T1045"/>
      <c r="U1045"/>
    </row>
    <row r="1046" spans="1:21" x14ac:dyDescent="0.2">
      <c r="A1046" s="73"/>
      <c r="B1046" s="73"/>
      <c r="C1046" s="74"/>
      <c r="D1046" s="75"/>
      <c r="E1046" s="85"/>
      <c r="F1046" s="161"/>
      <c r="G1046" s="76"/>
      <c r="H1046" s="87"/>
      <c r="I1046" s="75"/>
      <c r="J1046" s="75"/>
      <c r="K1046" s="75"/>
      <c r="L1046" s="88"/>
      <c r="M1046" s="77"/>
      <c r="N1046" s="77"/>
      <c r="O1046" s="78"/>
      <c r="S1046" s="148"/>
      <c r="T1046"/>
      <c r="U1046"/>
    </row>
    <row r="1047" spans="1:21" x14ac:dyDescent="0.2">
      <c r="A1047" s="73"/>
      <c r="B1047" s="73"/>
      <c r="C1047" s="74"/>
      <c r="D1047" s="75"/>
      <c r="E1047" s="85"/>
      <c r="F1047" s="161"/>
      <c r="G1047" s="76"/>
      <c r="H1047" s="87"/>
      <c r="I1047" s="75"/>
      <c r="J1047" s="75"/>
      <c r="K1047" s="75"/>
      <c r="L1047" s="88"/>
      <c r="M1047" s="77"/>
      <c r="N1047" s="77"/>
      <c r="O1047" s="78"/>
      <c r="S1047" s="148"/>
      <c r="T1047"/>
      <c r="U1047"/>
    </row>
    <row r="1048" spans="1:21" x14ac:dyDescent="0.2">
      <c r="A1048" s="73"/>
      <c r="B1048" s="73"/>
      <c r="C1048" s="74"/>
      <c r="D1048" s="75"/>
      <c r="E1048" s="85"/>
      <c r="F1048" s="161"/>
      <c r="G1048" s="76"/>
      <c r="H1048" s="87"/>
      <c r="I1048" s="75"/>
      <c r="J1048" s="75"/>
      <c r="K1048" s="75"/>
      <c r="L1048" s="88"/>
      <c r="M1048" s="77"/>
      <c r="N1048" s="77"/>
      <c r="O1048" s="78"/>
      <c r="S1048" s="148"/>
      <c r="T1048"/>
      <c r="U1048"/>
    </row>
    <row r="1049" spans="1:21" x14ac:dyDescent="0.2">
      <c r="A1049" s="73"/>
      <c r="B1049" s="73"/>
      <c r="C1049" s="74"/>
      <c r="D1049" s="75"/>
      <c r="E1049" s="85"/>
      <c r="F1049" s="161"/>
      <c r="G1049" s="76"/>
      <c r="H1049" s="87"/>
      <c r="I1049" s="75"/>
      <c r="J1049" s="75"/>
      <c r="K1049" s="75"/>
      <c r="L1049" s="88"/>
      <c r="M1049" s="77"/>
      <c r="N1049" s="77"/>
      <c r="O1049" s="78"/>
      <c r="S1049" s="148"/>
      <c r="T1049"/>
      <c r="U1049"/>
    </row>
    <row r="1050" spans="1:21" x14ac:dyDescent="0.2">
      <c r="A1050" s="73"/>
      <c r="B1050" s="73"/>
      <c r="C1050" s="74"/>
      <c r="D1050" s="75"/>
      <c r="E1050" s="85"/>
      <c r="F1050" s="161"/>
      <c r="G1050" s="76"/>
      <c r="H1050" s="87"/>
      <c r="I1050" s="75"/>
      <c r="J1050" s="75"/>
      <c r="K1050" s="75"/>
      <c r="L1050" s="88"/>
      <c r="M1050" s="77"/>
      <c r="N1050" s="77"/>
      <c r="O1050" s="78"/>
      <c r="S1050" s="148"/>
      <c r="T1050"/>
      <c r="U1050"/>
    </row>
    <row r="1051" spans="1:21" x14ac:dyDescent="0.2">
      <c r="A1051" s="73"/>
      <c r="B1051" s="73"/>
      <c r="C1051" s="74"/>
      <c r="D1051" s="75"/>
      <c r="E1051" s="85"/>
      <c r="F1051" s="161"/>
      <c r="G1051" s="76"/>
      <c r="H1051" s="87"/>
      <c r="I1051" s="75"/>
      <c r="J1051" s="75"/>
      <c r="K1051" s="75"/>
      <c r="L1051" s="88"/>
      <c r="M1051" s="77"/>
      <c r="N1051" s="77"/>
      <c r="O1051" s="78"/>
      <c r="S1051" s="148"/>
      <c r="T1051"/>
      <c r="U1051"/>
    </row>
    <row r="1052" spans="1:21" x14ac:dyDescent="0.2">
      <c r="A1052" s="73"/>
      <c r="B1052" s="73"/>
      <c r="C1052" s="74"/>
      <c r="D1052" s="75"/>
      <c r="E1052" s="85"/>
      <c r="F1052" s="161"/>
      <c r="G1052" s="76"/>
      <c r="H1052" s="87"/>
      <c r="I1052" s="75"/>
      <c r="J1052" s="75"/>
      <c r="K1052" s="75"/>
      <c r="L1052" s="163"/>
      <c r="M1052" s="77"/>
      <c r="N1052" s="77"/>
      <c r="O1052" s="78"/>
      <c r="S1052" s="148"/>
      <c r="T1052"/>
      <c r="U1052"/>
    </row>
    <row r="1053" spans="1:21" x14ac:dyDescent="0.2">
      <c r="A1053" s="73"/>
      <c r="B1053" s="73"/>
      <c r="C1053" s="74"/>
      <c r="D1053" s="75"/>
      <c r="E1053" s="85"/>
      <c r="F1053" s="161"/>
      <c r="G1053" s="76"/>
      <c r="H1053" s="87"/>
      <c r="I1053" s="75"/>
      <c r="J1053" s="75"/>
      <c r="K1053" s="75"/>
      <c r="L1053" s="88"/>
      <c r="M1053" s="77"/>
      <c r="N1053" s="77"/>
      <c r="O1053" s="78"/>
      <c r="S1053" s="148"/>
      <c r="T1053"/>
      <c r="U1053"/>
    </row>
    <row r="1054" spans="1:21" x14ac:dyDescent="0.2">
      <c r="A1054" s="73"/>
      <c r="B1054" s="73"/>
      <c r="C1054" s="74"/>
      <c r="D1054" s="75"/>
      <c r="E1054" s="85"/>
      <c r="F1054" s="161"/>
      <c r="G1054" s="76"/>
      <c r="H1054" s="87"/>
      <c r="I1054" s="75"/>
      <c r="J1054" s="75"/>
      <c r="K1054" s="75"/>
      <c r="L1054" s="88"/>
      <c r="M1054" s="77"/>
      <c r="N1054" s="77"/>
      <c r="O1054" s="78"/>
      <c r="S1054" s="148"/>
      <c r="T1054"/>
      <c r="U1054"/>
    </row>
    <row r="1055" spans="1:21" x14ac:dyDescent="0.2">
      <c r="A1055" s="73"/>
      <c r="B1055" s="73"/>
      <c r="C1055" s="74"/>
      <c r="D1055" s="75"/>
      <c r="E1055" s="85"/>
      <c r="F1055" s="161"/>
      <c r="G1055" s="76"/>
      <c r="H1055" s="87"/>
      <c r="I1055" s="75"/>
      <c r="J1055" s="75"/>
      <c r="K1055" s="75"/>
      <c r="L1055" s="88"/>
      <c r="M1055" s="77"/>
      <c r="N1055" s="77"/>
      <c r="O1055" s="78"/>
      <c r="S1055" s="148"/>
      <c r="T1055"/>
      <c r="U1055"/>
    </row>
    <row r="1056" spans="1:21" x14ac:dyDescent="0.2">
      <c r="A1056" s="73"/>
      <c r="B1056" s="73"/>
      <c r="C1056" s="74"/>
      <c r="D1056" s="75"/>
      <c r="E1056" s="85"/>
      <c r="F1056" s="161"/>
      <c r="G1056" s="76"/>
      <c r="H1056" s="87"/>
      <c r="I1056" s="75"/>
      <c r="J1056" s="75"/>
      <c r="K1056" s="75"/>
      <c r="L1056" s="88"/>
      <c r="M1056" s="77"/>
      <c r="N1056" s="77"/>
      <c r="O1056" s="78"/>
      <c r="S1056" s="148"/>
      <c r="T1056"/>
      <c r="U1056"/>
    </row>
    <row r="1057" spans="1:21" x14ac:dyDescent="0.2">
      <c r="A1057" s="73"/>
      <c r="B1057" s="73"/>
      <c r="C1057" s="74"/>
      <c r="D1057" s="75"/>
      <c r="E1057" s="85"/>
      <c r="F1057" s="161"/>
      <c r="G1057" s="76"/>
      <c r="H1057" s="87"/>
      <c r="I1057" s="75"/>
      <c r="J1057" s="75"/>
      <c r="K1057" s="75"/>
      <c r="L1057" s="88"/>
      <c r="M1057" s="77"/>
      <c r="N1057" s="77"/>
      <c r="O1057" s="78"/>
      <c r="S1057" s="148"/>
      <c r="T1057"/>
      <c r="U1057"/>
    </row>
    <row r="1058" spans="1:21" x14ac:dyDescent="0.2">
      <c r="A1058" s="73"/>
      <c r="B1058" s="73"/>
      <c r="C1058" s="74"/>
      <c r="D1058" s="75"/>
      <c r="E1058" s="85"/>
      <c r="F1058" s="161"/>
      <c r="G1058" s="76"/>
      <c r="H1058" s="87"/>
      <c r="I1058" s="75"/>
      <c r="J1058" s="75"/>
      <c r="K1058" s="75"/>
      <c r="L1058" s="163"/>
      <c r="M1058" s="77"/>
      <c r="N1058" s="77"/>
      <c r="O1058" s="78"/>
      <c r="S1058" s="148"/>
      <c r="T1058"/>
      <c r="U1058"/>
    </row>
    <row r="1059" spans="1:21" x14ac:dyDescent="0.2">
      <c r="A1059" s="73"/>
      <c r="B1059" s="73"/>
      <c r="C1059" s="74"/>
      <c r="D1059" s="75"/>
      <c r="E1059" s="85"/>
      <c r="F1059" s="161"/>
      <c r="G1059" s="76"/>
      <c r="H1059" s="87"/>
      <c r="I1059" s="75"/>
      <c r="J1059" s="75"/>
      <c r="K1059" s="75"/>
      <c r="L1059" s="88"/>
      <c r="M1059" s="77"/>
      <c r="N1059" s="77"/>
      <c r="O1059" s="78"/>
      <c r="S1059" s="148"/>
      <c r="T1059"/>
      <c r="U1059"/>
    </row>
    <row r="1060" spans="1:21" x14ac:dyDescent="0.2">
      <c r="A1060" s="73"/>
      <c r="B1060" s="73"/>
      <c r="C1060" s="74"/>
      <c r="D1060" s="75"/>
      <c r="E1060" s="85"/>
      <c r="F1060" s="161"/>
      <c r="G1060" s="76"/>
      <c r="H1060" s="87"/>
      <c r="I1060" s="75"/>
      <c r="J1060" s="75"/>
      <c r="K1060" s="75"/>
      <c r="L1060" s="88"/>
      <c r="M1060" s="77"/>
      <c r="N1060" s="77"/>
      <c r="O1060" s="78"/>
      <c r="S1060" s="148"/>
      <c r="T1060"/>
      <c r="U1060"/>
    </row>
    <row r="1061" spans="1:21" x14ac:dyDescent="0.2">
      <c r="A1061" s="73"/>
      <c r="B1061" s="73"/>
      <c r="C1061" s="74"/>
      <c r="D1061" s="75"/>
      <c r="E1061" s="85"/>
      <c r="F1061" s="161"/>
      <c r="G1061" s="76"/>
      <c r="H1061" s="87"/>
      <c r="I1061" s="75"/>
      <c r="J1061" s="75"/>
      <c r="K1061" s="75"/>
      <c r="L1061" s="88"/>
      <c r="M1061" s="77"/>
      <c r="N1061" s="77"/>
      <c r="O1061" s="78"/>
      <c r="S1061" s="148"/>
      <c r="T1061"/>
      <c r="U1061"/>
    </row>
    <row r="1062" spans="1:21" x14ac:dyDescent="0.2">
      <c r="A1062" s="73"/>
      <c r="B1062" s="73"/>
      <c r="C1062" s="74"/>
      <c r="D1062" s="75"/>
      <c r="E1062" s="85"/>
      <c r="F1062" s="161"/>
      <c r="G1062" s="76"/>
      <c r="H1062" s="87"/>
      <c r="I1062" s="75"/>
      <c r="J1062" s="75"/>
      <c r="K1062" s="75"/>
      <c r="L1062" s="88"/>
      <c r="M1062" s="77"/>
      <c r="N1062" s="77"/>
      <c r="O1062" s="78"/>
      <c r="S1062" s="148"/>
      <c r="T1062"/>
      <c r="U1062"/>
    </row>
    <row r="1063" spans="1:21" x14ac:dyDescent="0.2">
      <c r="A1063" s="73"/>
      <c r="B1063" s="73"/>
      <c r="C1063" s="74"/>
      <c r="D1063" s="75"/>
      <c r="E1063" s="85"/>
      <c r="F1063" s="161"/>
      <c r="G1063" s="76"/>
      <c r="H1063" s="87"/>
      <c r="I1063" s="75"/>
      <c r="J1063" s="75"/>
      <c r="K1063" s="75"/>
      <c r="L1063" s="88"/>
      <c r="M1063" s="77"/>
      <c r="N1063" s="77"/>
      <c r="O1063" s="78"/>
      <c r="S1063" s="148"/>
      <c r="T1063"/>
      <c r="U1063"/>
    </row>
    <row r="1064" spans="1:21" x14ac:dyDescent="0.2">
      <c r="A1064" s="73"/>
      <c r="B1064" s="73"/>
      <c r="C1064" s="74"/>
      <c r="D1064" s="75"/>
      <c r="E1064" s="85"/>
      <c r="F1064" s="161"/>
      <c r="G1064" s="76"/>
      <c r="H1064" s="87"/>
      <c r="I1064" s="75"/>
      <c r="J1064" s="75"/>
      <c r="K1064" s="75"/>
      <c r="L1064" s="88"/>
      <c r="M1064" s="77"/>
      <c r="N1064" s="77"/>
      <c r="O1064" s="78"/>
      <c r="S1064" s="148"/>
      <c r="T1064"/>
      <c r="U1064"/>
    </row>
    <row r="1065" spans="1:21" x14ac:dyDescent="0.2">
      <c r="A1065" s="73"/>
      <c r="B1065" s="73"/>
      <c r="C1065" s="74"/>
      <c r="D1065" s="75"/>
      <c r="E1065" s="85"/>
      <c r="F1065" s="161"/>
      <c r="G1065" s="76"/>
      <c r="H1065" s="87"/>
      <c r="I1065" s="75"/>
      <c r="J1065" s="75"/>
      <c r="K1065" s="75"/>
      <c r="L1065" s="88"/>
      <c r="M1065" s="77"/>
      <c r="N1065" s="77"/>
      <c r="O1065" s="78"/>
      <c r="S1065" s="148"/>
      <c r="T1065"/>
      <c r="U1065"/>
    </row>
    <row r="1066" spans="1:21" x14ac:dyDescent="0.2">
      <c r="A1066" s="73"/>
      <c r="B1066" s="73"/>
      <c r="C1066" s="74"/>
      <c r="D1066" s="75"/>
      <c r="E1066" s="85"/>
      <c r="F1066" s="161"/>
      <c r="G1066" s="76"/>
      <c r="H1066" s="87"/>
      <c r="I1066" s="75"/>
      <c r="J1066" s="75"/>
      <c r="K1066" s="75"/>
      <c r="L1066" s="88"/>
      <c r="M1066" s="77"/>
      <c r="N1066" s="77"/>
      <c r="O1066" s="78"/>
      <c r="S1066" s="148"/>
      <c r="T1066"/>
      <c r="U1066"/>
    </row>
    <row r="1067" spans="1:21" x14ac:dyDescent="0.2">
      <c r="A1067" s="73"/>
      <c r="B1067" s="73"/>
      <c r="C1067" s="74"/>
      <c r="D1067" s="75"/>
      <c r="E1067" s="85"/>
      <c r="F1067" s="161"/>
      <c r="G1067" s="76"/>
      <c r="H1067" s="87"/>
      <c r="I1067" s="75"/>
      <c r="J1067" s="75"/>
      <c r="K1067" s="75"/>
      <c r="L1067" s="88"/>
      <c r="M1067" s="77"/>
      <c r="N1067" s="77"/>
      <c r="O1067" s="78"/>
      <c r="S1067" s="148"/>
      <c r="T1067"/>
      <c r="U1067"/>
    </row>
    <row r="1068" spans="1:21" x14ac:dyDescent="0.2">
      <c r="A1068" s="73"/>
      <c r="B1068" s="73"/>
      <c r="C1068" s="74"/>
      <c r="D1068" s="75"/>
      <c r="E1068" s="85"/>
      <c r="F1068" s="161"/>
      <c r="G1068" s="76"/>
      <c r="H1068" s="87"/>
      <c r="I1068" s="75"/>
      <c r="J1068" s="75"/>
      <c r="K1068" s="75"/>
      <c r="L1068" s="88"/>
      <c r="M1068" s="77"/>
      <c r="N1068" s="77"/>
      <c r="O1068" s="78"/>
      <c r="S1068" s="148"/>
      <c r="T1068"/>
      <c r="U1068"/>
    </row>
    <row r="1069" spans="1:21" x14ac:dyDescent="0.2">
      <c r="A1069" s="73"/>
      <c r="B1069" s="73"/>
      <c r="C1069" s="74"/>
      <c r="D1069" s="75"/>
      <c r="E1069" s="85"/>
      <c r="F1069" s="161"/>
      <c r="G1069" s="76"/>
      <c r="H1069" s="87"/>
      <c r="I1069" s="75"/>
      <c r="J1069" s="75"/>
      <c r="K1069" s="75"/>
      <c r="L1069" s="88"/>
      <c r="M1069" s="77"/>
      <c r="N1069" s="77"/>
      <c r="O1069" s="78"/>
      <c r="S1069" s="148"/>
      <c r="T1069"/>
      <c r="U1069"/>
    </row>
    <row r="1070" spans="1:21" x14ac:dyDescent="0.2">
      <c r="A1070" s="73"/>
      <c r="B1070" s="73"/>
      <c r="C1070" s="74"/>
      <c r="D1070" s="75"/>
      <c r="E1070" s="85"/>
      <c r="F1070" s="161"/>
      <c r="G1070" s="76"/>
      <c r="H1070" s="87"/>
      <c r="I1070" s="75"/>
      <c r="J1070" s="75"/>
      <c r="K1070" s="75"/>
      <c r="L1070" s="88"/>
      <c r="M1070" s="77"/>
      <c r="N1070" s="77"/>
      <c r="O1070" s="78"/>
      <c r="S1070" s="148"/>
      <c r="T1070"/>
      <c r="U1070"/>
    </row>
    <row r="1071" spans="1:21" x14ac:dyDescent="0.2">
      <c r="A1071" s="73"/>
      <c r="B1071" s="73"/>
      <c r="C1071" s="74"/>
      <c r="D1071" s="75"/>
      <c r="E1071" s="85"/>
      <c r="F1071" s="161"/>
      <c r="G1071" s="76"/>
      <c r="H1071" s="87"/>
      <c r="I1071" s="75"/>
      <c r="J1071" s="75"/>
      <c r="K1071" s="75"/>
      <c r="L1071" s="88"/>
      <c r="M1071" s="77"/>
      <c r="N1071" s="77"/>
      <c r="O1071" s="78"/>
      <c r="S1071" s="148"/>
      <c r="T1071"/>
      <c r="U1071"/>
    </row>
    <row r="1072" spans="1:21" x14ac:dyDescent="0.2">
      <c r="A1072" s="73"/>
      <c r="B1072" s="73"/>
      <c r="C1072" s="74"/>
      <c r="D1072" s="75"/>
      <c r="E1072" s="85"/>
      <c r="F1072" s="161"/>
      <c r="G1072" s="76"/>
      <c r="H1072" s="87"/>
      <c r="I1072" s="75"/>
      <c r="J1072" s="75"/>
      <c r="K1072" s="75"/>
      <c r="L1072" s="88"/>
      <c r="M1072" s="77"/>
      <c r="N1072" s="77"/>
      <c r="O1072" s="78"/>
      <c r="S1072" s="148"/>
      <c r="T1072"/>
      <c r="U1072"/>
    </row>
    <row r="1073" spans="1:21" x14ac:dyDescent="0.2">
      <c r="A1073" s="73"/>
      <c r="B1073" s="73"/>
      <c r="C1073" s="74"/>
      <c r="D1073" s="75"/>
      <c r="E1073" s="85"/>
      <c r="F1073" s="161"/>
      <c r="G1073" s="76"/>
      <c r="H1073" s="87"/>
      <c r="I1073" s="75"/>
      <c r="J1073" s="75"/>
      <c r="K1073" s="75"/>
      <c r="L1073" s="88"/>
      <c r="M1073" s="77"/>
      <c r="N1073" s="77"/>
      <c r="O1073" s="78"/>
      <c r="S1073" s="148"/>
      <c r="T1073"/>
      <c r="U1073"/>
    </row>
    <row r="1074" spans="1:21" x14ac:dyDescent="0.2">
      <c r="A1074" s="73"/>
      <c r="B1074" s="73"/>
      <c r="C1074" s="74"/>
      <c r="D1074" s="75"/>
      <c r="E1074" s="85"/>
      <c r="F1074" s="161"/>
      <c r="G1074" s="76"/>
      <c r="H1074" s="87"/>
      <c r="I1074" s="75"/>
      <c r="J1074" s="75"/>
      <c r="K1074" s="75"/>
      <c r="L1074" s="88"/>
      <c r="M1074" s="77"/>
      <c r="N1074" s="77"/>
      <c r="O1074" s="78"/>
      <c r="S1074" s="148"/>
      <c r="T1074"/>
      <c r="U1074"/>
    </row>
    <row r="1075" spans="1:21" x14ac:dyDescent="0.2">
      <c r="A1075" s="73"/>
      <c r="B1075" s="73"/>
      <c r="C1075" s="74"/>
      <c r="D1075" s="75"/>
      <c r="E1075" s="85"/>
      <c r="F1075" s="161"/>
      <c r="G1075" s="76"/>
      <c r="H1075" s="87"/>
      <c r="I1075" s="75"/>
      <c r="J1075" s="75"/>
      <c r="K1075" s="75"/>
      <c r="L1075" s="88"/>
      <c r="M1075" s="77"/>
      <c r="N1075" s="77"/>
      <c r="O1075" s="78"/>
      <c r="S1075" s="148"/>
      <c r="T1075"/>
      <c r="U1075"/>
    </row>
    <row r="1076" spans="1:21" x14ac:dyDescent="0.2">
      <c r="A1076" s="73"/>
      <c r="B1076" s="73"/>
      <c r="C1076" s="74"/>
      <c r="D1076" s="75"/>
      <c r="E1076" s="85"/>
      <c r="F1076" s="161"/>
      <c r="G1076" s="76"/>
      <c r="H1076" s="87"/>
      <c r="I1076" s="75"/>
      <c r="J1076" s="75"/>
      <c r="K1076" s="75"/>
      <c r="L1076" s="88"/>
      <c r="M1076" s="77"/>
      <c r="N1076" s="77"/>
      <c r="O1076" s="78"/>
      <c r="S1076" s="148"/>
      <c r="T1076"/>
      <c r="U1076"/>
    </row>
    <row r="1077" spans="1:21" x14ac:dyDescent="0.2">
      <c r="A1077" s="73"/>
      <c r="B1077" s="73"/>
      <c r="C1077" s="74"/>
      <c r="D1077" s="75"/>
      <c r="E1077" s="85"/>
      <c r="F1077" s="161"/>
      <c r="G1077" s="76"/>
      <c r="H1077" s="87"/>
      <c r="I1077" s="75"/>
      <c r="J1077" s="75"/>
      <c r="K1077" s="75"/>
      <c r="L1077" s="88"/>
      <c r="M1077" s="77"/>
      <c r="N1077" s="77"/>
      <c r="O1077" s="78"/>
      <c r="S1077" s="148"/>
      <c r="T1077"/>
      <c r="U1077"/>
    </row>
    <row r="1078" spans="1:21" x14ac:dyDescent="0.2">
      <c r="A1078" s="73"/>
      <c r="B1078" s="73"/>
      <c r="C1078" s="74"/>
      <c r="D1078" s="75"/>
      <c r="E1078" s="85"/>
      <c r="F1078" s="161"/>
      <c r="G1078" s="76"/>
      <c r="H1078" s="87"/>
      <c r="I1078" s="75"/>
      <c r="J1078" s="75"/>
      <c r="K1078" s="75"/>
      <c r="L1078" s="88"/>
      <c r="M1078" s="77"/>
      <c r="N1078" s="77"/>
      <c r="O1078" s="78"/>
      <c r="S1078" s="148"/>
      <c r="T1078"/>
      <c r="U1078"/>
    </row>
    <row r="1079" spans="1:21" x14ac:dyDescent="0.2">
      <c r="A1079" s="73"/>
      <c r="B1079" s="73"/>
      <c r="C1079" s="74"/>
      <c r="D1079" s="75"/>
      <c r="E1079" s="85"/>
      <c r="F1079" s="161"/>
      <c r="G1079" s="76"/>
      <c r="H1079" s="87"/>
      <c r="I1079" s="75"/>
      <c r="J1079" s="75"/>
      <c r="K1079" s="75"/>
      <c r="L1079" s="88"/>
      <c r="M1079" s="77"/>
      <c r="N1079" s="77"/>
      <c r="O1079" s="78"/>
      <c r="S1079" s="148"/>
      <c r="T1079"/>
      <c r="U1079"/>
    </row>
    <row r="1080" spans="1:21" x14ac:dyDescent="0.2">
      <c r="A1080" s="73"/>
      <c r="B1080" s="73"/>
      <c r="C1080" s="74"/>
      <c r="D1080" s="75"/>
      <c r="E1080" s="85"/>
      <c r="F1080" s="161"/>
      <c r="G1080" s="76"/>
      <c r="H1080" s="87"/>
      <c r="I1080" s="75"/>
      <c r="J1080" s="75"/>
      <c r="K1080" s="75"/>
      <c r="L1080" s="88"/>
      <c r="M1080" s="77"/>
      <c r="N1080" s="77"/>
      <c r="O1080" s="78"/>
      <c r="S1080" s="148"/>
      <c r="T1080"/>
      <c r="U1080"/>
    </row>
    <row r="1081" spans="1:21" x14ac:dyDescent="0.2">
      <c r="A1081" s="73"/>
      <c r="B1081" s="73"/>
      <c r="C1081" s="74"/>
      <c r="D1081" s="75"/>
      <c r="E1081" s="85"/>
      <c r="F1081" s="161"/>
      <c r="G1081" s="76"/>
      <c r="H1081" s="87"/>
      <c r="I1081" s="75"/>
      <c r="J1081" s="75"/>
      <c r="K1081" s="75"/>
      <c r="L1081" s="88"/>
      <c r="M1081" s="77"/>
      <c r="N1081" s="77"/>
      <c r="O1081" s="78"/>
      <c r="S1081" s="148"/>
      <c r="T1081"/>
      <c r="U1081"/>
    </row>
    <row r="1082" spans="1:21" x14ac:dyDescent="0.2">
      <c r="A1082" s="73"/>
      <c r="B1082" s="73"/>
      <c r="C1082" s="74"/>
      <c r="D1082" s="75"/>
      <c r="E1082" s="85"/>
      <c r="F1082" s="161"/>
      <c r="G1082" s="76"/>
      <c r="H1082" s="87"/>
      <c r="I1082" s="75"/>
      <c r="J1082" s="75"/>
      <c r="K1082" s="75"/>
      <c r="L1082" s="88"/>
      <c r="M1082" s="77"/>
      <c r="N1082" s="77"/>
      <c r="O1082" s="78"/>
      <c r="S1082" s="148"/>
      <c r="T1082"/>
      <c r="U1082"/>
    </row>
    <row r="1083" spans="1:21" x14ac:dyDescent="0.2">
      <c r="A1083" s="73"/>
      <c r="B1083" s="73"/>
      <c r="C1083" s="74"/>
      <c r="D1083" s="75"/>
      <c r="E1083" s="85"/>
      <c r="F1083" s="161"/>
      <c r="G1083" s="76"/>
      <c r="H1083" s="87"/>
      <c r="I1083" s="75"/>
      <c r="J1083" s="75"/>
      <c r="K1083" s="75"/>
      <c r="L1083" s="88"/>
      <c r="M1083" s="77"/>
      <c r="N1083" s="77"/>
      <c r="O1083" s="78"/>
      <c r="S1083" s="148"/>
      <c r="T1083"/>
      <c r="U1083"/>
    </row>
    <row r="1084" spans="1:21" x14ac:dyDescent="0.2">
      <c r="A1084" s="73"/>
      <c r="B1084" s="73"/>
      <c r="C1084" s="74"/>
      <c r="D1084" s="75"/>
      <c r="E1084" s="85"/>
      <c r="F1084" s="161"/>
      <c r="G1084" s="76"/>
      <c r="H1084" s="87"/>
      <c r="I1084" s="75"/>
      <c r="J1084" s="75"/>
      <c r="K1084" s="75"/>
      <c r="L1084" s="88"/>
      <c r="M1084" s="77"/>
      <c r="N1084" s="77"/>
      <c r="O1084" s="78"/>
      <c r="S1084" s="148"/>
      <c r="T1084"/>
      <c r="U1084"/>
    </row>
    <row r="1085" spans="1:21" x14ac:dyDescent="0.2">
      <c r="A1085" s="73"/>
      <c r="B1085" s="73"/>
      <c r="C1085" s="74"/>
      <c r="D1085" s="75"/>
      <c r="E1085" s="85"/>
      <c r="F1085" s="161"/>
      <c r="G1085" s="76"/>
      <c r="H1085" s="87"/>
      <c r="I1085" s="75"/>
      <c r="J1085" s="75"/>
      <c r="K1085" s="75"/>
      <c r="L1085" s="88"/>
      <c r="M1085" s="77"/>
      <c r="N1085" s="77"/>
      <c r="O1085" s="78"/>
      <c r="S1085" s="148"/>
      <c r="T1085"/>
      <c r="U1085"/>
    </row>
    <row r="1086" spans="1:21" x14ac:dyDescent="0.2">
      <c r="A1086" s="73"/>
      <c r="B1086" s="73"/>
      <c r="C1086" s="74"/>
      <c r="D1086" s="75"/>
      <c r="E1086" s="85"/>
      <c r="F1086" s="161"/>
      <c r="G1086" s="76"/>
      <c r="H1086" s="87"/>
      <c r="I1086" s="75"/>
      <c r="J1086" s="75"/>
      <c r="K1086" s="75"/>
      <c r="L1086" s="88"/>
      <c r="M1086" s="77"/>
      <c r="N1086" s="77"/>
      <c r="O1086" s="78"/>
      <c r="S1086" s="148"/>
      <c r="T1086"/>
      <c r="U1086"/>
    </row>
    <row r="1087" spans="1:21" x14ac:dyDescent="0.2">
      <c r="A1087" s="73"/>
      <c r="B1087" s="73"/>
      <c r="C1087" s="74"/>
      <c r="D1087" s="75"/>
      <c r="E1087" s="85"/>
      <c r="F1087" s="161"/>
      <c r="G1087" s="76"/>
      <c r="H1087" s="87"/>
      <c r="I1087" s="75"/>
      <c r="J1087" s="75"/>
      <c r="K1087" s="75"/>
      <c r="L1087" s="88"/>
      <c r="M1087" s="77"/>
      <c r="N1087" s="77"/>
      <c r="O1087" s="78"/>
      <c r="S1087" s="148"/>
      <c r="T1087"/>
      <c r="U1087"/>
    </row>
    <row r="1088" spans="1:21" x14ac:dyDescent="0.2">
      <c r="A1088" s="73"/>
      <c r="B1088" s="73"/>
      <c r="C1088" s="74"/>
      <c r="D1088" s="75"/>
      <c r="E1088" s="85"/>
      <c r="F1088" s="161"/>
      <c r="G1088" s="76"/>
      <c r="H1088" s="87"/>
      <c r="I1088" s="75"/>
      <c r="J1088" s="75"/>
      <c r="K1088" s="75"/>
      <c r="L1088" s="88"/>
      <c r="M1088" s="77"/>
      <c r="N1088" s="77"/>
      <c r="O1088" s="78"/>
      <c r="S1088" s="148"/>
      <c r="T1088"/>
      <c r="U1088"/>
    </row>
    <row r="1089" spans="1:21" x14ac:dyDescent="0.2">
      <c r="A1089" s="73"/>
      <c r="B1089" s="73"/>
      <c r="C1089" s="74"/>
      <c r="D1089" s="75"/>
      <c r="E1089" s="85"/>
      <c r="F1089" s="161"/>
      <c r="G1089" s="76"/>
      <c r="H1089" s="87"/>
      <c r="I1089" s="75"/>
      <c r="J1089" s="75"/>
      <c r="K1089" s="75"/>
      <c r="L1089" s="88"/>
      <c r="M1089" s="77"/>
      <c r="N1089" s="77"/>
      <c r="O1089" s="78"/>
      <c r="S1089" s="148"/>
      <c r="T1089"/>
      <c r="U1089"/>
    </row>
    <row r="1090" spans="1:21" x14ac:dyDescent="0.2">
      <c r="A1090" s="73"/>
      <c r="B1090" s="73"/>
      <c r="C1090" s="74"/>
      <c r="D1090" s="75"/>
      <c r="E1090" s="85"/>
      <c r="F1090" s="161"/>
      <c r="G1090" s="76"/>
      <c r="H1090" s="87"/>
      <c r="I1090" s="75"/>
      <c r="J1090" s="75"/>
      <c r="K1090" s="75"/>
      <c r="L1090" s="88"/>
      <c r="M1090" s="77"/>
      <c r="N1090" s="77"/>
      <c r="O1090" s="78"/>
      <c r="S1090" s="148"/>
      <c r="T1090"/>
      <c r="U1090"/>
    </row>
    <row r="1091" spans="1:21" x14ac:dyDescent="0.2">
      <c r="A1091" s="73"/>
      <c r="B1091" s="73"/>
      <c r="C1091" s="74"/>
      <c r="D1091" s="75"/>
      <c r="E1091" s="85"/>
      <c r="F1091" s="161"/>
      <c r="G1091" s="76"/>
      <c r="H1091" s="87"/>
      <c r="I1091" s="75"/>
      <c r="J1091" s="75"/>
      <c r="K1091" s="75"/>
      <c r="L1091" s="88"/>
      <c r="M1091" s="77"/>
      <c r="N1091" s="77"/>
      <c r="O1091" s="78"/>
      <c r="S1091" s="148"/>
      <c r="T1091"/>
      <c r="U1091"/>
    </row>
    <row r="1092" spans="1:21" x14ac:dyDescent="0.2">
      <c r="A1092" s="73"/>
      <c r="B1092" s="73"/>
      <c r="C1092" s="74"/>
      <c r="D1092" s="75"/>
      <c r="E1092" s="85"/>
      <c r="F1092" s="161"/>
      <c r="G1092" s="76"/>
      <c r="H1092" s="87"/>
      <c r="I1092" s="75"/>
      <c r="J1092" s="75"/>
      <c r="K1092" s="75"/>
      <c r="L1092" s="88"/>
      <c r="M1092" s="77"/>
      <c r="N1092" s="77"/>
      <c r="O1092" s="78"/>
      <c r="S1092" s="148"/>
      <c r="T1092"/>
      <c r="U1092"/>
    </row>
    <row r="1093" spans="1:21" x14ac:dyDescent="0.2">
      <c r="A1093" s="73"/>
      <c r="B1093" s="73"/>
      <c r="C1093" s="74"/>
      <c r="D1093" s="75"/>
      <c r="E1093" s="85"/>
      <c r="F1093" s="161"/>
      <c r="G1093" s="76"/>
      <c r="H1093" s="87"/>
      <c r="I1093" s="75"/>
      <c r="J1093" s="75"/>
      <c r="K1093" s="75"/>
      <c r="L1093" s="88"/>
      <c r="M1093" s="77"/>
      <c r="N1093" s="77"/>
      <c r="O1093" s="78"/>
      <c r="S1093" s="148"/>
      <c r="T1093"/>
      <c r="U1093"/>
    </row>
    <row r="1094" spans="1:21" x14ac:dyDescent="0.2">
      <c r="A1094" s="73"/>
      <c r="B1094" s="73"/>
      <c r="C1094" s="74"/>
      <c r="D1094" s="75"/>
      <c r="E1094" s="85"/>
      <c r="F1094" s="161"/>
      <c r="G1094" s="76"/>
      <c r="H1094" s="87"/>
      <c r="I1094" s="75"/>
      <c r="J1094" s="75"/>
      <c r="K1094" s="75"/>
      <c r="L1094" s="88"/>
      <c r="M1094" s="77"/>
      <c r="N1094" s="77"/>
      <c r="O1094" s="78"/>
      <c r="S1094" s="148"/>
      <c r="T1094"/>
      <c r="U1094"/>
    </row>
    <row r="1095" spans="1:21" x14ac:dyDescent="0.2">
      <c r="A1095" s="73"/>
      <c r="B1095" s="73"/>
      <c r="C1095" s="74"/>
      <c r="D1095" s="75"/>
      <c r="E1095" s="85"/>
      <c r="F1095" s="161"/>
      <c r="G1095" s="76"/>
      <c r="H1095" s="87"/>
      <c r="I1095" s="75"/>
      <c r="J1095" s="75"/>
      <c r="K1095" s="75"/>
      <c r="L1095" s="88"/>
      <c r="M1095" s="77"/>
      <c r="N1095" s="77"/>
      <c r="O1095" s="78"/>
      <c r="S1095" s="148"/>
      <c r="T1095"/>
      <c r="U1095"/>
    </row>
    <row r="1096" spans="1:21" x14ac:dyDescent="0.2">
      <c r="A1096" s="73"/>
      <c r="B1096" s="73"/>
      <c r="C1096" s="74"/>
      <c r="D1096" s="75"/>
      <c r="E1096" s="85"/>
      <c r="F1096" s="161"/>
      <c r="G1096" s="76"/>
      <c r="H1096" s="87"/>
      <c r="I1096" s="75"/>
      <c r="J1096" s="75"/>
      <c r="K1096" s="75"/>
      <c r="L1096" s="88"/>
      <c r="M1096" s="77"/>
      <c r="N1096" s="77"/>
      <c r="O1096" s="78"/>
      <c r="S1096" s="148"/>
      <c r="T1096"/>
      <c r="U1096"/>
    </row>
    <row r="1097" spans="1:21" x14ac:dyDescent="0.2">
      <c r="A1097" s="73"/>
      <c r="B1097" s="73"/>
      <c r="C1097" s="74"/>
      <c r="D1097" s="75"/>
      <c r="E1097" s="85"/>
      <c r="F1097" s="161"/>
      <c r="G1097" s="76"/>
      <c r="H1097" s="87"/>
      <c r="I1097" s="75"/>
      <c r="J1097" s="75"/>
      <c r="K1097" s="75"/>
      <c r="L1097" s="88"/>
      <c r="M1097" s="77"/>
      <c r="N1097" s="77"/>
      <c r="O1097" s="78"/>
      <c r="S1097" s="148"/>
      <c r="T1097"/>
      <c r="U1097"/>
    </row>
    <row r="1098" spans="1:21" x14ac:dyDescent="0.2">
      <c r="A1098" s="73"/>
      <c r="B1098" s="73"/>
      <c r="C1098" s="74"/>
      <c r="D1098" s="75"/>
      <c r="E1098" s="85"/>
      <c r="F1098" s="161"/>
      <c r="G1098" s="76"/>
      <c r="H1098" s="87"/>
      <c r="I1098" s="75"/>
      <c r="J1098" s="75"/>
      <c r="K1098" s="75"/>
      <c r="L1098" s="88"/>
      <c r="M1098" s="77"/>
      <c r="N1098" s="77"/>
      <c r="O1098" s="78"/>
      <c r="S1098" s="148"/>
      <c r="T1098"/>
      <c r="U1098"/>
    </row>
    <row r="1099" spans="1:21" x14ac:dyDescent="0.2">
      <c r="A1099" s="73"/>
      <c r="B1099" s="73"/>
      <c r="C1099" s="74"/>
      <c r="D1099" s="75"/>
      <c r="E1099" s="85"/>
      <c r="F1099" s="161"/>
      <c r="G1099" s="76"/>
      <c r="H1099" s="87"/>
      <c r="I1099" s="75"/>
      <c r="J1099" s="75"/>
      <c r="K1099" s="75"/>
      <c r="L1099" s="88"/>
      <c r="M1099" s="77"/>
      <c r="N1099" s="77"/>
      <c r="O1099" s="78"/>
      <c r="S1099" s="148"/>
      <c r="T1099"/>
      <c r="U1099"/>
    </row>
    <row r="1100" spans="1:21" x14ac:dyDescent="0.2">
      <c r="A1100" s="73"/>
      <c r="B1100" s="73"/>
      <c r="C1100" s="74"/>
      <c r="D1100" s="75"/>
      <c r="E1100" s="85"/>
      <c r="F1100" s="161"/>
      <c r="G1100" s="76"/>
      <c r="H1100" s="87"/>
      <c r="I1100" s="75"/>
      <c r="J1100" s="75"/>
      <c r="K1100" s="75"/>
      <c r="L1100" s="88"/>
      <c r="M1100" s="77"/>
      <c r="N1100" s="77"/>
      <c r="O1100" s="78"/>
      <c r="S1100" s="148"/>
      <c r="T1100"/>
      <c r="U1100"/>
    </row>
    <row r="1101" spans="1:21" x14ac:dyDescent="0.2">
      <c r="A1101" s="73"/>
      <c r="B1101" s="73"/>
      <c r="C1101" s="74"/>
      <c r="D1101" s="75"/>
      <c r="E1101" s="85"/>
      <c r="F1101" s="161"/>
      <c r="G1101" s="76"/>
      <c r="H1101" s="87"/>
      <c r="I1101" s="75"/>
      <c r="J1101" s="75"/>
      <c r="K1101" s="75"/>
      <c r="L1101" s="88"/>
      <c r="M1101" s="77"/>
      <c r="N1101" s="77"/>
      <c r="O1101" s="78"/>
      <c r="S1101" s="148"/>
      <c r="T1101"/>
      <c r="U1101"/>
    </row>
    <row r="1102" spans="1:21" x14ac:dyDescent="0.2">
      <c r="A1102" s="73"/>
      <c r="B1102" s="73"/>
      <c r="C1102" s="74"/>
      <c r="D1102" s="75"/>
      <c r="E1102" s="85"/>
      <c r="F1102" s="161"/>
      <c r="G1102" s="76"/>
      <c r="H1102" s="87"/>
      <c r="I1102" s="75"/>
      <c r="J1102" s="75"/>
      <c r="K1102" s="75"/>
      <c r="L1102" s="88"/>
      <c r="M1102" s="77"/>
      <c r="N1102" s="77"/>
      <c r="O1102" s="78"/>
      <c r="S1102" s="148"/>
      <c r="T1102"/>
      <c r="U1102"/>
    </row>
    <row r="1103" spans="1:21" x14ac:dyDescent="0.2">
      <c r="A1103" s="73"/>
      <c r="B1103" s="73"/>
      <c r="C1103" s="74"/>
      <c r="D1103" s="75"/>
      <c r="E1103" s="85"/>
      <c r="F1103" s="161"/>
      <c r="G1103" s="76"/>
      <c r="H1103" s="87"/>
      <c r="I1103" s="75"/>
      <c r="J1103" s="75"/>
      <c r="K1103" s="75"/>
      <c r="L1103" s="88"/>
      <c r="M1103" s="77"/>
      <c r="N1103" s="77"/>
      <c r="O1103" s="78"/>
      <c r="S1103" s="148"/>
      <c r="T1103"/>
      <c r="U1103"/>
    </row>
    <row r="1104" spans="1:21" x14ac:dyDescent="0.2">
      <c r="A1104" s="73"/>
      <c r="B1104" s="73"/>
      <c r="C1104" s="74"/>
      <c r="D1104" s="75"/>
      <c r="E1104" s="85"/>
      <c r="F1104" s="161"/>
      <c r="G1104" s="76"/>
      <c r="H1104" s="87"/>
      <c r="I1104" s="75"/>
      <c r="J1104" s="75"/>
      <c r="K1104" s="75"/>
      <c r="L1104" s="88"/>
      <c r="M1104" s="77"/>
      <c r="N1104" s="77"/>
      <c r="O1104" s="78"/>
      <c r="S1104" s="148"/>
      <c r="T1104"/>
      <c r="U1104"/>
    </row>
    <row r="1105" spans="1:21" x14ac:dyDescent="0.2">
      <c r="A1105" s="73"/>
      <c r="B1105" s="73"/>
      <c r="C1105" s="74"/>
      <c r="D1105" s="75"/>
      <c r="E1105" s="85"/>
      <c r="F1105" s="161"/>
      <c r="G1105" s="76"/>
      <c r="H1105" s="87"/>
      <c r="I1105" s="75"/>
      <c r="J1105" s="75"/>
      <c r="K1105" s="75"/>
      <c r="L1105" s="88"/>
      <c r="M1105" s="77"/>
      <c r="N1105" s="77"/>
      <c r="O1105" s="78"/>
      <c r="S1105" s="148"/>
      <c r="T1105"/>
      <c r="U1105"/>
    </row>
    <row r="1106" spans="1:21" x14ac:dyDescent="0.2">
      <c r="A1106" s="73"/>
      <c r="B1106" s="73"/>
      <c r="C1106" s="74"/>
      <c r="D1106" s="75"/>
      <c r="E1106" s="85"/>
      <c r="F1106" s="161"/>
      <c r="G1106" s="76"/>
      <c r="H1106" s="87"/>
      <c r="I1106" s="75"/>
      <c r="J1106" s="75"/>
      <c r="K1106" s="75"/>
      <c r="L1106" s="88"/>
      <c r="M1106" s="77"/>
      <c r="N1106" s="77"/>
      <c r="O1106" s="78"/>
      <c r="S1106" s="148"/>
      <c r="T1106"/>
      <c r="U1106"/>
    </row>
    <row r="1107" spans="1:21" x14ac:dyDescent="0.2">
      <c r="A1107" s="73"/>
      <c r="B1107" s="73"/>
      <c r="C1107" s="74"/>
      <c r="D1107" s="75"/>
      <c r="E1107" s="85"/>
      <c r="F1107" s="161"/>
      <c r="G1107" s="76"/>
      <c r="H1107" s="87"/>
      <c r="I1107" s="75"/>
      <c r="J1107" s="75"/>
      <c r="K1107" s="75"/>
      <c r="L1107" s="88"/>
      <c r="M1107" s="77"/>
      <c r="N1107" s="77"/>
      <c r="O1107" s="78"/>
      <c r="S1107" s="148"/>
      <c r="T1107"/>
      <c r="U1107"/>
    </row>
    <row r="1108" spans="1:21" x14ac:dyDescent="0.2">
      <c r="A1108" s="73"/>
      <c r="B1108" s="73"/>
      <c r="C1108" s="74"/>
      <c r="D1108" s="75"/>
      <c r="E1108" s="85"/>
      <c r="F1108" s="161"/>
      <c r="G1108" s="76"/>
      <c r="H1108" s="87"/>
      <c r="I1108" s="75"/>
      <c r="J1108" s="75"/>
      <c r="K1108" s="75"/>
      <c r="L1108" s="88"/>
      <c r="M1108" s="77"/>
      <c r="N1108" s="77"/>
      <c r="O1108" s="78"/>
      <c r="S1108" s="148"/>
      <c r="T1108"/>
      <c r="U1108"/>
    </row>
    <row r="1109" spans="1:21" x14ac:dyDescent="0.2">
      <c r="A1109" s="73"/>
      <c r="B1109" s="73"/>
      <c r="C1109" s="74"/>
      <c r="D1109" s="75"/>
      <c r="E1109" s="85"/>
      <c r="F1109" s="161"/>
      <c r="G1109" s="76"/>
      <c r="H1109" s="87"/>
      <c r="I1109" s="75"/>
      <c r="J1109" s="75"/>
      <c r="K1109" s="75"/>
      <c r="L1109" s="88"/>
      <c r="M1109" s="77"/>
      <c r="N1109" s="77"/>
      <c r="O1109" s="78"/>
      <c r="S1109" s="148"/>
      <c r="T1109"/>
      <c r="U1109"/>
    </row>
    <row r="1110" spans="1:21" x14ac:dyDescent="0.2">
      <c r="A1110" s="73"/>
      <c r="B1110" s="73"/>
      <c r="C1110" s="74"/>
      <c r="D1110" s="75"/>
      <c r="E1110" s="85"/>
      <c r="F1110" s="161"/>
      <c r="G1110" s="76"/>
      <c r="H1110" s="87"/>
      <c r="I1110" s="75"/>
      <c r="J1110" s="75"/>
      <c r="K1110" s="75"/>
      <c r="L1110" s="88"/>
      <c r="M1110" s="77"/>
      <c r="N1110" s="77"/>
      <c r="O1110" s="78"/>
      <c r="S1110" s="148"/>
      <c r="T1110"/>
      <c r="U1110"/>
    </row>
    <row r="1111" spans="1:21" x14ac:dyDescent="0.2">
      <c r="A1111" s="73"/>
      <c r="B1111" s="73"/>
      <c r="C1111" s="74"/>
      <c r="D1111" s="75"/>
      <c r="E1111" s="85"/>
      <c r="F1111" s="161"/>
      <c r="G1111" s="76"/>
      <c r="H1111" s="87"/>
      <c r="I1111" s="75"/>
      <c r="J1111" s="75"/>
      <c r="K1111" s="75"/>
      <c r="L1111" s="163"/>
      <c r="M1111" s="77"/>
      <c r="N1111" s="77"/>
      <c r="O1111" s="78"/>
      <c r="S1111" s="148"/>
      <c r="T1111"/>
      <c r="U1111"/>
    </row>
    <row r="1112" spans="1:21" x14ac:dyDescent="0.2">
      <c r="A1112" s="73"/>
      <c r="B1112" s="73"/>
      <c r="C1112" s="74"/>
      <c r="D1112" s="75"/>
      <c r="E1112" s="85"/>
      <c r="F1112" s="162"/>
      <c r="G1112" s="76"/>
      <c r="H1112" s="87"/>
      <c r="I1112" s="75"/>
      <c r="J1112" s="75"/>
      <c r="K1112" s="75"/>
      <c r="L1112" s="163"/>
      <c r="M1112" s="77"/>
      <c r="N1112" s="77"/>
      <c r="O1112" s="78"/>
      <c r="S1112" s="148"/>
      <c r="T1112"/>
      <c r="U1112"/>
    </row>
    <row r="1113" spans="1:21" x14ac:dyDescent="0.2">
      <c r="A1113" s="73"/>
      <c r="B1113" s="73"/>
      <c r="C1113" s="74"/>
      <c r="D1113" s="75"/>
      <c r="E1113" s="85"/>
      <c r="F1113" s="161"/>
      <c r="G1113" s="76"/>
      <c r="H1113" s="87"/>
      <c r="I1113" s="75"/>
      <c r="J1113" s="75"/>
      <c r="K1113" s="75"/>
      <c r="L1113" s="88"/>
      <c r="M1113" s="77"/>
      <c r="N1113" s="77"/>
      <c r="O1113" s="78"/>
      <c r="S1113" s="148"/>
      <c r="T1113"/>
      <c r="U1113"/>
    </row>
    <row r="1114" spans="1:21" x14ac:dyDescent="0.2">
      <c r="A1114" s="73"/>
      <c r="B1114" s="73"/>
      <c r="C1114" s="74"/>
      <c r="D1114" s="75"/>
      <c r="E1114" s="85"/>
      <c r="F1114" s="161"/>
      <c r="G1114" s="76"/>
      <c r="H1114" s="87"/>
      <c r="I1114" s="75"/>
      <c r="J1114" s="75"/>
      <c r="K1114" s="75"/>
      <c r="L1114" s="88"/>
      <c r="M1114" s="77"/>
      <c r="N1114" s="77"/>
      <c r="O1114" s="78"/>
      <c r="S1114" s="148"/>
      <c r="T1114"/>
      <c r="U1114"/>
    </row>
    <row r="1115" spans="1:21" x14ac:dyDescent="0.2">
      <c r="A1115" s="73"/>
      <c r="B1115" s="73"/>
      <c r="C1115" s="74"/>
      <c r="D1115" s="75"/>
      <c r="E1115" s="85"/>
      <c r="F1115" s="161"/>
      <c r="G1115" s="76"/>
      <c r="H1115" s="87"/>
      <c r="I1115" s="75"/>
      <c r="J1115" s="75"/>
      <c r="K1115" s="75"/>
      <c r="L1115" s="88"/>
      <c r="M1115" s="77"/>
      <c r="N1115" s="77"/>
      <c r="O1115" s="78"/>
      <c r="S1115" s="148"/>
      <c r="T1115"/>
      <c r="U1115"/>
    </row>
    <row r="1116" spans="1:21" x14ac:dyDescent="0.2">
      <c r="A1116" s="73"/>
      <c r="B1116" s="73"/>
      <c r="C1116" s="74"/>
      <c r="D1116" s="75"/>
      <c r="E1116" s="85"/>
      <c r="F1116" s="161"/>
      <c r="G1116" s="76"/>
      <c r="H1116" s="87"/>
      <c r="I1116" s="75"/>
      <c r="J1116" s="75"/>
      <c r="K1116" s="75"/>
      <c r="L1116" s="88"/>
      <c r="M1116" s="77"/>
      <c r="N1116" s="77"/>
      <c r="O1116" s="78"/>
      <c r="S1116" s="148"/>
      <c r="T1116"/>
      <c r="U1116"/>
    </row>
    <row r="1117" spans="1:21" x14ac:dyDescent="0.2">
      <c r="A1117" s="73"/>
      <c r="B1117" s="73"/>
      <c r="C1117" s="74"/>
      <c r="D1117" s="75"/>
      <c r="E1117" s="85"/>
      <c r="F1117" s="161"/>
      <c r="G1117" s="76"/>
      <c r="H1117" s="87"/>
      <c r="I1117" s="75"/>
      <c r="J1117" s="75"/>
      <c r="K1117" s="75"/>
      <c r="L1117" s="88"/>
      <c r="M1117" s="77"/>
      <c r="N1117" s="77"/>
      <c r="O1117" s="78"/>
      <c r="S1117" s="148"/>
      <c r="T1117"/>
      <c r="U1117"/>
    </row>
    <row r="1118" spans="1:21" x14ac:dyDescent="0.2">
      <c r="A1118" s="73"/>
      <c r="B1118" s="73"/>
      <c r="C1118" s="74"/>
      <c r="D1118" s="75"/>
      <c r="E1118" s="85"/>
      <c r="F1118" s="161"/>
      <c r="G1118" s="76"/>
      <c r="H1118" s="87"/>
      <c r="I1118" s="75"/>
      <c r="J1118" s="75"/>
      <c r="K1118" s="75"/>
      <c r="L1118" s="88"/>
      <c r="M1118" s="77"/>
      <c r="N1118" s="77"/>
      <c r="O1118" s="78"/>
      <c r="S1118" s="148"/>
      <c r="T1118"/>
      <c r="U1118"/>
    </row>
    <row r="1119" spans="1:21" x14ac:dyDescent="0.2">
      <c r="A1119" s="73"/>
      <c r="B1119" s="73"/>
      <c r="C1119" s="74"/>
      <c r="D1119" s="75"/>
      <c r="E1119" s="85"/>
      <c r="F1119" s="161"/>
      <c r="G1119" s="76"/>
      <c r="H1119" s="87"/>
      <c r="I1119" s="75"/>
      <c r="J1119" s="75"/>
      <c r="K1119" s="75"/>
      <c r="L1119" s="88"/>
      <c r="M1119" s="77"/>
      <c r="N1119" s="77"/>
      <c r="O1119" s="78"/>
      <c r="S1119" s="148"/>
      <c r="T1119"/>
      <c r="U1119"/>
    </row>
    <row r="1120" spans="1:21" x14ac:dyDescent="0.2">
      <c r="A1120" s="73"/>
      <c r="B1120" s="73"/>
      <c r="C1120" s="74"/>
      <c r="D1120" s="75"/>
      <c r="E1120" s="85"/>
      <c r="F1120" s="161"/>
      <c r="G1120" s="76"/>
      <c r="H1120" s="87"/>
      <c r="I1120" s="75"/>
      <c r="J1120" s="75"/>
      <c r="K1120" s="75"/>
      <c r="L1120" s="88"/>
      <c r="M1120" s="77"/>
      <c r="N1120" s="77"/>
      <c r="O1120" s="78"/>
      <c r="S1120" s="148"/>
      <c r="T1120"/>
      <c r="U1120"/>
    </row>
    <row r="1121" spans="1:21" x14ac:dyDescent="0.2">
      <c r="A1121" s="73"/>
      <c r="B1121" s="73"/>
      <c r="C1121" s="74"/>
      <c r="D1121" s="75"/>
      <c r="E1121" s="85"/>
      <c r="F1121" s="161"/>
      <c r="G1121" s="76"/>
      <c r="H1121" s="87"/>
      <c r="I1121" s="75"/>
      <c r="J1121" s="75"/>
      <c r="K1121" s="75"/>
      <c r="L1121" s="88"/>
      <c r="M1121" s="77"/>
      <c r="N1121" s="77"/>
      <c r="O1121" s="78"/>
      <c r="S1121" s="148"/>
      <c r="T1121"/>
      <c r="U1121"/>
    </row>
    <row r="1122" spans="1:21" x14ac:dyDescent="0.2">
      <c r="A1122" s="73"/>
      <c r="B1122" s="73"/>
      <c r="C1122" s="74"/>
      <c r="D1122" s="75"/>
      <c r="E1122" s="85"/>
      <c r="F1122" s="161"/>
      <c r="G1122" s="76"/>
      <c r="H1122" s="87"/>
      <c r="I1122" s="75"/>
      <c r="J1122" s="75"/>
      <c r="K1122" s="75"/>
      <c r="L1122" s="88"/>
      <c r="M1122" s="77"/>
      <c r="N1122" s="77"/>
      <c r="O1122" s="78"/>
      <c r="S1122" s="148"/>
      <c r="T1122"/>
      <c r="U1122"/>
    </row>
    <row r="1123" spans="1:21" x14ac:dyDescent="0.2">
      <c r="A1123" s="73"/>
      <c r="B1123" s="73"/>
      <c r="C1123" s="74"/>
      <c r="D1123" s="75"/>
      <c r="E1123" s="85"/>
      <c r="F1123" s="161"/>
      <c r="G1123" s="76"/>
      <c r="H1123" s="87"/>
      <c r="I1123" s="75"/>
      <c r="J1123" s="75"/>
      <c r="K1123" s="75"/>
      <c r="L1123" s="88"/>
      <c r="M1123" s="77"/>
      <c r="N1123" s="77"/>
      <c r="O1123" s="78"/>
      <c r="S1123" s="148"/>
      <c r="T1123"/>
      <c r="U1123"/>
    </row>
    <row r="1124" spans="1:21" x14ac:dyDescent="0.2">
      <c r="A1124" s="73"/>
      <c r="B1124" s="73"/>
      <c r="C1124" s="74"/>
      <c r="D1124" s="75"/>
      <c r="E1124" s="85"/>
      <c r="F1124" s="161"/>
      <c r="G1124" s="76"/>
      <c r="H1124" s="87"/>
      <c r="I1124" s="75"/>
      <c r="J1124" s="75"/>
      <c r="K1124" s="75"/>
      <c r="L1124" s="88"/>
      <c r="M1124" s="77"/>
      <c r="N1124" s="77"/>
      <c r="O1124" s="78"/>
      <c r="S1124" s="148"/>
      <c r="T1124"/>
      <c r="U1124"/>
    </row>
    <row r="1125" spans="1:21" x14ac:dyDescent="0.2">
      <c r="A1125" s="73"/>
      <c r="B1125" s="73"/>
      <c r="C1125" s="74"/>
      <c r="D1125" s="75"/>
      <c r="E1125" s="85"/>
      <c r="F1125" s="161"/>
      <c r="G1125" s="76"/>
      <c r="H1125" s="87"/>
      <c r="I1125" s="75"/>
      <c r="J1125" s="75"/>
      <c r="K1125" s="75"/>
      <c r="L1125" s="88"/>
      <c r="M1125" s="77"/>
      <c r="N1125" s="77"/>
      <c r="O1125" s="78"/>
      <c r="S1125" s="148"/>
      <c r="T1125"/>
      <c r="U1125"/>
    </row>
    <row r="1126" spans="1:21" x14ac:dyDescent="0.2">
      <c r="A1126" s="73"/>
      <c r="B1126" s="73"/>
      <c r="C1126" s="74"/>
      <c r="D1126" s="75"/>
      <c r="E1126" s="85"/>
      <c r="F1126" s="161"/>
      <c r="G1126" s="76"/>
      <c r="H1126" s="87"/>
      <c r="I1126" s="75"/>
      <c r="J1126" s="75"/>
      <c r="K1126" s="75"/>
      <c r="L1126" s="88"/>
      <c r="M1126" s="77"/>
      <c r="N1126" s="77"/>
      <c r="O1126" s="78"/>
      <c r="S1126" s="148"/>
      <c r="T1126"/>
      <c r="U1126"/>
    </row>
    <row r="1127" spans="1:21" x14ac:dyDescent="0.2">
      <c r="A1127" s="73"/>
      <c r="B1127" s="73"/>
      <c r="C1127" s="74"/>
      <c r="D1127" s="75"/>
      <c r="E1127" s="85"/>
      <c r="F1127" s="161"/>
      <c r="G1127" s="76"/>
      <c r="H1127" s="87"/>
      <c r="I1127" s="75"/>
      <c r="J1127" s="75"/>
      <c r="K1127" s="75"/>
      <c r="L1127" s="88"/>
      <c r="M1127" s="77"/>
      <c r="N1127" s="77"/>
      <c r="O1127" s="78"/>
      <c r="S1127" s="148"/>
      <c r="T1127"/>
      <c r="U1127"/>
    </row>
    <row r="1128" spans="1:21" x14ac:dyDescent="0.2">
      <c r="A1128" s="73"/>
      <c r="B1128" s="73"/>
      <c r="C1128" s="74"/>
      <c r="D1128" s="75"/>
      <c r="E1128" s="85"/>
      <c r="F1128" s="161"/>
      <c r="G1128" s="76"/>
      <c r="H1128" s="87"/>
      <c r="I1128" s="75"/>
      <c r="J1128" s="75"/>
      <c r="K1128" s="75"/>
      <c r="L1128" s="88"/>
      <c r="M1128" s="77"/>
      <c r="N1128" s="77"/>
      <c r="O1128" s="78"/>
      <c r="S1128" s="148"/>
      <c r="T1128"/>
      <c r="U1128"/>
    </row>
    <row r="1129" spans="1:21" x14ac:dyDescent="0.2">
      <c r="A1129" s="73"/>
      <c r="B1129" s="73"/>
      <c r="C1129" s="74"/>
      <c r="D1129" s="75"/>
      <c r="E1129" s="85"/>
      <c r="F1129" s="161"/>
      <c r="G1129" s="76"/>
      <c r="H1129" s="87"/>
      <c r="I1129" s="75"/>
      <c r="J1129" s="75"/>
      <c r="K1129" s="75"/>
      <c r="L1129" s="88"/>
      <c r="M1129" s="77"/>
      <c r="N1129" s="77"/>
      <c r="O1129" s="78"/>
      <c r="S1129" s="148"/>
      <c r="T1129"/>
      <c r="U1129"/>
    </row>
    <row r="1130" spans="1:21" x14ac:dyDescent="0.2">
      <c r="A1130" s="73"/>
      <c r="B1130" s="73"/>
      <c r="C1130" s="74"/>
      <c r="D1130" s="75"/>
      <c r="E1130" s="85"/>
      <c r="F1130" s="161"/>
      <c r="G1130" s="76"/>
      <c r="H1130" s="87"/>
      <c r="I1130" s="75"/>
      <c r="J1130" s="75"/>
      <c r="K1130" s="75"/>
      <c r="L1130" s="88"/>
      <c r="M1130" s="77"/>
      <c r="N1130" s="77"/>
      <c r="O1130" s="78"/>
      <c r="S1130" s="148"/>
      <c r="T1130"/>
      <c r="U1130"/>
    </row>
    <row r="1131" spans="1:21" x14ac:dyDescent="0.2">
      <c r="A1131" s="73"/>
      <c r="B1131" s="73"/>
      <c r="C1131" s="74"/>
      <c r="D1131" s="75"/>
      <c r="E1131" s="85"/>
      <c r="F1131" s="161"/>
      <c r="G1131" s="76"/>
      <c r="H1131" s="87"/>
      <c r="I1131" s="75"/>
      <c r="J1131" s="75"/>
      <c r="K1131" s="75"/>
      <c r="L1131" s="88"/>
      <c r="M1131" s="77"/>
      <c r="N1131" s="77"/>
      <c r="O1131" s="78"/>
      <c r="S1131" s="148"/>
      <c r="T1131"/>
      <c r="U1131"/>
    </row>
    <row r="1132" spans="1:21" x14ac:dyDescent="0.2">
      <c r="A1132" s="73"/>
      <c r="B1132" s="73"/>
      <c r="C1132" s="74"/>
      <c r="D1132" s="75"/>
      <c r="E1132" s="85"/>
      <c r="F1132" s="161"/>
      <c r="G1132" s="76"/>
      <c r="H1132" s="87"/>
      <c r="I1132" s="75"/>
      <c r="J1132" s="75"/>
      <c r="K1132" s="75"/>
      <c r="L1132" s="88"/>
      <c r="M1132" s="77"/>
      <c r="N1132" s="77"/>
      <c r="O1132" s="78"/>
      <c r="S1132" s="148"/>
      <c r="T1132"/>
      <c r="U1132"/>
    </row>
    <row r="1133" spans="1:21" x14ac:dyDescent="0.2">
      <c r="A1133" s="73"/>
      <c r="B1133" s="73"/>
      <c r="C1133" s="74"/>
      <c r="D1133" s="75"/>
      <c r="E1133" s="85"/>
      <c r="F1133" s="161"/>
      <c r="G1133" s="76"/>
      <c r="H1133" s="87"/>
      <c r="I1133" s="75"/>
      <c r="J1133" s="75"/>
      <c r="K1133" s="75"/>
      <c r="L1133" s="88"/>
      <c r="M1133" s="77"/>
      <c r="N1133" s="77"/>
      <c r="O1133" s="78"/>
      <c r="S1133" s="148"/>
      <c r="T1133"/>
      <c r="U1133"/>
    </row>
    <row r="1134" spans="1:21" x14ac:dyDescent="0.2">
      <c r="A1134" s="73"/>
      <c r="B1134" s="73"/>
      <c r="C1134" s="74"/>
      <c r="D1134" s="75"/>
      <c r="E1134" s="85"/>
      <c r="F1134" s="161"/>
      <c r="G1134" s="76"/>
      <c r="H1134" s="87"/>
      <c r="I1134" s="75"/>
      <c r="J1134" s="75"/>
      <c r="K1134" s="75"/>
      <c r="L1134" s="88"/>
      <c r="M1134" s="77"/>
      <c r="N1134" s="77"/>
      <c r="O1134" s="78"/>
      <c r="S1134" s="148"/>
      <c r="T1134"/>
      <c r="U1134"/>
    </row>
    <row r="1135" spans="1:21" x14ac:dyDescent="0.2">
      <c r="A1135" s="73"/>
      <c r="B1135" s="73"/>
      <c r="C1135" s="74"/>
      <c r="D1135" s="75"/>
      <c r="E1135" s="85"/>
      <c r="F1135" s="161"/>
      <c r="G1135" s="76"/>
      <c r="H1135" s="87"/>
      <c r="I1135" s="75"/>
      <c r="J1135" s="75"/>
      <c r="K1135" s="75"/>
      <c r="L1135" s="88"/>
      <c r="M1135" s="77"/>
      <c r="N1135" s="77"/>
      <c r="O1135" s="78"/>
      <c r="S1135" s="148"/>
      <c r="T1135"/>
      <c r="U1135"/>
    </row>
    <row r="1136" spans="1:21" x14ac:dyDescent="0.2">
      <c r="A1136" s="73"/>
      <c r="B1136" s="73"/>
      <c r="C1136" s="74"/>
      <c r="D1136" s="75"/>
      <c r="E1136" s="85"/>
      <c r="F1136" s="161"/>
      <c r="G1136" s="76"/>
      <c r="H1136" s="87"/>
      <c r="I1136" s="75"/>
      <c r="J1136" s="75"/>
      <c r="K1136" s="75"/>
      <c r="L1136" s="88"/>
      <c r="M1136" s="77"/>
      <c r="N1136" s="77"/>
      <c r="O1136" s="78"/>
      <c r="S1136" s="148"/>
      <c r="T1136"/>
      <c r="U1136"/>
    </row>
    <row r="1137" spans="1:21" x14ac:dyDescent="0.2">
      <c r="A1137" s="73"/>
      <c r="B1137" s="73"/>
      <c r="C1137" s="74"/>
      <c r="D1137" s="75"/>
      <c r="E1137" s="85"/>
      <c r="F1137" s="161"/>
      <c r="G1137" s="76"/>
      <c r="H1137" s="87"/>
      <c r="I1137" s="75"/>
      <c r="J1137" s="75"/>
      <c r="K1137" s="75"/>
      <c r="L1137" s="88"/>
      <c r="M1137" s="77"/>
      <c r="N1137" s="77"/>
      <c r="O1137" s="78"/>
      <c r="S1137" s="148"/>
      <c r="T1137"/>
      <c r="U1137"/>
    </row>
    <row r="1138" spans="1:21" x14ac:dyDescent="0.2">
      <c r="A1138" s="73"/>
      <c r="B1138" s="73"/>
      <c r="C1138" s="74"/>
      <c r="D1138" s="75"/>
      <c r="E1138" s="85"/>
      <c r="F1138" s="161"/>
      <c r="G1138" s="76"/>
      <c r="H1138" s="87"/>
      <c r="I1138" s="75"/>
      <c r="J1138" s="75"/>
      <c r="K1138" s="75"/>
      <c r="L1138" s="88"/>
      <c r="M1138" s="77"/>
      <c r="N1138" s="77"/>
      <c r="O1138" s="78"/>
      <c r="S1138" s="148"/>
      <c r="T1138"/>
      <c r="U1138"/>
    </row>
    <row r="1139" spans="1:21" x14ac:dyDescent="0.2">
      <c r="A1139" s="73"/>
      <c r="B1139" s="73"/>
      <c r="C1139" s="74"/>
      <c r="D1139" s="75"/>
      <c r="E1139" s="85"/>
      <c r="F1139" s="161"/>
      <c r="G1139" s="76"/>
      <c r="H1139" s="87"/>
      <c r="I1139" s="75"/>
      <c r="J1139" s="75"/>
      <c r="K1139" s="75"/>
      <c r="L1139" s="88"/>
      <c r="M1139" s="77"/>
      <c r="N1139" s="77"/>
      <c r="O1139" s="78"/>
      <c r="S1139" s="148"/>
      <c r="T1139"/>
      <c r="U1139"/>
    </row>
    <row r="1140" spans="1:21" x14ac:dyDescent="0.2">
      <c r="A1140" s="73"/>
      <c r="B1140" s="73"/>
      <c r="C1140" s="74"/>
      <c r="D1140" s="75"/>
      <c r="E1140" s="85"/>
      <c r="F1140" s="161"/>
      <c r="G1140" s="76"/>
      <c r="H1140" s="87"/>
      <c r="I1140" s="75"/>
      <c r="J1140" s="75"/>
      <c r="K1140" s="75"/>
      <c r="L1140" s="88"/>
      <c r="M1140" s="77"/>
      <c r="N1140" s="77"/>
      <c r="O1140" s="78"/>
      <c r="S1140" s="148"/>
      <c r="T1140"/>
      <c r="U1140"/>
    </row>
    <row r="1141" spans="1:21" x14ac:dyDescent="0.2">
      <c r="A1141" s="73"/>
      <c r="B1141" s="73"/>
      <c r="C1141" s="74"/>
      <c r="D1141" s="75"/>
      <c r="E1141" s="85"/>
      <c r="F1141" s="161"/>
      <c r="G1141" s="76"/>
      <c r="H1141" s="87"/>
      <c r="I1141" s="75"/>
      <c r="J1141" s="75"/>
      <c r="K1141" s="75"/>
      <c r="L1141" s="88"/>
      <c r="M1141" s="77"/>
      <c r="N1141" s="77"/>
      <c r="O1141" s="78"/>
      <c r="S1141" s="148"/>
      <c r="T1141"/>
      <c r="U1141"/>
    </row>
    <row r="1142" spans="1:21" x14ac:dyDescent="0.2">
      <c r="A1142" s="73"/>
      <c r="B1142" s="73"/>
      <c r="C1142" s="74"/>
      <c r="D1142" s="75"/>
      <c r="E1142" s="85"/>
      <c r="F1142" s="161"/>
      <c r="G1142" s="76"/>
      <c r="H1142" s="87"/>
      <c r="I1142" s="75"/>
      <c r="J1142" s="75"/>
      <c r="K1142" s="75"/>
      <c r="L1142" s="88"/>
      <c r="M1142" s="77"/>
      <c r="N1142" s="77"/>
      <c r="O1142" s="78"/>
      <c r="S1142" s="148"/>
      <c r="T1142"/>
      <c r="U1142"/>
    </row>
    <row r="1143" spans="1:21" x14ac:dyDescent="0.2">
      <c r="A1143" s="73"/>
      <c r="B1143" s="73"/>
      <c r="C1143" s="74"/>
      <c r="D1143" s="75"/>
      <c r="E1143" s="85"/>
      <c r="F1143" s="161"/>
      <c r="G1143" s="76"/>
      <c r="H1143" s="87"/>
      <c r="I1143" s="75"/>
      <c r="J1143" s="75"/>
      <c r="K1143" s="75"/>
      <c r="L1143" s="88"/>
      <c r="M1143" s="77"/>
      <c r="N1143" s="77"/>
      <c r="O1143" s="78"/>
      <c r="S1143" s="148"/>
      <c r="T1143"/>
      <c r="U1143"/>
    </row>
    <row r="1144" spans="1:21" x14ac:dyDescent="0.2">
      <c r="A1144" s="73"/>
      <c r="B1144" s="73"/>
      <c r="C1144" s="74"/>
      <c r="D1144" s="75"/>
      <c r="E1144" s="85"/>
      <c r="F1144" s="161"/>
      <c r="G1144" s="76"/>
      <c r="H1144" s="87"/>
      <c r="I1144" s="75"/>
      <c r="J1144" s="75"/>
      <c r="K1144" s="75"/>
      <c r="L1144" s="88"/>
      <c r="M1144" s="77"/>
      <c r="N1144" s="77"/>
      <c r="O1144" s="78"/>
      <c r="S1144" s="148"/>
      <c r="T1144"/>
      <c r="U1144"/>
    </row>
    <row r="1145" spans="1:21" x14ac:dyDescent="0.2">
      <c r="A1145" s="73"/>
      <c r="B1145" s="73"/>
      <c r="C1145" s="74"/>
      <c r="D1145" s="75"/>
      <c r="E1145" s="85"/>
      <c r="F1145" s="161"/>
      <c r="G1145" s="76"/>
      <c r="H1145" s="87"/>
      <c r="I1145" s="75"/>
      <c r="J1145" s="75"/>
      <c r="K1145" s="75"/>
      <c r="L1145" s="88"/>
      <c r="M1145" s="77"/>
      <c r="N1145" s="77"/>
      <c r="O1145" s="78"/>
      <c r="S1145" s="148"/>
      <c r="T1145"/>
      <c r="U1145"/>
    </row>
    <row r="1146" spans="1:21" x14ac:dyDescent="0.2">
      <c r="A1146" s="73"/>
      <c r="B1146" s="73"/>
      <c r="C1146" s="74"/>
      <c r="D1146" s="75"/>
      <c r="E1146" s="85"/>
      <c r="F1146" s="161"/>
      <c r="G1146" s="76"/>
      <c r="H1146" s="87"/>
      <c r="I1146" s="75"/>
      <c r="J1146" s="75"/>
      <c r="K1146" s="75"/>
      <c r="L1146" s="88"/>
      <c r="M1146" s="77"/>
      <c r="N1146" s="77"/>
      <c r="O1146" s="78"/>
      <c r="S1146" s="148"/>
      <c r="T1146"/>
      <c r="U1146"/>
    </row>
    <row r="1147" spans="1:21" x14ac:dyDescent="0.2">
      <c r="A1147" s="73"/>
      <c r="B1147" s="73"/>
      <c r="C1147" s="74"/>
      <c r="D1147" s="75"/>
      <c r="E1147" s="85"/>
      <c r="F1147" s="161"/>
      <c r="G1147" s="76"/>
      <c r="H1147" s="87"/>
      <c r="I1147" s="75"/>
      <c r="J1147" s="75"/>
      <c r="K1147" s="75"/>
      <c r="L1147" s="88"/>
      <c r="M1147" s="77"/>
      <c r="N1147" s="77"/>
      <c r="O1147" s="78"/>
      <c r="S1147" s="148"/>
      <c r="T1147"/>
      <c r="U1147"/>
    </row>
    <row r="1148" spans="1:21" x14ac:dyDescent="0.2">
      <c r="A1148" s="73"/>
      <c r="B1148" s="73"/>
      <c r="C1148" s="74"/>
      <c r="D1148" s="75"/>
      <c r="E1148" s="85"/>
      <c r="F1148" s="161"/>
      <c r="G1148" s="76"/>
      <c r="H1148" s="87"/>
      <c r="I1148" s="75"/>
      <c r="J1148" s="75"/>
      <c r="K1148" s="75"/>
      <c r="L1148" s="88"/>
      <c r="M1148" s="77"/>
      <c r="N1148" s="77"/>
      <c r="O1148" s="78"/>
      <c r="S1148" s="148"/>
      <c r="T1148"/>
      <c r="U1148"/>
    </row>
    <row r="1149" spans="1:21" x14ac:dyDescent="0.2">
      <c r="A1149" s="73"/>
      <c r="B1149" s="73"/>
      <c r="C1149" s="74"/>
      <c r="D1149" s="75"/>
      <c r="E1149" s="85"/>
      <c r="F1149" s="161"/>
      <c r="G1149" s="76"/>
      <c r="H1149" s="87"/>
      <c r="I1149" s="75"/>
      <c r="J1149" s="75"/>
      <c r="K1149" s="75"/>
      <c r="L1149" s="88"/>
      <c r="M1149" s="77"/>
      <c r="N1149" s="77"/>
      <c r="O1149" s="78"/>
      <c r="S1149" s="148"/>
      <c r="T1149"/>
      <c r="U1149"/>
    </row>
    <row r="1150" spans="1:21" x14ac:dyDescent="0.2">
      <c r="A1150" s="73"/>
      <c r="B1150" s="73"/>
      <c r="C1150" s="74"/>
      <c r="D1150" s="75"/>
      <c r="E1150" s="85"/>
      <c r="F1150" s="161"/>
      <c r="G1150" s="76"/>
      <c r="H1150" s="87"/>
      <c r="I1150" s="75"/>
      <c r="J1150" s="75"/>
      <c r="K1150" s="75"/>
      <c r="L1150" s="88"/>
      <c r="M1150" s="77"/>
      <c r="N1150" s="77"/>
      <c r="O1150" s="78"/>
      <c r="S1150" s="148"/>
      <c r="T1150"/>
      <c r="U1150"/>
    </row>
    <row r="1151" spans="1:21" x14ac:dyDescent="0.2">
      <c r="A1151" s="73"/>
      <c r="B1151" s="73"/>
      <c r="C1151" s="74"/>
      <c r="D1151" s="75"/>
      <c r="E1151" s="85"/>
      <c r="F1151" s="161"/>
      <c r="G1151" s="76"/>
      <c r="H1151" s="87"/>
      <c r="I1151" s="75"/>
      <c r="J1151" s="75"/>
      <c r="K1151" s="75"/>
      <c r="L1151" s="88"/>
      <c r="M1151" s="77"/>
      <c r="N1151" s="77"/>
      <c r="O1151" s="78"/>
      <c r="S1151" s="148"/>
      <c r="T1151"/>
      <c r="U1151"/>
    </row>
    <row r="1152" spans="1:21" x14ac:dyDescent="0.2">
      <c r="A1152" s="73"/>
      <c r="B1152" s="73"/>
      <c r="C1152" s="74"/>
      <c r="D1152" s="75"/>
      <c r="E1152" s="85"/>
      <c r="F1152" s="161"/>
      <c r="G1152" s="76"/>
      <c r="H1152" s="87"/>
      <c r="I1152" s="75"/>
      <c r="J1152" s="75"/>
      <c r="K1152" s="75"/>
      <c r="L1152" s="88"/>
      <c r="M1152" s="77"/>
      <c r="N1152" s="77"/>
      <c r="O1152" s="78"/>
      <c r="S1152" s="148"/>
      <c r="T1152"/>
      <c r="U1152"/>
    </row>
    <row r="1153" spans="1:21" x14ac:dyDescent="0.2">
      <c r="A1153" s="73"/>
      <c r="B1153" s="73"/>
      <c r="C1153" s="74"/>
      <c r="D1153" s="75"/>
      <c r="E1153" s="85"/>
      <c r="F1153" s="161"/>
      <c r="G1153" s="76"/>
      <c r="H1153" s="87"/>
      <c r="I1153" s="75"/>
      <c r="J1153" s="75"/>
      <c r="K1153" s="75"/>
      <c r="L1153" s="88"/>
      <c r="M1153" s="77"/>
      <c r="N1153" s="77"/>
      <c r="O1153" s="78"/>
      <c r="S1153" s="148"/>
      <c r="T1153"/>
      <c r="U1153"/>
    </row>
    <row r="1154" spans="1:21" x14ac:dyDescent="0.2">
      <c r="A1154" s="73"/>
      <c r="B1154" s="73"/>
      <c r="C1154" s="74"/>
      <c r="D1154" s="75"/>
      <c r="E1154" s="85"/>
      <c r="F1154" s="161"/>
      <c r="G1154" s="76"/>
      <c r="H1154" s="87"/>
      <c r="I1154" s="75"/>
      <c r="J1154" s="75"/>
      <c r="K1154" s="75"/>
      <c r="L1154" s="88"/>
      <c r="M1154" s="77"/>
      <c r="N1154" s="77"/>
      <c r="O1154" s="78"/>
      <c r="S1154" s="148"/>
      <c r="T1154"/>
      <c r="U1154"/>
    </row>
    <row r="1155" spans="1:21" x14ac:dyDescent="0.2">
      <c r="A1155" s="73"/>
      <c r="B1155" s="73"/>
      <c r="C1155" s="74"/>
      <c r="D1155" s="75"/>
      <c r="E1155" s="85"/>
      <c r="F1155" s="161"/>
      <c r="G1155" s="76"/>
      <c r="H1155" s="87"/>
      <c r="I1155" s="75"/>
      <c r="J1155" s="75"/>
      <c r="K1155" s="75"/>
      <c r="L1155" s="88"/>
      <c r="M1155" s="77"/>
      <c r="N1155" s="77"/>
      <c r="O1155" s="78"/>
      <c r="S1155" s="148"/>
      <c r="T1155"/>
      <c r="U1155"/>
    </row>
    <row r="1156" spans="1:21" x14ac:dyDescent="0.2">
      <c r="A1156" s="73"/>
      <c r="B1156" s="73"/>
      <c r="C1156" s="74"/>
      <c r="D1156" s="75"/>
      <c r="E1156" s="85"/>
      <c r="F1156" s="161"/>
      <c r="G1156" s="76"/>
      <c r="H1156" s="87"/>
      <c r="I1156" s="75"/>
      <c r="J1156" s="75"/>
      <c r="K1156" s="75"/>
      <c r="L1156" s="88"/>
      <c r="M1156" s="77"/>
      <c r="N1156" s="77"/>
      <c r="O1156" s="78"/>
      <c r="S1156" s="148"/>
      <c r="T1156"/>
      <c r="U1156"/>
    </row>
    <row r="1157" spans="1:21" x14ac:dyDescent="0.2">
      <c r="A1157" s="73"/>
      <c r="B1157" s="73"/>
      <c r="C1157" s="74"/>
      <c r="D1157" s="75"/>
      <c r="E1157" s="85"/>
      <c r="F1157" s="161"/>
      <c r="G1157" s="76"/>
      <c r="H1157" s="87"/>
      <c r="I1157" s="75"/>
      <c r="J1157" s="75"/>
      <c r="K1157" s="75"/>
      <c r="L1157" s="88"/>
      <c r="M1157" s="77"/>
      <c r="N1157" s="77"/>
      <c r="O1157" s="78"/>
      <c r="S1157" s="148"/>
      <c r="T1157"/>
      <c r="U1157"/>
    </row>
    <row r="1158" spans="1:21" x14ac:dyDescent="0.2">
      <c r="A1158" s="73"/>
      <c r="B1158" s="73"/>
      <c r="C1158" s="74"/>
      <c r="D1158" s="75"/>
      <c r="E1158" s="85"/>
      <c r="F1158" s="161"/>
      <c r="G1158" s="76"/>
      <c r="H1158" s="87"/>
      <c r="I1158" s="75"/>
      <c r="J1158" s="75"/>
      <c r="K1158" s="75"/>
      <c r="L1158" s="88"/>
      <c r="M1158" s="77"/>
      <c r="N1158" s="77"/>
      <c r="O1158" s="78"/>
      <c r="S1158" s="148"/>
      <c r="T1158"/>
      <c r="U1158"/>
    </row>
    <row r="1159" spans="1:21" x14ac:dyDescent="0.2">
      <c r="A1159" s="73"/>
      <c r="B1159" s="73"/>
      <c r="C1159" s="74"/>
      <c r="D1159" s="75"/>
      <c r="E1159" s="85"/>
      <c r="F1159" s="161"/>
      <c r="G1159" s="76"/>
      <c r="H1159" s="87"/>
      <c r="I1159" s="75"/>
      <c r="J1159" s="75"/>
      <c r="K1159" s="75"/>
      <c r="L1159" s="88"/>
      <c r="M1159" s="77"/>
      <c r="N1159" s="77"/>
      <c r="O1159" s="78"/>
      <c r="S1159" s="148"/>
      <c r="T1159"/>
      <c r="U1159"/>
    </row>
    <row r="1160" spans="1:21" x14ac:dyDescent="0.2">
      <c r="A1160" s="73"/>
      <c r="B1160" s="73"/>
      <c r="C1160" s="74"/>
      <c r="D1160" s="75"/>
      <c r="E1160" s="85"/>
      <c r="F1160" s="161"/>
      <c r="G1160" s="76"/>
      <c r="H1160" s="87"/>
      <c r="I1160" s="75"/>
      <c r="J1160" s="75"/>
      <c r="K1160" s="75"/>
      <c r="L1160" s="88"/>
      <c r="M1160" s="77"/>
      <c r="N1160" s="77"/>
      <c r="O1160" s="78"/>
      <c r="S1160" s="148"/>
      <c r="T1160"/>
      <c r="U1160"/>
    </row>
    <row r="1161" spans="1:21" x14ac:dyDescent="0.2">
      <c r="A1161" s="73"/>
      <c r="B1161" s="73"/>
      <c r="C1161" s="74"/>
      <c r="D1161" s="75"/>
      <c r="E1161" s="85"/>
      <c r="F1161" s="161"/>
      <c r="G1161" s="76"/>
      <c r="H1161" s="87"/>
      <c r="I1161" s="75"/>
      <c r="J1161" s="75"/>
      <c r="K1161" s="75"/>
      <c r="L1161" s="88"/>
      <c r="M1161" s="77"/>
      <c r="N1161" s="77"/>
      <c r="O1161" s="78"/>
      <c r="S1161" s="148"/>
      <c r="T1161"/>
      <c r="U1161"/>
    </row>
    <row r="1162" spans="1:21" x14ac:dyDescent="0.2">
      <c r="A1162" s="73"/>
      <c r="B1162" s="73"/>
      <c r="C1162" s="74"/>
      <c r="D1162" s="75"/>
      <c r="E1162" s="85"/>
      <c r="F1162" s="161"/>
      <c r="G1162" s="76"/>
      <c r="H1162" s="87"/>
      <c r="I1162" s="75"/>
      <c r="J1162" s="75"/>
      <c r="K1162" s="75"/>
      <c r="L1162" s="88"/>
      <c r="M1162" s="77"/>
      <c r="N1162" s="77"/>
      <c r="O1162" s="78"/>
      <c r="S1162" s="148"/>
      <c r="T1162"/>
      <c r="U1162"/>
    </row>
    <row r="1163" spans="1:21" x14ac:dyDescent="0.2">
      <c r="A1163" s="73"/>
      <c r="B1163" s="73"/>
      <c r="C1163" s="74"/>
      <c r="D1163" s="75"/>
      <c r="E1163" s="85"/>
      <c r="F1163" s="161"/>
      <c r="G1163" s="76"/>
      <c r="H1163" s="87"/>
      <c r="I1163" s="75"/>
      <c r="J1163" s="75"/>
      <c r="K1163" s="75"/>
      <c r="L1163" s="88"/>
      <c r="M1163" s="77"/>
      <c r="N1163" s="77"/>
      <c r="O1163" s="78"/>
      <c r="S1163" s="148"/>
      <c r="T1163"/>
      <c r="U1163"/>
    </row>
    <row r="1164" spans="1:21" x14ac:dyDescent="0.2">
      <c r="A1164" s="73"/>
      <c r="B1164" s="73"/>
      <c r="C1164" s="74"/>
      <c r="D1164" s="75"/>
      <c r="E1164" s="85"/>
      <c r="F1164" s="161"/>
      <c r="G1164" s="76"/>
      <c r="H1164" s="87"/>
      <c r="I1164" s="75"/>
      <c r="J1164" s="75"/>
      <c r="K1164" s="75"/>
      <c r="L1164" s="88"/>
      <c r="M1164" s="77"/>
      <c r="N1164" s="77"/>
      <c r="O1164" s="78"/>
      <c r="S1164" s="148"/>
      <c r="T1164"/>
      <c r="U1164"/>
    </row>
    <row r="1165" spans="1:21" x14ac:dyDescent="0.2">
      <c r="A1165" s="73"/>
      <c r="B1165" s="73"/>
      <c r="C1165" s="74"/>
      <c r="D1165" s="75"/>
      <c r="E1165" s="85"/>
      <c r="F1165" s="161"/>
      <c r="G1165" s="76"/>
      <c r="H1165" s="87"/>
      <c r="I1165" s="75"/>
      <c r="J1165" s="75"/>
      <c r="K1165" s="75"/>
      <c r="L1165" s="88"/>
      <c r="M1165" s="77"/>
      <c r="N1165" s="77"/>
      <c r="O1165" s="78"/>
      <c r="S1165" s="148"/>
      <c r="T1165"/>
      <c r="U1165"/>
    </row>
    <row r="1166" spans="1:21" x14ac:dyDescent="0.2">
      <c r="A1166" s="73"/>
      <c r="B1166" s="73"/>
      <c r="C1166" s="74"/>
      <c r="D1166" s="75"/>
      <c r="E1166" s="85"/>
      <c r="F1166" s="161"/>
      <c r="G1166" s="76"/>
      <c r="H1166" s="87"/>
      <c r="I1166" s="75"/>
      <c r="J1166" s="75"/>
      <c r="K1166" s="75"/>
      <c r="L1166" s="88"/>
      <c r="M1166" s="77"/>
      <c r="N1166" s="77"/>
      <c r="O1166" s="78"/>
      <c r="S1166" s="148"/>
      <c r="T1166"/>
      <c r="U1166"/>
    </row>
    <row r="1167" spans="1:21" x14ac:dyDescent="0.2">
      <c r="A1167" s="73"/>
      <c r="B1167" s="73"/>
      <c r="C1167" s="74"/>
      <c r="D1167" s="75"/>
      <c r="E1167" s="85"/>
      <c r="F1167" s="161"/>
      <c r="G1167" s="76"/>
      <c r="H1167" s="87"/>
      <c r="I1167" s="75"/>
      <c r="J1167" s="75"/>
      <c r="K1167" s="75"/>
      <c r="L1167" s="88"/>
      <c r="M1167" s="77"/>
      <c r="N1167" s="77"/>
      <c r="O1167" s="78"/>
      <c r="S1167" s="148"/>
      <c r="T1167"/>
      <c r="U1167"/>
    </row>
    <row r="1168" spans="1:21" x14ac:dyDescent="0.2">
      <c r="A1168" s="73"/>
      <c r="B1168" s="73"/>
      <c r="C1168" s="74"/>
      <c r="D1168" s="75"/>
      <c r="E1168" s="85"/>
      <c r="F1168" s="161"/>
      <c r="G1168" s="76"/>
      <c r="H1168" s="87"/>
      <c r="I1168" s="75"/>
      <c r="J1168" s="75"/>
      <c r="K1168" s="75"/>
      <c r="L1168" s="88"/>
      <c r="M1168" s="77"/>
      <c r="N1168" s="77"/>
      <c r="O1168" s="78"/>
      <c r="S1168" s="148"/>
      <c r="T1168"/>
      <c r="U1168"/>
    </row>
    <row r="1169" spans="1:21" x14ac:dyDescent="0.2">
      <c r="A1169" s="73"/>
      <c r="B1169" s="73"/>
      <c r="C1169" s="74"/>
      <c r="D1169" s="75"/>
      <c r="E1169" s="85"/>
      <c r="F1169" s="161"/>
      <c r="G1169" s="76"/>
      <c r="H1169" s="87"/>
      <c r="I1169" s="75"/>
      <c r="J1169" s="75"/>
      <c r="K1169" s="75"/>
      <c r="L1169" s="88"/>
      <c r="M1169" s="77"/>
      <c r="N1169" s="77"/>
      <c r="O1169" s="78"/>
      <c r="S1169" s="148"/>
      <c r="T1169"/>
      <c r="U1169"/>
    </row>
    <row r="1170" spans="1:21" x14ac:dyDescent="0.2">
      <c r="A1170" s="73"/>
      <c r="B1170" s="73"/>
      <c r="C1170" s="74"/>
      <c r="D1170" s="75"/>
      <c r="E1170" s="85"/>
      <c r="F1170" s="161"/>
      <c r="G1170" s="76"/>
      <c r="H1170" s="87"/>
      <c r="I1170" s="75"/>
      <c r="J1170" s="75"/>
      <c r="K1170" s="75"/>
      <c r="L1170" s="88"/>
      <c r="M1170" s="77"/>
      <c r="N1170" s="77"/>
      <c r="O1170" s="78"/>
      <c r="S1170" s="148"/>
      <c r="T1170"/>
      <c r="U1170"/>
    </row>
    <row r="1171" spans="1:21" x14ac:dyDescent="0.2">
      <c r="A1171" s="73"/>
      <c r="B1171" s="73"/>
      <c r="C1171" s="74"/>
      <c r="D1171" s="75"/>
      <c r="E1171" s="85"/>
      <c r="F1171" s="161"/>
      <c r="G1171" s="76"/>
      <c r="H1171" s="87"/>
      <c r="I1171" s="75"/>
      <c r="J1171" s="75"/>
      <c r="K1171" s="75"/>
      <c r="L1171" s="88"/>
      <c r="M1171" s="77"/>
      <c r="N1171" s="77"/>
      <c r="O1171" s="78"/>
      <c r="S1171" s="148"/>
      <c r="T1171"/>
      <c r="U1171"/>
    </row>
    <row r="1172" spans="1:21" x14ac:dyDescent="0.2">
      <c r="A1172" s="73"/>
      <c r="B1172" s="73"/>
      <c r="C1172" s="74"/>
      <c r="D1172" s="75"/>
      <c r="E1172" s="85"/>
      <c r="F1172" s="161"/>
      <c r="G1172" s="76"/>
      <c r="H1172" s="87"/>
      <c r="I1172" s="75"/>
      <c r="J1172" s="75"/>
      <c r="K1172" s="75"/>
      <c r="L1172" s="88"/>
      <c r="M1172" s="77"/>
      <c r="N1172" s="77"/>
      <c r="O1172" s="78"/>
      <c r="S1172" s="148"/>
      <c r="T1172"/>
      <c r="U1172"/>
    </row>
    <row r="1173" spans="1:21" x14ac:dyDescent="0.2">
      <c r="A1173" s="73"/>
      <c r="B1173" s="73"/>
      <c r="C1173" s="74"/>
      <c r="D1173" s="75"/>
      <c r="E1173" s="85"/>
      <c r="F1173" s="161"/>
      <c r="G1173" s="76"/>
      <c r="H1173" s="87"/>
      <c r="I1173" s="75"/>
      <c r="J1173" s="75"/>
      <c r="K1173" s="75"/>
      <c r="L1173" s="88"/>
      <c r="M1173" s="77"/>
      <c r="N1173" s="77"/>
      <c r="O1173" s="78"/>
      <c r="S1173" s="148"/>
      <c r="T1173"/>
      <c r="U1173"/>
    </row>
    <row r="1174" spans="1:21" x14ac:dyDescent="0.2">
      <c r="A1174" s="73"/>
      <c r="B1174" s="73"/>
      <c r="C1174" s="74"/>
      <c r="D1174" s="75"/>
      <c r="E1174" s="85"/>
      <c r="F1174" s="161"/>
      <c r="G1174" s="76"/>
      <c r="H1174" s="87"/>
      <c r="I1174" s="75"/>
      <c r="J1174" s="75"/>
      <c r="K1174" s="75"/>
      <c r="L1174" s="88"/>
      <c r="M1174" s="77"/>
      <c r="N1174" s="77"/>
      <c r="O1174" s="78"/>
      <c r="S1174" s="148"/>
      <c r="T1174"/>
      <c r="U1174"/>
    </row>
    <row r="1175" spans="1:21" x14ac:dyDescent="0.2">
      <c r="A1175" s="73"/>
      <c r="B1175" s="73"/>
      <c r="C1175" s="74"/>
      <c r="D1175" s="75"/>
      <c r="E1175" s="85"/>
      <c r="F1175" s="161"/>
      <c r="G1175" s="76"/>
      <c r="H1175" s="87"/>
      <c r="I1175" s="75"/>
      <c r="J1175" s="75"/>
      <c r="K1175" s="75"/>
      <c r="L1175" s="88"/>
      <c r="M1175" s="77"/>
      <c r="N1175" s="77"/>
      <c r="O1175" s="78"/>
      <c r="S1175" s="148"/>
      <c r="T1175"/>
      <c r="U1175"/>
    </row>
    <row r="1176" spans="1:21" x14ac:dyDescent="0.2">
      <c r="A1176" s="73"/>
      <c r="B1176" s="73"/>
      <c r="C1176" s="74"/>
      <c r="D1176" s="75"/>
      <c r="E1176" s="85"/>
      <c r="F1176" s="161"/>
      <c r="G1176" s="76"/>
      <c r="H1176" s="87"/>
      <c r="I1176" s="75"/>
      <c r="J1176" s="75"/>
      <c r="K1176" s="75"/>
      <c r="L1176" s="88"/>
      <c r="M1176" s="77"/>
      <c r="N1176" s="77"/>
      <c r="O1176" s="78"/>
      <c r="S1176" s="148"/>
      <c r="T1176"/>
      <c r="U1176"/>
    </row>
    <row r="1177" spans="1:21" x14ac:dyDescent="0.2">
      <c r="A1177" s="73"/>
      <c r="B1177" s="73"/>
      <c r="C1177" s="74"/>
      <c r="D1177" s="75"/>
      <c r="E1177" s="85"/>
      <c r="F1177" s="161"/>
      <c r="G1177" s="76"/>
      <c r="H1177" s="87"/>
      <c r="I1177" s="75"/>
      <c r="J1177" s="75"/>
      <c r="K1177" s="75"/>
      <c r="L1177" s="88"/>
      <c r="M1177" s="77"/>
      <c r="N1177" s="77"/>
      <c r="O1177" s="78"/>
      <c r="S1177" s="148"/>
      <c r="T1177"/>
      <c r="U1177"/>
    </row>
    <row r="1178" spans="1:21" x14ac:dyDescent="0.2">
      <c r="A1178" s="73"/>
      <c r="B1178" s="73"/>
      <c r="C1178" s="74"/>
      <c r="D1178" s="75"/>
      <c r="E1178" s="85"/>
      <c r="F1178" s="161"/>
      <c r="G1178" s="76"/>
      <c r="H1178" s="87"/>
      <c r="I1178" s="75"/>
      <c r="J1178" s="75"/>
      <c r="K1178" s="75"/>
      <c r="L1178" s="88"/>
      <c r="M1178" s="77"/>
      <c r="N1178" s="77"/>
      <c r="O1178" s="78"/>
      <c r="S1178" s="148"/>
      <c r="T1178"/>
      <c r="U1178"/>
    </row>
    <row r="1179" spans="1:21" x14ac:dyDescent="0.2">
      <c r="A1179" s="73"/>
      <c r="B1179" s="73"/>
      <c r="C1179" s="74"/>
      <c r="D1179" s="75"/>
      <c r="E1179" s="85"/>
      <c r="F1179" s="161"/>
      <c r="G1179" s="76"/>
      <c r="H1179" s="87"/>
      <c r="I1179" s="75"/>
      <c r="J1179" s="75"/>
      <c r="K1179" s="75"/>
      <c r="L1179" s="88"/>
      <c r="M1179" s="77"/>
      <c r="N1179" s="77"/>
      <c r="O1179" s="78"/>
      <c r="S1179" s="148"/>
      <c r="T1179"/>
      <c r="U1179"/>
    </row>
    <row r="1180" spans="1:21" x14ac:dyDescent="0.2">
      <c r="A1180" s="73"/>
      <c r="B1180" s="73"/>
      <c r="C1180" s="74"/>
      <c r="D1180" s="75"/>
      <c r="E1180" s="85"/>
      <c r="F1180" s="161"/>
      <c r="G1180" s="76"/>
      <c r="H1180" s="87"/>
      <c r="I1180" s="75"/>
      <c r="J1180" s="75"/>
      <c r="K1180" s="75"/>
      <c r="L1180" s="88"/>
      <c r="M1180" s="77"/>
      <c r="N1180" s="77"/>
      <c r="O1180" s="78"/>
      <c r="S1180" s="148"/>
      <c r="T1180"/>
      <c r="U1180"/>
    </row>
    <row r="1181" spans="1:21" x14ac:dyDescent="0.2">
      <c r="A1181" s="73"/>
      <c r="B1181" s="73"/>
      <c r="C1181" s="74"/>
      <c r="D1181" s="75"/>
      <c r="E1181" s="85"/>
      <c r="F1181" s="161"/>
      <c r="G1181" s="76"/>
      <c r="H1181" s="87"/>
      <c r="I1181" s="75"/>
      <c r="J1181" s="75"/>
      <c r="K1181" s="75"/>
      <c r="L1181" s="88"/>
      <c r="M1181" s="77"/>
      <c r="N1181" s="77"/>
      <c r="O1181" s="78"/>
      <c r="S1181" s="148"/>
      <c r="T1181"/>
      <c r="U1181"/>
    </row>
    <row r="1182" spans="1:21" x14ac:dyDescent="0.2">
      <c r="A1182" s="73"/>
      <c r="B1182" s="73"/>
      <c r="C1182" s="74"/>
      <c r="D1182" s="75"/>
      <c r="E1182" s="85"/>
      <c r="F1182" s="161"/>
      <c r="G1182" s="76"/>
      <c r="H1182" s="87"/>
      <c r="I1182" s="75"/>
      <c r="J1182" s="75"/>
      <c r="K1182" s="75"/>
      <c r="L1182" s="88"/>
      <c r="M1182" s="77"/>
      <c r="N1182" s="77"/>
      <c r="O1182" s="78"/>
      <c r="S1182" s="148"/>
      <c r="T1182"/>
      <c r="U1182"/>
    </row>
    <row r="1183" spans="1:21" x14ac:dyDescent="0.2">
      <c r="A1183" s="73"/>
      <c r="B1183" s="73"/>
      <c r="C1183" s="74"/>
      <c r="D1183" s="75"/>
      <c r="E1183" s="85"/>
      <c r="F1183" s="161"/>
      <c r="G1183" s="76"/>
      <c r="H1183" s="87"/>
      <c r="I1183" s="75"/>
      <c r="J1183" s="75"/>
      <c r="K1183" s="75"/>
      <c r="L1183" s="88"/>
      <c r="M1183" s="77"/>
      <c r="N1183" s="77"/>
      <c r="O1183" s="78"/>
      <c r="S1183" s="148"/>
      <c r="T1183"/>
      <c r="U1183"/>
    </row>
    <row r="1184" spans="1:21" x14ac:dyDescent="0.2">
      <c r="A1184" s="73"/>
      <c r="B1184" s="73"/>
      <c r="C1184" s="74"/>
      <c r="D1184" s="75"/>
      <c r="E1184" s="85"/>
      <c r="F1184" s="161"/>
      <c r="G1184" s="76"/>
      <c r="H1184" s="87"/>
      <c r="I1184" s="75"/>
      <c r="J1184" s="75"/>
      <c r="K1184" s="75"/>
      <c r="L1184" s="88"/>
      <c r="M1184" s="77"/>
      <c r="N1184" s="77"/>
      <c r="O1184" s="78"/>
      <c r="S1184" s="148"/>
      <c r="T1184"/>
      <c r="U1184"/>
    </row>
    <row r="1185" spans="1:21" x14ac:dyDescent="0.2">
      <c r="A1185" s="73"/>
      <c r="B1185" s="73"/>
      <c r="C1185" s="74"/>
      <c r="D1185" s="75"/>
      <c r="E1185" s="85"/>
      <c r="F1185" s="161"/>
      <c r="G1185" s="76"/>
      <c r="H1185" s="87"/>
      <c r="I1185" s="75"/>
      <c r="J1185" s="75"/>
      <c r="K1185" s="75"/>
      <c r="L1185" s="88"/>
      <c r="M1185" s="77"/>
      <c r="N1185" s="77"/>
      <c r="O1185" s="78"/>
      <c r="S1185" s="148"/>
      <c r="T1185"/>
      <c r="U1185"/>
    </row>
    <row r="1186" spans="1:21" x14ac:dyDescent="0.2">
      <c r="A1186" s="73"/>
      <c r="B1186" s="73"/>
      <c r="C1186" s="74"/>
      <c r="D1186" s="75"/>
      <c r="E1186" s="85"/>
      <c r="F1186" s="161"/>
      <c r="G1186" s="76"/>
      <c r="H1186" s="87"/>
      <c r="I1186" s="75"/>
      <c r="J1186" s="75"/>
      <c r="K1186" s="75"/>
      <c r="L1186" s="88"/>
      <c r="M1186" s="77"/>
      <c r="N1186" s="77"/>
      <c r="O1186" s="78"/>
      <c r="S1186" s="148"/>
      <c r="T1186"/>
      <c r="U1186"/>
    </row>
    <row r="1187" spans="1:21" x14ac:dyDescent="0.2">
      <c r="A1187" s="73"/>
      <c r="B1187" s="73"/>
      <c r="C1187" s="74"/>
      <c r="D1187" s="75"/>
      <c r="E1187" s="85"/>
      <c r="F1187" s="161"/>
      <c r="G1187" s="76"/>
      <c r="H1187" s="87"/>
      <c r="I1187" s="75"/>
      <c r="J1187" s="75"/>
      <c r="K1187" s="75"/>
      <c r="L1187" s="88"/>
      <c r="M1187" s="77"/>
      <c r="N1187" s="77"/>
      <c r="O1187" s="78"/>
      <c r="S1187" s="148"/>
      <c r="T1187"/>
      <c r="U1187"/>
    </row>
    <row r="1188" spans="1:21" x14ac:dyDescent="0.2">
      <c r="A1188" s="73"/>
      <c r="B1188" s="73"/>
      <c r="C1188" s="74"/>
      <c r="D1188" s="75"/>
      <c r="E1188" s="85"/>
      <c r="F1188" s="161"/>
      <c r="G1188" s="76"/>
      <c r="H1188" s="87"/>
      <c r="I1188" s="75"/>
      <c r="J1188" s="75"/>
      <c r="K1188" s="75"/>
      <c r="L1188" s="88"/>
      <c r="M1188" s="77"/>
      <c r="N1188" s="77"/>
      <c r="O1188" s="78"/>
      <c r="S1188" s="148"/>
      <c r="T1188"/>
      <c r="U1188"/>
    </row>
    <row r="1189" spans="1:21" x14ac:dyDescent="0.2">
      <c r="A1189" s="73"/>
      <c r="B1189" s="73"/>
      <c r="C1189" s="74"/>
      <c r="D1189" s="75"/>
      <c r="E1189" s="85"/>
      <c r="F1189" s="161"/>
      <c r="G1189" s="76"/>
      <c r="H1189" s="87"/>
      <c r="I1189" s="75"/>
      <c r="J1189" s="75"/>
      <c r="K1189" s="75"/>
      <c r="L1189" s="88"/>
      <c r="M1189" s="77"/>
      <c r="N1189" s="77"/>
      <c r="O1189" s="78"/>
      <c r="S1189" s="148"/>
      <c r="T1189"/>
      <c r="U1189"/>
    </row>
    <row r="1190" spans="1:21" x14ac:dyDescent="0.2">
      <c r="A1190" s="73"/>
      <c r="B1190" s="73"/>
      <c r="C1190" s="74"/>
      <c r="D1190" s="75"/>
      <c r="E1190" s="85"/>
      <c r="F1190" s="161"/>
      <c r="G1190" s="76"/>
      <c r="H1190" s="87"/>
      <c r="I1190" s="75"/>
      <c r="J1190" s="75"/>
      <c r="K1190" s="75"/>
      <c r="L1190" s="88"/>
      <c r="M1190" s="77"/>
      <c r="N1190" s="77"/>
      <c r="O1190" s="78"/>
      <c r="S1190" s="148"/>
      <c r="T1190"/>
      <c r="U1190"/>
    </row>
    <row r="1191" spans="1:21" x14ac:dyDescent="0.2">
      <c r="A1191" s="73"/>
      <c r="B1191" s="73"/>
      <c r="C1191" s="74"/>
      <c r="D1191" s="75"/>
      <c r="E1191" s="85"/>
      <c r="F1191" s="161"/>
      <c r="G1191" s="76"/>
      <c r="H1191" s="87"/>
      <c r="I1191" s="75"/>
      <c r="J1191" s="75"/>
      <c r="K1191" s="75"/>
      <c r="L1191" s="88"/>
      <c r="M1191" s="77"/>
      <c r="N1191" s="77"/>
      <c r="O1191" s="78"/>
      <c r="S1191" s="148"/>
      <c r="T1191"/>
      <c r="U1191"/>
    </row>
    <row r="1192" spans="1:21" x14ac:dyDescent="0.2">
      <c r="A1192" s="73"/>
      <c r="B1192" s="73"/>
      <c r="C1192" s="74"/>
      <c r="D1192" s="75"/>
      <c r="E1192" s="85"/>
      <c r="F1192" s="161"/>
      <c r="G1192" s="76"/>
      <c r="H1192" s="87"/>
      <c r="I1192" s="75"/>
      <c r="J1192" s="75"/>
      <c r="K1192" s="75"/>
      <c r="L1192" s="88"/>
      <c r="M1192" s="77"/>
      <c r="N1192" s="77"/>
      <c r="O1192" s="78"/>
      <c r="S1192" s="148"/>
      <c r="T1192"/>
      <c r="U1192"/>
    </row>
    <row r="1193" spans="1:21" x14ac:dyDescent="0.2">
      <c r="A1193" s="73"/>
      <c r="B1193" s="73"/>
      <c r="C1193" s="74"/>
      <c r="D1193" s="75"/>
      <c r="E1193" s="85"/>
      <c r="F1193" s="161"/>
      <c r="G1193" s="76"/>
      <c r="H1193" s="87"/>
      <c r="I1193" s="75"/>
      <c r="J1193" s="75"/>
      <c r="K1193" s="75"/>
      <c r="L1193" s="88"/>
      <c r="M1193" s="77"/>
      <c r="N1193" s="77"/>
      <c r="O1193" s="78"/>
      <c r="S1193" s="148"/>
      <c r="T1193"/>
      <c r="U1193"/>
    </row>
    <row r="1194" spans="1:21" x14ac:dyDescent="0.2">
      <c r="A1194" s="73"/>
      <c r="B1194" s="73"/>
      <c r="C1194" s="74"/>
      <c r="D1194" s="75"/>
      <c r="E1194" s="85"/>
      <c r="F1194" s="161"/>
      <c r="G1194" s="76"/>
      <c r="H1194" s="87"/>
      <c r="I1194" s="75"/>
      <c r="J1194" s="75"/>
      <c r="K1194" s="75"/>
      <c r="L1194" s="88"/>
      <c r="M1194" s="77"/>
      <c r="N1194" s="77"/>
      <c r="O1194" s="78"/>
      <c r="S1194" s="148"/>
      <c r="T1194"/>
      <c r="U1194"/>
    </row>
    <row r="1195" spans="1:21" x14ac:dyDescent="0.2">
      <c r="A1195" s="73"/>
      <c r="B1195" s="73"/>
      <c r="C1195" s="74"/>
      <c r="D1195" s="75"/>
      <c r="E1195" s="85"/>
      <c r="F1195" s="161"/>
      <c r="G1195" s="76"/>
      <c r="H1195" s="87"/>
      <c r="I1195" s="75"/>
      <c r="J1195" s="75"/>
      <c r="K1195" s="75"/>
      <c r="L1195" s="88"/>
      <c r="M1195" s="77"/>
      <c r="N1195" s="77"/>
      <c r="O1195" s="78"/>
      <c r="S1195" s="148"/>
      <c r="T1195"/>
      <c r="U1195"/>
    </row>
    <row r="1196" spans="1:21" x14ac:dyDescent="0.2">
      <c r="A1196" s="73"/>
      <c r="B1196" s="73"/>
      <c r="C1196" s="74"/>
      <c r="D1196" s="75"/>
      <c r="E1196" s="85"/>
      <c r="F1196" s="161"/>
      <c r="G1196" s="76"/>
      <c r="H1196" s="87"/>
      <c r="I1196" s="75"/>
      <c r="J1196" s="75"/>
      <c r="K1196" s="75"/>
      <c r="L1196" s="88"/>
      <c r="M1196" s="77"/>
      <c r="N1196" s="77"/>
      <c r="O1196" s="78"/>
      <c r="S1196" s="148"/>
      <c r="T1196"/>
      <c r="U1196"/>
    </row>
    <row r="1197" spans="1:21" x14ac:dyDescent="0.2">
      <c r="A1197" s="73"/>
      <c r="B1197" s="73"/>
      <c r="C1197" s="74"/>
      <c r="D1197" s="75"/>
      <c r="E1197" s="85"/>
      <c r="F1197" s="161"/>
      <c r="G1197" s="76"/>
      <c r="H1197" s="87"/>
      <c r="I1197" s="75"/>
      <c r="J1197" s="75"/>
      <c r="K1197" s="75"/>
      <c r="L1197" s="88"/>
      <c r="M1197" s="77"/>
      <c r="N1197" s="77"/>
      <c r="O1197" s="78"/>
      <c r="S1197" s="148"/>
      <c r="T1197"/>
      <c r="U1197"/>
    </row>
    <row r="1198" spans="1:21" x14ac:dyDescent="0.2">
      <c r="A1198" s="73"/>
      <c r="B1198" s="73"/>
      <c r="C1198" s="74"/>
      <c r="D1198" s="75"/>
      <c r="E1198" s="85"/>
      <c r="F1198" s="161"/>
      <c r="G1198" s="76"/>
      <c r="H1198" s="87"/>
      <c r="I1198" s="75"/>
      <c r="J1198" s="75"/>
      <c r="K1198" s="75"/>
      <c r="L1198" s="88"/>
      <c r="M1198" s="77"/>
      <c r="N1198" s="77"/>
      <c r="O1198" s="78"/>
      <c r="S1198" s="148"/>
      <c r="T1198"/>
      <c r="U1198"/>
    </row>
    <row r="1199" spans="1:21" x14ac:dyDescent="0.2">
      <c r="A1199" s="73"/>
      <c r="B1199" s="73"/>
      <c r="C1199" s="74"/>
      <c r="D1199" s="75"/>
      <c r="E1199" s="85"/>
      <c r="F1199" s="161"/>
      <c r="G1199" s="76"/>
      <c r="H1199" s="87"/>
      <c r="I1199" s="75"/>
      <c r="J1199" s="75"/>
      <c r="K1199" s="75"/>
      <c r="L1199" s="88"/>
      <c r="M1199" s="77"/>
      <c r="N1199" s="77"/>
      <c r="O1199" s="78"/>
      <c r="S1199" s="148"/>
      <c r="T1199"/>
      <c r="U1199"/>
    </row>
    <row r="1200" spans="1:21" x14ac:dyDescent="0.2">
      <c r="A1200" s="73"/>
      <c r="B1200" s="73"/>
      <c r="C1200" s="74"/>
      <c r="D1200" s="75"/>
      <c r="E1200" s="85"/>
      <c r="F1200" s="161"/>
      <c r="G1200" s="76"/>
      <c r="H1200" s="87"/>
      <c r="I1200" s="75"/>
      <c r="J1200" s="75"/>
      <c r="K1200" s="75"/>
      <c r="L1200" s="88"/>
      <c r="M1200" s="77"/>
      <c r="N1200" s="77"/>
      <c r="O1200" s="78"/>
      <c r="S1200" s="148"/>
      <c r="T1200"/>
      <c r="U1200"/>
    </row>
    <row r="1201" spans="1:21" x14ac:dyDescent="0.2">
      <c r="A1201" s="73"/>
      <c r="B1201" s="73"/>
      <c r="C1201" s="74"/>
      <c r="D1201" s="75"/>
      <c r="E1201" s="85"/>
      <c r="F1201" s="161"/>
      <c r="G1201" s="76"/>
      <c r="H1201" s="87"/>
      <c r="I1201" s="75"/>
      <c r="J1201" s="75"/>
      <c r="K1201" s="75"/>
      <c r="L1201" s="88"/>
      <c r="M1201" s="77"/>
      <c r="N1201" s="77"/>
      <c r="O1201" s="78"/>
      <c r="S1201" s="148"/>
      <c r="T1201"/>
      <c r="U1201"/>
    </row>
    <row r="1202" spans="1:21" x14ac:dyDescent="0.2">
      <c r="A1202" s="73"/>
      <c r="B1202" s="73"/>
      <c r="C1202" s="74"/>
      <c r="D1202" s="75"/>
      <c r="E1202" s="85"/>
      <c r="F1202" s="161"/>
      <c r="G1202" s="76"/>
      <c r="H1202" s="87"/>
      <c r="I1202" s="75"/>
      <c r="J1202" s="75"/>
      <c r="K1202" s="75"/>
      <c r="L1202" s="88"/>
      <c r="M1202" s="77"/>
      <c r="N1202" s="77"/>
      <c r="O1202" s="78"/>
      <c r="S1202" s="148"/>
      <c r="T1202"/>
      <c r="U1202"/>
    </row>
    <row r="1203" spans="1:21" x14ac:dyDescent="0.2">
      <c r="A1203" s="73"/>
      <c r="B1203" s="73"/>
      <c r="C1203" s="74"/>
      <c r="D1203" s="75"/>
      <c r="E1203" s="85"/>
      <c r="F1203" s="161"/>
      <c r="G1203" s="76"/>
      <c r="H1203" s="87"/>
      <c r="I1203" s="75"/>
      <c r="J1203" s="75"/>
      <c r="K1203" s="75"/>
      <c r="L1203" s="88"/>
      <c r="M1203" s="77"/>
      <c r="N1203" s="77"/>
      <c r="O1203" s="78"/>
      <c r="S1203" s="148"/>
      <c r="T1203"/>
      <c r="U1203"/>
    </row>
    <row r="1204" spans="1:21" x14ac:dyDescent="0.2">
      <c r="A1204" s="73"/>
      <c r="B1204" s="73"/>
      <c r="C1204" s="74"/>
      <c r="D1204" s="75"/>
      <c r="E1204" s="85"/>
      <c r="F1204" s="161"/>
      <c r="G1204" s="76"/>
      <c r="H1204" s="87"/>
      <c r="I1204" s="75"/>
      <c r="J1204" s="75"/>
      <c r="K1204" s="75"/>
      <c r="L1204" s="88"/>
      <c r="M1204" s="77"/>
      <c r="N1204" s="77"/>
      <c r="O1204" s="78"/>
      <c r="S1204" s="148"/>
      <c r="T1204"/>
      <c r="U1204"/>
    </row>
    <row r="1205" spans="1:21" x14ac:dyDescent="0.2">
      <c r="A1205" s="73"/>
      <c r="B1205" s="73"/>
      <c r="C1205" s="74"/>
      <c r="D1205" s="75"/>
      <c r="E1205" s="85"/>
      <c r="F1205" s="161"/>
      <c r="G1205" s="76"/>
      <c r="H1205" s="87"/>
      <c r="I1205" s="75"/>
      <c r="J1205" s="75"/>
      <c r="K1205" s="75"/>
      <c r="L1205" s="88"/>
      <c r="M1205" s="77"/>
      <c r="N1205" s="77"/>
      <c r="O1205" s="78"/>
      <c r="S1205" s="148"/>
      <c r="T1205"/>
      <c r="U1205"/>
    </row>
    <row r="1206" spans="1:21" x14ac:dyDescent="0.2">
      <c r="A1206" s="73"/>
      <c r="B1206" s="73"/>
      <c r="C1206" s="74"/>
      <c r="D1206" s="75"/>
      <c r="E1206" s="85"/>
      <c r="F1206" s="161"/>
      <c r="G1206" s="76"/>
      <c r="H1206" s="87"/>
      <c r="I1206" s="75"/>
      <c r="J1206" s="75"/>
      <c r="K1206" s="75"/>
      <c r="L1206" s="88"/>
      <c r="M1206" s="77"/>
      <c r="N1206" s="77"/>
      <c r="O1206" s="78"/>
      <c r="S1206" s="148"/>
      <c r="T1206"/>
      <c r="U1206"/>
    </row>
    <row r="1207" spans="1:21" x14ac:dyDescent="0.2">
      <c r="A1207" s="73"/>
      <c r="B1207" s="73"/>
      <c r="C1207" s="74"/>
      <c r="D1207" s="75"/>
      <c r="E1207" s="85"/>
      <c r="F1207" s="161"/>
      <c r="G1207" s="76"/>
      <c r="H1207" s="87"/>
      <c r="I1207" s="75"/>
      <c r="J1207" s="75"/>
      <c r="K1207" s="75"/>
      <c r="L1207" s="88"/>
      <c r="M1207" s="77"/>
      <c r="N1207" s="77"/>
      <c r="O1207" s="78"/>
      <c r="S1207" s="148"/>
      <c r="T1207"/>
      <c r="U1207"/>
    </row>
    <row r="1208" spans="1:21" x14ac:dyDescent="0.2">
      <c r="A1208" s="73"/>
      <c r="B1208" s="73"/>
      <c r="C1208" s="74"/>
      <c r="D1208" s="75"/>
      <c r="E1208" s="85"/>
      <c r="F1208" s="161"/>
      <c r="G1208" s="76"/>
      <c r="H1208" s="87"/>
      <c r="I1208" s="75"/>
      <c r="J1208" s="75"/>
      <c r="K1208" s="75"/>
      <c r="L1208" s="88"/>
      <c r="M1208" s="77"/>
      <c r="N1208" s="77"/>
      <c r="O1208" s="78"/>
      <c r="S1208" s="148"/>
      <c r="T1208"/>
      <c r="U1208"/>
    </row>
    <row r="1209" spans="1:21" x14ac:dyDescent="0.2">
      <c r="A1209" s="73"/>
      <c r="B1209" s="73"/>
      <c r="C1209" s="74"/>
      <c r="D1209" s="75"/>
      <c r="E1209" s="85"/>
      <c r="F1209" s="161"/>
      <c r="G1209" s="76"/>
      <c r="H1209" s="87"/>
      <c r="I1209" s="75"/>
      <c r="J1209" s="75"/>
      <c r="K1209" s="75"/>
      <c r="L1209" s="88"/>
      <c r="M1209" s="77"/>
      <c r="N1209" s="77"/>
      <c r="O1209" s="78"/>
      <c r="S1209" s="148"/>
      <c r="T1209"/>
      <c r="U1209"/>
    </row>
    <row r="1210" spans="1:21" x14ac:dyDescent="0.2">
      <c r="A1210" s="73"/>
      <c r="B1210" s="73"/>
      <c r="C1210" s="74"/>
      <c r="D1210" s="75"/>
      <c r="E1210" s="85"/>
      <c r="F1210" s="161"/>
      <c r="G1210" s="76"/>
      <c r="H1210" s="87"/>
      <c r="I1210" s="75"/>
      <c r="J1210" s="75"/>
      <c r="K1210" s="75"/>
      <c r="L1210" s="88"/>
      <c r="M1210" s="77"/>
      <c r="N1210" s="77"/>
      <c r="O1210" s="78"/>
      <c r="S1210" s="148"/>
      <c r="T1210"/>
      <c r="U1210"/>
    </row>
    <row r="1211" spans="1:21" x14ac:dyDescent="0.2">
      <c r="A1211" s="73"/>
      <c r="B1211" s="73"/>
      <c r="C1211" s="74"/>
      <c r="D1211" s="75"/>
      <c r="E1211" s="85"/>
      <c r="F1211" s="161"/>
      <c r="G1211" s="76"/>
      <c r="H1211" s="87"/>
      <c r="I1211" s="75"/>
      <c r="J1211" s="75"/>
      <c r="K1211" s="75"/>
      <c r="L1211" s="88"/>
      <c r="M1211" s="77"/>
      <c r="N1211" s="77"/>
      <c r="O1211" s="78"/>
      <c r="S1211" s="148"/>
      <c r="T1211"/>
      <c r="U1211"/>
    </row>
    <row r="1212" spans="1:21" x14ac:dyDescent="0.2">
      <c r="A1212" s="73"/>
      <c r="B1212" s="73"/>
      <c r="C1212" s="74"/>
      <c r="D1212" s="75"/>
      <c r="E1212" s="85"/>
      <c r="F1212" s="161"/>
      <c r="G1212" s="76"/>
      <c r="H1212" s="87"/>
      <c r="I1212" s="75"/>
      <c r="J1212" s="75"/>
      <c r="K1212" s="75"/>
      <c r="L1212" s="88"/>
      <c r="M1212" s="77"/>
      <c r="N1212" s="77"/>
      <c r="O1212" s="78"/>
      <c r="S1212" s="148"/>
      <c r="T1212"/>
      <c r="U1212"/>
    </row>
    <row r="1213" spans="1:21" x14ac:dyDescent="0.2">
      <c r="A1213" s="73"/>
      <c r="B1213" s="73"/>
      <c r="C1213" s="74"/>
      <c r="D1213" s="75"/>
      <c r="E1213" s="85"/>
      <c r="F1213" s="161"/>
      <c r="G1213" s="76"/>
      <c r="H1213" s="87"/>
      <c r="I1213" s="75"/>
      <c r="J1213" s="75"/>
      <c r="K1213" s="75"/>
      <c r="L1213" s="88"/>
      <c r="M1213" s="77"/>
      <c r="N1213" s="77"/>
      <c r="O1213" s="78"/>
      <c r="S1213" s="148"/>
      <c r="T1213"/>
      <c r="U1213"/>
    </row>
    <row r="1214" spans="1:21" x14ac:dyDescent="0.2">
      <c r="A1214" s="73"/>
      <c r="B1214" s="73"/>
      <c r="C1214" s="74"/>
      <c r="D1214" s="75"/>
      <c r="E1214" s="85"/>
      <c r="F1214" s="161"/>
      <c r="G1214" s="76"/>
      <c r="H1214" s="87"/>
      <c r="I1214" s="75"/>
      <c r="J1214" s="75"/>
      <c r="K1214" s="75"/>
      <c r="L1214" s="88"/>
      <c r="M1214" s="77"/>
      <c r="N1214" s="77"/>
      <c r="O1214" s="78"/>
      <c r="S1214" s="148"/>
      <c r="T1214"/>
      <c r="U1214"/>
    </row>
    <row r="1215" spans="1:21" x14ac:dyDescent="0.2">
      <c r="A1215" s="73"/>
      <c r="B1215" s="73"/>
      <c r="C1215" s="74"/>
      <c r="D1215" s="75"/>
      <c r="E1215" s="85"/>
      <c r="F1215" s="161"/>
      <c r="G1215" s="76"/>
      <c r="H1215" s="87"/>
      <c r="I1215" s="75"/>
      <c r="J1215" s="75"/>
      <c r="K1215" s="75"/>
      <c r="L1215" s="88"/>
      <c r="M1215" s="77"/>
      <c r="N1215" s="77"/>
      <c r="O1215" s="78"/>
      <c r="S1215" s="148"/>
      <c r="T1215"/>
      <c r="U1215"/>
    </row>
    <row r="1216" spans="1:21" x14ac:dyDescent="0.2">
      <c r="A1216" s="73"/>
      <c r="B1216" s="73"/>
      <c r="C1216" s="74"/>
      <c r="D1216" s="75"/>
      <c r="E1216" s="85"/>
      <c r="F1216" s="161"/>
      <c r="G1216" s="76"/>
      <c r="H1216" s="87"/>
      <c r="I1216" s="75"/>
      <c r="J1216" s="75"/>
      <c r="K1216" s="75"/>
      <c r="L1216" s="88"/>
      <c r="M1216" s="77"/>
      <c r="N1216" s="77"/>
      <c r="O1216" s="78"/>
      <c r="S1216" s="148"/>
      <c r="T1216"/>
      <c r="U1216"/>
    </row>
    <row r="1217" spans="1:21" x14ac:dyDescent="0.2">
      <c r="A1217" s="73"/>
      <c r="B1217" s="73"/>
      <c r="C1217" s="74"/>
      <c r="D1217" s="75"/>
      <c r="E1217" s="85"/>
      <c r="F1217" s="161"/>
      <c r="G1217" s="76"/>
      <c r="H1217" s="87"/>
      <c r="I1217" s="75"/>
      <c r="J1217" s="75"/>
      <c r="K1217" s="75"/>
      <c r="L1217" s="88"/>
      <c r="M1217" s="77"/>
      <c r="N1217" s="77"/>
      <c r="O1217" s="78"/>
      <c r="S1217" s="148"/>
      <c r="T1217"/>
      <c r="U1217"/>
    </row>
    <row r="1218" spans="1:21" x14ac:dyDescent="0.2">
      <c r="A1218" s="73"/>
      <c r="B1218" s="73"/>
      <c r="C1218" s="74"/>
      <c r="D1218" s="75"/>
      <c r="E1218" s="85"/>
      <c r="F1218" s="161"/>
      <c r="G1218" s="76"/>
      <c r="H1218" s="87"/>
      <c r="I1218" s="75"/>
      <c r="J1218" s="75"/>
      <c r="K1218" s="75"/>
      <c r="L1218" s="88"/>
      <c r="M1218" s="77"/>
      <c r="N1218" s="77"/>
      <c r="O1218" s="78"/>
      <c r="S1218" s="148"/>
      <c r="T1218"/>
      <c r="U1218"/>
    </row>
    <row r="1219" spans="1:21" x14ac:dyDescent="0.2">
      <c r="A1219" s="73"/>
      <c r="B1219" s="73"/>
      <c r="C1219" s="74"/>
      <c r="D1219" s="75"/>
      <c r="E1219" s="85"/>
      <c r="F1219" s="161"/>
      <c r="G1219" s="76"/>
      <c r="H1219" s="87"/>
      <c r="I1219" s="75"/>
      <c r="J1219" s="75"/>
      <c r="K1219" s="75"/>
      <c r="L1219" s="88"/>
      <c r="M1219" s="77"/>
      <c r="N1219" s="77"/>
      <c r="O1219" s="78"/>
      <c r="S1219" s="148"/>
      <c r="T1219"/>
      <c r="U1219"/>
    </row>
    <row r="1220" spans="1:21" x14ac:dyDescent="0.2">
      <c r="A1220" s="73"/>
      <c r="B1220" s="73"/>
      <c r="C1220" s="74"/>
      <c r="D1220" s="75"/>
      <c r="E1220" s="85"/>
      <c r="F1220" s="161"/>
      <c r="G1220" s="76"/>
      <c r="H1220" s="87"/>
      <c r="I1220" s="75"/>
      <c r="J1220" s="75"/>
      <c r="K1220" s="75"/>
      <c r="L1220" s="88"/>
      <c r="M1220" s="77"/>
      <c r="N1220" s="77"/>
      <c r="O1220" s="78"/>
      <c r="S1220" s="148"/>
      <c r="T1220"/>
      <c r="U1220"/>
    </row>
    <row r="1221" spans="1:21" x14ac:dyDescent="0.2">
      <c r="A1221" s="73"/>
      <c r="B1221" s="73"/>
      <c r="C1221" s="74"/>
      <c r="D1221" s="75"/>
      <c r="E1221" s="85"/>
      <c r="F1221" s="161"/>
      <c r="G1221" s="76"/>
      <c r="H1221" s="87"/>
      <c r="I1221" s="75"/>
      <c r="J1221" s="75"/>
      <c r="K1221" s="75"/>
      <c r="L1221" s="88"/>
      <c r="M1221" s="77"/>
      <c r="N1221" s="77"/>
      <c r="O1221" s="78"/>
      <c r="S1221" s="148"/>
      <c r="T1221"/>
      <c r="U1221"/>
    </row>
    <row r="1222" spans="1:21" x14ac:dyDescent="0.2">
      <c r="A1222" s="73"/>
      <c r="B1222" s="73"/>
      <c r="C1222" s="74"/>
      <c r="D1222" s="75"/>
      <c r="E1222" s="85"/>
      <c r="F1222" s="161"/>
      <c r="G1222" s="76"/>
      <c r="H1222" s="87"/>
      <c r="I1222" s="75"/>
      <c r="J1222" s="75"/>
      <c r="K1222" s="75"/>
      <c r="L1222" s="88"/>
      <c r="M1222" s="77"/>
      <c r="N1222" s="77"/>
      <c r="O1222" s="78"/>
      <c r="S1222" s="148"/>
      <c r="T1222"/>
      <c r="U1222"/>
    </row>
    <row r="1223" spans="1:21" x14ac:dyDescent="0.2">
      <c r="A1223" s="73"/>
      <c r="B1223" s="73"/>
      <c r="C1223" s="74"/>
      <c r="D1223" s="75"/>
      <c r="E1223" s="85"/>
      <c r="F1223" s="161"/>
      <c r="G1223" s="76"/>
      <c r="H1223" s="87"/>
      <c r="I1223" s="75"/>
      <c r="J1223" s="75"/>
      <c r="K1223" s="75"/>
      <c r="L1223" s="88"/>
      <c r="M1223" s="77"/>
      <c r="N1223" s="77"/>
      <c r="O1223" s="78"/>
      <c r="S1223" s="148"/>
      <c r="T1223"/>
      <c r="U1223"/>
    </row>
    <row r="1224" spans="1:21" x14ac:dyDescent="0.2">
      <c r="A1224" s="73"/>
      <c r="B1224" s="73"/>
      <c r="C1224" s="74"/>
      <c r="D1224" s="75"/>
      <c r="E1224" s="85"/>
      <c r="F1224" s="161"/>
      <c r="G1224" s="76"/>
      <c r="H1224" s="87"/>
      <c r="I1224" s="75"/>
      <c r="J1224" s="75"/>
      <c r="K1224" s="75"/>
      <c r="L1224" s="88"/>
      <c r="M1224" s="77"/>
      <c r="N1224" s="77"/>
      <c r="O1224" s="78"/>
      <c r="S1224" s="148"/>
      <c r="T1224"/>
      <c r="U1224"/>
    </row>
    <row r="1225" spans="1:21" x14ac:dyDescent="0.2">
      <c r="A1225" s="73"/>
      <c r="B1225" s="73"/>
      <c r="C1225" s="74"/>
      <c r="D1225" s="75"/>
      <c r="E1225" s="85"/>
      <c r="F1225" s="161"/>
      <c r="G1225" s="76"/>
      <c r="H1225" s="87"/>
      <c r="I1225" s="75"/>
      <c r="J1225" s="75"/>
      <c r="K1225" s="75"/>
      <c r="L1225" s="88"/>
      <c r="M1225" s="77"/>
      <c r="N1225" s="77"/>
      <c r="O1225" s="78"/>
      <c r="S1225" s="148"/>
      <c r="T1225"/>
      <c r="U1225"/>
    </row>
    <row r="1226" spans="1:21" x14ac:dyDescent="0.2">
      <c r="A1226" s="73"/>
      <c r="B1226" s="73"/>
      <c r="C1226" s="74"/>
      <c r="D1226" s="75"/>
      <c r="E1226" s="85"/>
      <c r="F1226" s="161"/>
      <c r="G1226" s="76"/>
      <c r="H1226" s="87"/>
      <c r="I1226" s="75"/>
      <c r="J1226" s="75"/>
      <c r="K1226" s="75"/>
      <c r="L1226" s="88"/>
      <c r="M1226" s="77"/>
      <c r="N1226" s="77"/>
      <c r="O1226" s="78"/>
      <c r="S1226" s="148"/>
      <c r="T1226"/>
      <c r="U1226"/>
    </row>
    <row r="1227" spans="1:21" x14ac:dyDescent="0.2">
      <c r="A1227" s="73"/>
      <c r="B1227" s="73"/>
      <c r="C1227" s="74"/>
      <c r="D1227" s="75"/>
      <c r="E1227" s="85"/>
      <c r="F1227" s="161"/>
      <c r="G1227" s="76"/>
      <c r="H1227" s="87"/>
      <c r="I1227" s="75"/>
      <c r="J1227" s="75"/>
      <c r="K1227" s="75"/>
      <c r="L1227" s="88"/>
      <c r="M1227" s="77"/>
      <c r="N1227" s="77"/>
      <c r="O1227" s="78"/>
      <c r="S1227" s="148"/>
      <c r="T1227"/>
      <c r="U1227"/>
    </row>
    <row r="1228" spans="1:21" x14ac:dyDescent="0.2">
      <c r="A1228" s="73"/>
      <c r="B1228" s="73"/>
      <c r="C1228" s="74"/>
      <c r="D1228" s="75"/>
      <c r="E1228" s="85"/>
      <c r="F1228" s="161"/>
      <c r="G1228" s="76"/>
      <c r="H1228" s="87"/>
      <c r="I1228" s="75"/>
      <c r="J1228" s="75"/>
      <c r="K1228" s="75"/>
      <c r="L1228" s="88"/>
      <c r="M1228" s="77"/>
      <c r="N1228" s="77"/>
      <c r="O1228" s="78"/>
      <c r="S1228" s="148"/>
      <c r="T1228"/>
      <c r="U1228"/>
    </row>
    <row r="1229" spans="1:21" x14ac:dyDescent="0.2">
      <c r="A1229" s="73"/>
      <c r="B1229" s="73"/>
      <c r="C1229" s="74"/>
      <c r="D1229" s="75"/>
      <c r="E1229" s="85"/>
      <c r="F1229" s="161"/>
      <c r="G1229" s="76"/>
      <c r="H1229" s="87"/>
      <c r="I1229" s="75"/>
      <c r="J1229" s="75"/>
      <c r="K1229" s="75"/>
      <c r="L1229" s="88"/>
      <c r="M1229" s="77"/>
      <c r="N1229" s="77"/>
      <c r="O1229" s="78"/>
      <c r="S1229" s="148"/>
      <c r="T1229"/>
      <c r="U1229"/>
    </row>
    <row r="1230" spans="1:21" x14ac:dyDescent="0.2">
      <c r="A1230" s="73"/>
      <c r="B1230" s="73"/>
      <c r="C1230" s="74"/>
      <c r="D1230" s="75"/>
      <c r="E1230" s="85"/>
      <c r="F1230" s="161"/>
      <c r="G1230" s="76"/>
      <c r="H1230" s="87"/>
      <c r="I1230" s="75"/>
      <c r="J1230" s="75"/>
      <c r="K1230" s="75"/>
      <c r="L1230" s="88"/>
      <c r="M1230" s="77"/>
      <c r="N1230" s="77"/>
      <c r="O1230" s="78"/>
      <c r="S1230" s="148"/>
      <c r="T1230"/>
      <c r="U1230"/>
    </row>
    <row r="1231" spans="1:21" x14ac:dyDescent="0.2">
      <c r="A1231" s="73"/>
      <c r="B1231" s="73"/>
      <c r="C1231" s="74"/>
      <c r="D1231" s="75"/>
      <c r="E1231" s="85"/>
      <c r="F1231" s="161"/>
      <c r="G1231" s="76"/>
      <c r="H1231" s="87"/>
      <c r="I1231" s="75"/>
      <c r="J1231" s="75"/>
      <c r="K1231" s="75"/>
      <c r="L1231" s="88"/>
      <c r="M1231" s="77"/>
      <c r="N1231" s="77"/>
      <c r="O1231" s="78"/>
      <c r="S1231" s="148"/>
      <c r="T1231"/>
      <c r="U1231"/>
    </row>
    <row r="1232" spans="1:21" x14ac:dyDescent="0.2">
      <c r="A1232" s="73"/>
      <c r="B1232" s="73"/>
      <c r="C1232" s="74"/>
      <c r="D1232" s="75"/>
      <c r="E1232" s="85"/>
      <c r="F1232" s="161"/>
      <c r="G1232" s="76"/>
      <c r="H1232" s="87"/>
      <c r="I1232" s="75"/>
      <c r="J1232" s="75"/>
      <c r="K1232" s="75"/>
      <c r="L1232" s="88"/>
      <c r="M1232" s="77"/>
      <c r="N1232" s="77"/>
      <c r="O1232" s="78"/>
      <c r="S1232" s="148"/>
      <c r="T1232"/>
      <c r="U1232"/>
    </row>
    <row r="1233" spans="1:21" x14ac:dyDescent="0.2">
      <c r="A1233" s="73"/>
      <c r="B1233" s="73"/>
      <c r="C1233" s="74"/>
      <c r="D1233" s="75"/>
      <c r="E1233" s="85"/>
      <c r="F1233" s="161"/>
      <c r="G1233" s="76"/>
      <c r="H1233" s="87"/>
      <c r="I1233" s="75"/>
      <c r="J1233" s="75"/>
      <c r="K1233" s="75"/>
      <c r="L1233" s="88"/>
      <c r="M1233" s="77"/>
      <c r="N1233" s="77"/>
      <c r="O1233" s="78"/>
      <c r="S1233" s="148"/>
      <c r="T1233"/>
      <c r="U1233"/>
    </row>
    <row r="1234" spans="1:21" x14ac:dyDescent="0.2">
      <c r="A1234" s="73"/>
      <c r="B1234" s="73"/>
      <c r="C1234" s="74"/>
      <c r="D1234" s="75"/>
      <c r="E1234" s="85"/>
      <c r="F1234" s="161"/>
      <c r="G1234" s="76"/>
      <c r="H1234" s="87"/>
      <c r="I1234" s="75"/>
      <c r="J1234" s="75"/>
      <c r="K1234" s="75"/>
      <c r="L1234" s="88"/>
      <c r="M1234" s="77"/>
      <c r="N1234" s="77"/>
      <c r="O1234" s="78"/>
      <c r="S1234" s="148"/>
      <c r="T1234"/>
      <c r="U1234"/>
    </row>
    <row r="1235" spans="1:21" x14ac:dyDescent="0.2">
      <c r="A1235" s="73"/>
      <c r="B1235" s="73"/>
      <c r="C1235" s="74"/>
      <c r="D1235" s="75"/>
      <c r="E1235" s="85"/>
      <c r="F1235" s="161"/>
      <c r="G1235" s="76"/>
      <c r="H1235" s="87"/>
      <c r="I1235" s="75"/>
      <c r="J1235" s="75"/>
      <c r="K1235" s="75"/>
      <c r="L1235" s="88"/>
      <c r="M1235" s="77"/>
      <c r="N1235" s="77"/>
      <c r="O1235" s="78"/>
      <c r="S1235" s="148"/>
      <c r="T1235"/>
      <c r="U1235"/>
    </row>
    <row r="1236" spans="1:21" x14ac:dyDescent="0.2">
      <c r="A1236" s="73"/>
      <c r="B1236" s="73"/>
      <c r="C1236" s="74"/>
      <c r="D1236" s="75"/>
      <c r="E1236" s="85"/>
      <c r="F1236" s="161"/>
      <c r="G1236" s="76"/>
      <c r="H1236" s="87"/>
      <c r="I1236" s="75"/>
      <c r="J1236" s="75"/>
      <c r="K1236" s="75"/>
      <c r="L1236" s="88"/>
      <c r="M1236" s="77"/>
      <c r="N1236" s="77"/>
      <c r="O1236" s="78"/>
      <c r="S1236" s="148"/>
      <c r="T1236"/>
      <c r="U1236"/>
    </row>
    <row r="1237" spans="1:21" x14ac:dyDescent="0.2">
      <c r="A1237" s="73"/>
      <c r="B1237" s="73"/>
      <c r="C1237" s="74"/>
      <c r="D1237" s="75"/>
      <c r="E1237" s="85"/>
      <c r="F1237" s="161"/>
      <c r="G1237" s="76"/>
      <c r="H1237" s="87"/>
      <c r="I1237" s="75"/>
      <c r="J1237" s="75"/>
      <c r="K1237" s="75"/>
      <c r="L1237" s="88"/>
      <c r="M1237" s="77"/>
      <c r="N1237" s="77"/>
      <c r="O1237" s="78"/>
      <c r="S1237" s="148"/>
      <c r="T1237"/>
      <c r="U1237"/>
    </row>
    <row r="1238" spans="1:21" x14ac:dyDescent="0.2">
      <c r="A1238" s="73"/>
      <c r="B1238" s="73"/>
      <c r="C1238" s="74"/>
      <c r="D1238" s="75"/>
      <c r="E1238" s="85"/>
      <c r="F1238" s="161"/>
      <c r="G1238" s="76"/>
      <c r="H1238" s="87"/>
      <c r="I1238" s="75"/>
      <c r="J1238" s="75"/>
      <c r="K1238" s="75"/>
      <c r="L1238" s="88"/>
      <c r="M1238" s="77"/>
      <c r="N1238" s="77"/>
      <c r="O1238" s="78"/>
      <c r="S1238" s="148"/>
      <c r="T1238"/>
      <c r="U1238"/>
    </row>
    <row r="1239" spans="1:21" x14ac:dyDescent="0.2">
      <c r="A1239" s="73"/>
      <c r="B1239" s="73"/>
      <c r="C1239" s="74"/>
      <c r="D1239" s="75"/>
      <c r="E1239" s="85"/>
      <c r="F1239" s="161"/>
      <c r="G1239" s="76"/>
      <c r="H1239" s="87"/>
      <c r="I1239" s="75"/>
      <c r="J1239" s="75"/>
      <c r="K1239" s="75"/>
      <c r="L1239" s="88"/>
      <c r="M1239" s="77"/>
      <c r="N1239" s="77"/>
      <c r="O1239" s="78"/>
      <c r="S1239" s="148"/>
      <c r="T1239"/>
      <c r="U1239"/>
    </row>
    <row r="1240" spans="1:21" x14ac:dyDescent="0.2">
      <c r="A1240" s="73"/>
      <c r="B1240" s="73"/>
      <c r="C1240" s="74"/>
      <c r="D1240" s="75"/>
      <c r="E1240" s="85"/>
      <c r="F1240" s="161"/>
      <c r="G1240" s="76"/>
      <c r="H1240" s="87"/>
      <c r="I1240" s="75"/>
      <c r="J1240" s="75"/>
      <c r="K1240" s="75"/>
      <c r="L1240" s="88"/>
      <c r="M1240" s="77"/>
      <c r="N1240" s="77"/>
      <c r="O1240" s="78"/>
      <c r="S1240" s="148"/>
      <c r="T1240"/>
      <c r="U1240"/>
    </row>
    <row r="1241" spans="1:21" x14ac:dyDescent="0.2">
      <c r="A1241" s="73"/>
      <c r="B1241" s="73"/>
      <c r="C1241" s="74"/>
      <c r="D1241" s="75"/>
      <c r="E1241" s="85"/>
      <c r="F1241" s="161"/>
      <c r="G1241" s="76"/>
      <c r="H1241" s="87"/>
      <c r="I1241" s="75"/>
      <c r="J1241" s="75"/>
      <c r="K1241" s="75"/>
      <c r="L1241" s="88"/>
      <c r="M1241" s="77"/>
      <c r="N1241" s="77"/>
      <c r="O1241" s="78"/>
      <c r="S1241" s="148"/>
      <c r="T1241"/>
      <c r="U1241"/>
    </row>
    <row r="1242" spans="1:21" x14ac:dyDescent="0.2">
      <c r="A1242" s="73"/>
      <c r="B1242" s="73"/>
      <c r="C1242" s="74"/>
      <c r="D1242" s="75"/>
      <c r="E1242" s="85"/>
      <c r="F1242" s="161"/>
      <c r="G1242" s="76"/>
      <c r="H1242" s="87"/>
      <c r="I1242" s="75"/>
      <c r="J1242" s="75"/>
      <c r="K1242" s="75"/>
      <c r="L1242" s="88"/>
      <c r="M1242" s="77"/>
      <c r="N1242" s="77"/>
      <c r="O1242" s="78"/>
      <c r="S1242" s="148"/>
      <c r="T1242"/>
      <c r="U1242"/>
    </row>
    <row r="1243" spans="1:21" x14ac:dyDescent="0.2">
      <c r="A1243" s="73"/>
      <c r="B1243" s="73"/>
      <c r="C1243" s="74"/>
      <c r="D1243" s="75"/>
      <c r="E1243" s="85"/>
      <c r="F1243" s="161"/>
      <c r="G1243" s="76"/>
      <c r="H1243" s="87"/>
      <c r="I1243" s="75"/>
      <c r="J1243" s="75"/>
      <c r="K1243" s="75"/>
      <c r="L1243" s="88"/>
      <c r="M1243" s="77"/>
      <c r="N1243" s="77"/>
      <c r="O1243" s="78"/>
      <c r="S1243" s="148"/>
      <c r="T1243"/>
      <c r="U1243"/>
    </row>
    <row r="1244" spans="1:21" x14ac:dyDescent="0.2">
      <c r="A1244" s="73"/>
      <c r="B1244" s="73"/>
      <c r="C1244" s="74"/>
      <c r="D1244" s="75"/>
      <c r="E1244" s="85"/>
      <c r="F1244" s="161"/>
      <c r="G1244" s="76"/>
      <c r="H1244" s="87"/>
      <c r="I1244" s="75"/>
      <c r="J1244" s="75"/>
      <c r="K1244" s="75"/>
      <c r="L1244" s="88"/>
      <c r="M1244" s="77"/>
      <c r="N1244" s="77"/>
      <c r="O1244" s="78"/>
      <c r="S1244" s="148"/>
      <c r="T1244"/>
      <c r="U1244"/>
    </row>
    <row r="1245" spans="1:21" x14ac:dyDescent="0.2">
      <c r="A1245" s="73"/>
      <c r="B1245" s="73"/>
      <c r="C1245" s="74"/>
      <c r="D1245" s="75"/>
      <c r="E1245" s="85"/>
      <c r="F1245" s="161"/>
      <c r="G1245" s="76"/>
      <c r="H1245" s="87"/>
      <c r="I1245" s="75"/>
      <c r="J1245" s="75"/>
      <c r="K1245" s="75"/>
      <c r="L1245" s="88"/>
      <c r="M1245" s="77"/>
      <c r="N1245" s="77"/>
      <c r="O1245" s="78"/>
      <c r="S1245" s="148"/>
      <c r="T1245"/>
      <c r="U1245"/>
    </row>
    <row r="1246" spans="1:21" x14ac:dyDescent="0.2">
      <c r="A1246" s="73"/>
      <c r="B1246" s="73"/>
      <c r="C1246" s="74"/>
      <c r="D1246" s="75"/>
      <c r="E1246" s="85"/>
      <c r="F1246" s="161"/>
      <c r="G1246" s="76"/>
      <c r="H1246" s="87"/>
      <c r="I1246" s="75"/>
      <c r="J1246" s="75"/>
      <c r="K1246" s="75"/>
      <c r="L1246" s="88"/>
      <c r="M1246" s="77"/>
      <c r="N1246" s="77"/>
      <c r="O1246" s="78"/>
      <c r="S1246" s="148"/>
      <c r="T1246"/>
      <c r="U1246"/>
    </row>
    <row r="1247" spans="1:21" x14ac:dyDescent="0.2">
      <c r="A1247" s="73"/>
      <c r="B1247" s="73"/>
      <c r="C1247" s="74"/>
      <c r="D1247" s="75"/>
      <c r="E1247" s="85"/>
      <c r="F1247" s="161"/>
      <c r="G1247" s="76"/>
      <c r="H1247" s="87"/>
      <c r="I1247" s="75"/>
      <c r="J1247" s="75"/>
      <c r="K1247" s="75"/>
      <c r="L1247" s="88"/>
      <c r="M1247" s="77"/>
      <c r="N1247" s="77"/>
      <c r="O1247" s="78"/>
      <c r="S1247" s="148"/>
      <c r="T1247"/>
      <c r="U1247"/>
    </row>
    <row r="1248" spans="1:21" x14ac:dyDescent="0.2">
      <c r="A1248" s="73"/>
      <c r="B1248" s="73"/>
      <c r="C1248" s="74"/>
      <c r="D1248" s="75"/>
      <c r="E1248" s="85"/>
      <c r="F1248" s="161"/>
      <c r="G1248" s="76"/>
      <c r="H1248" s="87"/>
      <c r="I1248" s="75"/>
      <c r="J1248" s="75"/>
      <c r="K1248" s="75"/>
      <c r="L1248" s="88"/>
      <c r="M1248" s="77"/>
      <c r="N1248" s="77"/>
      <c r="O1248" s="78"/>
      <c r="S1248" s="148"/>
      <c r="T1248"/>
      <c r="U1248"/>
    </row>
    <row r="1249" spans="1:21" x14ac:dyDescent="0.2">
      <c r="A1249" s="73"/>
      <c r="B1249" s="73"/>
      <c r="C1249" s="74"/>
      <c r="D1249" s="75"/>
      <c r="E1249" s="85"/>
      <c r="F1249" s="161"/>
      <c r="G1249" s="76"/>
      <c r="H1249" s="87"/>
      <c r="I1249" s="75"/>
      <c r="J1249" s="75"/>
      <c r="K1249" s="75"/>
      <c r="L1249" s="88"/>
      <c r="M1249" s="77"/>
      <c r="N1249" s="77"/>
      <c r="O1249" s="78"/>
      <c r="S1249" s="148"/>
      <c r="T1249"/>
      <c r="U1249"/>
    </row>
    <row r="1250" spans="1:21" x14ac:dyDescent="0.2">
      <c r="A1250" s="73"/>
      <c r="B1250" s="73"/>
      <c r="C1250" s="74"/>
      <c r="D1250" s="75"/>
      <c r="E1250" s="85"/>
      <c r="F1250" s="161"/>
      <c r="G1250" s="76"/>
      <c r="H1250" s="87"/>
      <c r="I1250" s="75"/>
      <c r="J1250" s="75"/>
      <c r="K1250" s="75"/>
      <c r="L1250" s="88"/>
      <c r="M1250" s="77"/>
      <c r="N1250" s="77"/>
      <c r="O1250" s="78"/>
      <c r="S1250" s="148"/>
      <c r="T1250"/>
      <c r="U1250"/>
    </row>
    <row r="1251" spans="1:21" x14ac:dyDescent="0.2">
      <c r="A1251" s="73"/>
      <c r="B1251" s="73"/>
      <c r="C1251" s="74"/>
      <c r="D1251" s="75"/>
      <c r="E1251" s="85"/>
      <c r="F1251" s="161"/>
      <c r="G1251" s="76"/>
      <c r="H1251" s="87"/>
      <c r="I1251" s="75"/>
      <c r="J1251" s="75"/>
      <c r="K1251" s="75"/>
      <c r="L1251" s="88"/>
      <c r="M1251" s="77"/>
      <c r="N1251" s="77"/>
      <c r="O1251" s="78"/>
      <c r="S1251" s="148"/>
      <c r="T1251"/>
      <c r="U1251"/>
    </row>
    <row r="1252" spans="1:21" x14ac:dyDescent="0.2">
      <c r="A1252" s="73"/>
      <c r="B1252" s="73"/>
      <c r="C1252" s="74"/>
      <c r="D1252" s="75"/>
      <c r="E1252" s="85"/>
      <c r="F1252" s="161"/>
      <c r="G1252" s="76"/>
      <c r="H1252" s="87"/>
      <c r="I1252" s="75"/>
      <c r="J1252" s="75"/>
      <c r="K1252" s="75"/>
      <c r="L1252" s="88"/>
      <c r="M1252" s="77"/>
      <c r="N1252" s="77"/>
      <c r="O1252" s="78"/>
      <c r="S1252" s="148"/>
      <c r="T1252"/>
      <c r="U1252"/>
    </row>
    <row r="1253" spans="1:21" x14ac:dyDescent="0.2">
      <c r="A1253" s="73"/>
      <c r="B1253" s="73"/>
      <c r="C1253" s="74"/>
      <c r="D1253" s="75"/>
      <c r="E1253" s="85"/>
      <c r="F1253" s="161"/>
      <c r="G1253" s="76"/>
      <c r="H1253" s="87"/>
      <c r="I1253" s="75"/>
      <c r="J1253" s="75"/>
      <c r="K1253" s="75"/>
      <c r="L1253" s="88"/>
      <c r="M1253" s="77"/>
      <c r="N1253" s="77"/>
      <c r="O1253" s="78"/>
      <c r="S1253" s="148"/>
      <c r="T1253"/>
      <c r="U1253"/>
    </row>
    <row r="1254" spans="1:21" x14ac:dyDescent="0.2">
      <c r="A1254" s="73"/>
      <c r="B1254" s="73"/>
      <c r="C1254" s="74"/>
      <c r="D1254" s="75"/>
      <c r="E1254" s="85"/>
      <c r="F1254" s="161"/>
      <c r="G1254" s="76"/>
      <c r="H1254" s="87"/>
      <c r="I1254" s="75"/>
      <c r="J1254" s="75"/>
      <c r="K1254" s="75"/>
      <c r="L1254" s="88"/>
      <c r="M1254" s="77"/>
      <c r="N1254" s="77"/>
      <c r="O1254" s="78"/>
      <c r="S1254" s="148"/>
      <c r="T1254"/>
      <c r="U1254"/>
    </row>
    <row r="1255" spans="1:21" x14ac:dyDescent="0.2">
      <c r="A1255" s="73"/>
      <c r="B1255" s="73"/>
      <c r="C1255" s="74"/>
      <c r="D1255" s="75"/>
      <c r="E1255" s="85"/>
      <c r="F1255" s="161"/>
      <c r="G1255" s="76"/>
      <c r="H1255" s="87"/>
      <c r="I1255" s="75"/>
      <c r="J1255" s="75"/>
      <c r="K1255" s="75"/>
      <c r="L1255" s="88"/>
      <c r="M1255" s="77"/>
      <c r="N1255" s="77"/>
      <c r="O1255" s="78"/>
      <c r="S1255" s="148"/>
      <c r="T1255"/>
      <c r="U1255"/>
    </row>
    <row r="1256" spans="1:21" x14ac:dyDescent="0.2">
      <c r="A1256" s="73"/>
      <c r="B1256" s="73"/>
      <c r="C1256" s="74"/>
      <c r="D1256" s="75"/>
      <c r="E1256" s="85"/>
      <c r="F1256" s="161"/>
      <c r="G1256" s="76"/>
      <c r="H1256" s="87"/>
      <c r="I1256" s="75"/>
      <c r="J1256" s="75"/>
      <c r="K1256" s="75"/>
      <c r="L1256" s="88"/>
      <c r="M1256" s="77"/>
      <c r="N1256" s="77"/>
      <c r="O1256" s="78"/>
      <c r="S1256" s="148"/>
      <c r="T1256"/>
      <c r="U1256"/>
    </row>
    <row r="1257" spans="1:21" x14ac:dyDescent="0.2">
      <c r="A1257" s="73"/>
      <c r="B1257" s="73"/>
      <c r="C1257" s="74"/>
      <c r="D1257" s="75"/>
      <c r="E1257" s="85"/>
      <c r="F1257" s="161"/>
      <c r="G1257" s="76"/>
      <c r="H1257" s="87"/>
      <c r="I1257" s="75"/>
      <c r="J1257" s="75"/>
      <c r="K1257" s="75"/>
      <c r="L1257" s="88"/>
      <c r="M1257" s="77"/>
      <c r="N1257" s="77"/>
      <c r="O1257" s="78"/>
      <c r="S1257" s="148"/>
      <c r="T1257"/>
      <c r="U1257"/>
    </row>
    <row r="1258" spans="1:21" x14ac:dyDescent="0.2">
      <c r="A1258" s="73"/>
      <c r="B1258" s="73"/>
      <c r="C1258" s="74"/>
      <c r="D1258" s="75"/>
      <c r="E1258" s="85"/>
      <c r="F1258" s="161"/>
      <c r="G1258" s="76"/>
      <c r="H1258" s="87"/>
      <c r="I1258" s="75"/>
      <c r="J1258" s="75"/>
      <c r="K1258" s="75"/>
      <c r="L1258" s="88"/>
      <c r="M1258" s="77"/>
      <c r="N1258" s="77"/>
      <c r="O1258" s="78"/>
      <c r="S1258" s="148"/>
      <c r="T1258"/>
      <c r="U1258"/>
    </row>
    <row r="1259" spans="1:21" x14ac:dyDescent="0.2">
      <c r="A1259" s="73"/>
      <c r="B1259" s="73"/>
      <c r="C1259" s="74"/>
      <c r="D1259" s="75"/>
      <c r="E1259" s="85"/>
      <c r="F1259" s="161"/>
      <c r="G1259" s="76"/>
      <c r="H1259" s="87"/>
      <c r="I1259" s="75"/>
      <c r="J1259" s="75"/>
      <c r="K1259" s="75"/>
      <c r="L1259" s="88"/>
      <c r="M1259" s="77"/>
      <c r="N1259" s="77"/>
      <c r="O1259" s="78"/>
      <c r="S1259" s="148"/>
      <c r="T1259"/>
      <c r="U1259"/>
    </row>
    <row r="1260" spans="1:21" x14ac:dyDescent="0.2">
      <c r="A1260" s="73"/>
      <c r="B1260" s="73"/>
      <c r="C1260" s="74"/>
      <c r="D1260" s="75"/>
      <c r="E1260" s="85"/>
      <c r="F1260" s="161"/>
      <c r="G1260" s="76"/>
      <c r="H1260" s="87"/>
      <c r="I1260" s="75"/>
      <c r="J1260" s="75"/>
      <c r="K1260" s="75"/>
      <c r="L1260" s="88"/>
      <c r="M1260" s="77"/>
      <c r="N1260" s="77"/>
      <c r="O1260" s="78"/>
      <c r="S1260" s="148"/>
      <c r="T1260"/>
      <c r="U1260"/>
    </row>
    <row r="1261" spans="1:21" x14ac:dyDescent="0.2">
      <c r="A1261" s="73"/>
      <c r="B1261" s="73"/>
      <c r="C1261" s="74"/>
      <c r="D1261" s="75"/>
      <c r="E1261" s="85"/>
      <c r="F1261" s="161"/>
      <c r="G1261" s="76"/>
      <c r="H1261" s="87"/>
      <c r="I1261" s="75"/>
      <c r="J1261" s="75"/>
      <c r="K1261" s="75"/>
      <c r="L1261" s="88"/>
      <c r="M1261" s="77"/>
      <c r="N1261" s="77"/>
      <c r="O1261" s="78"/>
      <c r="S1261" s="148"/>
      <c r="T1261"/>
      <c r="U1261"/>
    </row>
    <row r="1262" spans="1:21" x14ac:dyDescent="0.2">
      <c r="A1262" s="73"/>
      <c r="B1262" s="73"/>
      <c r="C1262" s="74"/>
      <c r="D1262" s="75"/>
      <c r="E1262" s="85"/>
      <c r="F1262" s="161"/>
      <c r="G1262" s="76"/>
      <c r="H1262" s="87"/>
      <c r="I1262" s="75"/>
      <c r="J1262" s="75"/>
      <c r="K1262" s="75"/>
      <c r="L1262" s="88"/>
      <c r="M1262" s="77"/>
      <c r="N1262" s="77"/>
      <c r="O1262" s="78"/>
      <c r="S1262" s="148"/>
      <c r="T1262"/>
      <c r="U1262"/>
    </row>
    <row r="1263" spans="1:21" x14ac:dyDescent="0.2">
      <c r="A1263" s="73"/>
      <c r="B1263" s="73"/>
      <c r="C1263" s="74"/>
      <c r="D1263" s="75"/>
      <c r="E1263" s="85"/>
      <c r="F1263" s="161"/>
      <c r="G1263" s="76"/>
      <c r="H1263" s="87"/>
      <c r="I1263" s="75"/>
      <c r="J1263" s="75"/>
      <c r="K1263" s="75"/>
      <c r="L1263" s="88"/>
      <c r="M1263" s="77"/>
      <c r="N1263" s="77"/>
      <c r="O1263" s="78"/>
      <c r="S1263" s="148"/>
      <c r="T1263"/>
      <c r="U1263"/>
    </row>
    <row r="1264" spans="1:21" x14ac:dyDescent="0.2">
      <c r="A1264" s="73"/>
      <c r="B1264" s="73"/>
      <c r="C1264" s="74"/>
      <c r="D1264" s="75"/>
      <c r="E1264" s="85"/>
      <c r="F1264" s="161"/>
      <c r="G1264" s="76"/>
      <c r="H1264" s="87"/>
      <c r="I1264" s="75"/>
      <c r="J1264" s="75"/>
      <c r="K1264" s="75"/>
      <c r="L1264" s="88"/>
      <c r="M1264" s="77"/>
      <c r="N1264" s="77"/>
      <c r="O1264" s="78"/>
      <c r="S1264" s="148"/>
      <c r="T1264"/>
      <c r="U1264"/>
    </row>
    <row r="1265" spans="1:21" x14ac:dyDescent="0.2">
      <c r="A1265" s="73"/>
      <c r="B1265" s="73"/>
      <c r="C1265" s="74"/>
      <c r="D1265" s="75"/>
      <c r="E1265" s="85"/>
      <c r="F1265" s="161"/>
      <c r="G1265" s="76"/>
      <c r="H1265" s="87"/>
      <c r="I1265" s="75"/>
      <c r="J1265" s="75"/>
      <c r="K1265" s="75"/>
      <c r="L1265" s="88"/>
      <c r="M1265" s="77"/>
      <c r="N1265" s="77"/>
      <c r="O1265" s="78"/>
      <c r="S1265" s="148"/>
      <c r="T1265"/>
      <c r="U1265"/>
    </row>
    <row r="1266" spans="1:21" x14ac:dyDescent="0.2">
      <c r="A1266" s="73"/>
      <c r="B1266" s="73"/>
      <c r="C1266" s="74"/>
      <c r="D1266" s="75"/>
      <c r="E1266" s="85"/>
      <c r="F1266" s="161"/>
      <c r="G1266" s="76"/>
      <c r="H1266" s="87"/>
      <c r="I1266" s="75"/>
      <c r="J1266" s="75"/>
      <c r="K1266" s="75"/>
      <c r="L1266" s="88"/>
      <c r="M1266" s="77"/>
      <c r="N1266" s="77"/>
      <c r="O1266" s="78"/>
      <c r="S1266" s="148"/>
      <c r="T1266"/>
      <c r="U1266"/>
    </row>
    <row r="1267" spans="1:21" x14ac:dyDescent="0.2">
      <c r="A1267" s="73"/>
      <c r="B1267" s="73"/>
      <c r="C1267" s="74"/>
      <c r="D1267" s="75"/>
      <c r="E1267" s="85"/>
      <c r="F1267" s="161"/>
      <c r="G1267" s="76"/>
      <c r="H1267" s="87"/>
      <c r="I1267" s="75"/>
      <c r="J1267" s="75"/>
      <c r="K1267" s="75"/>
      <c r="L1267" s="88"/>
      <c r="M1267" s="77"/>
      <c r="N1267" s="77"/>
      <c r="O1267" s="78"/>
      <c r="S1267" s="148"/>
      <c r="T1267"/>
      <c r="U1267"/>
    </row>
    <row r="1268" spans="1:21" x14ac:dyDescent="0.2">
      <c r="A1268" s="73"/>
      <c r="B1268" s="73"/>
      <c r="C1268" s="74"/>
      <c r="D1268" s="75"/>
      <c r="E1268" s="85"/>
      <c r="F1268" s="161"/>
      <c r="G1268" s="76"/>
      <c r="H1268" s="87"/>
      <c r="I1268" s="75"/>
      <c r="J1268" s="75"/>
      <c r="K1268" s="75"/>
      <c r="L1268" s="88"/>
      <c r="M1268" s="77"/>
      <c r="N1268" s="77"/>
      <c r="O1268" s="78"/>
      <c r="S1268" s="148"/>
      <c r="T1268"/>
      <c r="U1268"/>
    </row>
    <row r="1269" spans="1:21" x14ac:dyDescent="0.2">
      <c r="A1269" s="73"/>
      <c r="B1269" s="73"/>
      <c r="C1269" s="74"/>
      <c r="D1269" s="75"/>
      <c r="E1269" s="85"/>
      <c r="F1269" s="161"/>
      <c r="G1269" s="76"/>
      <c r="H1269" s="87"/>
      <c r="I1269" s="75"/>
      <c r="J1269" s="75"/>
      <c r="K1269" s="75"/>
      <c r="L1269" s="88"/>
      <c r="M1269" s="77"/>
      <c r="N1269" s="77"/>
      <c r="O1269" s="78"/>
      <c r="S1269" s="148"/>
      <c r="T1269"/>
      <c r="U1269"/>
    </row>
    <row r="1270" spans="1:21" x14ac:dyDescent="0.2">
      <c r="A1270" s="73"/>
      <c r="B1270" s="73"/>
      <c r="C1270" s="74"/>
      <c r="D1270" s="75"/>
      <c r="E1270" s="85"/>
      <c r="F1270" s="161"/>
      <c r="G1270" s="76"/>
      <c r="H1270" s="87"/>
      <c r="I1270" s="75"/>
      <c r="J1270" s="75"/>
      <c r="K1270" s="75"/>
      <c r="L1270" s="88"/>
      <c r="M1270" s="77"/>
      <c r="N1270" s="77"/>
      <c r="O1270" s="78"/>
      <c r="S1270" s="148"/>
      <c r="T1270"/>
      <c r="U1270"/>
    </row>
    <row r="1271" spans="1:21" x14ac:dyDescent="0.2">
      <c r="A1271" s="73"/>
      <c r="B1271" s="73"/>
      <c r="C1271" s="74"/>
      <c r="D1271" s="75"/>
      <c r="E1271" s="85"/>
      <c r="F1271" s="161"/>
      <c r="G1271" s="76"/>
      <c r="H1271" s="87"/>
      <c r="I1271" s="75"/>
      <c r="J1271" s="75"/>
      <c r="K1271" s="75"/>
      <c r="L1271" s="88"/>
      <c r="M1271" s="77"/>
      <c r="N1271" s="77"/>
      <c r="O1271" s="78"/>
      <c r="S1271" s="148"/>
      <c r="T1271"/>
      <c r="U1271"/>
    </row>
    <row r="1272" spans="1:21" x14ac:dyDescent="0.2">
      <c r="A1272" s="73"/>
      <c r="B1272" s="73"/>
      <c r="C1272" s="74"/>
      <c r="D1272" s="75"/>
      <c r="E1272" s="85"/>
      <c r="F1272" s="161"/>
      <c r="G1272" s="76"/>
      <c r="H1272" s="87"/>
      <c r="I1272" s="75"/>
      <c r="J1272" s="75"/>
      <c r="K1272" s="75"/>
      <c r="L1272" s="88"/>
      <c r="M1272" s="77"/>
      <c r="N1272" s="77"/>
      <c r="O1272" s="78"/>
      <c r="S1272" s="148"/>
      <c r="T1272"/>
      <c r="U1272"/>
    </row>
    <row r="1273" spans="1:21" x14ac:dyDescent="0.2">
      <c r="A1273" s="73"/>
      <c r="B1273" s="73"/>
      <c r="C1273" s="74"/>
      <c r="D1273" s="75"/>
      <c r="E1273" s="85"/>
      <c r="F1273" s="161"/>
      <c r="G1273" s="76"/>
      <c r="H1273" s="87"/>
      <c r="I1273" s="75"/>
      <c r="J1273" s="75"/>
      <c r="K1273" s="75"/>
      <c r="L1273" s="88"/>
      <c r="M1273" s="77"/>
      <c r="N1273" s="77"/>
      <c r="O1273" s="78"/>
      <c r="S1273" s="148"/>
      <c r="T1273"/>
      <c r="U1273"/>
    </row>
    <row r="1274" spans="1:21" x14ac:dyDescent="0.2">
      <c r="A1274" s="73"/>
      <c r="B1274" s="73"/>
      <c r="C1274" s="74"/>
      <c r="D1274" s="75"/>
      <c r="E1274" s="85"/>
      <c r="F1274" s="161"/>
      <c r="G1274" s="76"/>
      <c r="H1274" s="87"/>
      <c r="I1274" s="75"/>
      <c r="J1274" s="75"/>
      <c r="K1274" s="75"/>
      <c r="L1274" s="88"/>
      <c r="M1274" s="77"/>
      <c r="N1274" s="77"/>
      <c r="O1274" s="78"/>
      <c r="S1274" s="148"/>
      <c r="T1274"/>
      <c r="U1274"/>
    </row>
    <row r="1275" spans="1:21" x14ac:dyDescent="0.2">
      <c r="A1275" s="73"/>
      <c r="B1275" s="73"/>
      <c r="C1275" s="74"/>
      <c r="D1275" s="75"/>
      <c r="E1275" s="85"/>
      <c r="F1275" s="161"/>
      <c r="G1275" s="76"/>
      <c r="H1275" s="87"/>
      <c r="I1275" s="75"/>
      <c r="J1275" s="75"/>
      <c r="K1275" s="75"/>
      <c r="L1275" s="88"/>
      <c r="M1275" s="77"/>
      <c r="N1275" s="77"/>
      <c r="O1275" s="78"/>
      <c r="S1275" s="148"/>
      <c r="T1275"/>
      <c r="U1275"/>
    </row>
    <row r="1276" spans="1:21" x14ac:dyDescent="0.2">
      <c r="A1276" s="73"/>
      <c r="B1276" s="73"/>
      <c r="C1276" s="74"/>
      <c r="D1276" s="75"/>
      <c r="E1276" s="85"/>
      <c r="F1276" s="161"/>
      <c r="G1276" s="76"/>
      <c r="H1276" s="87"/>
      <c r="I1276" s="75"/>
      <c r="J1276" s="75"/>
      <c r="K1276" s="75"/>
      <c r="L1276" s="88"/>
      <c r="M1276" s="77"/>
      <c r="N1276" s="77"/>
      <c r="O1276" s="78"/>
      <c r="S1276" s="148"/>
      <c r="T1276"/>
      <c r="U1276"/>
    </row>
    <row r="1277" spans="1:21" x14ac:dyDescent="0.2">
      <c r="A1277" s="73"/>
      <c r="B1277" s="73"/>
      <c r="C1277" s="74"/>
      <c r="D1277" s="75"/>
      <c r="E1277" s="85"/>
      <c r="F1277" s="161"/>
      <c r="G1277" s="76"/>
      <c r="H1277" s="87"/>
      <c r="I1277" s="75"/>
      <c r="J1277" s="75"/>
      <c r="K1277" s="75"/>
      <c r="L1277" s="88"/>
      <c r="M1277" s="77"/>
      <c r="N1277" s="77"/>
      <c r="O1277" s="78"/>
      <c r="S1277" s="148"/>
      <c r="T1277"/>
      <c r="U1277"/>
    </row>
    <row r="1278" spans="1:21" x14ac:dyDescent="0.2">
      <c r="A1278" s="73"/>
      <c r="B1278" s="73"/>
      <c r="C1278" s="74"/>
      <c r="D1278" s="75"/>
      <c r="E1278" s="85"/>
      <c r="F1278" s="161"/>
      <c r="G1278" s="76"/>
      <c r="H1278" s="87"/>
      <c r="I1278" s="75"/>
      <c r="J1278" s="75"/>
      <c r="K1278" s="75"/>
      <c r="L1278" s="88"/>
      <c r="M1278" s="77"/>
      <c r="N1278" s="77"/>
      <c r="O1278" s="78"/>
      <c r="S1278" s="148"/>
      <c r="T1278"/>
      <c r="U1278"/>
    </row>
    <row r="1279" spans="1:21" x14ac:dyDescent="0.2">
      <c r="A1279" s="73"/>
      <c r="B1279" s="73"/>
      <c r="C1279" s="74"/>
      <c r="D1279" s="75"/>
      <c r="E1279" s="85"/>
      <c r="F1279" s="161"/>
      <c r="G1279" s="76"/>
      <c r="H1279" s="87"/>
      <c r="I1279" s="75"/>
      <c r="J1279" s="75"/>
      <c r="K1279" s="75"/>
      <c r="L1279" s="88"/>
      <c r="M1279" s="77"/>
      <c r="N1279" s="77"/>
      <c r="O1279" s="78"/>
      <c r="S1279" s="148"/>
      <c r="T1279"/>
      <c r="U1279"/>
    </row>
    <row r="1280" spans="1:21" x14ac:dyDescent="0.2">
      <c r="A1280" s="73"/>
      <c r="B1280" s="73"/>
      <c r="C1280" s="74"/>
      <c r="D1280" s="75"/>
      <c r="E1280" s="85"/>
      <c r="F1280" s="161"/>
      <c r="G1280" s="76"/>
      <c r="H1280" s="87"/>
      <c r="I1280" s="75"/>
      <c r="J1280" s="75"/>
      <c r="K1280" s="75"/>
      <c r="L1280" s="88"/>
      <c r="M1280" s="77"/>
      <c r="N1280" s="77"/>
      <c r="O1280" s="78"/>
      <c r="S1280" s="148"/>
      <c r="T1280"/>
      <c r="U1280"/>
    </row>
    <row r="1281" spans="1:21" x14ac:dyDescent="0.2">
      <c r="A1281" s="73"/>
      <c r="B1281" s="73"/>
      <c r="C1281" s="74"/>
      <c r="D1281" s="75"/>
      <c r="E1281" s="85"/>
      <c r="F1281" s="161"/>
      <c r="G1281" s="76"/>
      <c r="H1281" s="87"/>
      <c r="I1281" s="75"/>
      <c r="J1281" s="75"/>
      <c r="K1281" s="75"/>
      <c r="L1281" s="88"/>
      <c r="M1281" s="77"/>
      <c r="N1281" s="77"/>
      <c r="O1281" s="78"/>
      <c r="S1281" s="148"/>
      <c r="T1281"/>
      <c r="U1281"/>
    </row>
    <row r="1282" spans="1:21" x14ac:dyDescent="0.2">
      <c r="A1282" s="73"/>
      <c r="B1282" s="73"/>
      <c r="C1282" s="74"/>
      <c r="D1282" s="75"/>
      <c r="E1282" s="85"/>
      <c r="F1282" s="161"/>
      <c r="G1282" s="76"/>
      <c r="H1282" s="87"/>
      <c r="I1282" s="75"/>
      <c r="J1282" s="75"/>
      <c r="K1282" s="75"/>
      <c r="L1282" s="88"/>
      <c r="M1282" s="77"/>
      <c r="N1282" s="77"/>
      <c r="O1282" s="78"/>
      <c r="S1282" s="148"/>
      <c r="T1282"/>
      <c r="U1282"/>
    </row>
    <row r="1283" spans="1:21" x14ac:dyDescent="0.2">
      <c r="A1283" s="73"/>
      <c r="B1283" s="73"/>
      <c r="C1283" s="74"/>
      <c r="D1283" s="75"/>
      <c r="E1283" s="85"/>
      <c r="F1283" s="161"/>
      <c r="G1283" s="76"/>
      <c r="H1283" s="87"/>
      <c r="I1283" s="75"/>
      <c r="J1283" s="75"/>
      <c r="K1283" s="75"/>
      <c r="L1283" s="88"/>
      <c r="M1283" s="77"/>
      <c r="N1283" s="77"/>
      <c r="O1283" s="78"/>
      <c r="S1283" s="148"/>
      <c r="T1283"/>
      <c r="U1283"/>
    </row>
    <row r="1284" spans="1:21" x14ac:dyDescent="0.2">
      <c r="A1284" s="73"/>
      <c r="B1284" s="73"/>
      <c r="C1284" s="74"/>
      <c r="D1284" s="75"/>
      <c r="E1284" s="85"/>
      <c r="F1284" s="161"/>
      <c r="G1284" s="76"/>
      <c r="H1284" s="87"/>
      <c r="I1284" s="75"/>
      <c r="J1284" s="75"/>
      <c r="K1284" s="75"/>
      <c r="L1284" s="88"/>
      <c r="M1284" s="77"/>
      <c r="N1284" s="77"/>
      <c r="O1284" s="78"/>
      <c r="S1284" s="148"/>
      <c r="T1284"/>
      <c r="U1284"/>
    </row>
    <row r="1285" spans="1:21" x14ac:dyDescent="0.2">
      <c r="A1285" s="73"/>
      <c r="B1285" s="73"/>
      <c r="C1285" s="74"/>
      <c r="D1285" s="75"/>
      <c r="E1285" s="85"/>
      <c r="F1285" s="161"/>
      <c r="G1285" s="76"/>
      <c r="H1285" s="87"/>
      <c r="I1285" s="75"/>
      <c r="J1285" s="75"/>
      <c r="K1285" s="75"/>
      <c r="L1285" s="88"/>
      <c r="M1285" s="77"/>
      <c r="N1285" s="77"/>
      <c r="O1285" s="78"/>
      <c r="S1285" s="148"/>
      <c r="T1285"/>
      <c r="U1285"/>
    </row>
    <row r="1286" spans="1:21" x14ac:dyDescent="0.2">
      <c r="A1286" s="73"/>
      <c r="B1286" s="73"/>
      <c r="C1286" s="74"/>
      <c r="D1286" s="75"/>
      <c r="E1286" s="85"/>
      <c r="F1286" s="161"/>
      <c r="G1286" s="76"/>
      <c r="H1286" s="87"/>
      <c r="I1286" s="75"/>
      <c r="J1286" s="75"/>
      <c r="K1286" s="75"/>
      <c r="L1286" s="88"/>
      <c r="M1286" s="77"/>
      <c r="N1286" s="77"/>
      <c r="O1286" s="78"/>
      <c r="S1286" s="148"/>
      <c r="T1286"/>
      <c r="U1286"/>
    </row>
    <row r="1287" spans="1:21" x14ac:dyDescent="0.2">
      <c r="A1287" s="73"/>
      <c r="B1287" s="73"/>
      <c r="C1287" s="74"/>
      <c r="D1287" s="75"/>
      <c r="E1287" s="85"/>
      <c r="F1287" s="161"/>
      <c r="G1287" s="76"/>
      <c r="H1287" s="87"/>
      <c r="I1287" s="75"/>
      <c r="J1287" s="75"/>
      <c r="K1287" s="75"/>
      <c r="L1287" s="88"/>
      <c r="M1287" s="77"/>
      <c r="N1287" s="77"/>
      <c r="O1287" s="78"/>
      <c r="S1287" s="148"/>
      <c r="T1287"/>
      <c r="U1287"/>
    </row>
    <row r="1288" spans="1:21" x14ac:dyDescent="0.2">
      <c r="A1288" s="73"/>
      <c r="B1288" s="73"/>
      <c r="C1288" s="74"/>
      <c r="D1288" s="75"/>
      <c r="E1288" s="85"/>
      <c r="F1288" s="161"/>
      <c r="G1288" s="76"/>
      <c r="H1288" s="87"/>
      <c r="I1288" s="75"/>
      <c r="J1288" s="75"/>
      <c r="K1288" s="75"/>
      <c r="L1288" s="88"/>
      <c r="M1288" s="77"/>
      <c r="N1288" s="77"/>
      <c r="O1288" s="78"/>
      <c r="S1288" s="148"/>
      <c r="T1288"/>
      <c r="U1288"/>
    </row>
    <row r="1289" spans="1:21" x14ac:dyDescent="0.2">
      <c r="A1289" s="73"/>
      <c r="B1289" s="73"/>
      <c r="C1289" s="74"/>
      <c r="D1289" s="75"/>
      <c r="E1289" s="85"/>
      <c r="F1289" s="161"/>
      <c r="G1289" s="76"/>
      <c r="H1289" s="87"/>
      <c r="I1289" s="75"/>
      <c r="J1289" s="75"/>
      <c r="K1289" s="75"/>
      <c r="L1289" s="88"/>
      <c r="M1289" s="77"/>
      <c r="N1289" s="77"/>
      <c r="O1289" s="78"/>
      <c r="S1289" s="148"/>
      <c r="T1289"/>
      <c r="U1289"/>
    </row>
    <row r="1290" spans="1:21" x14ac:dyDescent="0.2">
      <c r="A1290" s="73"/>
      <c r="B1290" s="73"/>
      <c r="C1290" s="74"/>
      <c r="D1290" s="75"/>
      <c r="E1290" s="85"/>
      <c r="F1290" s="161"/>
      <c r="G1290" s="76"/>
      <c r="H1290" s="87"/>
      <c r="I1290" s="75"/>
      <c r="J1290" s="75"/>
      <c r="K1290" s="75"/>
      <c r="L1290" s="88"/>
      <c r="M1290" s="77"/>
      <c r="N1290" s="77"/>
      <c r="O1290" s="78"/>
      <c r="S1290" s="148"/>
      <c r="T1290"/>
      <c r="U1290"/>
    </row>
    <row r="1291" spans="1:21" x14ac:dyDescent="0.2">
      <c r="A1291" s="73"/>
      <c r="B1291" s="73"/>
      <c r="C1291" s="74"/>
      <c r="D1291" s="75"/>
      <c r="E1291" s="85"/>
      <c r="F1291" s="161"/>
      <c r="G1291" s="76"/>
      <c r="H1291" s="87"/>
      <c r="I1291" s="75"/>
      <c r="J1291" s="75"/>
      <c r="K1291" s="75"/>
      <c r="L1291" s="88"/>
      <c r="M1291" s="77"/>
      <c r="N1291" s="77"/>
      <c r="O1291" s="78"/>
      <c r="S1291" s="148"/>
      <c r="T1291"/>
      <c r="U1291"/>
    </row>
    <row r="1292" spans="1:21" x14ac:dyDescent="0.2">
      <c r="A1292" s="73"/>
      <c r="B1292" s="73"/>
      <c r="C1292" s="74"/>
      <c r="D1292" s="75"/>
      <c r="E1292" s="85"/>
      <c r="F1292" s="161"/>
      <c r="G1292" s="76"/>
      <c r="H1292" s="87"/>
      <c r="I1292" s="75"/>
      <c r="J1292" s="75"/>
      <c r="K1292" s="75"/>
      <c r="L1292" s="88"/>
      <c r="M1292" s="77"/>
      <c r="N1292" s="77"/>
      <c r="O1292" s="78"/>
      <c r="S1292" s="148"/>
      <c r="T1292"/>
      <c r="U1292"/>
    </row>
    <row r="1293" spans="1:21" x14ac:dyDescent="0.2">
      <c r="A1293" s="73"/>
      <c r="B1293" s="73"/>
      <c r="C1293" s="74"/>
      <c r="D1293" s="75"/>
      <c r="E1293" s="85"/>
      <c r="F1293" s="161"/>
      <c r="G1293" s="76"/>
      <c r="H1293" s="87"/>
      <c r="I1293" s="75"/>
      <c r="J1293" s="75"/>
      <c r="K1293" s="75"/>
      <c r="L1293" s="88"/>
      <c r="M1293" s="77"/>
      <c r="N1293" s="77"/>
      <c r="O1293" s="78"/>
      <c r="S1293" s="148"/>
      <c r="T1293"/>
      <c r="U1293"/>
    </row>
    <row r="1294" spans="1:21" x14ac:dyDescent="0.2">
      <c r="A1294" s="73"/>
      <c r="B1294" s="73"/>
      <c r="C1294" s="74"/>
      <c r="D1294" s="75"/>
      <c r="E1294" s="85"/>
      <c r="F1294" s="161"/>
      <c r="G1294" s="76"/>
      <c r="H1294" s="87"/>
      <c r="I1294" s="75"/>
      <c r="J1294" s="75"/>
      <c r="K1294" s="75"/>
      <c r="L1294" s="88"/>
      <c r="M1294" s="77"/>
      <c r="N1294" s="77"/>
      <c r="O1294" s="78"/>
      <c r="S1294" s="148"/>
      <c r="T1294"/>
      <c r="U1294"/>
    </row>
    <row r="1295" spans="1:21" x14ac:dyDescent="0.2">
      <c r="A1295" s="73"/>
      <c r="B1295" s="73"/>
      <c r="C1295" s="74"/>
      <c r="D1295" s="75"/>
      <c r="E1295" s="85"/>
      <c r="F1295" s="161"/>
      <c r="G1295" s="76"/>
      <c r="H1295" s="87"/>
      <c r="I1295" s="75"/>
      <c r="J1295" s="75"/>
      <c r="K1295" s="75"/>
      <c r="L1295" s="88"/>
      <c r="M1295" s="77"/>
      <c r="N1295" s="77"/>
      <c r="O1295" s="78"/>
      <c r="S1295" s="148"/>
      <c r="T1295"/>
      <c r="U1295"/>
    </row>
    <row r="1296" spans="1:21" x14ac:dyDescent="0.2">
      <c r="A1296" s="73"/>
      <c r="B1296" s="73"/>
      <c r="C1296" s="74"/>
      <c r="D1296" s="75"/>
      <c r="E1296" s="85"/>
      <c r="F1296" s="161"/>
      <c r="G1296" s="76"/>
      <c r="H1296" s="87"/>
      <c r="I1296" s="75"/>
      <c r="J1296" s="75"/>
      <c r="K1296" s="75"/>
      <c r="L1296" s="88"/>
      <c r="M1296" s="77"/>
      <c r="N1296" s="77"/>
      <c r="O1296" s="78"/>
      <c r="S1296" s="148"/>
      <c r="T1296"/>
      <c r="U1296"/>
    </row>
    <row r="1297" spans="1:21" x14ac:dyDescent="0.2">
      <c r="A1297" s="73"/>
      <c r="B1297" s="73"/>
      <c r="C1297" s="74"/>
      <c r="D1297" s="75"/>
      <c r="E1297" s="85"/>
      <c r="F1297" s="161"/>
      <c r="G1297" s="76"/>
      <c r="H1297" s="87"/>
      <c r="I1297" s="75"/>
      <c r="J1297" s="75"/>
      <c r="K1297" s="75"/>
      <c r="L1297" s="88"/>
      <c r="M1297" s="77"/>
      <c r="N1297" s="77"/>
      <c r="O1297" s="78"/>
      <c r="S1297" s="148"/>
      <c r="T1297"/>
      <c r="U1297"/>
    </row>
    <row r="1298" spans="1:21" x14ac:dyDescent="0.2">
      <c r="A1298" s="73"/>
      <c r="B1298" s="73"/>
      <c r="C1298" s="74"/>
      <c r="D1298" s="75"/>
      <c r="E1298" s="85"/>
      <c r="F1298" s="161"/>
      <c r="G1298" s="76"/>
      <c r="H1298" s="87"/>
      <c r="I1298" s="75"/>
      <c r="J1298" s="75"/>
      <c r="K1298" s="75"/>
      <c r="L1298" s="88"/>
      <c r="M1298" s="77"/>
      <c r="N1298" s="77"/>
      <c r="O1298" s="78"/>
      <c r="S1298" s="148"/>
      <c r="T1298"/>
      <c r="U1298"/>
    </row>
    <row r="1299" spans="1:21" x14ac:dyDescent="0.2">
      <c r="A1299" s="73"/>
      <c r="B1299" s="73"/>
      <c r="C1299" s="74"/>
      <c r="D1299" s="75"/>
      <c r="E1299" s="85"/>
      <c r="F1299" s="161"/>
      <c r="G1299" s="76"/>
      <c r="H1299" s="87"/>
      <c r="I1299" s="75"/>
      <c r="J1299" s="75"/>
      <c r="K1299" s="75"/>
      <c r="L1299" s="88"/>
      <c r="M1299" s="77"/>
      <c r="N1299" s="77"/>
      <c r="O1299" s="78"/>
      <c r="S1299" s="148"/>
      <c r="T1299"/>
      <c r="U1299"/>
    </row>
    <row r="1300" spans="1:21" x14ac:dyDescent="0.2">
      <c r="A1300" s="73"/>
      <c r="B1300" s="73"/>
      <c r="C1300" s="74"/>
      <c r="D1300" s="75"/>
      <c r="E1300" s="85"/>
      <c r="F1300" s="161"/>
      <c r="G1300" s="76"/>
      <c r="H1300" s="87"/>
      <c r="I1300" s="75"/>
      <c r="J1300" s="75"/>
      <c r="K1300" s="75"/>
      <c r="L1300" s="88"/>
      <c r="M1300" s="77"/>
      <c r="N1300" s="77"/>
      <c r="O1300" s="78"/>
      <c r="S1300" s="148"/>
      <c r="T1300"/>
      <c r="U1300"/>
    </row>
    <row r="1301" spans="1:21" x14ac:dyDescent="0.2">
      <c r="A1301" s="73"/>
      <c r="B1301" s="73"/>
      <c r="C1301" s="74"/>
      <c r="D1301" s="75"/>
      <c r="E1301" s="85"/>
      <c r="F1301" s="161"/>
      <c r="G1301" s="76"/>
      <c r="H1301" s="87"/>
      <c r="I1301" s="75"/>
      <c r="J1301" s="75"/>
      <c r="K1301" s="75"/>
      <c r="L1301" s="88"/>
      <c r="M1301" s="77"/>
      <c r="N1301" s="77"/>
      <c r="O1301" s="78"/>
      <c r="S1301" s="148"/>
      <c r="T1301"/>
      <c r="U1301"/>
    </row>
    <row r="1302" spans="1:21" x14ac:dyDescent="0.2">
      <c r="A1302" s="73"/>
      <c r="B1302" s="73"/>
      <c r="C1302" s="74"/>
      <c r="D1302" s="75"/>
      <c r="E1302" s="85"/>
      <c r="F1302" s="161"/>
      <c r="G1302" s="76"/>
      <c r="H1302" s="87"/>
      <c r="I1302" s="75"/>
      <c r="J1302" s="75"/>
      <c r="K1302" s="75"/>
      <c r="L1302" s="88"/>
      <c r="M1302" s="77"/>
      <c r="N1302" s="77"/>
      <c r="O1302" s="78"/>
      <c r="S1302" s="148"/>
      <c r="T1302"/>
      <c r="U1302"/>
    </row>
    <row r="1303" spans="1:21" x14ac:dyDescent="0.2">
      <c r="A1303" s="73"/>
      <c r="B1303" s="73"/>
      <c r="C1303" s="74"/>
      <c r="D1303" s="75"/>
      <c r="E1303" s="85"/>
      <c r="F1303" s="161"/>
      <c r="G1303" s="76"/>
      <c r="H1303" s="87"/>
      <c r="I1303" s="75"/>
      <c r="J1303" s="75"/>
      <c r="K1303" s="75"/>
      <c r="L1303" s="88"/>
      <c r="M1303" s="77"/>
      <c r="N1303" s="77"/>
      <c r="O1303" s="78"/>
      <c r="S1303" s="148"/>
      <c r="T1303"/>
      <c r="U1303"/>
    </row>
    <row r="1304" spans="1:21" x14ac:dyDescent="0.2">
      <c r="A1304" s="73"/>
      <c r="B1304" s="73"/>
      <c r="C1304" s="74"/>
      <c r="D1304" s="75"/>
      <c r="E1304" s="85"/>
      <c r="F1304" s="161"/>
      <c r="G1304" s="76"/>
      <c r="H1304" s="87"/>
      <c r="I1304" s="75"/>
      <c r="J1304" s="75"/>
      <c r="K1304" s="75"/>
      <c r="L1304" s="88"/>
      <c r="M1304" s="77"/>
      <c r="N1304" s="77"/>
      <c r="O1304" s="78"/>
      <c r="S1304" s="148"/>
      <c r="T1304"/>
      <c r="U1304"/>
    </row>
    <row r="1305" spans="1:21" x14ac:dyDescent="0.2">
      <c r="A1305" s="73"/>
      <c r="B1305" s="73"/>
      <c r="C1305" s="74"/>
      <c r="D1305" s="75"/>
      <c r="E1305" s="85"/>
      <c r="F1305" s="161"/>
      <c r="G1305" s="76"/>
      <c r="H1305" s="87"/>
      <c r="I1305" s="75"/>
      <c r="J1305" s="75"/>
      <c r="K1305" s="75"/>
      <c r="L1305" s="88"/>
      <c r="M1305" s="77"/>
      <c r="N1305" s="77"/>
      <c r="O1305" s="78"/>
      <c r="S1305" s="148"/>
      <c r="T1305"/>
      <c r="U1305"/>
    </row>
    <row r="1306" spans="1:21" x14ac:dyDescent="0.2">
      <c r="A1306" s="73"/>
      <c r="B1306" s="73"/>
      <c r="C1306" s="74"/>
      <c r="D1306" s="75"/>
      <c r="E1306" s="85"/>
      <c r="F1306" s="161"/>
      <c r="G1306" s="76"/>
      <c r="H1306" s="87"/>
      <c r="I1306" s="75"/>
      <c r="J1306" s="75"/>
      <c r="K1306" s="75"/>
      <c r="L1306" s="88"/>
      <c r="M1306" s="77"/>
      <c r="N1306" s="77"/>
      <c r="O1306" s="78"/>
      <c r="S1306" s="148"/>
      <c r="T1306"/>
      <c r="U1306"/>
    </row>
    <row r="1307" spans="1:21" x14ac:dyDescent="0.2">
      <c r="A1307" s="73"/>
      <c r="B1307" s="73"/>
      <c r="C1307" s="74"/>
      <c r="D1307" s="75"/>
      <c r="E1307" s="85"/>
      <c r="F1307" s="161"/>
      <c r="G1307" s="76"/>
      <c r="H1307" s="87"/>
      <c r="I1307" s="75"/>
      <c r="J1307" s="75"/>
      <c r="K1307" s="75"/>
      <c r="L1307" s="88"/>
      <c r="M1307" s="77"/>
      <c r="N1307" s="77"/>
      <c r="O1307" s="78"/>
      <c r="S1307" s="148"/>
      <c r="T1307"/>
      <c r="U1307"/>
    </row>
    <row r="1308" spans="1:21" x14ac:dyDescent="0.2">
      <c r="A1308" s="73"/>
      <c r="B1308" s="73"/>
      <c r="C1308" s="74"/>
      <c r="D1308" s="75"/>
      <c r="E1308" s="85"/>
      <c r="F1308" s="161"/>
      <c r="G1308" s="76"/>
      <c r="H1308" s="87"/>
      <c r="I1308" s="75"/>
      <c r="J1308" s="75"/>
      <c r="K1308" s="75"/>
      <c r="L1308" s="88"/>
      <c r="M1308" s="77"/>
      <c r="N1308" s="77"/>
      <c r="O1308" s="78"/>
      <c r="S1308" s="148"/>
      <c r="T1308"/>
      <c r="U1308"/>
    </row>
    <row r="1309" spans="1:21" x14ac:dyDescent="0.2">
      <c r="A1309" s="73"/>
      <c r="B1309" s="73"/>
      <c r="C1309" s="74"/>
      <c r="D1309" s="75"/>
      <c r="E1309" s="85"/>
      <c r="F1309" s="161"/>
      <c r="G1309" s="76"/>
      <c r="H1309" s="87"/>
      <c r="I1309" s="75"/>
      <c r="J1309" s="75"/>
      <c r="K1309" s="75"/>
      <c r="L1309" s="88"/>
      <c r="M1309" s="77"/>
      <c r="N1309" s="77"/>
      <c r="O1309" s="78"/>
      <c r="S1309" s="148"/>
      <c r="T1309"/>
      <c r="U1309"/>
    </row>
    <row r="1310" spans="1:21" x14ac:dyDescent="0.2">
      <c r="A1310" s="73"/>
      <c r="B1310" s="73"/>
      <c r="C1310" s="74"/>
      <c r="D1310" s="75"/>
      <c r="E1310" s="85"/>
      <c r="F1310" s="161"/>
      <c r="G1310" s="76"/>
      <c r="H1310" s="87"/>
      <c r="I1310" s="75"/>
      <c r="J1310" s="75"/>
      <c r="K1310" s="75"/>
      <c r="L1310" s="88"/>
      <c r="M1310" s="77"/>
      <c r="N1310" s="77"/>
      <c r="O1310" s="78"/>
      <c r="S1310" s="148"/>
      <c r="T1310"/>
      <c r="U1310"/>
    </row>
    <row r="1311" spans="1:21" x14ac:dyDescent="0.2">
      <c r="A1311" s="73"/>
      <c r="B1311" s="73"/>
      <c r="C1311" s="74"/>
      <c r="D1311" s="75"/>
      <c r="E1311" s="85"/>
      <c r="F1311" s="161"/>
      <c r="G1311" s="76"/>
      <c r="H1311" s="87"/>
      <c r="I1311" s="75"/>
      <c r="J1311" s="75"/>
      <c r="K1311" s="75"/>
      <c r="L1311" s="88"/>
      <c r="M1311" s="77"/>
      <c r="N1311" s="77"/>
      <c r="O1311" s="78"/>
      <c r="S1311" s="148"/>
      <c r="T1311"/>
      <c r="U1311"/>
    </row>
    <row r="1312" spans="1:21" x14ac:dyDescent="0.2">
      <c r="A1312" s="73"/>
      <c r="B1312" s="73"/>
      <c r="C1312" s="74"/>
      <c r="D1312" s="75"/>
      <c r="E1312" s="85"/>
      <c r="F1312" s="161"/>
      <c r="G1312" s="76"/>
      <c r="H1312" s="87"/>
      <c r="I1312" s="75"/>
      <c r="J1312" s="75"/>
      <c r="K1312" s="75"/>
      <c r="L1312" s="88"/>
      <c r="M1312" s="77"/>
      <c r="N1312" s="77"/>
      <c r="O1312" s="78"/>
      <c r="S1312" s="148"/>
      <c r="T1312"/>
      <c r="U1312"/>
    </row>
    <row r="1313" spans="1:21" x14ac:dyDescent="0.2">
      <c r="A1313" s="73"/>
      <c r="B1313" s="73"/>
      <c r="C1313" s="74"/>
      <c r="D1313" s="75"/>
      <c r="E1313" s="85"/>
      <c r="F1313" s="161"/>
      <c r="G1313" s="76"/>
      <c r="H1313" s="87"/>
      <c r="I1313" s="75"/>
      <c r="J1313" s="75"/>
      <c r="K1313" s="75"/>
      <c r="L1313" s="88"/>
      <c r="M1313" s="77"/>
      <c r="N1313" s="77"/>
      <c r="O1313" s="78"/>
      <c r="S1313" s="148"/>
      <c r="T1313"/>
      <c r="U1313"/>
    </row>
    <row r="1314" spans="1:21" x14ac:dyDescent="0.2">
      <c r="A1314" s="73"/>
      <c r="B1314" s="73"/>
      <c r="C1314" s="74"/>
      <c r="D1314" s="75"/>
      <c r="E1314" s="85"/>
      <c r="F1314" s="161"/>
      <c r="G1314" s="76"/>
      <c r="H1314" s="87"/>
      <c r="I1314" s="75"/>
      <c r="J1314" s="75"/>
      <c r="K1314" s="75"/>
      <c r="L1314" s="88"/>
      <c r="M1314" s="77"/>
      <c r="N1314" s="77"/>
      <c r="O1314" s="78"/>
      <c r="S1314" s="148"/>
      <c r="T1314"/>
      <c r="U1314"/>
    </row>
    <row r="1315" spans="1:21" x14ac:dyDescent="0.2">
      <c r="A1315" s="73"/>
      <c r="B1315" s="73"/>
      <c r="C1315" s="74"/>
      <c r="D1315" s="75"/>
      <c r="E1315" s="85"/>
      <c r="F1315" s="161"/>
      <c r="G1315" s="76"/>
      <c r="H1315" s="87"/>
      <c r="I1315" s="75"/>
      <c r="J1315" s="75"/>
      <c r="K1315" s="75"/>
      <c r="L1315" s="88"/>
      <c r="M1315" s="77"/>
      <c r="N1315" s="77"/>
      <c r="O1315" s="78"/>
      <c r="S1315" s="148"/>
      <c r="T1315"/>
      <c r="U1315"/>
    </row>
    <row r="1316" spans="1:21" x14ac:dyDescent="0.2">
      <c r="A1316" s="73"/>
      <c r="B1316" s="73"/>
      <c r="C1316" s="74"/>
      <c r="D1316" s="75"/>
      <c r="E1316" s="85"/>
      <c r="F1316" s="161"/>
      <c r="G1316" s="76"/>
      <c r="H1316" s="87"/>
      <c r="I1316" s="75"/>
      <c r="J1316" s="75"/>
      <c r="K1316" s="75"/>
      <c r="L1316" s="88"/>
      <c r="M1316" s="77"/>
      <c r="N1316" s="77"/>
      <c r="O1316" s="78"/>
      <c r="S1316" s="148"/>
      <c r="T1316"/>
      <c r="U1316"/>
    </row>
    <row r="1317" spans="1:21" x14ac:dyDescent="0.2">
      <c r="A1317" s="73"/>
      <c r="B1317" s="73"/>
      <c r="C1317" s="74"/>
      <c r="D1317" s="75"/>
      <c r="E1317" s="85"/>
      <c r="F1317" s="161"/>
      <c r="G1317" s="76"/>
      <c r="H1317" s="87"/>
      <c r="I1317" s="75"/>
      <c r="J1317" s="75"/>
      <c r="K1317" s="75"/>
      <c r="L1317" s="88"/>
      <c r="M1317" s="77"/>
      <c r="N1317" s="77"/>
      <c r="O1317" s="78"/>
      <c r="S1317" s="148"/>
      <c r="T1317"/>
      <c r="U1317"/>
    </row>
    <row r="1318" spans="1:21" x14ac:dyDescent="0.2">
      <c r="A1318" s="73"/>
      <c r="B1318" s="73"/>
      <c r="C1318" s="74"/>
      <c r="D1318" s="75"/>
      <c r="E1318" s="85"/>
      <c r="F1318" s="161"/>
      <c r="G1318" s="76"/>
      <c r="H1318" s="87"/>
      <c r="I1318" s="75"/>
      <c r="J1318" s="75"/>
      <c r="K1318" s="75"/>
      <c r="L1318" s="88"/>
      <c r="M1318" s="77"/>
      <c r="N1318" s="77"/>
      <c r="O1318" s="78"/>
      <c r="S1318" s="148"/>
      <c r="T1318"/>
      <c r="U1318"/>
    </row>
    <row r="1319" spans="1:21" x14ac:dyDescent="0.2">
      <c r="A1319" s="73"/>
      <c r="B1319" s="73"/>
      <c r="C1319" s="74"/>
      <c r="D1319" s="75"/>
      <c r="E1319" s="85"/>
      <c r="F1319" s="161"/>
      <c r="G1319" s="76"/>
      <c r="H1319" s="87"/>
      <c r="I1319" s="75"/>
      <c r="J1319" s="75"/>
      <c r="K1319" s="75"/>
      <c r="L1319" s="88"/>
      <c r="M1319" s="77"/>
      <c r="N1319" s="77"/>
      <c r="O1319" s="78"/>
      <c r="S1319" s="148"/>
      <c r="T1319"/>
      <c r="U1319"/>
    </row>
    <row r="1320" spans="1:21" x14ac:dyDescent="0.2">
      <c r="A1320" s="73"/>
      <c r="B1320" s="73"/>
      <c r="C1320" s="74"/>
      <c r="D1320" s="75"/>
      <c r="E1320" s="85"/>
      <c r="F1320" s="161"/>
      <c r="G1320" s="76"/>
      <c r="H1320" s="87"/>
      <c r="I1320" s="75"/>
      <c r="J1320" s="75"/>
      <c r="K1320" s="75"/>
      <c r="L1320" s="88"/>
      <c r="M1320" s="77"/>
      <c r="N1320" s="77"/>
      <c r="O1320" s="78"/>
      <c r="S1320" s="148"/>
      <c r="T1320"/>
      <c r="U1320"/>
    </row>
    <row r="1321" spans="1:21" x14ac:dyDescent="0.2">
      <c r="A1321" s="73"/>
      <c r="B1321" s="73"/>
      <c r="C1321" s="74"/>
      <c r="D1321" s="75"/>
      <c r="E1321" s="85"/>
      <c r="F1321" s="161"/>
      <c r="G1321" s="76"/>
      <c r="H1321" s="87"/>
      <c r="I1321" s="75"/>
      <c r="J1321" s="75"/>
      <c r="K1321" s="75"/>
      <c r="L1321" s="88"/>
      <c r="M1321" s="77"/>
      <c r="N1321" s="77"/>
      <c r="O1321" s="78"/>
      <c r="S1321" s="148"/>
      <c r="T1321"/>
      <c r="U1321"/>
    </row>
    <row r="1322" spans="1:21" x14ac:dyDescent="0.2">
      <c r="A1322" s="73"/>
      <c r="B1322" s="73"/>
      <c r="C1322" s="74"/>
      <c r="D1322" s="75"/>
      <c r="E1322" s="85"/>
      <c r="F1322" s="161"/>
      <c r="G1322" s="76"/>
      <c r="H1322" s="87"/>
      <c r="I1322" s="75"/>
      <c r="J1322" s="75"/>
      <c r="K1322" s="75"/>
      <c r="L1322" s="88"/>
      <c r="M1322" s="77"/>
      <c r="N1322" s="77"/>
      <c r="O1322" s="78"/>
      <c r="S1322" s="148"/>
      <c r="T1322"/>
      <c r="U1322"/>
    </row>
    <row r="1323" spans="1:21" x14ac:dyDescent="0.2">
      <c r="A1323" s="73"/>
      <c r="B1323" s="73"/>
      <c r="C1323" s="74"/>
      <c r="D1323" s="75"/>
      <c r="E1323" s="85"/>
      <c r="F1323" s="161"/>
      <c r="G1323" s="76"/>
      <c r="H1323" s="87"/>
      <c r="I1323" s="75"/>
      <c r="J1323" s="75"/>
      <c r="K1323" s="75"/>
      <c r="L1323" s="88"/>
      <c r="M1323" s="77"/>
      <c r="N1323" s="77"/>
      <c r="O1323" s="78"/>
      <c r="S1323" s="148"/>
      <c r="T1323"/>
      <c r="U1323"/>
    </row>
    <row r="1324" spans="1:21" x14ac:dyDescent="0.2">
      <c r="A1324" s="73"/>
      <c r="B1324" s="73"/>
      <c r="C1324" s="74"/>
      <c r="D1324" s="75"/>
      <c r="E1324" s="85"/>
      <c r="F1324" s="161"/>
      <c r="G1324" s="76"/>
      <c r="H1324" s="87"/>
      <c r="I1324" s="75"/>
      <c r="J1324" s="75"/>
      <c r="K1324" s="75"/>
      <c r="L1324" s="88"/>
      <c r="M1324" s="77"/>
      <c r="N1324" s="77"/>
      <c r="O1324" s="78"/>
      <c r="S1324" s="148"/>
      <c r="T1324"/>
      <c r="U1324"/>
    </row>
    <row r="1325" spans="1:21" x14ac:dyDescent="0.2">
      <c r="A1325" s="73"/>
      <c r="B1325" s="73"/>
      <c r="C1325" s="74"/>
      <c r="D1325" s="75"/>
      <c r="E1325" s="85"/>
      <c r="F1325" s="161"/>
      <c r="G1325" s="76"/>
      <c r="H1325" s="87"/>
      <c r="I1325" s="75"/>
      <c r="J1325" s="75"/>
      <c r="K1325" s="75"/>
      <c r="L1325" s="88"/>
      <c r="M1325" s="77"/>
      <c r="N1325" s="77"/>
      <c r="O1325" s="78"/>
      <c r="S1325" s="148"/>
      <c r="T1325"/>
      <c r="U1325"/>
    </row>
    <row r="1326" spans="1:21" x14ac:dyDescent="0.2">
      <c r="A1326" s="73"/>
      <c r="B1326" s="73"/>
      <c r="C1326" s="74"/>
      <c r="D1326" s="75"/>
      <c r="E1326" s="85"/>
      <c r="F1326" s="161"/>
      <c r="G1326" s="76"/>
      <c r="H1326" s="87"/>
      <c r="I1326" s="75"/>
      <c r="J1326" s="75"/>
      <c r="K1326" s="75"/>
      <c r="L1326" s="88"/>
      <c r="M1326" s="77"/>
      <c r="N1326" s="77"/>
      <c r="O1326" s="78"/>
      <c r="S1326" s="148"/>
      <c r="T1326"/>
      <c r="U1326"/>
    </row>
    <row r="1327" spans="1:21" x14ac:dyDescent="0.2">
      <c r="A1327" s="73"/>
      <c r="B1327" s="73"/>
      <c r="C1327" s="74"/>
      <c r="D1327" s="75"/>
      <c r="E1327" s="85"/>
      <c r="F1327" s="161"/>
      <c r="G1327" s="76"/>
      <c r="H1327" s="87"/>
      <c r="I1327" s="75"/>
      <c r="J1327" s="75"/>
      <c r="K1327" s="75"/>
      <c r="L1327" s="88"/>
      <c r="M1327" s="77"/>
      <c r="N1327" s="77"/>
      <c r="O1327" s="78"/>
      <c r="S1327" s="148"/>
      <c r="T1327"/>
      <c r="U1327"/>
    </row>
    <row r="1328" spans="1:21" x14ac:dyDescent="0.2">
      <c r="A1328" s="73"/>
      <c r="B1328" s="73"/>
      <c r="C1328" s="74"/>
      <c r="D1328" s="75"/>
      <c r="E1328" s="85"/>
      <c r="F1328" s="161"/>
      <c r="G1328" s="76"/>
      <c r="H1328" s="87"/>
      <c r="I1328" s="75"/>
      <c r="J1328" s="75"/>
      <c r="K1328" s="75"/>
      <c r="L1328" s="88"/>
      <c r="M1328" s="77"/>
      <c r="N1328" s="77"/>
      <c r="O1328" s="78"/>
      <c r="S1328" s="148"/>
      <c r="T1328"/>
      <c r="U1328"/>
    </row>
    <row r="1329" spans="1:21" x14ac:dyDescent="0.2">
      <c r="A1329" s="73"/>
      <c r="B1329" s="73"/>
      <c r="C1329" s="74"/>
      <c r="D1329" s="75"/>
      <c r="E1329" s="85"/>
      <c r="F1329" s="161"/>
      <c r="G1329" s="76"/>
      <c r="H1329" s="87"/>
      <c r="I1329" s="75"/>
      <c r="J1329" s="75"/>
      <c r="K1329" s="75"/>
      <c r="L1329" s="88"/>
      <c r="M1329" s="77"/>
      <c r="N1329" s="77"/>
      <c r="O1329" s="78"/>
      <c r="S1329" s="148"/>
      <c r="T1329"/>
      <c r="U1329"/>
    </row>
    <row r="1330" spans="1:21" x14ac:dyDescent="0.2">
      <c r="A1330" s="73"/>
      <c r="B1330" s="73"/>
      <c r="C1330" s="74"/>
      <c r="D1330" s="75"/>
      <c r="E1330" s="85"/>
      <c r="F1330" s="161"/>
      <c r="G1330" s="76"/>
      <c r="H1330" s="87"/>
      <c r="I1330" s="75"/>
      <c r="J1330" s="75"/>
      <c r="K1330" s="75"/>
      <c r="L1330" s="88"/>
      <c r="M1330" s="77"/>
      <c r="N1330" s="77"/>
      <c r="O1330" s="78"/>
      <c r="S1330" s="148"/>
      <c r="T1330"/>
      <c r="U1330"/>
    </row>
    <row r="1331" spans="1:21" x14ac:dyDescent="0.2">
      <c r="A1331" s="73"/>
      <c r="B1331" s="73"/>
      <c r="C1331" s="74"/>
      <c r="D1331" s="75"/>
      <c r="E1331" s="85"/>
      <c r="F1331" s="161"/>
      <c r="G1331" s="76"/>
      <c r="H1331" s="87"/>
      <c r="I1331" s="75"/>
      <c r="J1331" s="75"/>
      <c r="K1331" s="75"/>
      <c r="L1331" s="88"/>
      <c r="M1331" s="77"/>
      <c r="N1331" s="77"/>
      <c r="O1331" s="78"/>
      <c r="S1331" s="148"/>
      <c r="T1331"/>
      <c r="U1331"/>
    </row>
    <row r="1332" spans="1:21" x14ac:dyDescent="0.2">
      <c r="A1332" s="73"/>
      <c r="B1332" s="73"/>
      <c r="C1332" s="74"/>
      <c r="D1332" s="75"/>
      <c r="E1332" s="85"/>
      <c r="F1332" s="161"/>
      <c r="G1332" s="76"/>
      <c r="H1332" s="87"/>
      <c r="I1332" s="75"/>
      <c r="J1332" s="75"/>
      <c r="K1332" s="75"/>
      <c r="L1332" s="88"/>
      <c r="M1332" s="77"/>
      <c r="N1332" s="77"/>
      <c r="O1332" s="78"/>
      <c r="S1332" s="148"/>
      <c r="T1332"/>
      <c r="U1332"/>
    </row>
    <row r="1333" spans="1:21" x14ac:dyDescent="0.2">
      <c r="A1333" s="73"/>
      <c r="B1333" s="73"/>
      <c r="C1333" s="74"/>
      <c r="D1333" s="75"/>
      <c r="E1333" s="85"/>
      <c r="F1333" s="161"/>
      <c r="G1333" s="76"/>
      <c r="H1333" s="87"/>
      <c r="I1333" s="75"/>
      <c r="J1333" s="75"/>
      <c r="K1333" s="75"/>
      <c r="L1333" s="88"/>
      <c r="M1333" s="77"/>
      <c r="N1333" s="77"/>
      <c r="O1333" s="78"/>
      <c r="S1333" s="148"/>
      <c r="T1333"/>
      <c r="U1333"/>
    </row>
    <row r="1334" spans="1:21" x14ac:dyDescent="0.2">
      <c r="A1334" s="73"/>
      <c r="B1334" s="73"/>
      <c r="C1334" s="74"/>
      <c r="D1334" s="75"/>
      <c r="E1334" s="85"/>
      <c r="F1334" s="161"/>
      <c r="G1334" s="76"/>
      <c r="H1334" s="87"/>
      <c r="I1334" s="75"/>
      <c r="J1334" s="75"/>
      <c r="K1334" s="75"/>
      <c r="L1334" s="88"/>
      <c r="M1334" s="77"/>
      <c r="N1334" s="77"/>
      <c r="O1334" s="78"/>
      <c r="S1334" s="148"/>
      <c r="T1334"/>
      <c r="U1334"/>
    </row>
    <row r="1335" spans="1:21" x14ac:dyDescent="0.2">
      <c r="A1335" s="73"/>
      <c r="B1335" s="73"/>
      <c r="C1335" s="74"/>
      <c r="D1335" s="75"/>
      <c r="E1335" s="85"/>
      <c r="F1335" s="161"/>
      <c r="G1335" s="76"/>
      <c r="H1335" s="87"/>
      <c r="I1335" s="75"/>
      <c r="J1335" s="75"/>
      <c r="K1335" s="75"/>
      <c r="L1335" s="88"/>
      <c r="M1335" s="77"/>
      <c r="N1335" s="77"/>
      <c r="O1335" s="78"/>
      <c r="S1335" s="148"/>
      <c r="T1335"/>
      <c r="U1335"/>
    </row>
    <row r="1336" spans="1:21" x14ac:dyDescent="0.2">
      <c r="A1336" s="73"/>
      <c r="B1336" s="73"/>
      <c r="C1336" s="74"/>
      <c r="D1336" s="75"/>
      <c r="E1336" s="85"/>
      <c r="F1336" s="161"/>
      <c r="G1336" s="76"/>
      <c r="H1336" s="87"/>
      <c r="I1336" s="75"/>
      <c r="J1336" s="75"/>
      <c r="K1336" s="75"/>
      <c r="L1336" s="88"/>
      <c r="M1336" s="77"/>
      <c r="N1336" s="77"/>
      <c r="O1336" s="78"/>
      <c r="S1336" s="148"/>
      <c r="T1336"/>
      <c r="U1336"/>
    </row>
    <row r="1337" spans="1:21" x14ac:dyDescent="0.2">
      <c r="A1337" s="73"/>
      <c r="B1337" s="73"/>
      <c r="C1337" s="74"/>
      <c r="D1337" s="75"/>
      <c r="E1337" s="85"/>
      <c r="F1337" s="161"/>
      <c r="G1337" s="76"/>
      <c r="H1337" s="87"/>
      <c r="I1337" s="75"/>
      <c r="J1337" s="75"/>
      <c r="K1337" s="75"/>
      <c r="L1337" s="88"/>
      <c r="M1337" s="77"/>
      <c r="N1337" s="77"/>
      <c r="O1337" s="78"/>
      <c r="S1337" s="148"/>
      <c r="T1337"/>
      <c r="U1337"/>
    </row>
    <row r="1338" spans="1:21" x14ac:dyDescent="0.2">
      <c r="A1338" s="73"/>
      <c r="B1338" s="73"/>
      <c r="C1338" s="74"/>
      <c r="D1338" s="75"/>
      <c r="E1338" s="85"/>
      <c r="F1338" s="161"/>
      <c r="G1338" s="76"/>
      <c r="H1338" s="87"/>
      <c r="I1338" s="75"/>
      <c r="J1338" s="75"/>
      <c r="K1338" s="75"/>
      <c r="L1338" s="88"/>
      <c r="M1338" s="77"/>
      <c r="N1338" s="77"/>
      <c r="O1338" s="78"/>
      <c r="S1338" s="148"/>
      <c r="T1338"/>
      <c r="U1338"/>
    </row>
    <row r="1339" spans="1:21" x14ac:dyDescent="0.2">
      <c r="A1339" s="73"/>
      <c r="B1339" s="73"/>
      <c r="C1339" s="74"/>
      <c r="D1339" s="75"/>
      <c r="E1339" s="85"/>
      <c r="F1339" s="161"/>
      <c r="G1339" s="76"/>
      <c r="H1339" s="87"/>
      <c r="I1339" s="75"/>
      <c r="J1339" s="75"/>
      <c r="K1339" s="75"/>
      <c r="L1339" s="88"/>
      <c r="M1339" s="77"/>
      <c r="N1339" s="77"/>
      <c r="O1339" s="78"/>
      <c r="S1339" s="148"/>
      <c r="T1339"/>
      <c r="U1339"/>
    </row>
    <row r="1340" spans="1:21" x14ac:dyDescent="0.2">
      <c r="A1340" s="73"/>
      <c r="B1340" s="73"/>
      <c r="C1340" s="74"/>
      <c r="D1340" s="75"/>
      <c r="E1340" s="85"/>
      <c r="F1340" s="161"/>
      <c r="G1340" s="76"/>
      <c r="H1340" s="87"/>
      <c r="I1340" s="75"/>
      <c r="J1340" s="75"/>
      <c r="K1340" s="75"/>
      <c r="L1340" s="88"/>
      <c r="M1340" s="77"/>
      <c r="N1340" s="77"/>
      <c r="O1340" s="78"/>
      <c r="S1340" s="148"/>
      <c r="T1340"/>
      <c r="U1340"/>
    </row>
    <row r="1341" spans="1:21" x14ac:dyDescent="0.2">
      <c r="A1341" s="73"/>
      <c r="B1341" s="73"/>
      <c r="C1341" s="74"/>
      <c r="D1341" s="75"/>
      <c r="E1341" s="85"/>
      <c r="F1341" s="161"/>
      <c r="G1341" s="76"/>
      <c r="H1341" s="87"/>
      <c r="I1341" s="75"/>
      <c r="J1341" s="75"/>
      <c r="K1341" s="75"/>
      <c r="L1341" s="88"/>
      <c r="M1341" s="77"/>
      <c r="N1341" s="77"/>
      <c r="O1341" s="78"/>
      <c r="S1341" s="148"/>
      <c r="T1341"/>
      <c r="U1341"/>
    </row>
    <row r="1342" spans="1:21" x14ac:dyDescent="0.2">
      <c r="A1342" s="73"/>
      <c r="B1342" s="73"/>
      <c r="C1342" s="74"/>
      <c r="D1342" s="75"/>
      <c r="E1342" s="85"/>
      <c r="F1342" s="161"/>
      <c r="G1342" s="76"/>
      <c r="H1342" s="87"/>
      <c r="I1342" s="75"/>
      <c r="J1342" s="75"/>
      <c r="K1342" s="75"/>
      <c r="L1342" s="88"/>
      <c r="M1342" s="77"/>
      <c r="N1342" s="77"/>
      <c r="O1342" s="78"/>
      <c r="S1342" s="148"/>
      <c r="T1342"/>
      <c r="U1342"/>
    </row>
    <row r="1343" spans="1:21" x14ac:dyDescent="0.2">
      <c r="A1343" s="73"/>
      <c r="B1343" s="73"/>
      <c r="C1343" s="74"/>
      <c r="D1343" s="75"/>
      <c r="E1343" s="85"/>
      <c r="F1343" s="161"/>
      <c r="G1343" s="76"/>
      <c r="H1343" s="87"/>
      <c r="I1343" s="75"/>
      <c r="J1343" s="75"/>
      <c r="K1343" s="75"/>
      <c r="L1343" s="88"/>
      <c r="M1343" s="77"/>
      <c r="N1343" s="77"/>
      <c r="O1343" s="78"/>
      <c r="S1343" s="148"/>
      <c r="T1343"/>
      <c r="U1343"/>
    </row>
    <row r="1344" spans="1:21" x14ac:dyDescent="0.2">
      <c r="A1344" s="73"/>
      <c r="B1344" s="73"/>
      <c r="C1344" s="74"/>
      <c r="D1344" s="75"/>
      <c r="E1344" s="85"/>
      <c r="F1344" s="161"/>
      <c r="G1344" s="76"/>
      <c r="H1344" s="87"/>
      <c r="I1344" s="75"/>
      <c r="J1344" s="75"/>
      <c r="K1344" s="75"/>
      <c r="L1344" s="88"/>
      <c r="M1344" s="77"/>
      <c r="N1344" s="77"/>
      <c r="O1344" s="78"/>
      <c r="S1344" s="148"/>
      <c r="T1344"/>
      <c r="U1344"/>
    </row>
    <row r="1345" spans="1:21" x14ac:dyDescent="0.2">
      <c r="A1345" s="73"/>
      <c r="B1345" s="73"/>
      <c r="C1345" s="74"/>
      <c r="D1345" s="75"/>
      <c r="E1345" s="85"/>
      <c r="F1345" s="161"/>
      <c r="G1345" s="76"/>
      <c r="H1345" s="87"/>
      <c r="I1345" s="75"/>
      <c r="J1345" s="75"/>
      <c r="K1345" s="75"/>
      <c r="L1345" s="88"/>
      <c r="M1345" s="77"/>
      <c r="N1345" s="77"/>
      <c r="O1345" s="78"/>
      <c r="S1345" s="148"/>
      <c r="T1345"/>
      <c r="U1345"/>
    </row>
    <row r="1346" spans="1:21" x14ac:dyDescent="0.2">
      <c r="A1346" s="73"/>
      <c r="B1346" s="73"/>
      <c r="C1346" s="74"/>
      <c r="D1346" s="75"/>
      <c r="E1346" s="85"/>
      <c r="F1346" s="161"/>
      <c r="G1346" s="76"/>
      <c r="H1346" s="87"/>
      <c r="I1346" s="75"/>
      <c r="J1346" s="75"/>
      <c r="K1346" s="75"/>
      <c r="L1346" s="88"/>
      <c r="M1346" s="77"/>
      <c r="N1346" s="77"/>
      <c r="O1346" s="78"/>
      <c r="S1346" s="148"/>
      <c r="T1346"/>
      <c r="U1346"/>
    </row>
    <row r="1347" spans="1:21" x14ac:dyDescent="0.2">
      <c r="A1347" s="73"/>
      <c r="B1347" s="73"/>
      <c r="C1347" s="74"/>
      <c r="D1347" s="75"/>
      <c r="E1347" s="85"/>
      <c r="F1347" s="161"/>
      <c r="G1347" s="76"/>
      <c r="H1347" s="87"/>
      <c r="I1347" s="75"/>
      <c r="J1347" s="75"/>
      <c r="K1347" s="75"/>
      <c r="L1347" s="88"/>
      <c r="M1347" s="77"/>
      <c r="N1347" s="77"/>
      <c r="O1347" s="78"/>
      <c r="S1347" s="148"/>
      <c r="T1347"/>
      <c r="U1347"/>
    </row>
    <row r="1348" spans="1:21" x14ac:dyDescent="0.2">
      <c r="A1348" s="73"/>
      <c r="B1348" s="73"/>
      <c r="C1348" s="74"/>
      <c r="D1348" s="75"/>
      <c r="E1348" s="85"/>
      <c r="F1348" s="161"/>
      <c r="G1348" s="76"/>
      <c r="H1348" s="87"/>
      <c r="I1348" s="75"/>
      <c r="J1348" s="75"/>
      <c r="K1348" s="75"/>
      <c r="L1348" s="88"/>
      <c r="M1348" s="77"/>
      <c r="N1348" s="77"/>
      <c r="O1348" s="78"/>
      <c r="S1348" s="148"/>
      <c r="T1348"/>
      <c r="U1348"/>
    </row>
    <row r="1349" spans="1:21" x14ac:dyDescent="0.2">
      <c r="A1349" s="73"/>
      <c r="B1349" s="73"/>
      <c r="C1349" s="74"/>
      <c r="D1349" s="75"/>
      <c r="E1349" s="85"/>
      <c r="F1349" s="161"/>
      <c r="G1349" s="76"/>
      <c r="H1349" s="87"/>
      <c r="I1349" s="75"/>
      <c r="J1349" s="75"/>
      <c r="K1349" s="75"/>
      <c r="L1349" s="88"/>
      <c r="M1349" s="77"/>
      <c r="N1349" s="77"/>
      <c r="O1349" s="78"/>
      <c r="S1349" s="148"/>
      <c r="T1349"/>
      <c r="U1349"/>
    </row>
    <row r="1350" spans="1:21" x14ac:dyDescent="0.2">
      <c r="A1350" s="73"/>
      <c r="B1350" s="73"/>
      <c r="C1350" s="74"/>
      <c r="D1350" s="75"/>
      <c r="E1350" s="85"/>
      <c r="F1350" s="161"/>
      <c r="G1350" s="76"/>
      <c r="H1350" s="87"/>
      <c r="I1350" s="75"/>
      <c r="J1350" s="75"/>
      <c r="K1350" s="75"/>
      <c r="L1350" s="88"/>
      <c r="M1350" s="77"/>
      <c r="N1350" s="77"/>
      <c r="O1350" s="78"/>
      <c r="S1350" s="148"/>
      <c r="T1350"/>
      <c r="U1350"/>
    </row>
    <row r="1351" spans="1:21" x14ac:dyDescent="0.2">
      <c r="A1351" s="73"/>
      <c r="B1351" s="73"/>
      <c r="C1351" s="74"/>
      <c r="D1351" s="75"/>
      <c r="E1351" s="85"/>
      <c r="F1351" s="161"/>
      <c r="G1351" s="76"/>
      <c r="H1351" s="87"/>
      <c r="I1351" s="75"/>
      <c r="J1351" s="75"/>
      <c r="K1351" s="75"/>
      <c r="L1351" s="88"/>
      <c r="M1351" s="77"/>
      <c r="N1351" s="77"/>
      <c r="O1351" s="78"/>
      <c r="S1351" s="148"/>
      <c r="T1351"/>
      <c r="U1351"/>
    </row>
    <row r="1352" spans="1:21" x14ac:dyDescent="0.2">
      <c r="A1352" s="73"/>
      <c r="B1352" s="73"/>
      <c r="C1352" s="74"/>
      <c r="D1352" s="75"/>
      <c r="E1352" s="85"/>
      <c r="F1352" s="161"/>
      <c r="G1352" s="76"/>
      <c r="H1352" s="87"/>
      <c r="I1352" s="75"/>
      <c r="J1352" s="75"/>
      <c r="K1352" s="75"/>
      <c r="L1352" s="88"/>
      <c r="M1352" s="77"/>
      <c r="N1352" s="77"/>
      <c r="O1352" s="78"/>
      <c r="S1352" s="148"/>
      <c r="T1352"/>
      <c r="U1352"/>
    </row>
    <row r="1353" spans="1:21" x14ac:dyDescent="0.2">
      <c r="A1353" s="73"/>
      <c r="B1353" s="73"/>
      <c r="C1353" s="74"/>
      <c r="D1353" s="75"/>
      <c r="E1353" s="85"/>
      <c r="F1353" s="161"/>
      <c r="G1353" s="76"/>
      <c r="H1353" s="87"/>
      <c r="I1353" s="75"/>
      <c r="J1353" s="75"/>
      <c r="K1353" s="75"/>
      <c r="L1353" s="88"/>
      <c r="M1353" s="77"/>
      <c r="N1353" s="77"/>
      <c r="O1353" s="78"/>
      <c r="S1353" s="148"/>
      <c r="T1353"/>
      <c r="U1353"/>
    </row>
    <row r="1354" spans="1:21" x14ac:dyDescent="0.2">
      <c r="A1354" s="73"/>
      <c r="B1354" s="73"/>
      <c r="C1354" s="74"/>
      <c r="D1354" s="75"/>
      <c r="E1354" s="85"/>
      <c r="F1354" s="161"/>
      <c r="G1354" s="76"/>
      <c r="H1354" s="87"/>
      <c r="I1354" s="75"/>
      <c r="J1354" s="75"/>
      <c r="K1354" s="75"/>
      <c r="L1354" s="88"/>
      <c r="M1354" s="77"/>
      <c r="N1354" s="77"/>
      <c r="O1354" s="78"/>
      <c r="S1354" s="148"/>
      <c r="T1354"/>
      <c r="U1354"/>
    </row>
    <row r="1355" spans="1:21" x14ac:dyDescent="0.2">
      <c r="A1355" s="73"/>
      <c r="B1355" s="73"/>
      <c r="C1355" s="74"/>
      <c r="D1355" s="75"/>
      <c r="E1355" s="85"/>
      <c r="F1355" s="161"/>
      <c r="G1355" s="76"/>
      <c r="H1355" s="87"/>
      <c r="I1355" s="75"/>
      <c r="J1355" s="75"/>
      <c r="K1355" s="75"/>
      <c r="L1355" s="88"/>
      <c r="M1355" s="77"/>
      <c r="N1355" s="77"/>
      <c r="O1355" s="78"/>
      <c r="S1355" s="148"/>
      <c r="T1355"/>
      <c r="U1355"/>
    </row>
    <row r="1356" spans="1:21" x14ac:dyDescent="0.2">
      <c r="A1356" s="73"/>
      <c r="B1356" s="73"/>
      <c r="C1356" s="74"/>
      <c r="D1356" s="75"/>
      <c r="E1356" s="85"/>
      <c r="F1356" s="161"/>
      <c r="G1356" s="76"/>
      <c r="H1356" s="87"/>
      <c r="I1356" s="75"/>
      <c r="J1356" s="75"/>
      <c r="K1356" s="75"/>
      <c r="L1356" s="88"/>
      <c r="M1356" s="77"/>
      <c r="N1356" s="77"/>
      <c r="O1356" s="78"/>
      <c r="S1356" s="148"/>
      <c r="T1356"/>
      <c r="U1356"/>
    </row>
    <row r="1357" spans="1:21" x14ac:dyDescent="0.2">
      <c r="A1357" s="73"/>
      <c r="B1357" s="73"/>
      <c r="C1357" s="74"/>
      <c r="D1357" s="75"/>
      <c r="E1357" s="85"/>
      <c r="F1357" s="161"/>
      <c r="G1357" s="76"/>
      <c r="H1357" s="87"/>
      <c r="I1357" s="75"/>
      <c r="J1357" s="75"/>
      <c r="K1357" s="75"/>
      <c r="L1357" s="88"/>
      <c r="M1357" s="77"/>
      <c r="N1357" s="77"/>
      <c r="O1357" s="78"/>
      <c r="S1357" s="148"/>
      <c r="T1357"/>
      <c r="U1357"/>
    </row>
    <row r="1358" spans="1:21" x14ac:dyDescent="0.2">
      <c r="A1358" s="73"/>
      <c r="B1358" s="73"/>
      <c r="C1358" s="74"/>
      <c r="D1358" s="75"/>
      <c r="E1358" s="85"/>
      <c r="F1358" s="161"/>
      <c r="G1358" s="76"/>
      <c r="H1358" s="87"/>
      <c r="I1358" s="75"/>
      <c r="J1358" s="75"/>
      <c r="K1358" s="75"/>
      <c r="L1358" s="88"/>
      <c r="M1358" s="77"/>
      <c r="N1358" s="77"/>
      <c r="O1358" s="78"/>
      <c r="S1358" s="148"/>
      <c r="T1358"/>
      <c r="U1358"/>
    </row>
    <row r="1359" spans="1:21" x14ac:dyDescent="0.2">
      <c r="A1359" s="73"/>
      <c r="B1359" s="73"/>
      <c r="C1359" s="74"/>
      <c r="D1359" s="75"/>
      <c r="E1359" s="85"/>
      <c r="F1359" s="161"/>
      <c r="G1359" s="76"/>
      <c r="H1359" s="87"/>
      <c r="I1359" s="75"/>
      <c r="J1359" s="75"/>
      <c r="K1359" s="75"/>
      <c r="L1359" s="88"/>
      <c r="M1359" s="77"/>
      <c r="N1359" s="77"/>
      <c r="O1359" s="78"/>
      <c r="S1359" s="148"/>
      <c r="T1359"/>
      <c r="U1359"/>
    </row>
    <row r="1360" spans="1:21" x14ac:dyDescent="0.2">
      <c r="A1360" s="73"/>
      <c r="B1360" s="73"/>
      <c r="C1360" s="74"/>
      <c r="D1360" s="75"/>
      <c r="E1360" s="85"/>
      <c r="F1360" s="161"/>
      <c r="G1360" s="76"/>
      <c r="H1360" s="87"/>
      <c r="I1360" s="75"/>
      <c r="J1360" s="75"/>
      <c r="K1360" s="75"/>
      <c r="L1360" s="88"/>
      <c r="M1360" s="77"/>
      <c r="N1360" s="77"/>
      <c r="O1360" s="78"/>
      <c r="S1360" s="148"/>
      <c r="T1360"/>
      <c r="U1360"/>
    </row>
    <row r="1361" spans="1:21" x14ac:dyDescent="0.2">
      <c r="A1361" s="73"/>
      <c r="B1361" s="73"/>
      <c r="C1361" s="74"/>
      <c r="D1361" s="75"/>
      <c r="E1361" s="85"/>
      <c r="F1361" s="161"/>
      <c r="G1361" s="76"/>
      <c r="H1361" s="87"/>
      <c r="I1361" s="75"/>
      <c r="J1361" s="75"/>
      <c r="K1361" s="75"/>
      <c r="L1361" s="88"/>
      <c r="M1361" s="77"/>
      <c r="N1361" s="77"/>
      <c r="O1361" s="78"/>
      <c r="S1361" s="148"/>
      <c r="T1361"/>
      <c r="U1361"/>
    </row>
    <row r="1362" spans="1:21" x14ac:dyDescent="0.2">
      <c r="A1362" s="73"/>
      <c r="B1362" s="73"/>
      <c r="C1362" s="74"/>
      <c r="D1362" s="75"/>
      <c r="E1362" s="85"/>
      <c r="F1362" s="161"/>
      <c r="G1362" s="76"/>
      <c r="H1362" s="87"/>
      <c r="I1362" s="75"/>
      <c r="J1362" s="75"/>
      <c r="K1362" s="75"/>
      <c r="L1362" s="88"/>
      <c r="M1362" s="77"/>
      <c r="N1362" s="77"/>
      <c r="O1362" s="78"/>
      <c r="S1362" s="148"/>
      <c r="T1362"/>
      <c r="U1362"/>
    </row>
    <row r="1363" spans="1:21" x14ac:dyDescent="0.2">
      <c r="A1363" s="73"/>
      <c r="B1363" s="73"/>
      <c r="C1363" s="74"/>
      <c r="D1363" s="75"/>
      <c r="E1363" s="85"/>
      <c r="F1363" s="161"/>
      <c r="G1363" s="76"/>
      <c r="H1363" s="87"/>
      <c r="I1363" s="75"/>
      <c r="J1363" s="75"/>
      <c r="K1363" s="75"/>
      <c r="L1363" s="88"/>
      <c r="M1363" s="77"/>
      <c r="N1363" s="77"/>
      <c r="O1363" s="78"/>
      <c r="S1363" s="148"/>
      <c r="T1363"/>
      <c r="U1363"/>
    </row>
    <row r="1364" spans="1:21" x14ac:dyDescent="0.2">
      <c r="A1364" s="73"/>
      <c r="B1364" s="73"/>
      <c r="C1364" s="74"/>
      <c r="D1364" s="75"/>
      <c r="E1364" s="85"/>
      <c r="F1364" s="161"/>
      <c r="G1364" s="76"/>
      <c r="H1364" s="87"/>
      <c r="I1364" s="75"/>
      <c r="J1364" s="75"/>
      <c r="K1364" s="75"/>
      <c r="L1364" s="88"/>
      <c r="M1364" s="77"/>
      <c r="N1364" s="77"/>
      <c r="O1364" s="78"/>
      <c r="S1364" s="148"/>
      <c r="T1364"/>
      <c r="U1364"/>
    </row>
    <row r="1365" spans="1:21" x14ac:dyDescent="0.2">
      <c r="A1365" s="73"/>
      <c r="B1365" s="73"/>
      <c r="C1365" s="74"/>
      <c r="D1365" s="75"/>
      <c r="E1365" s="85"/>
      <c r="F1365" s="161"/>
      <c r="G1365" s="76"/>
      <c r="H1365" s="87"/>
      <c r="I1365" s="75"/>
      <c r="J1365" s="75"/>
      <c r="K1365" s="75"/>
      <c r="L1365" s="88"/>
      <c r="M1365" s="77"/>
      <c r="N1365" s="77"/>
      <c r="O1365" s="78"/>
      <c r="S1365" s="148"/>
      <c r="T1365"/>
      <c r="U1365"/>
    </row>
    <row r="1366" spans="1:21" x14ac:dyDescent="0.2">
      <c r="A1366" s="73"/>
      <c r="B1366" s="73"/>
      <c r="C1366" s="74"/>
      <c r="D1366" s="75"/>
      <c r="E1366" s="85"/>
      <c r="F1366" s="161"/>
      <c r="G1366" s="76"/>
      <c r="H1366" s="87"/>
      <c r="I1366" s="75"/>
      <c r="J1366" s="75"/>
      <c r="K1366" s="75"/>
      <c r="L1366" s="88"/>
      <c r="M1366" s="77"/>
      <c r="N1366" s="77"/>
      <c r="O1366" s="78"/>
      <c r="S1366" s="148"/>
      <c r="T1366"/>
      <c r="U1366"/>
    </row>
    <row r="1367" spans="1:21" x14ac:dyDescent="0.2">
      <c r="A1367" s="73"/>
      <c r="B1367" s="73"/>
      <c r="C1367" s="74"/>
      <c r="D1367" s="75"/>
      <c r="E1367" s="85"/>
      <c r="F1367" s="161"/>
      <c r="G1367" s="76"/>
      <c r="H1367" s="87"/>
      <c r="I1367" s="75"/>
      <c r="J1367" s="75"/>
      <c r="K1367" s="75"/>
      <c r="L1367" s="88"/>
      <c r="M1367" s="77"/>
      <c r="N1367" s="77"/>
      <c r="O1367" s="78"/>
      <c r="S1367" s="148"/>
      <c r="T1367"/>
      <c r="U1367"/>
    </row>
    <row r="1368" spans="1:21" x14ac:dyDescent="0.2">
      <c r="A1368" s="73"/>
      <c r="B1368" s="73"/>
      <c r="C1368" s="74"/>
      <c r="D1368" s="75"/>
      <c r="E1368" s="85"/>
      <c r="F1368" s="161"/>
      <c r="G1368" s="76"/>
      <c r="H1368" s="87"/>
      <c r="I1368" s="75"/>
      <c r="J1368" s="75"/>
      <c r="K1368" s="75"/>
      <c r="L1368" s="88"/>
      <c r="M1368" s="77"/>
      <c r="N1368" s="77"/>
      <c r="O1368" s="78"/>
      <c r="S1368" s="148"/>
      <c r="T1368"/>
      <c r="U1368"/>
    </row>
    <row r="1369" spans="1:21" x14ac:dyDescent="0.2">
      <c r="A1369" s="73"/>
      <c r="B1369" s="73"/>
      <c r="C1369" s="74"/>
      <c r="D1369" s="75"/>
      <c r="E1369" s="85"/>
      <c r="F1369" s="161"/>
      <c r="G1369" s="76"/>
      <c r="H1369" s="87"/>
      <c r="I1369" s="75"/>
      <c r="J1369" s="75"/>
      <c r="K1369" s="75"/>
      <c r="L1369" s="88"/>
      <c r="M1369" s="77"/>
      <c r="N1369" s="77"/>
      <c r="O1369" s="78"/>
      <c r="S1369" s="148"/>
      <c r="T1369"/>
      <c r="U1369"/>
    </row>
    <row r="1370" spans="1:21" x14ac:dyDescent="0.2">
      <c r="A1370" s="73"/>
      <c r="B1370" s="73"/>
      <c r="C1370" s="74"/>
      <c r="D1370" s="75"/>
      <c r="E1370" s="85"/>
      <c r="F1370" s="161"/>
      <c r="G1370" s="76"/>
      <c r="H1370" s="87"/>
      <c r="I1370" s="75"/>
      <c r="J1370" s="75"/>
      <c r="K1370" s="75"/>
      <c r="L1370" s="88"/>
      <c r="M1370" s="77"/>
      <c r="N1370" s="77"/>
      <c r="O1370" s="78"/>
      <c r="S1370" s="148"/>
      <c r="T1370"/>
      <c r="U1370"/>
    </row>
    <row r="1371" spans="1:21" x14ac:dyDescent="0.2">
      <c r="A1371" s="73"/>
      <c r="B1371" s="73"/>
      <c r="C1371" s="74"/>
      <c r="D1371" s="75"/>
      <c r="E1371" s="85"/>
      <c r="F1371" s="161"/>
      <c r="G1371" s="76"/>
      <c r="H1371" s="87"/>
      <c r="I1371" s="75"/>
      <c r="J1371" s="75"/>
      <c r="K1371" s="75"/>
      <c r="L1371" s="88"/>
      <c r="M1371" s="77"/>
      <c r="N1371" s="77"/>
      <c r="O1371" s="78"/>
      <c r="S1371" s="148"/>
      <c r="T1371"/>
      <c r="U1371"/>
    </row>
    <row r="1372" spans="1:21" x14ac:dyDescent="0.2">
      <c r="A1372" s="73"/>
      <c r="B1372" s="73"/>
      <c r="C1372" s="74"/>
      <c r="D1372" s="75"/>
      <c r="E1372" s="85"/>
      <c r="F1372" s="161"/>
      <c r="G1372" s="76"/>
      <c r="H1372" s="87"/>
      <c r="I1372" s="75"/>
      <c r="J1372" s="75"/>
      <c r="K1372" s="75"/>
      <c r="L1372" s="88"/>
      <c r="M1372" s="77"/>
      <c r="N1372" s="77"/>
      <c r="O1372" s="78"/>
      <c r="S1372" s="148"/>
      <c r="T1372"/>
      <c r="U1372"/>
    </row>
    <row r="1373" spans="1:21" x14ac:dyDescent="0.2">
      <c r="A1373" s="73"/>
      <c r="B1373" s="73"/>
      <c r="C1373" s="74"/>
      <c r="D1373" s="75"/>
      <c r="E1373" s="85"/>
      <c r="F1373" s="161"/>
      <c r="G1373" s="76"/>
      <c r="H1373" s="87"/>
      <c r="I1373" s="75"/>
      <c r="J1373" s="75"/>
      <c r="K1373" s="75"/>
      <c r="L1373" s="88"/>
      <c r="M1373" s="77"/>
      <c r="N1373" s="77"/>
      <c r="O1373" s="78"/>
      <c r="S1373" s="148"/>
      <c r="T1373"/>
      <c r="U1373"/>
    </row>
    <row r="1374" spans="1:21" x14ac:dyDescent="0.2">
      <c r="A1374" s="73"/>
      <c r="B1374" s="73"/>
      <c r="C1374" s="74"/>
      <c r="D1374" s="75"/>
      <c r="E1374" s="85"/>
      <c r="F1374" s="161"/>
      <c r="G1374" s="76"/>
      <c r="H1374" s="87"/>
      <c r="I1374" s="75"/>
      <c r="J1374" s="75"/>
      <c r="K1374" s="75"/>
      <c r="L1374" s="88"/>
      <c r="M1374" s="77"/>
      <c r="N1374" s="77"/>
      <c r="O1374" s="78"/>
      <c r="S1374" s="148"/>
      <c r="T1374"/>
      <c r="U1374"/>
    </row>
    <row r="1375" spans="1:21" x14ac:dyDescent="0.2">
      <c r="A1375" s="73"/>
      <c r="B1375" s="73"/>
      <c r="C1375" s="74"/>
      <c r="D1375" s="75"/>
      <c r="E1375" s="85"/>
      <c r="F1375" s="161"/>
      <c r="G1375" s="76"/>
      <c r="H1375" s="87"/>
      <c r="I1375" s="75"/>
      <c r="J1375" s="75"/>
      <c r="K1375" s="75"/>
      <c r="L1375" s="88"/>
      <c r="M1375" s="77"/>
      <c r="N1375" s="77"/>
      <c r="O1375" s="78"/>
      <c r="S1375" s="148"/>
      <c r="T1375"/>
      <c r="U1375"/>
    </row>
    <row r="1376" spans="1:21" x14ac:dyDescent="0.2">
      <c r="A1376" s="73"/>
      <c r="B1376" s="73"/>
      <c r="C1376" s="74"/>
      <c r="D1376" s="75"/>
      <c r="E1376" s="85"/>
      <c r="F1376" s="161"/>
      <c r="G1376" s="76"/>
      <c r="H1376" s="87"/>
      <c r="I1376" s="75"/>
      <c r="J1376" s="75"/>
      <c r="K1376" s="75"/>
      <c r="L1376" s="88"/>
      <c r="M1376" s="77"/>
      <c r="N1376" s="77"/>
      <c r="O1376" s="78"/>
      <c r="S1376" s="148"/>
      <c r="T1376"/>
      <c r="U1376"/>
    </row>
    <row r="1377" spans="1:21" x14ac:dyDescent="0.2">
      <c r="A1377" s="73"/>
      <c r="B1377" s="73"/>
      <c r="C1377" s="74"/>
      <c r="D1377" s="75"/>
      <c r="E1377" s="85"/>
      <c r="F1377" s="161"/>
      <c r="G1377" s="76"/>
      <c r="H1377" s="87"/>
      <c r="I1377" s="75"/>
      <c r="J1377" s="75"/>
      <c r="K1377" s="75"/>
      <c r="L1377" s="88"/>
      <c r="M1377" s="77"/>
      <c r="N1377" s="77"/>
      <c r="O1377" s="78"/>
      <c r="S1377" s="148"/>
      <c r="T1377"/>
      <c r="U1377"/>
    </row>
    <row r="1378" spans="1:21" x14ac:dyDescent="0.2">
      <c r="A1378" s="73"/>
      <c r="B1378" s="73"/>
      <c r="C1378" s="74"/>
      <c r="D1378" s="75"/>
      <c r="E1378" s="85"/>
      <c r="F1378" s="161"/>
      <c r="G1378" s="76"/>
      <c r="H1378" s="87"/>
      <c r="I1378" s="75"/>
      <c r="J1378" s="75"/>
      <c r="K1378" s="75"/>
      <c r="L1378" s="88"/>
      <c r="M1378" s="77"/>
      <c r="N1378" s="77"/>
      <c r="O1378" s="78"/>
      <c r="S1378" s="148"/>
      <c r="T1378"/>
      <c r="U1378"/>
    </row>
    <row r="1379" spans="1:21" x14ac:dyDescent="0.2">
      <c r="A1379" s="73"/>
      <c r="B1379" s="73"/>
      <c r="C1379" s="74"/>
      <c r="D1379" s="75"/>
      <c r="E1379" s="85"/>
      <c r="F1379" s="161"/>
      <c r="G1379" s="76"/>
      <c r="H1379" s="87"/>
      <c r="I1379" s="75"/>
      <c r="J1379" s="75"/>
      <c r="K1379" s="75"/>
      <c r="L1379" s="88"/>
      <c r="M1379" s="77"/>
      <c r="N1379" s="77"/>
      <c r="O1379" s="78"/>
      <c r="S1379" s="148"/>
      <c r="T1379"/>
      <c r="U1379"/>
    </row>
    <row r="1380" spans="1:21" x14ac:dyDescent="0.2">
      <c r="A1380" s="73"/>
      <c r="B1380" s="73"/>
      <c r="C1380" s="74"/>
      <c r="D1380" s="75"/>
      <c r="E1380" s="85"/>
      <c r="F1380" s="161"/>
      <c r="G1380" s="76"/>
      <c r="H1380" s="87"/>
      <c r="I1380" s="75"/>
      <c r="J1380" s="75"/>
      <c r="K1380" s="75"/>
      <c r="L1380" s="88"/>
      <c r="M1380" s="77"/>
      <c r="N1380" s="77"/>
      <c r="O1380" s="78"/>
      <c r="S1380" s="148"/>
      <c r="T1380"/>
      <c r="U1380"/>
    </row>
    <row r="1381" spans="1:21" x14ac:dyDescent="0.2">
      <c r="A1381" s="73"/>
      <c r="B1381" s="73"/>
      <c r="C1381" s="74"/>
      <c r="D1381" s="75"/>
      <c r="E1381" s="85"/>
      <c r="F1381" s="161"/>
      <c r="G1381" s="76"/>
      <c r="H1381" s="87"/>
      <c r="I1381" s="75"/>
      <c r="J1381" s="75"/>
      <c r="K1381" s="75"/>
      <c r="L1381" s="88"/>
      <c r="M1381" s="77"/>
      <c r="N1381" s="77"/>
      <c r="O1381" s="78"/>
      <c r="S1381" s="148"/>
      <c r="T1381"/>
      <c r="U1381"/>
    </row>
    <row r="1382" spans="1:21" x14ac:dyDescent="0.2">
      <c r="A1382" s="73"/>
      <c r="B1382" s="73"/>
      <c r="C1382" s="74"/>
      <c r="D1382" s="75"/>
      <c r="E1382" s="85"/>
      <c r="F1382" s="161"/>
      <c r="G1382" s="76"/>
      <c r="H1382" s="87"/>
      <c r="I1382" s="75"/>
      <c r="J1382" s="75"/>
      <c r="K1382" s="75"/>
      <c r="L1382" s="88"/>
      <c r="M1382" s="77"/>
      <c r="N1382" s="77"/>
      <c r="O1382" s="78"/>
      <c r="S1382" s="148"/>
      <c r="T1382"/>
      <c r="U1382"/>
    </row>
    <row r="1383" spans="1:21" x14ac:dyDescent="0.2">
      <c r="A1383" s="73"/>
      <c r="B1383" s="73"/>
      <c r="C1383" s="74"/>
      <c r="D1383" s="75"/>
      <c r="E1383" s="85"/>
      <c r="F1383" s="161"/>
      <c r="G1383" s="76"/>
      <c r="H1383" s="87"/>
      <c r="I1383" s="75"/>
      <c r="J1383" s="75"/>
      <c r="K1383" s="75"/>
      <c r="L1383" s="88"/>
      <c r="M1383" s="77"/>
      <c r="N1383" s="77"/>
      <c r="O1383" s="78"/>
      <c r="S1383" s="148"/>
      <c r="T1383"/>
      <c r="U1383"/>
    </row>
    <row r="1384" spans="1:21" x14ac:dyDescent="0.2">
      <c r="A1384" s="73"/>
      <c r="B1384" s="73"/>
      <c r="C1384" s="74"/>
      <c r="D1384" s="75"/>
      <c r="E1384" s="85"/>
      <c r="F1384" s="161"/>
      <c r="G1384" s="76"/>
      <c r="H1384" s="87"/>
      <c r="I1384" s="75"/>
      <c r="J1384" s="75"/>
      <c r="K1384" s="75"/>
      <c r="L1384" s="88"/>
      <c r="M1384" s="77"/>
      <c r="N1384" s="77"/>
      <c r="O1384" s="78"/>
      <c r="S1384" s="148"/>
      <c r="T1384"/>
      <c r="U1384"/>
    </row>
    <row r="1385" spans="1:21" x14ac:dyDescent="0.2">
      <c r="A1385" s="73"/>
      <c r="B1385" s="73"/>
      <c r="C1385" s="74"/>
      <c r="D1385" s="75"/>
      <c r="E1385" s="85"/>
      <c r="F1385" s="161"/>
      <c r="G1385" s="76"/>
      <c r="H1385" s="87"/>
      <c r="I1385" s="75"/>
      <c r="J1385" s="75"/>
      <c r="K1385" s="75"/>
      <c r="L1385" s="88"/>
      <c r="M1385" s="77"/>
      <c r="N1385" s="77"/>
      <c r="O1385" s="78"/>
      <c r="S1385" s="148"/>
      <c r="T1385"/>
      <c r="U1385"/>
    </row>
    <row r="1386" spans="1:21" x14ac:dyDescent="0.2">
      <c r="A1386" s="73"/>
      <c r="B1386" s="73"/>
      <c r="C1386" s="74"/>
      <c r="D1386" s="75"/>
      <c r="E1386" s="85"/>
      <c r="F1386" s="161"/>
      <c r="G1386" s="76"/>
      <c r="H1386" s="87"/>
      <c r="I1386" s="75"/>
      <c r="J1386" s="75"/>
      <c r="K1386" s="75"/>
      <c r="L1386" s="88"/>
      <c r="M1386" s="77"/>
      <c r="N1386" s="77"/>
      <c r="O1386" s="78"/>
      <c r="S1386" s="148"/>
      <c r="T1386"/>
      <c r="U1386"/>
    </row>
    <row r="1387" spans="1:21" x14ac:dyDescent="0.2">
      <c r="A1387" s="73"/>
      <c r="B1387" s="73"/>
      <c r="C1387" s="74"/>
      <c r="D1387" s="75"/>
      <c r="E1387" s="85"/>
      <c r="F1387" s="161"/>
      <c r="G1387" s="76"/>
      <c r="H1387" s="87"/>
      <c r="I1387" s="75"/>
      <c r="J1387" s="75"/>
      <c r="K1387" s="75"/>
      <c r="L1387" s="88"/>
      <c r="M1387" s="77"/>
      <c r="N1387" s="77"/>
      <c r="O1387" s="78"/>
      <c r="S1387" s="148"/>
      <c r="T1387"/>
      <c r="U1387"/>
    </row>
    <row r="1388" spans="1:21" x14ac:dyDescent="0.2">
      <c r="A1388" s="73"/>
      <c r="B1388" s="73"/>
      <c r="C1388" s="74"/>
      <c r="D1388" s="75"/>
      <c r="E1388" s="85"/>
      <c r="F1388" s="161"/>
      <c r="G1388" s="76"/>
      <c r="H1388" s="87"/>
      <c r="I1388" s="75"/>
      <c r="J1388" s="75"/>
      <c r="K1388" s="75"/>
      <c r="L1388" s="88"/>
      <c r="M1388" s="77"/>
      <c r="N1388" s="77"/>
      <c r="O1388" s="78"/>
      <c r="S1388" s="148"/>
      <c r="T1388"/>
      <c r="U1388"/>
    </row>
    <row r="1389" spans="1:21" x14ac:dyDescent="0.2">
      <c r="A1389" s="73"/>
      <c r="B1389" s="73"/>
      <c r="C1389" s="74"/>
      <c r="D1389" s="75"/>
      <c r="E1389" s="85"/>
      <c r="F1389" s="161"/>
      <c r="G1389" s="76"/>
      <c r="H1389" s="87"/>
      <c r="I1389" s="75"/>
      <c r="J1389" s="75"/>
      <c r="K1389" s="75"/>
      <c r="L1389" s="88"/>
      <c r="M1389" s="77"/>
      <c r="N1389" s="77"/>
      <c r="O1389" s="78"/>
      <c r="S1389" s="148"/>
      <c r="T1389"/>
      <c r="U1389"/>
    </row>
    <row r="1390" spans="1:21" x14ac:dyDescent="0.2">
      <c r="A1390" s="73"/>
      <c r="B1390" s="73"/>
      <c r="C1390" s="74"/>
      <c r="D1390" s="75"/>
      <c r="E1390" s="85"/>
      <c r="F1390" s="161"/>
      <c r="G1390" s="76"/>
      <c r="H1390" s="87"/>
      <c r="I1390" s="75"/>
      <c r="J1390" s="75"/>
      <c r="K1390" s="75"/>
      <c r="L1390" s="88"/>
      <c r="M1390" s="77"/>
      <c r="N1390" s="77"/>
      <c r="O1390" s="78"/>
      <c r="S1390" s="148"/>
      <c r="T1390"/>
      <c r="U1390"/>
    </row>
    <row r="1391" spans="1:21" x14ac:dyDescent="0.2">
      <c r="A1391" s="73"/>
      <c r="B1391" s="73"/>
      <c r="C1391" s="74"/>
      <c r="D1391" s="75"/>
      <c r="E1391" s="85"/>
      <c r="F1391" s="161"/>
      <c r="G1391" s="76"/>
      <c r="H1391" s="87"/>
      <c r="I1391" s="75"/>
      <c r="J1391" s="75"/>
      <c r="K1391" s="75"/>
      <c r="L1391" s="88"/>
      <c r="M1391" s="77"/>
      <c r="N1391" s="77"/>
      <c r="O1391" s="78"/>
      <c r="S1391" s="148"/>
      <c r="T1391"/>
      <c r="U1391"/>
    </row>
    <row r="1392" spans="1:21" x14ac:dyDescent="0.2">
      <c r="A1392" s="73"/>
      <c r="B1392" s="73"/>
      <c r="C1392" s="74"/>
      <c r="D1392" s="75"/>
      <c r="E1392" s="85"/>
      <c r="F1392" s="161"/>
      <c r="G1392" s="76"/>
      <c r="H1392" s="87"/>
      <c r="I1392" s="75"/>
      <c r="J1392" s="75"/>
      <c r="K1392" s="75"/>
      <c r="L1392" s="88"/>
      <c r="M1392" s="77"/>
      <c r="N1392" s="77"/>
      <c r="O1392" s="78"/>
      <c r="S1392" s="148"/>
      <c r="T1392"/>
      <c r="U1392"/>
    </row>
    <row r="1393" spans="1:21" x14ac:dyDescent="0.2">
      <c r="A1393" s="73"/>
      <c r="B1393" s="73"/>
      <c r="C1393" s="74"/>
      <c r="D1393" s="75"/>
      <c r="E1393" s="85"/>
      <c r="F1393" s="161"/>
      <c r="G1393" s="76"/>
      <c r="H1393" s="87"/>
      <c r="I1393" s="75"/>
      <c r="J1393" s="75"/>
      <c r="K1393" s="75"/>
      <c r="L1393" s="88"/>
      <c r="M1393" s="77"/>
      <c r="N1393" s="77"/>
      <c r="O1393" s="78"/>
      <c r="S1393" s="148"/>
      <c r="T1393"/>
      <c r="U1393"/>
    </row>
    <row r="1394" spans="1:21" x14ac:dyDescent="0.2">
      <c r="A1394" s="73"/>
      <c r="B1394" s="73"/>
      <c r="C1394" s="74"/>
      <c r="D1394" s="75"/>
      <c r="E1394" s="85"/>
      <c r="F1394" s="161"/>
      <c r="G1394" s="76"/>
      <c r="H1394" s="87"/>
      <c r="I1394" s="75"/>
      <c r="J1394" s="75"/>
      <c r="K1394" s="75"/>
      <c r="L1394" s="88"/>
      <c r="M1394" s="77"/>
      <c r="N1394" s="77"/>
      <c r="O1394" s="78"/>
      <c r="S1394" s="148"/>
      <c r="T1394"/>
      <c r="U1394"/>
    </row>
    <row r="1395" spans="1:21" x14ac:dyDescent="0.2">
      <c r="A1395" s="73"/>
      <c r="B1395" s="73"/>
      <c r="C1395" s="74"/>
      <c r="D1395" s="75"/>
      <c r="E1395" s="85"/>
      <c r="F1395" s="161"/>
      <c r="G1395" s="76"/>
      <c r="H1395" s="87"/>
      <c r="I1395" s="75"/>
      <c r="J1395" s="75"/>
      <c r="K1395" s="75"/>
      <c r="L1395" s="88"/>
      <c r="M1395" s="77"/>
      <c r="N1395" s="77"/>
      <c r="O1395" s="78"/>
      <c r="S1395" s="148"/>
      <c r="T1395"/>
      <c r="U1395"/>
    </row>
    <row r="1396" spans="1:21" x14ac:dyDescent="0.2">
      <c r="A1396" s="73"/>
      <c r="B1396" s="73"/>
      <c r="C1396" s="74"/>
      <c r="D1396" s="75"/>
      <c r="E1396" s="85"/>
      <c r="F1396" s="161"/>
      <c r="G1396" s="76"/>
      <c r="H1396" s="87"/>
      <c r="I1396" s="75"/>
      <c r="J1396" s="75"/>
      <c r="K1396" s="75"/>
      <c r="L1396" s="88"/>
      <c r="M1396" s="77"/>
      <c r="N1396" s="77"/>
      <c r="O1396" s="78"/>
      <c r="S1396" s="148"/>
      <c r="T1396"/>
      <c r="U1396"/>
    </row>
    <row r="1397" spans="1:21" x14ac:dyDescent="0.2">
      <c r="A1397" s="73"/>
      <c r="B1397" s="73"/>
      <c r="C1397" s="74"/>
      <c r="D1397" s="75"/>
      <c r="E1397" s="85"/>
      <c r="F1397" s="161"/>
      <c r="G1397" s="76"/>
      <c r="H1397" s="87"/>
      <c r="I1397" s="75"/>
      <c r="J1397" s="75"/>
      <c r="K1397" s="75"/>
      <c r="L1397" s="88"/>
      <c r="M1397" s="77"/>
      <c r="N1397" s="77"/>
      <c r="O1397" s="78"/>
      <c r="S1397" s="148"/>
      <c r="T1397"/>
      <c r="U1397"/>
    </row>
    <row r="1398" spans="1:21" x14ac:dyDescent="0.2">
      <c r="A1398" s="73"/>
      <c r="B1398" s="73"/>
      <c r="C1398" s="74"/>
      <c r="D1398" s="75"/>
      <c r="E1398" s="85"/>
      <c r="F1398" s="161"/>
      <c r="G1398" s="76"/>
      <c r="H1398" s="87"/>
      <c r="I1398" s="75"/>
      <c r="J1398" s="75"/>
      <c r="K1398" s="75"/>
      <c r="L1398" s="88"/>
      <c r="M1398" s="77"/>
      <c r="N1398" s="77"/>
      <c r="O1398" s="78"/>
      <c r="S1398" s="148"/>
      <c r="T1398"/>
      <c r="U1398"/>
    </row>
    <row r="1399" spans="1:21" x14ac:dyDescent="0.2">
      <c r="A1399" s="73"/>
      <c r="B1399" s="73"/>
      <c r="C1399" s="74"/>
      <c r="D1399" s="75"/>
      <c r="E1399" s="85"/>
      <c r="F1399" s="161"/>
      <c r="G1399" s="76"/>
      <c r="H1399" s="87"/>
      <c r="I1399" s="75"/>
      <c r="J1399" s="75"/>
      <c r="K1399" s="75"/>
      <c r="L1399" s="88"/>
      <c r="M1399" s="77"/>
      <c r="N1399" s="77"/>
      <c r="O1399" s="78"/>
      <c r="S1399" s="148"/>
      <c r="T1399"/>
      <c r="U1399"/>
    </row>
    <row r="1400" spans="1:21" x14ac:dyDescent="0.2">
      <c r="A1400" s="73"/>
      <c r="B1400" s="73"/>
      <c r="C1400" s="74"/>
      <c r="D1400" s="75"/>
      <c r="E1400" s="85"/>
      <c r="F1400" s="161"/>
      <c r="G1400" s="76"/>
      <c r="H1400" s="87"/>
      <c r="I1400" s="75"/>
      <c r="J1400" s="75"/>
      <c r="K1400" s="75"/>
      <c r="L1400" s="88"/>
      <c r="M1400" s="77"/>
      <c r="N1400" s="77"/>
      <c r="O1400" s="78"/>
      <c r="S1400" s="148"/>
      <c r="T1400"/>
      <c r="U1400"/>
    </row>
    <row r="1401" spans="1:21" x14ac:dyDescent="0.2">
      <c r="A1401" s="73"/>
      <c r="B1401" s="73"/>
      <c r="C1401" s="74"/>
      <c r="D1401" s="75"/>
      <c r="E1401" s="85"/>
      <c r="F1401" s="161"/>
      <c r="G1401" s="76"/>
      <c r="H1401" s="87"/>
      <c r="I1401" s="75"/>
      <c r="J1401" s="75"/>
      <c r="K1401" s="75"/>
      <c r="L1401" s="88"/>
      <c r="M1401" s="77"/>
      <c r="N1401" s="77"/>
      <c r="O1401" s="78"/>
      <c r="S1401" s="148"/>
      <c r="T1401"/>
      <c r="U1401"/>
    </row>
    <row r="1402" spans="1:21" x14ac:dyDescent="0.2">
      <c r="A1402" s="73"/>
      <c r="B1402" s="73"/>
      <c r="C1402" s="74"/>
      <c r="D1402" s="75"/>
      <c r="E1402" s="85"/>
      <c r="F1402" s="161"/>
      <c r="G1402" s="76"/>
      <c r="H1402" s="87"/>
      <c r="I1402" s="75"/>
      <c r="J1402" s="75"/>
      <c r="K1402" s="75"/>
      <c r="L1402" s="88"/>
      <c r="M1402" s="77"/>
      <c r="N1402" s="77"/>
      <c r="O1402" s="78"/>
      <c r="S1402" s="148"/>
      <c r="T1402"/>
      <c r="U1402"/>
    </row>
    <row r="1403" spans="1:21" x14ac:dyDescent="0.2">
      <c r="A1403" s="73"/>
      <c r="B1403" s="73"/>
      <c r="C1403" s="74"/>
      <c r="D1403" s="75"/>
      <c r="E1403" s="85"/>
      <c r="F1403" s="161"/>
      <c r="G1403" s="76"/>
      <c r="H1403" s="87"/>
      <c r="I1403" s="75"/>
      <c r="J1403" s="75"/>
      <c r="K1403" s="75"/>
      <c r="L1403" s="88"/>
      <c r="M1403" s="77"/>
      <c r="N1403" s="77"/>
      <c r="O1403" s="78"/>
      <c r="S1403" s="148"/>
      <c r="T1403"/>
      <c r="U1403"/>
    </row>
    <row r="1404" spans="1:21" x14ac:dyDescent="0.2">
      <c r="A1404" s="73"/>
      <c r="B1404" s="73"/>
      <c r="C1404" s="74"/>
      <c r="D1404" s="75"/>
      <c r="E1404" s="85"/>
      <c r="F1404" s="161"/>
      <c r="G1404" s="76"/>
      <c r="H1404" s="87"/>
      <c r="I1404" s="75"/>
      <c r="J1404" s="75"/>
      <c r="K1404" s="75"/>
      <c r="L1404" s="88"/>
      <c r="M1404" s="77"/>
      <c r="N1404" s="77"/>
      <c r="O1404" s="78"/>
      <c r="S1404" s="148"/>
      <c r="T1404"/>
      <c r="U1404"/>
    </row>
    <row r="1405" spans="1:21" x14ac:dyDescent="0.2">
      <c r="A1405" s="73"/>
      <c r="B1405" s="73"/>
      <c r="C1405" s="74"/>
      <c r="D1405" s="75"/>
      <c r="E1405" s="85"/>
      <c r="F1405" s="161"/>
      <c r="G1405" s="76"/>
      <c r="H1405" s="87"/>
      <c r="I1405" s="75"/>
      <c r="J1405" s="75"/>
      <c r="K1405" s="75"/>
      <c r="L1405" s="88"/>
      <c r="M1405" s="77"/>
      <c r="N1405" s="77"/>
      <c r="O1405" s="78"/>
      <c r="S1405" s="148"/>
      <c r="T1405"/>
      <c r="U1405"/>
    </row>
    <row r="1406" spans="1:21" x14ac:dyDescent="0.2">
      <c r="A1406" s="73"/>
      <c r="B1406" s="73"/>
      <c r="C1406" s="74"/>
      <c r="D1406" s="75"/>
      <c r="E1406" s="85"/>
      <c r="F1406" s="161"/>
      <c r="G1406" s="76"/>
      <c r="H1406" s="87"/>
      <c r="I1406" s="75"/>
      <c r="J1406" s="75"/>
      <c r="K1406" s="75"/>
      <c r="L1406" s="88"/>
      <c r="M1406" s="77"/>
      <c r="N1406" s="77"/>
      <c r="O1406" s="78"/>
      <c r="S1406" s="148"/>
      <c r="T1406"/>
      <c r="U1406"/>
    </row>
    <row r="1407" spans="1:21" x14ac:dyDescent="0.2">
      <c r="A1407" s="73"/>
      <c r="B1407" s="73"/>
      <c r="C1407" s="74"/>
      <c r="D1407" s="75"/>
      <c r="E1407" s="85"/>
      <c r="F1407" s="161"/>
      <c r="G1407" s="76"/>
      <c r="H1407" s="87"/>
      <c r="I1407" s="75"/>
      <c r="J1407" s="75"/>
      <c r="K1407" s="75"/>
      <c r="L1407" s="88"/>
      <c r="M1407" s="77"/>
      <c r="N1407" s="77"/>
      <c r="O1407" s="78"/>
      <c r="S1407" s="148"/>
      <c r="T1407"/>
      <c r="U1407"/>
    </row>
    <row r="1408" spans="1:21" x14ac:dyDescent="0.2">
      <c r="A1408" s="73"/>
      <c r="B1408" s="73"/>
      <c r="C1408" s="74"/>
      <c r="D1408" s="75"/>
      <c r="E1408" s="85"/>
      <c r="F1408" s="161"/>
      <c r="G1408" s="76"/>
      <c r="H1408" s="87"/>
      <c r="I1408" s="75"/>
      <c r="J1408" s="75"/>
      <c r="K1408" s="75"/>
      <c r="L1408" s="88"/>
      <c r="M1408" s="77"/>
      <c r="N1408" s="77"/>
      <c r="O1408" s="78"/>
      <c r="S1408" s="148"/>
      <c r="T1408"/>
      <c r="U1408"/>
    </row>
    <row r="1409" spans="1:21" x14ac:dyDescent="0.2">
      <c r="A1409" s="73"/>
      <c r="B1409" s="73"/>
      <c r="C1409" s="74"/>
      <c r="D1409" s="75"/>
      <c r="E1409" s="85"/>
      <c r="F1409" s="161"/>
      <c r="G1409" s="76"/>
      <c r="H1409" s="87"/>
      <c r="I1409" s="75"/>
      <c r="J1409" s="75"/>
      <c r="K1409" s="75"/>
      <c r="L1409" s="88"/>
      <c r="M1409" s="77"/>
      <c r="N1409" s="77"/>
      <c r="O1409" s="78"/>
      <c r="S1409" s="148"/>
      <c r="T1409"/>
      <c r="U1409"/>
    </row>
    <row r="1410" spans="1:21" x14ac:dyDescent="0.2">
      <c r="A1410" s="73"/>
      <c r="B1410" s="73"/>
      <c r="C1410" s="74"/>
      <c r="D1410" s="75"/>
      <c r="E1410" s="85"/>
      <c r="F1410" s="161"/>
      <c r="G1410" s="76"/>
      <c r="H1410" s="87"/>
      <c r="I1410" s="75"/>
      <c r="J1410" s="75"/>
      <c r="K1410" s="75"/>
      <c r="L1410" s="88"/>
      <c r="M1410" s="77"/>
      <c r="N1410" s="77"/>
      <c r="O1410" s="78"/>
      <c r="S1410" s="148"/>
      <c r="T1410"/>
      <c r="U1410"/>
    </row>
    <row r="1411" spans="1:21" x14ac:dyDescent="0.2">
      <c r="A1411" s="73"/>
      <c r="B1411" s="73"/>
      <c r="C1411" s="74"/>
      <c r="D1411" s="75"/>
      <c r="E1411" s="85"/>
      <c r="F1411" s="161"/>
      <c r="G1411" s="76"/>
      <c r="H1411" s="87"/>
      <c r="I1411" s="75"/>
      <c r="J1411" s="75"/>
      <c r="K1411" s="75"/>
      <c r="L1411" s="88"/>
      <c r="M1411" s="77"/>
      <c r="N1411" s="77"/>
      <c r="O1411" s="78"/>
      <c r="S1411" s="148"/>
      <c r="T1411"/>
      <c r="U1411"/>
    </row>
    <row r="1412" spans="1:21" x14ac:dyDescent="0.2">
      <c r="A1412" s="73"/>
      <c r="B1412" s="73"/>
      <c r="C1412" s="74"/>
      <c r="D1412" s="75"/>
      <c r="E1412" s="85"/>
      <c r="F1412" s="161"/>
      <c r="G1412" s="76"/>
      <c r="H1412" s="87"/>
      <c r="I1412" s="75"/>
      <c r="J1412" s="75"/>
      <c r="K1412" s="75"/>
      <c r="L1412" s="88"/>
      <c r="M1412" s="77"/>
      <c r="N1412" s="77"/>
      <c r="O1412" s="78"/>
      <c r="S1412" s="148"/>
      <c r="T1412"/>
      <c r="U1412"/>
    </row>
    <row r="1413" spans="1:21" x14ac:dyDescent="0.2">
      <c r="A1413" s="73"/>
      <c r="B1413" s="73"/>
      <c r="C1413" s="74"/>
      <c r="D1413" s="75"/>
      <c r="E1413" s="85"/>
      <c r="F1413" s="161"/>
      <c r="G1413" s="76"/>
      <c r="H1413" s="87"/>
      <c r="I1413" s="75"/>
      <c r="J1413" s="75"/>
      <c r="K1413" s="75"/>
      <c r="L1413" s="88"/>
      <c r="M1413" s="77"/>
      <c r="N1413" s="77"/>
      <c r="O1413" s="78"/>
      <c r="S1413" s="148"/>
      <c r="T1413"/>
      <c r="U1413"/>
    </row>
    <row r="1414" spans="1:21" x14ac:dyDescent="0.2">
      <c r="A1414" s="73"/>
      <c r="B1414" s="73"/>
      <c r="C1414" s="74"/>
      <c r="D1414" s="75"/>
      <c r="E1414" s="85"/>
      <c r="F1414" s="161"/>
      <c r="G1414" s="76"/>
      <c r="H1414" s="87"/>
      <c r="I1414" s="75"/>
      <c r="J1414" s="75"/>
      <c r="K1414" s="75"/>
      <c r="L1414" s="88"/>
      <c r="M1414" s="77"/>
      <c r="N1414" s="77"/>
      <c r="O1414" s="78"/>
      <c r="S1414" s="148"/>
      <c r="T1414"/>
      <c r="U1414"/>
    </row>
    <row r="1415" spans="1:21" x14ac:dyDescent="0.2">
      <c r="A1415" s="73"/>
      <c r="B1415" s="73"/>
      <c r="C1415" s="74"/>
      <c r="D1415" s="75"/>
      <c r="E1415" s="85"/>
      <c r="F1415" s="161"/>
      <c r="G1415" s="76"/>
      <c r="H1415" s="87"/>
      <c r="I1415" s="75"/>
      <c r="J1415" s="75"/>
      <c r="K1415" s="75"/>
      <c r="L1415" s="88"/>
      <c r="M1415" s="77"/>
      <c r="N1415" s="77"/>
      <c r="O1415" s="78"/>
      <c r="S1415" s="148"/>
      <c r="T1415"/>
      <c r="U1415"/>
    </row>
    <row r="1416" spans="1:21" x14ac:dyDescent="0.2">
      <c r="A1416" s="73"/>
      <c r="B1416" s="73"/>
      <c r="C1416" s="74"/>
      <c r="D1416" s="75"/>
      <c r="E1416" s="85"/>
      <c r="F1416" s="161"/>
      <c r="G1416" s="76"/>
      <c r="H1416" s="87"/>
      <c r="I1416" s="75"/>
      <c r="J1416" s="75"/>
      <c r="K1416" s="75"/>
      <c r="L1416" s="88"/>
      <c r="M1416" s="77"/>
      <c r="N1416" s="77"/>
      <c r="O1416" s="78"/>
      <c r="S1416" s="148"/>
      <c r="T1416"/>
      <c r="U1416"/>
    </row>
    <row r="1417" spans="1:21" x14ac:dyDescent="0.2">
      <c r="A1417" s="73"/>
      <c r="B1417" s="73"/>
      <c r="C1417" s="74"/>
      <c r="D1417" s="75"/>
      <c r="E1417" s="85"/>
      <c r="F1417" s="161"/>
      <c r="G1417" s="76"/>
      <c r="H1417" s="87"/>
      <c r="I1417" s="75"/>
      <c r="J1417" s="75"/>
      <c r="K1417" s="75"/>
      <c r="L1417" s="88"/>
      <c r="M1417" s="77"/>
      <c r="N1417" s="77"/>
      <c r="O1417" s="78"/>
      <c r="S1417" s="148"/>
      <c r="T1417"/>
      <c r="U1417"/>
    </row>
    <row r="1418" spans="1:21" x14ac:dyDescent="0.2">
      <c r="A1418" s="73"/>
      <c r="B1418" s="73"/>
      <c r="C1418" s="74"/>
      <c r="D1418" s="75"/>
      <c r="E1418" s="85"/>
      <c r="F1418" s="161"/>
      <c r="G1418" s="76"/>
      <c r="H1418" s="87"/>
      <c r="I1418" s="75"/>
      <c r="J1418" s="75"/>
      <c r="K1418" s="75"/>
      <c r="L1418" s="88"/>
      <c r="M1418" s="77"/>
      <c r="N1418" s="77"/>
      <c r="O1418" s="78"/>
      <c r="S1418" s="148"/>
      <c r="T1418"/>
      <c r="U1418"/>
    </row>
    <row r="1419" spans="1:21" x14ac:dyDescent="0.2">
      <c r="A1419" s="73"/>
      <c r="B1419" s="73"/>
      <c r="C1419" s="74"/>
      <c r="D1419" s="75"/>
      <c r="E1419" s="85"/>
      <c r="F1419" s="161"/>
      <c r="G1419" s="76"/>
      <c r="H1419" s="87"/>
      <c r="I1419" s="75"/>
      <c r="J1419" s="75"/>
      <c r="K1419" s="75"/>
      <c r="L1419" s="88"/>
      <c r="M1419" s="77"/>
      <c r="N1419" s="77"/>
      <c r="O1419" s="78"/>
      <c r="S1419" s="148"/>
      <c r="T1419"/>
      <c r="U1419"/>
    </row>
    <row r="1420" spans="1:21" x14ac:dyDescent="0.2">
      <c r="A1420" s="73"/>
      <c r="B1420" s="73"/>
      <c r="C1420" s="74"/>
      <c r="D1420" s="75"/>
      <c r="E1420" s="85"/>
      <c r="F1420" s="161"/>
      <c r="G1420" s="76"/>
      <c r="H1420" s="87"/>
      <c r="I1420" s="75"/>
      <c r="J1420" s="75"/>
      <c r="K1420" s="75"/>
      <c r="L1420" s="88"/>
      <c r="M1420" s="77"/>
      <c r="N1420" s="77"/>
      <c r="O1420" s="78"/>
      <c r="S1420" s="148"/>
      <c r="T1420"/>
      <c r="U1420"/>
    </row>
    <row r="1421" spans="1:21" x14ac:dyDescent="0.2">
      <c r="A1421" s="73"/>
      <c r="B1421" s="73"/>
      <c r="C1421" s="74"/>
      <c r="D1421" s="75"/>
      <c r="E1421" s="85"/>
      <c r="F1421" s="161"/>
      <c r="G1421" s="76"/>
      <c r="H1421" s="87"/>
      <c r="I1421" s="75"/>
      <c r="J1421" s="75"/>
      <c r="K1421" s="75"/>
      <c r="L1421" s="88"/>
      <c r="M1421" s="77"/>
      <c r="N1421" s="77"/>
      <c r="O1421" s="78"/>
      <c r="S1421" s="148"/>
      <c r="T1421"/>
      <c r="U1421"/>
    </row>
    <row r="1422" spans="1:21" x14ac:dyDescent="0.2">
      <c r="A1422" s="73"/>
      <c r="B1422" s="73"/>
      <c r="C1422" s="74"/>
      <c r="D1422" s="75"/>
      <c r="E1422" s="85"/>
      <c r="F1422" s="161"/>
      <c r="G1422" s="76"/>
      <c r="H1422" s="87"/>
      <c r="I1422" s="75"/>
      <c r="J1422" s="75"/>
      <c r="K1422" s="75"/>
      <c r="L1422" s="88"/>
      <c r="M1422" s="77"/>
      <c r="N1422" s="77"/>
      <c r="O1422" s="78"/>
      <c r="S1422" s="148"/>
      <c r="T1422"/>
      <c r="U1422"/>
    </row>
    <row r="1423" spans="1:21" x14ac:dyDescent="0.2">
      <c r="A1423" s="73"/>
      <c r="B1423" s="73"/>
      <c r="C1423" s="74"/>
      <c r="D1423" s="75"/>
      <c r="E1423" s="85"/>
      <c r="F1423" s="161"/>
      <c r="G1423" s="76"/>
      <c r="H1423" s="87"/>
      <c r="I1423" s="75"/>
      <c r="J1423" s="75"/>
      <c r="K1423" s="75"/>
      <c r="L1423" s="88"/>
      <c r="M1423" s="77"/>
      <c r="N1423" s="77"/>
      <c r="O1423" s="78"/>
      <c r="S1423" s="148"/>
      <c r="T1423"/>
      <c r="U1423"/>
    </row>
    <row r="1424" spans="1:21" x14ac:dyDescent="0.2">
      <c r="A1424" s="73"/>
      <c r="B1424" s="73"/>
      <c r="C1424" s="74"/>
      <c r="D1424" s="75"/>
      <c r="E1424" s="85"/>
      <c r="F1424" s="161"/>
      <c r="G1424" s="76"/>
      <c r="H1424" s="87"/>
      <c r="I1424" s="75"/>
      <c r="J1424" s="75"/>
      <c r="K1424" s="75"/>
      <c r="L1424" s="88"/>
      <c r="M1424" s="77"/>
      <c r="N1424" s="77"/>
      <c r="O1424" s="78"/>
      <c r="S1424" s="148"/>
      <c r="T1424"/>
      <c r="U1424"/>
    </row>
    <row r="1425" spans="1:21" x14ac:dyDescent="0.2">
      <c r="A1425" s="73"/>
      <c r="B1425" s="73"/>
      <c r="C1425" s="74"/>
      <c r="D1425" s="75"/>
      <c r="E1425" s="85"/>
      <c r="F1425" s="161"/>
      <c r="G1425" s="76"/>
      <c r="H1425" s="87"/>
      <c r="I1425" s="75"/>
      <c r="J1425" s="75"/>
      <c r="K1425" s="75"/>
      <c r="L1425" s="88"/>
      <c r="M1425" s="77"/>
      <c r="N1425" s="77"/>
      <c r="O1425" s="78"/>
      <c r="S1425" s="148"/>
      <c r="T1425"/>
      <c r="U1425"/>
    </row>
    <row r="1426" spans="1:21" x14ac:dyDescent="0.2">
      <c r="A1426" s="73"/>
      <c r="B1426" s="73"/>
      <c r="C1426" s="74"/>
      <c r="D1426" s="75"/>
      <c r="E1426" s="85"/>
      <c r="F1426" s="161"/>
      <c r="G1426" s="76"/>
      <c r="H1426" s="87"/>
      <c r="I1426" s="75"/>
      <c r="J1426" s="75"/>
      <c r="K1426" s="75"/>
      <c r="L1426" s="88"/>
      <c r="M1426" s="77"/>
      <c r="N1426" s="77"/>
      <c r="O1426" s="78"/>
      <c r="S1426" s="148"/>
      <c r="T1426"/>
      <c r="U1426"/>
    </row>
    <row r="1427" spans="1:21" x14ac:dyDescent="0.2">
      <c r="A1427" s="73"/>
      <c r="B1427" s="73"/>
      <c r="C1427" s="74"/>
      <c r="D1427" s="75"/>
      <c r="E1427" s="85"/>
      <c r="F1427" s="161"/>
      <c r="G1427" s="76"/>
      <c r="H1427" s="87"/>
      <c r="I1427" s="75"/>
      <c r="J1427" s="75"/>
      <c r="K1427" s="75"/>
      <c r="L1427" s="88"/>
      <c r="M1427" s="77"/>
      <c r="N1427" s="77"/>
      <c r="O1427" s="78"/>
      <c r="S1427" s="148"/>
      <c r="T1427"/>
      <c r="U1427"/>
    </row>
    <row r="1428" spans="1:21" x14ac:dyDescent="0.2">
      <c r="A1428" s="73"/>
      <c r="B1428" s="73"/>
      <c r="C1428" s="74"/>
      <c r="D1428" s="75"/>
      <c r="E1428" s="85"/>
      <c r="F1428" s="161"/>
      <c r="G1428" s="76"/>
      <c r="H1428" s="87"/>
      <c r="I1428" s="75"/>
      <c r="J1428" s="75"/>
      <c r="K1428" s="75"/>
      <c r="L1428" s="88"/>
      <c r="M1428" s="77"/>
      <c r="N1428" s="77"/>
      <c r="O1428" s="78"/>
      <c r="S1428" s="148"/>
      <c r="T1428"/>
      <c r="U1428"/>
    </row>
    <row r="1429" spans="1:21" x14ac:dyDescent="0.2">
      <c r="A1429" s="73"/>
      <c r="B1429" s="73"/>
      <c r="C1429" s="74"/>
      <c r="D1429" s="75"/>
      <c r="E1429" s="85"/>
      <c r="F1429" s="161"/>
      <c r="G1429" s="76"/>
      <c r="H1429" s="87"/>
      <c r="I1429" s="75"/>
      <c r="J1429" s="75"/>
      <c r="K1429" s="75"/>
      <c r="L1429" s="88"/>
      <c r="M1429" s="77"/>
      <c r="N1429" s="77"/>
      <c r="O1429" s="78"/>
      <c r="S1429" s="148"/>
      <c r="T1429"/>
      <c r="U1429"/>
    </row>
    <row r="1430" spans="1:21" x14ac:dyDescent="0.2">
      <c r="A1430" s="73"/>
      <c r="B1430" s="73"/>
      <c r="C1430" s="74"/>
      <c r="D1430" s="75"/>
      <c r="E1430" s="85"/>
      <c r="F1430" s="161"/>
      <c r="G1430" s="76"/>
      <c r="H1430" s="87"/>
      <c r="I1430" s="75"/>
      <c r="J1430" s="75"/>
      <c r="K1430" s="75"/>
      <c r="L1430" s="88"/>
      <c r="M1430" s="77"/>
      <c r="N1430" s="77"/>
      <c r="O1430" s="78"/>
      <c r="S1430" s="148"/>
      <c r="T1430"/>
      <c r="U1430"/>
    </row>
    <row r="1431" spans="1:21" x14ac:dyDescent="0.2">
      <c r="A1431" s="73"/>
      <c r="B1431" s="73"/>
      <c r="C1431" s="74"/>
      <c r="D1431" s="75"/>
      <c r="E1431" s="85"/>
      <c r="F1431" s="161"/>
      <c r="G1431" s="76"/>
      <c r="H1431" s="87"/>
      <c r="I1431" s="75"/>
      <c r="J1431" s="75"/>
      <c r="K1431" s="75"/>
      <c r="L1431" s="88"/>
      <c r="M1431" s="77"/>
      <c r="N1431" s="77"/>
      <c r="O1431" s="78"/>
      <c r="S1431" s="148"/>
      <c r="T1431"/>
      <c r="U1431"/>
    </row>
    <row r="1432" spans="1:21" x14ac:dyDescent="0.2">
      <c r="A1432" s="73"/>
      <c r="B1432" s="73"/>
      <c r="C1432" s="74"/>
      <c r="D1432" s="75"/>
      <c r="E1432" s="85"/>
      <c r="F1432" s="161"/>
      <c r="G1432" s="76"/>
      <c r="H1432" s="87"/>
      <c r="I1432" s="75"/>
      <c r="J1432" s="75"/>
      <c r="K1432" s="75"/>
      <c r="L1432" s="88"/>
      <c r="M1432" s="77"/>
      <c r="N1432" s="77"/>
      <c r="O1432" s="78"/>
      <c r="S1432" s="148"/>
      <c r="T1432"/>
      <c r="U1432"/>
    </row>
    <row r="1433" spans="1:21" x14ac:dyDescent="0.2">
      <c r="A1433" s="73"/>
      <c r="B1433" s="73"/>
      <c r="C1433" s="74"/>
      <c r="D1433" s="75"/>
      <c r="E1433" s="85"/>
      <c r="F1433" s="161"/>
      <c r="G1433" s="76"/>
      <c r="H1433" s="87"/>
      <c r="I1433" s="75"/>
      <c r="J1433" s="75"/>
      <c r="K1433" s="75"/>
      <c r="L1433" s="88"/>
      <c r="M1433" s="77"/>
      <c r="N1433" s="77"/>
      <c r="O1433" s="78"/>
      <c r="S1433" s="148"/>
      <c r="T1433"/>
      <c r="U1433"/>
    </row>
    <row r="1434" spans="1:21" x14ac:dyDescent="0.2">
      <c r="A1434" s="73"/>
      <c r="B1434" s="73"/>
      <c r="C1434" s="74"/>
      <c r="D1434" s="75"/>
      <c r="E1434" s="85"/>
      <c r="F1434" s="161"/>
      <c r="G1434" s="76"/>
      <c r="H1434" s="87"/>
      <c r="I1434" s="75"/>
      <c r="J1434" s="75"/>
      <c r="K1434" s="75"/>
      <c r="L1434" s="88"/>
      <c r="M1434" s="77"/>
      <c r="N1434" s="77"/>
      <c r="O1434" s="78"/>
      <c r="S1434" s="148"/>
      <c r="T1434"/>
      <c r="U1434"/>
    </row>
    <row r="1435" spans="1:21" x14ac:dyDescent="0.2">
      <c r="A1435" s="73"/>
      <c r="B1435" s="73"/>
      <c r="C1435" s="74"/>
      <c r="D1435" s="75"/>
      <c r="E1435" s="85"/>
      <c r="F1435" s="161"/>
      <c r="G1435" s="76"/>
      <c r="H1435" s="87"/>
      <c r="I1435" s="75"/>
      <c r="J1435" s="75"/>
      <c r="K1435" s="75"/>
      <c r="L1435" s="88"/>
      <c r="M1435" s="77"/>
      <c r="N1435" s="77"/>
      <c r="O1435" s="78"/>
      <c r="S1435" s="148"/>
      <c r="T1435"/>
      <c r="U1435"/>
    </row>
    <row r="1436" spans="1:21" x14ac:dyDescent="0.2">
      <c r="A1436" s="73"/>
      <c r="B1436" s="73"/>
      <c r="C1436" s="74"/>
      <c r="D1436" s="75"/>
      <c r="E1436" s="85"/>
      <c r="F1436" s="161"/>
      <c r="G1436" s="76"/>
      <c r="H1436" s="87"/>
      <c r="I1436" s="75"/>
      <c r="J1436" s="75"/>
      <c r="K1436" s="75"/>
      <c r="L1436" s="88"/>
      <c r="M1436" s="77"/>
      <c r="N1436" s="77"/>
      <c r="O1436" s="78"/>
      <c r="S1436" s="148"/>
      <c r="T1436"/>
      <c r="U1436"/>
    </row>
    <row r="1437" spans="1:21" x14ac:dyDescent="0.2">
      <c r="A1437" s="73"/>
      <c r="B1437" s="73"/>
      <c r="C1437" s="74"/>
      <c r="D1437" s="75"/>
      <c r="E1437" s="85"/>
      <c r="F1437" s="161"/>
      <c r="G1437" s="76"/>
      <c r="H1437" s="87"/>
      <c r="I1437" s="75"/>
      <c r="J1437" s="75"/>
      <c r="K1437" s="75"/>
      <c r="L1437" s="88"/>
      <c r="M1437" s="77"/>
      <c r="N1437" s="77"/>
      <c r="O1437" s="78"/>
      <c r="S1437" s="148"/>
      <c r="T1437"/>
      <c r="U1437"/>
    </row>
    <row r="1438" spans="1:21" x14ac:dyDescent="0.2">
      <c r="A1438" s="73"/>
      <c r="B1438" s="73"/>
      <c r="C1438" s="74"/>
      <c r="D1438" s="75"/>
      <c r="E1438" s="85"/>
      <c r="F1438" s="161"/>
      <c r="G1438" s="76"/>
      <c r="H1438" s="87"/>
      <c r="I1438" s="75"/>
      <c r="J1438" s="75"/>
      <c r="K1438" s="75"/>
      <c r="L1438" s="88"/>
      <c r="M1438" s="77"/>
      <c r="N1438" s="77"/>
      <c r="O1438" s="78"/>
      <c r="S1438" s="148"/>
      <c r="T1438"/>
      <c r="U1438"/>
    </row>
    <row r="1439" spans="1:21" x14ac:dyDescent="0.2">
      <c r="A1439" s="73"/>
      <c r="B1439" s="73"/>
      <c r="C1439" s="74"/>
      <c r="D1439" s="75"/>
      <c r="E1439" s="85"/>
      <c r="F1439" s="161"/>
      <c r="G1439" s="76"/>
      <c r="H1439" s="87"/>
      <c r="I1439" s="75"/>
      <c r="J1439" s="75"/>
      <c r="K1439" s="75"/>
      <c r="L1439" s="88"/>
      <c r="M1439" s="77"/>
      <c r="N1439" s="77"/>
      <c r="O1439" s="78"/>
      <c r="S1439" s="148"/>
      <c r="T1439"/>
      <c r="U1439"/>
    </row>
    <row r="1440" spans="1:21" x14ac:dyDescent="0.2">
      <c r="A1440" s="73"/>
      <c r="B1440" s="73"/>
      <c r="C1440" s="74"/>
      <c r="D1440" s="75"/>
      <c r="E1440" s="85"/>
      <c r="F1440" s="161"/>
      <c r="G1440" s="76"/>
      <c r="H1440" s="87"/>
      <c r="I1440" s="75"/>
      <c r="J1440" s="75"/>
      <c r="K1440" s="75"/>
      <c r="L1440" s="88"/>
      <c r="M1440" s="77"/>
      <c r="N1440" s="77"/>
      <c r="O1440" s="78"/>
      <c r="S1440" s="148"/>
      <c r="T1440"/>
      <c r="U1440"/>
    </row>
    <row r="1441" spans="1:21" x14ac:dyDescent="0.2">
      <c r="A1441" s="73"/>
      <c r="B1441" s="73"/>
      <c r="C1441" s="74"/>
      <c r="D1441" s="75"/>
      <c r="E1441" s="85"/>
      <c r="F1441" s="161"/>
      <c r="G1441" s="76"/>
      <c r="H1441" s="87"/>
      <c r="I1441" s="75"/>
      <c r="J1441" s="75"/>
      <c r="K1441" s="75"/>
      <c r="L1441" s="88"/>
      <c r="M1441" s="77"/>
      <c r="N1441" s="77"/>
      <c r="O1441" s="78"/>
      <c r="S1441" s="148"/>
      <c r="T1441"/>
      <c r="U1441"/>
    </row>
    <row r="1442" spans="1:21" x14ac:dyDescent="0.2">
      <c r="A1442" s="73"/>
      <c r="B1442" s="73"/>
      <c r="C1442" s="74"/>
      <c r="D1442" s="75"/>
      <c r="E1442" s="85"/>
      <c r="F1442" s="161"/>
      <c r="G1442" s="76"/>
      <c r="H1442" s="87"/>
      <c r="I1442" s="75"/>
      <c r="J1442" s="75"/>
      <c r="K1442" s="75"/>
      <c r="L1442" s="88"/>
      <c r="M1442" s="77"/>
      <c r="N1442" s="77"/>
      <c r="O1442" s="78"/>
      <c r="S1442" s="148"/>
      <c r="T1442"/>
      <c r="U1442"/>
    </row>
    <row r="1443" spans="1:21" x14ac:dyDescent="0.2">
      <c r="A1443" s="73"/>
      <c r="B1443" s="73"/>
      <c r="C1443" s="74"/>
      <c r="D1443" s="75"/>
      <c r="E1443" s="85"/>
      <c r="F1443" s="161"/>
      <c r="G1443" s="76"/>
      <c r="H1443" s="87"/>
      <c r="I1443" s="75"/>
      <c r="J1443" s="75"/>
      <c r="K1443" s="75"/>
      <c r="L1443" s="88"/>
      <c r="M1443" s="77"/>
      <c r="N1443" s="77"/>
      <c r="O1443" s="78"/>
      <c r="S1443" s="148"/>
      <c r="T1443"/>
      <c r="U1443"/>
    </row>
    <row r="1444" spans="1:21" x14ac:dyDescent="0.2">
      <c r="A1444" s="73"/>
      <c r="B1444" s="73"/>
      <c r="C1444" s="74"/>
      <c r="D1444" s="75"/>
      <c r="E1444" s="85"/>
      <c r="F1444" s="161"/>
      <c r="G1444" s="76"/>
      <c r="H1444" s="87"/>
      <c r="I1444" s="75"/>
      <c r="J1444" s="75"/>
      <c r="K1444" s="75"/>
      <c r="L1444" s="88"/>
      <c r="M1444" s="77"/>
      <c r="N1444" s="77"/>
      <c r="O1444" s="78"/>
      <c r="S1444" s="148"/>
      <c r="T1444"/>
      <c r="U1444"/>
    </row>
    <row r="1445" spans="1:21" x14ac:dyDescent="0.2">
      <c r="A1445" s="73"/>
      <c r="B1445" s="73"/>
      <c r="C1445" s="74"/>
      <c r="D1445" s="75"/>
      <c r="E1445" s="85"/>
      <c r="F1445" s="161"/>
      <c r="G1445" s="76"/>
      <c r="H1445" s="87"/>
      <c r="I1445" s="75"/>
      <c r="J1445" s="75"/>
      <c r="K1445" s="75"/>
      <c r="L1445" s="88"/>
      <c r="M1445" s="77"/>
      <c r="N1445" s="77"/>
      <c r="O1445" s="78"/>
      <c r="S1445" s="148"/>
      <c r="T1445"/>
      <c r="U1445"/>
    </row>
    <row r="1446" spans="1:21" x14ac:dyDescent="0.2">
      <c r="A1446" s="73"/>
      <c r="B1446" s="73"/>
      <c r="C1446" s="74"/>
      <c r="D1446" s="75"/>
      <c r="E1446" s="85"/>
      <c r="F1446" s="161"/>
      <c r="G1446" s="76"/>
      <c r="H1446" s="87"/>
      <c r="I1446" s="75"/>
      <c r="J1446" s="75"/>
      <c r="K1446" s="75"/>
      <c r="L1446" s="88"/>
      <c r="M1446" s="77"/>
      <c r="N1446" s="77"/>
      <c r="O1446" s="78"/>
      <c r="S1446" s="148"/>
      <c r="T1446"/>
      <c r="U1446"/>
    </row>
    <row r="1447" spans="1:21" x14ac:dyDescent="0.2">
      <c r="A1447" s="73"/>
      <c r="B1447" s="73"/>
      <c r="C1447" s="74"/>
      <c r="D1447" s="75"/>
      <c r="E1447" s="85"/>
      <c r="F1447" s="161"/>
      <c r="G1447" s="76"/>
      <c r="H1447" s="87"/>
      <c r="I1447" s="75"/>
      <c r="J1447" s="75"/>
      <c r="K1447" s="75"/>
      <c r="L1447" s="88"/>
      <c r="M1447" s="77"/>
      <c r="N1447" s="77"/>
      <c r="O1447" s="78"/>
      <c r="S1447" s="148"/>
      <c r="T1447"/>
      <c r="U1447"/>
    </row>
    <row r="1448" spans="1:21" x14ac:dyDescent="0.2">
      <c r="A1448" s="73"/>
      <c r="B1448" s="73"/>
      <c r="C1448" s="74"/>
      <c r="D1448" s="75"/>
      <c r="E1448" s="85"/>
      <c r="F1448" s="161"/>
      <c r="G1448" s="76"/>
      <c r="H1448" s="87"/>
      <c r="I1448" s="75"/>
      <c r="J1448" s="75"/>
      <c r="K1448" s="75"/>
      <c r="L1448" s="88"/>
      <c r="M1448" s="77"/>
      <c r="N1448" s="77"/>
      <c r="O1448" s="78"/>
      <c r="S1448" s="148"/>
      <c r="T1448"/>
      <c r="U1448"/>
    </row>
    <row r="1449" spans="1:21" x14ac:dyDescent="0.2">
      <c r="A1449" s="73"/>
      <c r="B1449" s="73"/>
      <c r="C1449" s="74"/>
      <c r="D1449" s="75"/>
      <c r="E1449" s="85"/>
      <c r="F1449" s="161"/>
      <c r="G1449" s="76"/>
      <c r="H1449" s="87"/>
      <c r="I1449" s="75"/>
      <c r="J1449" s="75"/>
      <c r="K1449" s="75"/>
      <c r="L1449" s="88"/>
      <c r="M1449" s="77"/>
      <c r="N1449" s="77"/>
      <c r="O1449" s="78"/>
      <c r="S1449" s="148"/>
      <c r="T1449"/>
      <c r="U1449"/>
    </row>
    <row r="1450" spans="1:21" x14ac:dyDescent="0.2">
      <c r="A1450" s="73"/>
      <c r="B1450" s="73"/>
      <c r="C1450" s="74"/>
      <c r="D1450" s="75"/>
      <c r="E1450" s="85"/>
      <c r="F1450" s="161"/>
      <c r="G1450" s="76"/>
      <c r="H1450" s="87"/>
      <c r="I1450" s="75"/>
      <c r="J1450" s="75"/>
      <c r="K1450" s="75"/>
      <c r="L1450" s="88"/>
      <c r="M1450" s="77"/>
      <c r="N1450" s="77"/>
      <c r="O1450" s="78"/>
      <c r="S1450" s="148"/>
      <c r="T1450"/>
      <c r="U1450"/>
    </row>
    <row r="1451" spans="1:21" x14ac:dyDescent="0.2">
      <c r="A1451" s="73"/>
      <c r="B1451" s="73"/>
      <c r="C1451" s="74"/>
      <c r="D1451" s="75"/>
      <c r="E1451" s="85"/>
      <c r="F1451" s="161"/>
      <c r="G1451" s="76"/>
      <c r="H1451" s="87"/>
      <c r="I1451" s="75"/>
      <c r="J1451" s="75"/>
      <c r="K1451" s="75"/>
      <c r="L1451" s="88"/>
      <c r="M1451" s="77"/>
      <c r="N1451" s="77"/>
      <c r="O1451" s="78"/>
      <c r="S1451" s="148"/>
      <c r="T1451"/>
      <c r="U1451"/>
    </row>
    <row r="1452" spans="1:21" x14ac:dyDescent="0.2">
      <c r="A1452" s="73"/>
      <c r="B1452" s="73"/>
      <c r="C1452" s="74"/>
      <c r="D1452" s="75"/>
      <c r="E1452" s="85"/>
      <c r="F1452" s="161"/>
      <c r="G1452" s="76"/>
      <c r="H1452" s="87"/>
      <c r="I1452" s="75"/>
      <c r="J1452" s="75"/>
      <c r="K1452" s="75"/>
      <c r="L1452" s="88"/>
      <c r="M1452" s="77"/>
      <c r="N1452" s="77"/>
      <c r="O1452" s="78"/>
      <c r="S1452" s="148"/>
      <c r="T1452"/>
      <c r="U1452"/>
    </row>
    <row r="1453" spans="1:21" x14ac:dyDescent="0.2">
      <c r="A1453" s="73"/>
      <c r="B1453" s="73"/>
      <c r="C1453" s="74"/>
      <c r="D1453" s="75"/>
      <c r="E1453" s="85"/>
      <c r="F1453" s="161"/>
      <c r="G1453" s="76"/>
      <c r="H1453" s="87"/>
      <c r="I1453" s="75"/>
      <c r="J1453" s="75"/>
      <c r="K1453" s="75"/>
      <c r="L1453" s="88"/>
      <c r="M1453" s="77"/>
      <c r="N1453" s="77"/>
      <c r="O1453" s="78"/>
      <c r="S1453" s="148"/>
      <c r="T1453"/>
      <c r="U1453"/>
    </row>
    <row r="1454" spans="1:21" x14ac:dyDescent="0.2">
      <c r="A1454" s="73"/>
      <c r="B1454" s="73"/>
      <c r="C1454" s="74"/>
      <c r="D1454" s="75"/>
      <c r="E1454" s="85"/>
      <c r="F1454" s="161"/>
      <c r="G1454" s="76"/>
      <c r="H1454" s="87"/>
      <c r="I1454" s="75"/>
      <c r="J1454" s="75"/>
      <c r="K1454" s="75"/>
      <c r="L1454" s="88"/>
      <c r="M1454" s="77"/>
      <c r="N1454" s="77"/>
      <c r="O1454" s="78"/>
      <c r="S1454" s="148"/>
      <c r="T1454"/>
      <c r="U1454"/>
    </row>
    <row r="1455" spans="1:21" x14ac:dyDescent="0.2">
      <c r="A1455" s="73"/>
      <c r="B1455" s="73"/>
      <c r="C1455" s="74"/>
      <c r="D1455" s="75"/>
      <c r="E1455" s="85"/>
      <c r="F1455" s="161"/>
      <c r="G1455" s="76"/>
      <c r="H1455" s="87"/>
      <c r="I1455" s="75"/>
      <c r="J1455" s="75"/>
      <c r="K1455" s="75"/>
      <c r="L1455" s="163"/>
      <c r="M1455" s="77"/>
      <c r="N1455" s="77"/>
      <c r="O1455" s="78"/>
      <c r="S1455" s="148"/>
      <c r="T1455"/>
      <c r="U1455"/>
    </row>
    <row r="1456" spans="1:21" x14ac:dyDescent="0.2">
      <c r="A1456" s="73"/>
      <c r="B1456" s="73"/>
      <c r="C1456" s="74"/>
      <c r="D1456" s="75"/>
      <c r="E1456" s="85"/>
      <c r="F1456" s="161"/>
      <c r="G1456" s="76"/>
      <c r="H1456" s="87"/>
      <c r="I1456" s="75"/>
      <c r="J1456" s="75"/>
      <c r="K1456" s="75"/>
      <c r="L1456" s="88"/>
      <c r="M1456" s="77"/>
      <c r="N1456" s="77"/>
      <c r="O1456" s="78"/>
      <c r="S1456" s="148"/>
      <c r="T1456"/>
      <c r="U1456"/>
    </row>
    <row r="1457" spans="1:21" x14ac:dyDescent="0.2">
      <c r="A1457" s="73"/>
      <c r="B1457" s="73"/>
      <c r="C1457" s="74"/>
      <c r="D1457" s="75"/>
      <c r="E1457" s="85"/>
      <c r="F1457" s="161"/>
      <c r="G1457" s="76"/>
      <c r="H1457" s="87"/>
      <c r="I1457" s="75"/>
      <c r="J1457" s="75"/>
      <c r="K1457" s="75"/>
      <c r="L1457" s="88"/>
      <c r="M1457" s="77"/>
      <c r="N1457" s="77"/>
      <c r="O1457" s="78"/>
      <c r="S1457" s="148"/>
      <c r="T1457"/>
      <c r="U1457"/>
    </row>
    <row r="1458" spans="1:21" x14ac:dyDescent="0.2">
      <c r="A1458" s="73"/>
      <c r="B1458" s="73"/>
      <c r="C1458" s="74"/>
      <c r="D1458" s="75"/>
      <c r="E1458" s="85"/>
      <c r="F1458" s="161"/>
      <c r="G1458" s="76"/>
      <c r="H1458" s="87"/>
      <c r="I1458" s="75"/>
      <c r="J1458" s="75"/>
      <c r="K1458" s="75"/>
      <c r="L1458" s="88"/>
      <c r="M1458" s="77"/>
      <c r="N1458" s="77"/>
      <c r="O1458" s="78"/>
      <c r="S1458" s="148"/>
      <c r="T1458"/>
      <c r="U1458"/>
    </row>
    <row r="1459" spans="1:21" x14ac:dyDescent="0.2">
      <c r="A1459" s="73"/>
      <c r="B1459" s="73"/>
      <c r="C1459" s="74"/>
      <c r="D1459" s="75"/>
      <c r="E1459" s="85"/>
      <c r="F1459" s="161"/>
      <c r="G1459" s="76"/>
      <c r="H1459" s="87"/>
      <c r="I1459" s="75"/>
      <c r="J1459" s="75"/>
      <c r="K1459" s="75"/>
      <c r="L1459" s="88"/>
      <c r="M1459" s="77"/>
      <c r="N1459" s="77"/>
      <c r="O1459" s="78"/>
      <c r="S1459" s="148"/>
      <c r="T1459"/>
      <c r="U1459"/>
    </row>
    <row r="1460" spans="1:21" x14ac:dyDescent="0.2">
      <c r="A1460" s="73"/>
      <c r="B1460" s="73"/>
      <c r="C1460" s="74"/>
      <c r="D1460" s="75"/>
      <c r="E1460" s="85"/>
      <c r="F1460" s="161"/>
      <c r="G1460" s="76"/>
      <c r="H1460" s="87"/>
      <c r="I1460" s="75"/>
      <c r="J1460" s="75"/>
      <c r="K1460" s="75"/>
      <c r="L1460" s="88"/>
      <c r="M1460" s="77"/>
      <c r="N1460" s="77"/>
      <c r="O1460" s="78"/>
      <c r="S1460" s="148"/>
      <c r="T1460"/>
      <c r="U1460"/>
    </row>
    <row r="1461" spans="1:21" x14ac:dyDescent="0.2">
      <c r="A1461" s="73"/>
      <c r="B1461" s="73"/>
      <c r="C1461" s="74"/>
      <c r="D1461" s="75"/>
      <c r="E1461" s="85"/>
      <c r="F1461" s="161"/>
      <c r="G1461" s="76"/>
      <c r="H1461" s="87"/>
      <c r="I1461" s="75"/>
      <c r="J1461" s="75"/>
      <c r="K1461" s="75"/>
      <c r="L1461" s="88"/>
      <c r="M1461" s="77"/>
      <c r="N1461" s="77"/>
      <c r="O1461" s="78"/>
      <c r="S1461" s="148"/>
      <c r="T1461"/>
      <c r="U1461"/>
    </row>
    <row r="1462" spans="1:21" x14ac:dyDescent="0.2">
      <c r="A1462" s="73"/>
      <c r="B1462" s="73"/>
      <c r="C1462" s="74"/>
      <c r="D1462" s="75"/>
      <c r="E1462" s="85"/>
      <c r="F1462" s="161"/>
      <c r="G1462" s="76"/>
      <c r="H1462" s="87"/>
      <c r="I1462" s="75"/>
      <c r="J1462" s="75"/>
      <c r="K1462" s="75"/>
      <c r="L1462" s="88"/>
      <c r="M1462" s="77"/>
      <c r="N1462" s="77"/>
      <c r="O1462" s="78"/>
      <c r="S1462" s="148"/>
      <c r="T1462"/>
      <c r="U1462"/>
    </row>
    <row r="1463" spans="1:21" x14ac:dyDescent="0.2">
      <c r="A1463" s="73"/>
      <c r="B1463" s="73"/>
      <c r="C1463" s="74"/>
      <c r="D1463" s="75"/>
      <c r="E1463" s="85"/>
      <c r="F1463" s="161"/>
      <c r="G1463" s="76"/>
      <c r="H1463" s="87"/>
      <c r="I1463" s="75"/>
      <c r="J1463" s="75"/>
      <c r="K1463" s="75"/>
      <c r="L1463" s="88"/>
      <c r="M1463" s="77"/>
      <c r="N1463" s="77"/>
      <c r="O1463" s="78"/>
      <c r="S1463" s="148"/>
      <c r="T1463"/>
      <c r="U1463"/>
    </row>
    <row r="1464" spans="1:21" x14ac:dyDescent="0.2">
      <c r="A1464" s="73"/>
      <c r="B1464" s="73"/>
      <c r="C1464" s="74"/>
      <c r="D1464" s="75"/>
      <c r="E1464" s="85"/>
      <c r="F1464" s="161"/>
      <c r="G1464" s="76"/>
      <c r="H1464" s="87"/>
      <c r="I1464" s="75"/>
      <c r="J1464" s="75"/>
      <c r="K1464" s="75"/>
      <c r="L1464" s="88"/>
      <c r="M1464" s="77"/>
      <c r="N1464" s="77"/>
      <c r="O1464" s="78"/>
      <c r="S1464" s="148"/>
      <c r="T1464"/>
      <c r="U1464"/>
    </row>
    <row r="1465" spans="1:21" x14ac:dyDescent="0.2">
      <c r="A1465" s="73"/>
      <c r="B1465" s="73"/>
      <c r="C1465" s="74"/>
      <c r="D1465" s="75"/>
      <c r="E1465" s="85"/>
      <c r="F1465" s="161"/>
      <c r="G1465" s="76"/>
      <c r="H1465" s="87"/>
      <c r="I1465" s="75"/>
      <c r="J1465" s="75"/>
      <c r="K1465" s="75"/>
      <c r="L1465" s="88"/>
      <c r="M1465" s="77"/>
      <c r="N1465" s="77"/>
      <c r="O1465" s="78"/>
      <c r="S1465" s="148"/>
      <c r="T1465"/>
      <c r="U1465"/>
    </row>
    <row r="1466" spans="1:21" x14ac:dyDescent="0.2">
      <c r="A1466" s="73"/>
      <c r="B1466" s="73"/>
      <c r="C1466" s="74"/>
      <c r="D1466" s="75"/>
      <c r="E1466" s="85"/>
      <c r="F1466" s="161"/>
      <c r="G1466" s="76"/>
      <c r="H1466" s="87"/>
      <c r="I1466" s="75"/>
      <c r="J1466" s="75"/>
      <c r="K1466" s="75"/>
      <c r="L1466" s="88"/>
      <c r="M1466" s="77"/>
      <c r="N1466" s="77"/>
      <c r="O1466" s="78"/>
      <c r="S1466" s="148"/>
      <c r="T1466"/>
      <c r="U1466"/>
    </row>
    <row r="1467" spans="1:21" x14ac:dyDescent="0.2">
      <c r="A1467" s="73"/>
      <c r="B1467" s="73"/>
      <c r="C1467" s="74"/>
      <c r="D1467" s="75"/>
      <c r="E1467" s="85"/>
      <c r="F1467" s="161"/>
      <c r="G1467" s="76"/>
      <c r="H1467" s="87"/>
      <c r="I1467" s="75"/>
      <c r="J1467" s="75"/>
      <c r="K1467" s="75"/>
      <c r="L1467" s="88"/>
      <c r="M1467" s="77"/>
      <c r="N1467" s="77"/>
      <c r="O1467" s="78"/>
      <c r="S1467" s="148"/>
      <c r="T1467"/>
      <c r="U1467"/>
    </row>
    <row r="1468" spans="1:21" x14ac:dyDescent="0.2">
      <c r="A1468" s="73"/>
      <c r="B1468" s="73"/>
      <c r="C1468" s="74"/>
      <c r="D1468" s="75"/>
      <c r="E1468" s="85"/>
      <c r="F1468" s="161"/>
      <c r="G1468" s="76"/>
      <c r="H1468" s="87"/>
      <c r="I1468" s="75"/>
      <c r="J1468" s="75"/>
      <c r="K1468" s="75"/>
      <c r="L1468" s="88"/>
      <c r="M1468" s="77"/>
      <c r="N1468" s="77"/>
      <c r="O1468" s="78"/>
      <c r="S1468" s="148"/>
      <c r="T1468"/>
      <c r="U1468"/>
    </row>
    <row r="1469" spans="1:21" x14ac:dyDescent="0.2">
      <c r="A1469" s="73"/>
      <c r="B1469" s="73"/>
      <c r="C1469" s="74"/>
      <c r="D1469" s="75"/>
      <c r="E1469" s="85"/>
      <c r="F1469" s="161"/>
      <c r="G1469" s="76"/>
      <c r="H1469" s="87"/>
      <c r="I1469" s="75"/>
      <c r="J1469" s="75"/>
      <c r="K1469" s="75"/>
      <c r="L1469" s="88"/>
      <c r="M1469" s="77"/>
      <c r="N1469" s="77"/>
      <c r="O1469" s="78"/>
      <c r="S1469" s="148"/>
      <c r="T1469"/>
      <c r="U1469"/>
    </row>
    <row r="1470" spans="1:21" x14ac:dyDescent="0.2">
      <c r="A1470" s="73"/>
      <c r="B1470" s="73"/>
      <c r="C1470" s="74"/>
      <c r="D1470" s="75"/>
      <c r="E1470" s="85"/>
      <c r="F1470" s="161"/>
      <c r="G1470" s="76"/>
      <c r="H1470" s="87"/>
      <c r="I1470" s="75"/>
      <c r="J1470" s="75"/>
      <c r="K1470" s="75"/>
      <c r="L1470" s="88"/>
      <c r="M1470" s="77"/>
      <c r="N1470" s="77"/>
      <c r="O1470" s="78"/>
      <c r="S1470" s="148"/>
      <c r="T1470"/>
      <c r="U1470"/>
    </row>
    <row r="1471" spans="1:21" x14ac:dyDescent="0.2">
      <c r="A1471" s="73"/>
      <c r="B1471" s="73"/>
      <c r="C1471" s="74"/>
      <c r="D1471" s="75"/>
      <c r="E1471" s="85"/>
      <c r="F1471" s="161"/>
      <c r="G1471" s="76"/>
      <c r="H1471" s="87"/>
      <c r="I1471" s="75"/>
      <c r="J1471" s="75"/>
      <c r="K1471" s="75"/>
      <c r="L1471" s="88"/>
      <c r="M1471" s="77"/>
      <c r="N1471" s="77"/>
      <c r="O1471" s="78"/>
      <c r="S1471" s="148"/>
      <c r="T1471"/>
      <c r="U1471"/>
    </row>
    <row r="1472" spans="1:21" x14ac:dyDescent="0.2">
      <c r="A1472" s="73"/>
      <c r="B1472" s="73"/>
      <c r="C1472" s="74"/>
      <c r="D1472" s="75"/>
      <c r="E1472" s="85"/>
      <c r="F1472" s="161"/>
      <c r="G1472" s="76"/>
      <c r="H1472" s="87"/>
      <c r="I1472" s="75"/>
      <c r="J1472" s="75"/>
      <c r="K1472" s="75"/>
      <c r="L1472" s="88"/>
      <c r="M1472" s="77"/>
      <c r="N1472" s="77"/>
      <c r="O1472" s="78"/>
      <c r="S1472" s="148"/>
      <c r="T1472"/>
      <c r="U1472"/>
    </row>
    <row r="1473" spans="1:21" x14ac:dyDescent="0.2">
      <c r="A1473" s="73"/>
      <c r="B1473" s="73"/>
      <c r="C1473" s="74"/>
      <c r="D1473" s="75"/>
      <c r="E1473" s="85"/>
      <c r="F1473" s="161"/>
      <c r="G1473" s="76"/>
      <c r="H1473" s="87"/>
      <c r="I1473" s="75"/>
      <c r="J1473" s="75"/>
      <c r="K1473" s="75"/>
      <c r="L1473" s="88"/>
      <c r="M1473" s="77"/>
      <c r="N1473" s="77"/>
      <c r="O1473" s="78"/>
      <c r="S1473" s="148"/>
      <c r="T1473"/>
      <c r="U1473"/>
    </row>
    <row r="1474" spans="1:21" x14ac:dyDescent="0.2">
      <c r="A1474" s="73"/>
      <c r="B1474" s="73"/>
      <c r="C1474" s="74"/>
      <c r="D1474" s="75"/>
      <c r="E1474" s="85"/>
      <c r="F1474" s="161"/>
      <c r="G1474" s="76"/>
      <c r="H1474" s="87"/>
      <c r="I1474" s="75"/>
      <c r="J1474" s="75"/>
      <c r="K1474" s="75"/>
      <c r="L1474" s="88"/>
      <c r="M1474" s="77"/>
      <c r="N1474" s="77"/>
      <c r="O1474" s="78"/>
      <c r="S1474" s="148"/>
      <c r="T1474"/>
      <c r="U1474"/>
    </row>
    <row r="1475" spans="1:21" x14ac:dyDescent="0.2">
      <c r="A1475" s="73"/>
      <c r="B1475" s="73"/>
      <c r="C1475" s="74"/>
      <c r="D1475" s="75"/>
      <c r="E1475" s="85"/>
      <c r="F1475" s="161"/>
      <c r="G1475" s="76"/>
      <c r="H1475" s="87"/>
      <c r="I1475" s="75"/>
      <c r="J1475" s="75"/>
      <c r="K1475" s="75"/>
      <c r="L1475" s="88"/>
      <c r="M1475" s="77"/>
      <c r="N1475" s="77"/>
      <c r="O1475" s="78"/>
      <c r="S1475" s="148"/>
      <c r="T1475"/>
      <c r="U1475"/>
    </row>
    <row r="1476" spans="1:21" x14ac:dyDescent="0.2">
      <c r="A1476" s="73"/>
      <c r="B1476" s="73"/>
      <c r="C1476" s="74"/>
      <c r="D1476" s="75"/>
      <c r="E1476" s="85"/>
      <c r="F1476" s="161"/>
      <c r="G1476" s="76"/>
      <c r="H1476" s="87"/>
      <c r="I1476" s="75"/>
      <c r="J1476" s="75"/>
      <c r="K1476" s="75"/>
      <c r="L1476" s="88"/>
      <c r="M1476" s="77"/>
      <c r="N1476" s="77"/>
      <c r="O1476" s="78"/>
      <c r="S1476" s="148"/>
      <c r="T1476"/>
      <c r="U1476"/>
    </row>
    <row r="1477" spans="1:21" x14ac:dyDescent="0.2">
      <c r="A1477" s="73"/>
      <c r="B1477" s="73"/>
      <c r="C1477" s="74"/>
      <c r="D1477" s="75"/>
      <c r="E1477" s="85"/>
      <c r="F1477" s="161"/>
      <c r="G1477" s="76"/>
      <c r="H1477" s="87"/>
      <c r="I1477" s="75"/>
      <c r="J1477" s="75"/>
      <c r="K1477" s="75"/>
      <c r="L1477" s="88"/>
      <c r="M1477" s="77"/>
      <c r="N1477" s="77"/>
      <c r="O1477" s="78"/>
      <c r="S1477" s="148"/>
      <c r="T1477"/>
      <c r="U1477"/>
    </row>
    <row r="1478" spans="1:21" x14ac:dyDescent="0.2">
      <c r="A1478" s="73"/>
      <c r="B1478" s="73"/>
      <c r="C1478" s="74"/>
      <c r="D1478" s="75"/>
      <c r="E1478" s="85"/>
      <c r="F1478" s="161"/>
      <c r="G1478" s="76"/>
      <c r="H1478" s="87"/>
      <c r="I1478" s="75"/>
      <c r="J1478" s="75"/>
      <c r="K1478" s="75"/>
      <c r="L1478" s="88"/>
      <c r="M1478" s="77"/>
      <c r="N1478" s="77"/>
      <c r="O1478" s="78"/>
      <c r="S1478" s="148"/>
      <c r="T1478"/>
      <c r="U1478"/>
    </row>
    <row r="1479" spans="1:21" x14ac:dyDescent="0.2">
      <c r="A1479" s="73"/>
      <c r="B1479" s="73"/>
      <c r="C1479" s="74"/>
      <c r="D1479" s="75"/>
      <c r="E1479" s="85"/>
      <c r="F1479" s="161"/>
      <c r="G1479" s="76"/>
      <c r="H1479" s="87"/>
      <c r="I1479" s="75"/>
      <c r="J1479" s="75"/>
      <c r="K1479" s="75"/>
      <c r="L1479" s="88"/>
      <c r="M1479" s="77"/>
      <c r="N1479" s="77"/>
      <c r="O1479" s="78"/>
      <c r="S1479" s="148"/>
      <c r="T1479"/>
      <c r="U1479"/>
    </row>
    <row r="1480" spans="1:21" x14ac:dyDescent="0.2">
      <c r="A1480" s="73"/>
      <c r="B1480" s="73"/>
      <c r="C1480" s="74"/>
      <c r="D1480" s="75"/>
      <c r="E1480" s="85"/>
      <c r="F1480" s="161"/>
      <c r="G1480" s="76"/>
      <c r="H1480" s="87"/>
      <c r="I1480" s="75"/>
      <c r="J1480" s="75"/>
      <c r="K1480" s="75"/>
      <c r="L1480" s="88"/>
      <c r="M1480" s="77"/>
      <c r="N1480" s="77"/>
      <c r="O1480" s="78"/>
      <c r="S1480" s="148"/>
      <c r="T1480"/>
      <c r="U1480"/>
    </row>
    <row r="1481" spans="1:21" x14ac:dyDescent="0.2">
      <c r="A1481" s="73"/>
      <c r="B1481" s="73"/>
      <c r="C1481" s="74"/>
      <c r="D1481" s="75"/>
      <c r="E1481" s="85"/>
      <c r="F1481" s="161"/>
      <c r="G1481" s="76"/>
      <c r="H1481" s="87"/>
      <c r="I1481" s="75"/>
      <c r="J1481" s="75"/>
      <c r="K1481" s="75"/>
      <c r="L1481" s="88"/>
      <c r="M1481" s="77"/>
      <c r="N1481" s="77"/>
      <c r="O1481" s="78"/>
      <c r="S1481" s="148"/>
      <c r="T1481"/>
      <c r="U1481"/>
    </row>
    <row r="1482" spans="1:21" x14ac:dyDescent="0.2">
      <c r="A1482" s="73"/>
      <c r="B1482" s="73"/>
      <c r="C1482" s="74"/>
      <c r="D1482" s="75"/>
      <c r="E1482" s="85"/>
      <c r="F1482" s="161"/>
      <c r="G1482" s="76"/>
      <c r="H1482" s="87"/>
      <c r="I1482" s="75"/>
      <c r="J1482" s="75"/>
      <c r="K1482" s="75"/>
      <c r="L1482" s="88"/>
      <c r="M1482" s="77"/>
      <c r="N1482" s="77"/>
      <c r="O1482" s="78"/>
      <c r="S1482" s="148"/>
      <c r="T1482"/>
      <c r="U1482"/>
    </row>
    <row r="1483" spans="1:21" x14ac:dyDescent="0.2">
      <c r="A1483" s="73"/>
      <c r="B1483" s="73"/>
      <c r="C1483" s="74"/>
      <c r="D1483" s="75"/>
      <c r="E1483" s="85"/>
      <c r="F1483" s="161"/>
      <c r="G1483" s="76"/>
      <c r="H1483" s="87"/>
      <c r="I1483" s="75"/>
      <c r="J1483" s="75"/>
      <c r="K1483" s="75"/>
      <c r="L1483" s="88"/>
      <c r="M1483" s="77"/>
      <c r="N1483" s="77"/>
      <c r="O1483" s="78"/>
      <c r="S1483" s="148"/>
      <c r="T1483"/>
      <c r="U1483"/>
    </row>
    <row r="1484" spans="1:21" x14ac:dyDescent="0.2">
      <c r="A1484" s="73"/>
      <c r="B1484" s="73"/>
      <c r="C1484" s="74"/>
      <c r="D1484" s="75"/>
      <c r="E1484" s="85"/>
      <c r="F1484" s="161"/>
      <c r="G1484" s="76"/>
      <c r="H1484" s="87"/>
      <c r="I1484" s="75"/>
      <c r="J1484" s="75"/>
      <c r="K1484" s="75"/>
      <c r="L1484" s="88"/>
      <c r="M1484" s="77"/>
      <c r="N1484" s="77"/>
      <c r="O1484" s="78"/>
      <c r="S1484" s="148"/>
      <c r="T1484"/>
      <c r="U1484"/>
    </row>
    <row r="1485" spans="1:21" x14ac:dyDescent="0.2">
      <c r="A1485" s="73"/>
      <c r="B1485" s="73"/>
      <c r="C1485" s="74"/>
      <c r="D1485" s="75"/>
      <c r="E1485" s="85"/>
      <c r="F1485" s="161"/>
      <c r="G1485" s="76"/>
      <c r="H1485" s="87"/>
      <c r="I1485" s="75"/>
      <c r="J1485" s="75"/>
      <c r="K1485" s="75"/>
      <c r="L1485" s="88"/>
      <c r="M1485" s="77"/>
      <c r="N1485" s="77"/>
      <c r="O1485" s="78"/>
      <c r="S1485" s="148"/>
      <c r="T1485"/>
      <c r="U1485"/>
    </row>
    <row r="1486" spans="1:21" x14ac:dyDescent="0.2">
      <c r="A1486" s="73"/>
      <c r="B1486" s="73"/>
      <c r="C1486" s="74"/>
      <c r="D1486" s="75"/>
      <c r="E1486" s="85"/>
      <c r="F1486" s="161"/>
      <c r="G1486" s="76"/>
      <c r="H1486" s="87"/>
      <c r="I1486" s="75"/>
      <c r="J1486" s="75"/>
      <c r="K1486" s="75"/>
      <c r="L1486" s="88"/>
      <c r="M1486" s="77"/>
      <c r="N1486" s="77"/>
      <c r="O1486" s="78"/>
      <c r="S1486" s="148"/>
      <c r="T1486"/>
      <c r="U1486"/>
    </row>
    <row r="1487" spans="1:21" x14ac:dyDescent="0.2">
      <c r="A1487" s="73"/>
      <c r="B1487" s="73"/>
      <c r="C1487" s="74"/>
      <c r="D1487" s="75"/>
      <c r="E1487" s="85"/>
      <c r="F1487" s="161"/>
      <c r="G1487" s="76"/>
      <c r="H1487" s="87"/>
      <c r="I1487" s="75"/>
      <c r="J1487" s="75"/>
      <c r="K1487" s="75"/>
      <c r="L1487" s="88"/>
      <c r="M1487" s="77"/>
      <c r="N1487" s="77"/>
      <c r="O1487" s="78"/>
      <c r="S1487" s="148"/>
      <c r="T1487"/>
      <c r="U1487"/>
    </row>
    <row r="1488" spans="1:21" x14ac:dyDescent="0.2">
      <c r="A1488" s="73"/>
      <c r="B1488" s="73"/>
      <c r="C1488" s="74"/>
      <c r="D1488" s="75"/>
      <c r="E1488" s="85"/>
      <c r="F1488" s="161"/>
      <c r="G1488" s="76"/>
      <c r="H1488" s="87"/>
      <c r="I1488" s="75"/>
      <c r="J1488" s="75"/>
      <c r="K1488" s="75"/>
      <c r="L1488" s="88"/>
      <c r="M1488" s="77"/>
      <c r="N1488" s="77"/>
      <c r="O1488" s="78"/>
      <c r="S1488" s="148"/>
      <c r="T1488"/>
      <c r="U1488"/>
    </row>
    <row r="1489" spans="1:21" x14ac:dyDescent="0.2">
      <c r="A1489" s="73"/>
      <c r="B1489" s="73"/>
      <c r="C1489" s="74"/>
      <c r="D1489" s="75"/>
      <c r="E1489" s="85"/>
      <c r="F1489" s="161"/>
      <c r="G1489" s="76"/>
      <c r="H1489" s="87"/>
      <c r="I1489" s="75"/>
      <c r="J1489" s="75"/>
      <c r="K1489" s="75"/>
      <c r="L1489" s="88"/>
      <c r="M1489" s="77"/>
      <c r="N1489" s="77"/>
      <c r="O1489" s="78"/>
      <c r="S1489" s="148"/>
      <c r="T1489"/>
      <c r="U1489"/>
    </row>
    <row r="1490" spans="1:21" x14ac:dyDescent="0.2">
      <c r="A1490" s="73"/>
      <c r="B1490" s="73"/>
      <c r="C1490" s="74"/>
      <c r="D1490" s="75"/>
      <c r="E1490" s="85"/>
      <c r="F1490" s="161"/>
      <c r="G1490" s="76"/>
      <c r="H1490" s="87"/>
      <c r="I1490" s="75"/>
      <c r="J1490" s="75"/>
      <c r="K1490" s="75"/>
      <c r="L1490" s="88"/>
      <c r="M1490" s="77"/>
      <c r="N1490" s="77"/>
      <c r="O1490" s="78"/>
      <c r="S1490" s="148"/>
      <c r="T1490"/>
      <c r="U1490"/>
    </row>
    <row r="1491" spans="1:21" x14ac:dyDescent="0.2">
      <c r="A1491" s="73"/>
      <c r="B1491" s="73"/>
      <c r="C1491" s="74"/>
      <c r="D1491" s="75"/>
      <c r="E1491" s="85"/>
      <c r="F1491" s="161"/>
      <c r="G1491" s="76"/>
      <c r="H1491" s="87"/>
      <c r="I1491" s="75"/>
      <c r="J1491" s="75"/>
      <c r="K1491" s="75"/>
      <c r="L1491" s="88"/>
      <c r="M1491" s="77"/>
      <c r="N1491" s="77"/>
      <c r="O1491" s="78"/>
      <c r="S1491" s="148"/>
      <c r="T1491"/>
      <c r="U1491"/>
    </row>
    <row r="1492" spans="1:21" x14ac:dyDescent="0.2">
      <c r="A1492" s="73"/>
      <c r="B1492" s="73"/>
      <c r="C1492" s="74"/>
      <c r="D1492" s="75"/>
      <c r="E1492" s="85"/>
      <c r="F1492" s="161"/>
      <c r="G1492" s="76"/>
      <c r="H1492" s="87"/>
      <c r="I1492" s="75"/>
      <c r="J1492" s="75"/>
      <c r="K1492" s="75"/>
      <c r="L1492" s="88"/>
      <c r="M1492" s="77"/>
      <c r="N1492" s="77"/>
      <c r="O1492" s="78"/>
      <c r="S1492" s="148"/>
      <c r="T1492"/>
      <c r="U1492"/>
    </row>
    <row r="1493" spans="1:21" x14ac:dyDescent="0.2">
      <c r="A1493" s="73"/>
      <c r="B1493" s="73"/>
      <c r="C1493" s="74"/>
      <c r="D1493" s="75"/>
      <c r="E1493" s="85"/>
      <c r="F1493" s="161"/>
      <c r="G1493" s="76"/>
      <c r="H1493" s="87"/>
      <c r="I1493" s="75"/>
      <c r="J1493" s="75"/>
      <c r="K1493" s="75"/>
      <c r="L1493" s="88"/>
      <c r="M1493" s="77"/>
      <c r="N1493" s="77"/>
      <c r="O1493" s="78"/>
      <c r="S1493" s="148"/>
      <c r="T1493"/>
      <c r="U1493"/>
    </row>
    <row r="1494" spans="1:21" x14ac:dyDescent="0.2">
      <c r="A1494" s="73"/>
      <c r="B1494" s="73"/>
      <c r="C1494" s="74"/>
      <c r="D1494" s="75"/>
      <c r="E1494" s="85"/>
      <c r="F1494" s="161"/>
      <c r="G1494" s="76"/>
      <c r="H1494" s="87"/>
      <c r="I1494" s="75"/>
      <c r="J1494" s="75"/>
      <c r="K1494" s="75"/>
      <c r="L1494" s="88"/>
      <c r="M1494" s="77"/>
      <c r="N1494" s="77"/>
      <c r="O1494" s="78"/>
      <c r="S1494" s="148"/>
      <c r="T1494"/>
      <c r="U1494"/>
    </row>
    <row r="1495" spans="1:21" x14ac:dyDescent="0.2">
      <c r="A1495" s="73"/>
      <c r="B1495" s="73"/>
      <c r="C1495" s="74"/>
      <c r="D1495" s="75"/>
      <c r="E1495" s="85"/>
      <c r="F1495" s="161"/>
      <c r="G1495" s="76"/>
      <c r="H1495" s="87"/>
      <c r="I1495" s="75"/>
      <c r="J1495" s="75"/>
      <c r="K1495" s="75"/>
      <c r="L1495" s="88"/>
      <c r="M1495" s="77"/>
      <c r="N1495" s="77"/>
      <c r="O1495" s="78"/>
      <c r="S1495" s="148"/>
      <c r="T1495"/>
      <c r="U1495"/>
    </row>
    <row r="1496" spans="1:21" x14ac:dyDescent="0.2">
      <c r="A1496" s="73"/>
      <c r="B1496" s="73"/>
      <c r="C1496" s="74"/>
      <c r="D1496" s="75"/>
      <c r="E1496" s="85"/>
      <c r="F1496" s="161"/>
      <c r="G1496" s="76"/>
      <c r="H1496" s="87"/>
      <c r="I1496" s="75"/>
      <c r="J1496" s="75"/>
      <c r="K1496" s="75"/>
      <c r="L1496" s="88"/>
      <c r="M1496" s="77"/>
      <c r="N1496" s="77"/>
      <c r="O1496" s="78"/>
      <c r="S1496" s="148"/>
      <c r="T1496"/>
      <c r="U1496"/>
    </row>
    <row r="1497" spans="1:21" x14ac:dyDescent="0.2">
      <c r="A1497" s="73"/>
      <c r="B1497" s="73"/>
      <c r="C1497" s="74"/>
      <c r="D1497" s="75"/>
      <c r="E1497" s="85"/>
      <c r="F1497" s="161"/>
      <c r="G1497" s="76"/>
      <c r="H1497" s="87"/>
      <c r="I1497" s="75"/>
      <c r="J1497" s="75"/>
      <c r="K1497" s="75"/>
      <c r="L1497" s="88"/>
      <c r="M1497" s="77"/>
      <c r="N1497" s="77"/>
      <c r="O1497" s="78"/>
      <c r="S1497" s="148"/>
      <c r="T1497"/>
      <c r="U1497"/>
    </row>
    <row r="1498" spans="1:21" x14ac:dyDescent="0.2">
      <c r="A1498" s="73"/>
      <c r="B1498" s="73"/>
      <c r="C1498" s="74"/>
      <c r="D1498" s="75"/>
      <c r="E1498" s="85"/>
      <c r="F1498" s="161"/>
      <c r="G1498" s="76"/>
      <c r="H1498" s="87"/>
      <c r="I1498" s="75"/>
      <c r="J1498" s="75"/>
      <c r="K1498" s="75"/>
      <c r="L1498" s="88"/>
      <c r="M1498" s="77"/>
      <c r="N1498" s="77"/>
      <c r="O1498" s="78"/>
      <c r="S1498" s="148"/>
      <c r="T1498"/>
      <c r="U1498"/>
    </row>
    <row r="1499" spans="1:21" x14ac:dyDescent="0.2">
      <c r="A1499" s="73"/>
      <c r="B1499" s="73"/>
      <c r="C1499" s="74"/>
      <c r="D1499" s="75"/>
      <c r="E1499" s="85"/>
      <c r="F1499" s="161"/>
      <c r="G1499" s="76"/>
      <c r="H1499" s="87"/>
      <c r="I1499" s="75"/>
      <c r="J1499" s="75"/>
      <c r="K1499" s="75"/>
      <c r="L1499" s="88"/>
      <c r="M1499" s="77"/>
      <c r="N1499" s="77"/>
      <c r="O1499" s="78"/>
      <c r="S1499" s="148"/>
      <c r="T1499"/>
      <c r="U1499"/>
    </row>
    <row r="1500" spans="1:21" x14ac:dyDescent="0.2">
      <c r="A1500" s="73"/>
      <c r="B1500" s="73"/>
      <c r="C1500" s="74"/>
      <c r="D1500" s="75"/>
      <c r="E1500" s="85"/>
      <c r="F1500" s="161"/>
      <c r="G1500" s="76"/>
      <c r="H1500" s="87"/>
      <c r="I1500" s="75"/>
      <c r="J1500" s="75"/>
      <c r="K1500" s="75"/>
      <c r="L1500" s="88"/>
      <c r="M1500" s="77"/>
      <c r="N1500" s="77"/>
      <c r="O1500" s="78"/>
      <c r="S1500" s="148"/>
      <c r="T1500"/>
      <c r="U1500"/>
    </row>
    <row r="1501" spans="1:21" x14ac:dyDescent="0.2">
      <c r="A1501" s="73"/>
      <c r="B1501" s="73"/>
      <c r="C1501" s="74"/>
      <c r="D1501" s="75"/>
      <c r="E1501" s="85"/>
      <c r="F1501" s="161"/>
      <c r="G1501" s="76"/>
      <c r="H1501" s="87"/>
      <c r="I1501" s="75"/>
      <c r="J1501" s="75"/>
      <c r="K1501" s="75"/>
      <c r="L1501" s="88"/>
      <c r="M1501" s="77"/>
      <c r="N1501" s="77"/>
      <c r="O1501" s="78"/>
      <c r="S1501" s="148"/>
      <c r="T1501"/>
      <c r="U1501"/>
    </row>
    <row r="1502" spans="1:21" x14ac:dyDescent="0.2">
      <c r="A1502" s="73"/>
      <c r="B1502" s="73"/>
      <c r="C1502" s="74"/>
      <c r="D1502" s="75"/>
      <c r="E1502" s="85"/>
      <c r="F1502" s="161"/>
      <c r="G1502" s="76"/>
      <c r="H1502" s="87"/>
      <c r="I1502" s="75"/>
      <c r="J1502" s="75"/>
      <c r="K1502" s="75"/>
      <c r="L1502" s="88"/>
      <c r="M1502" s="77"/>
      <c r="N1502" s="77"/>
      <c r="O1502" s="78"/>
      <c r="S1502" s="148"/>
      <c r="T1502"/>
      <c r="U1502"/>
    </row>
    <row r="1503" spans="1:21" x14ac:dyDescent="0.2">
      <c r="A1503" s="73"/>
      <c r="B1503" s="73"/>
      <c r="C1503" s="74"/>
      <c r="D1503" s="75"/>
      <c r="E1503" s="85"/>
      <c r="F1503" s="161"/>
      <c r="G1503" s="76"/>
      <c r="H1503" s="87"/>
      <c r="I1503" s="75"/>
      <c r="J1503" s="75"/>
      <c r="K1503" s="75"/>
      <c r="L1503" s="88"/>
      <c r="M1503" s="77"/>
      <c r="N1503" s="77"/>
      <c r="O1503" s="78"/>
      <c r="S1503" s="148"/>
      <c r="T1503"/>
      <c r="U1503"/>
    </row>
    <row r="1504" spans="1:21" x14ac:dyDescent="0.2">
      <c r="A1504" s="73"/>
      <c r="B1504" s="73"/>
      <c r="C1504" s="74"/>
      <c r="D1504" s="75"/>
      <c r="E1504" s="85"/>
      <c r="F1504" s="161"/>
      <c r="G1504" s="76"/>
      <c r="H1504" s="87"/>
      <c r="I1504" s="75"/>
      <c r="J1504" s="75"/>
      <c r="K1504" s="75"/>
      <c r="L1504" s="88"/>
      <c r="M1504" s="77"/>
      <c r="N1504" s="77"/>
      <c r="O1504" s="78"/>
      <c r="S1504" s="148"/>
      <c r="T1504"/>
      <c r="U1504"/>
    </row>
    <row r="1505" spans="1:21" x14ac:dyDescent="0.2">
      <c r="A1505" s="73"/>
      <c r="B1505" s="73"/>
      <c r="C1505" s="74"/>
      <c r="D1505" s="75"/>
      <c r="E1505" s="85"/>
      <c r="F1505" s="161"/>
      <c r="G1505" s="76"/>
      <c r="H1505" s="87"/>
      <c r="I1505" s="75"/>
      <c r="J1505" s="75"/>
      <c r="K1505" s="75"/>
      <c r="L1505" s="88"/>
      <c r="M1505" s="77"/>
      <c r="N1505" s="77"/>
      <c r="O1505" s="78"/>
      <c r="S1505" s="148"/>
      <c r="T1505"/>
      <c r="U1505"/>
    </row>
    <row r="1506" spans="1:21" x14ac:dyDescent="0.2">
      <c r="A1506" s="73"/>
      <c r="B1506" s="73"/>
      <c r="C1506" s="74"/>
      <c r="D1506" s="75"/>
      <c r="E1506" s="85"/>
      <c r="F1506" s="161"/>
      <c r="G1506" s="76"/>
      <c r="H1506" s="87"/>
      <c r="I1506" s="75"/>
      <c r="J1506" s="75"/>
      <c r="K1506" s="75"/>
      <c r="L1506" s="88"/>
      <c r="M1506" s="77"/>
      <c r="N1506" s="77"/>
      <c r="O1506" s="78"/>
      <c r="S1506" s="148"/>
      <c r="T1506"/>
      <c r="U1506"/>
    </row>
    <row r="1507" spans="1:21" x14ac:dyDescent="0.2">
      <c r="A1507" s="73"/>
      <c r="B1507" s="73"/>
      <c r="C1507" s="74"/>
      <c r="D1507" s="75"/>
      <c r="E1507" s="85"/>
      <c r="F1507" s="161"/>
      <c r="G1507" s="76"/>
      <c r="H1507" s="87"/>
      <c r="I1507" s="75"/>
      <c r="J1507" s="75"/>
      <c r="K1507" s="75"/>
      <c r="L1507" s="88"/>
      <c r="M1507" s="77"/>
      <c r="N1507" s="77"/>
      <c r="O1507" s="78"/>
      <c r="S1507" s="148"/>
      <c r="T1507"/>
      <c r="U1507"/>
    </row>
    <row r="1508" spans="1:21" x14ac:dyDescent="0.2">
      <c r="A1508" s="73"/>
      <c r="B1508" s="73"/>
      <c r="C1508" s="74"/>
      <c r="D1508" s="75"/>
      <c r="E1508" s="85"/>
      <c r="F1508" s="161"/>
      <c r="G1508" s="76"/>
      <c r="H1508" s="87"/>
      <c r="I1508" s="75"/>
      <c r="J1508" s="75"/>
      <c r="K1508" s="75"/>
      <c r="L1508" s="88"/>
      <c r="M1508" s="77"/>
      <c r="N1508" s="77"/>
      <c r="O1508" s="78"/>
      <c r="S1508" s="148"/>
      <c r="T1508"/>
      <c r="U1508"/>
    </row>
    <row r="1509" spans="1:21" x14ac:dyDescent="0.2">
      <c r="A1509" s="73"/>
      <c r="B1509" s="73"/>
      <c r="C1509" s="74"/>
      <c r="D1509" s="75"/>
      <c r="E1509" s="85"/>
      <c r="F1509" s="161"/>
      <c r="G1509" s="76"/>
      <c r="H1509" s="87"/>
      <c r="I1509" s="75"/>
      <c r="J1509" s="75"/>
      <c r="K1509" s="75"/>
      <c r="L1509" s="88"/>
      <c r="M1509" s="77"/>
      <c r="N1509" s="77"/>
      <c r="O1509" s="78"/>
      <c r="S1509" s="148"/>
      <c r="T1509"/>
      <c r="U1509"/>
    </row>
    <row r="1510" spans="1:21" x14ac:dyDescent="0.2">
      <c r="A1510" s="73"/>
      <c r="B1510" s="73"/>
      <c r="C1510" s="74"/>
      <c r="D1510" s="75"/>
      <c r="E1510" s="85"/>
      <c r="F1510" s="161"/>
      <c r="G1510" s="76"/>
      <c r="H1510" s="87"/>
      <c r="I1510" s="75"/>
      <c r="J1510" s="75"/>
      <c r="K1510" s="75"/>
      <c r="L1510" s="88"/>
      <c r="M1510" s="77"/>
      <c r="N1510" s="77"/>
      <c r="O1510" s="78"/>
      <c r="S1510" s="148"/>
      <c r="T1510"/>
      <c r="U1510"/>
    </row>
    <row r="1511" spans="1:21" x14ac:dyDescent="0.2">
      <c r="A1511" s="73"/>
      <c r="B1511" s="73"/>
      <c r="C1511" s="74"/>
      <c r="D1511" s="75"/>
      <c r="E1511" s="85"/>
      <c r="F1511" s="161"/>
      <c r="G1511" s="76"/>
      <c r="H1511" s="87"/>
      <c r="I1511" s="75"/>
      <c r="J1511" s="75"/>
      <c r="K1511" s="75"/>
      <c r="L1511" s="88"/>
      <c r="M1511" s="77"/>
      <c r="N1511" s="77"/>
      <c r="O1511" s="78"/>
      <c r="S1511" s="148"/>
      <c r="T1511"/>
      <c r="U1511"/>
    </row>
    <row r="1512" spans="1:21" x14ac:dyDescent="0.2">
      <c r="A1512" s="73"/>
      <c r="B1512" s="73"/>
      <c r="C1512" s="74"/>
      <c r="D1512" s="75"/>
      <c r="E1512" s="85"/>
      <c r="F1512" s="161"/>
      <c r="G1512" s="76"/>
      <c r="H1512" s="87"/>
      <c r="I1512" s="75"/>
      <c r="J1512" s="75"/>
      <c r="K1512" s="75"/>
      <c r="L1512" s="88"/>
      <c r="M1512" s="77"/>
      <c r="N1512" s="77"/>
      <c r="O1512" s="78"/>
      <c r="S1512" s="148"/>
      <c r="T1512"/>
      <c r="U1512"/>
    </row>
    <row r="1513" spans="1:21" x14ac:dyDescent="0.2">
      <c r="A1513" s="73"/>
      <c r="B1513" s="73"/>
      <c r="C1513" s="74"/>
      <c r="D1513" s="75"/>
      <c r="E1513" s="85"/>
      <c r="F1513" s="161"/>
      <c r="G1513" s="76"/>
      <c r="H1513" s="87"/>
      <c r="I1513" s="75"/>
      <c r="J1513" s="75"/>
      <c r="K1513" s="75"/>
      <c r="L1513" s="88"/>
      <c r="M1513" s="77"/>
      <c r="N1513" s="77"/>
      <c r="O1513" s="78"/>
      <c r="S1513" s="148"/>
      <c r="T1513"/>
      <c r="U1513"/>
    </row>
    <row r="1514" spans="1:21" x14ac:dyDescent="0.2">
      <c r="A1514" s="73"/>
      <c r="B1514" s="73"/>
      <c r="C1514" s="74"/>
      <c r="D1514" s="75"/>
      <c r="E1514" s="85"/>
      <c r="F1514" s="161"/>
      <c r="G1514" s="76"/>
      <c r="H1514" s="87"/>
      <c r="I1514" s="75"/>
      <c r="J1514" s="75"/>
      <c r="K1514" s="75"/>
      <c r="L1514" s="88"/>
      <c r="M1514" s="77"/>
      <c r="N1514" s="77"/>
      <c r="O1514" s="78"/>
      <c r="S1514" s="148"/>
      <c r="T1514"/>
      <c r="U1514"/>
    </row>
    <row r="1515" spans="1:21" x14ac:dyDescent="0.2">
      <c r="A1515" s="73"/>
      <c r="B1515" s="73"/>
      <c r="C1515" s="74"/>
      <c r="D1515" s="75"/>
      <c r="E1515" s="85"/>
      <c r="F1515" s="161"/>
      <c r="G1515" s="76"/>
      <c r="H1515" s="87"/>
      <c r="I1515" s="75"/>
      <c r="J1515" s="75"/>
      <c r="K1515" s="75"/>
      <c r="L1515" s="88"/>
      <c r="M1515" s="77"/>
      <c r="N1515" s="77"/>
      <c r="O1515" s="78"/>
      <c r="S1515" s="148"/>
      <c r="T1515"/>
      <c r="U1515"/>
    </row>
    <row r="1516" spans="1:21" x14ac:dyDescent="0.2">
      <c r="A1516" s="73"/>
      <c r="B1516" s="73"/>
      <c r="C1516" s="74"/>
      <c r="D1516" s="75"/>
      <c r="E1516" s="85"/>
      <c r="F1516" s="161"/>
      <c r="G1516" s="76"/>
      <c r="H1516" s="87"/>
      <c r="I1516" s="75"/>
      <c r="J1516" s="75"/>
      <c r="K1516" s="75"/>
      <c r="L1516" s="88"/>
      <c r="M1516" s="77"/>
      <c r="N1516" s="77"/>
      <c r="O1516" s="78"/>
      <c r="S1516" s="148"/>
      <c r="T1516"/>
      <c r="U1516"/>
    </row>
    <row r="1517" spans="1:21" x14ac:dyDescent="0.2">
      <c r="A1517" s="73"/>
      <c r="B1517" s="73"/>
      <c r="C1517" s="74"/>
      <c r="D1517" s="75"/>
      <c r="E1517" s="85"/>
      <c r="F1517" s="161"/>
      <c r="G1517" s="76"/>
      <c r="H1517" s="87"/>
      <c r="I1517" s="75"/>
      <c r="J1517" s="75"/>
      <c r="K1517" s="75"/>
      <c r="L1517" s="88"/>
      <c r="M1517" s="77"/>
      <c r="N1517" s="77"/>
      <c r="O1517" s="78"/>
      <c r="S1517" s="148"/>
      <c r="T1517"/>
      <c r="U1517"/>
    </row>
    <row r="1518" spans="1:21" x14ac:dyDescent="0.2">
      <c r="A1518" s="73"/>
      <c r="B1518" s="73"/>
      <c r="C1518" s="74"/>
      <c r="D1518" s="75"/>
      <c r="E1518" s="85"/>
      <c r="F1518" s="161"/>
      <c r="G1518" s="76"/>
      <c r="H1518" s="87"/>
      <c r="I1518" s="75"/>
      <c r="J1518" s="75"/>
      <c r="K1518" s="75"/>
      <c r="L1518" s="88"/>
      <c r="M1518" s="77"/>
      <c r="N1518" s="77"/>
      <c r="O1518" s="78"/>
      <c r="S1518" s="148"/>
      <c r="T1518"/>
      <c r="U1518"/>
    </row>
    <row r="1519" spans="1:21" x14ac:dyDescent="0.2">
      <c r="A1519" s="73"/>
      <c r="B1519" s="73"/>
      <c r="C1519" s="74"/>
      <c r="D1519" s="75"/>
      <c r="E1519" s="85"/>
      <c r="F1519" s="161"/>
      <c r="G1519" s="76"/>
      <c r="H1519" s="87"/>
      <c r="I1519" s="75"/>
      <c r="J1519" s="75"/>
      <c r="K1519" s="75"/>
      <c r="L1519" s="88"/>
      <c r="M1519" s="77"/>
      <c r="N1519" s="77"/>
      <c r="O1519" s="78"/>
      <c r="S1519" s="148"/>
      <c r="T1519"/>
      <c r="U1519"/>
    </row>
    <row r="1520" spans="1:21" x14ac:dyDescent="0.2">
      <c r="A1520" s="73"/>
      <c r="B1520" s="73"/>
      <c r="C1520" s="74"/>
      <c r="D1520" s="75"/>
      <c r="E1520" s="85"/>
      <c r="F1520" s="161"/>
      <c r="G1520" s="76"/>
      <c r="H1520" s="87"/>
      <c r="I1520" s="75"/>
      <c r="J1520" s="75"/>
      <c r="K1520" s="75"/>
      <c r="L1520" s="88"/>
      <c r="M1520" s="77"/>
      <c r="N1520" s="77"/>
      <c r="O1520" s="78"/>
      <c r="S1520" s="148"/>
      <c r="T1520"/>
      <c r="U1520"/>
    </row>
    <row r="1521" spans="1:21" x14ac:dyDescent="0.2">
      <c r="A1521" s="73"/>
      <c r="B1521" s="73"/>
      <c r="C1521" s="74"/>
      <c r="D1521" s="75"/>
      <c r="E1521" s="85"/>
      <c r="F1521" s="161"/>
      <c r="G1521" s="76"/>
      <c r="H1521" s="87"/>
      <c r="I1521" s="75"/>
      <c r="J1521" s="75"/>
      <c r="K1521" s="75"/>
      <c r="L1521" s="88"/>
      <c r="M1521" s="77"/>
      <c r="N1521" s="77"/>
      <c r="O1521" s="78"/>
      <c r="S1521" s="148"/>
      <c r="T1521"/>
      <c r="U1521"/>
    </row>
    <row r="1522" spans="1:21" x14ac:dyDescent="0.2">
      <c r="A1522" s="73"/>
      <c r="B1522" s="73"/>
      <c r="C1522" s="74"/>
      <c r="D1522" s="75"/>
      <c r="E1522" s="85"/>
      <c r="F1522" s="161"/>
      <c r="G1522" s="76"/>
      <c r="H1522" s="87"/>
      <c r="I1522" s="75"/>
      <c r="J1522" s="75"/>
      <c r="K1522" s="75"/>
      <c r="L1522" s="88"/>
      <c r="M1522" s="77"/>
      <c r="N1522" s="77"/>
      <c r="O1522" s="78"/>
      <c r="S1522" s="148"/>
      <c r="T1522"/>
      <c r="U1522"/>
    </row>
    <row r="1523" spans="1:21" x14ac:dyDescent="0.2">
      <c r="A1523" s="73"/>
      <c r="B1523" s="73"/>
      <c r="C1523" s="74"/>
      <c r="D1523" s="75"/>
      <c r="E1523" s="85"/>
      <c r="F1523" s="161"/>
      <c r="G1523" s="76"/>
      <c r="H1523" s="87"/>
      <c r="I1523" s="75"/>
      <c r="J1523" s="75"/>
      <c r="K1523" s="75"/>
      <c r="L1523" s="88"/>
      <c r="M1523" s="77"/>
      <c r="N1523" s="77"/>
      <c r="O1523" s="78"/>
      <c r="S1523" s="148"/>
      <c r="T1523"/>
      <c r="U1523"/>
    </row>
    <row r="1524" spans="1:21" x14ac:dyDescent="0.2">
      <c r="A1524" s="73"/>
      <c r="B1524" s="73"/>
      <c r="C1524" s="74"/>
      <c r="D1524" s="75"/>
      <c r="E1524" s="85"/>
      <c r="F1524" s="161"/>
      <c r="G1524" s="76"/>
      <c r="H1524" s="87"/>
      <c r="I1524" s="75"/>
      <c r="J1524" s="75"/>
      <c r="K1524" s="75"/>
      <c r="L1524" s="88"/>
      <c r="M1524" s="77"/>
      <c r="N1524" s="77"/>
      <c r="O1524" s="78"/>
      <c r="S1524" s="148"/>
      <c r="T1524"/>
      <c r="U1524"/>
    </row>
    <row r="1525" spans="1:21" x14ac:dyDescent="0.2">
      <c r="A1525" s="73"/>
      <c r="B1525" s="73"/>
      <c r="C1525" s="74"/>
      <c r="D1525" s="75"/>
      <c r="E1525" s="85"/>
      <c r="F1525" s="161"/>
      <c r="G1525" s="76"/>
      <c r="H1525" s="87"/>
      <c r="I1525" s="75"/>
      <c r="J1525" s="75"/>
      <c r="K1525" s="75"/>
      <c r="L1525" s="88"/>
      <c r="M1525" s="77"/>
      <c r="N1525" s="77"/>
      <c r="O1525" s="78"/>
      <c r="S1525" s="148"/>
      <c r="T1525"/>
      <c r="U1525"/>
    </row>
    <row r="1526" spans="1:21" x14ac:dyDescent="0.2">
      <c r="A1526" s="73"/>
      <c r="B1526" s="73"/>
      <c r="C1526" s="74"/>
      <c r="D1526" s="75"/>
      <c r="E1526" s="85"/>
      <c r="F1526" s="161"/>
      <c r="G1526" s="76"/>
      <c r="H1526" s="87"/>
      <c r="I1526" s="75"/>
      <c r="J1526" s="75"/>
      <c r="K1526" s="75"/>
      <c r="L1526" s="88"/>
      <c r="M1526" s="77"/>
      <c r="N1526" s="77"/>
      <c r="O1526" s="78"/>
      <c r="S1526" s="148"/>
      <c r="T1526"/>
      <c r="U1526"/>
    </row>
    <row r="1527" spans="1:21" x14ac:dyDescent="0.2">
      <c r="A1527" s="73"/>
      <c r="B1527" s="73"/>
      <c r="C1527" s="74"/>
      <c r="D1527" s="75"/>
      <c r="E1527" s="85"/>
      <c r="F1527" s="161"/>
      <c r="G1527" s="76"/>
      <c r="H1527" s="87"/>
      <c r="I1527" s="75"/>
      <c r="J1527" s="75"/>
      <c r="K1527" s="75"/>
      <c r="L1527" s="88"/>
      <c r="M1527" s="77"/>
      <c r="N1527" s="77"/>
      <c r="O1527" s="78"/>
      <c r="S1527" s="148"/>
      <c r="T1527"/>
      <c r="U1527"/>
    </row>
    <row r="1528" spans="1:21" x14ac:dyDescent="0.2">
      <c r="A1528" s="73"/>
      <c r="B1528" s="73"/>
      <c r="C1528" s="74"/>
      <c r="D1528" s="75"/>
      <c r="E1528" s="85"/>
      <c r="F1528" s="161"/>
      <c r="G1528" s="76"/>
      <c r="H1528" s="87"/>
      <c r="I1528" s="75"/>
      <c r="J1528" s="75"/>
      <c r="K1528" s="75"/>
      <c r="L1528" s="88"/>
      <c r="M1528" s="77"/>
      <c r="N1528" s="77"/>
      <c r="O1528" s="78"/>
      <c r="S1528" s="148"/>
      <c r="T1528"/>
      <c r="U1528"/>
    </row>
    <row r="1529" spans="1:21" x14ac:dyDescent="0.2">
      <c r="A1529" s="73"/>
      <c r="B1529" s="73"/>
      <c r="C1529" s="74"/>
      <c r="D1529" s="75"/>
      <c r="E1529" s="85"/>
      <c r="F1529" s="161"/>
      <c r="G1529" s="76"/>
      <c r="H1529" s="87"/>
      <c r="I1529" s="75"/>
      <c r="J1529" s="75"/>
      <c r="K1529" s="75"/>
      <c r="L1529" s="88"/>
      <c r="M1529" s="77"/>
      <c r="N1529" s="77"/>
      <c r="O1529" s="78"/>
      <c r="S1529" s="148"/>
      <c r="T1529"/>
      <c r="U1529"/>
    </row>
    <row r="1530" spans="1:21" x14ac:dyDescent="0.2">
      <c r="A1530" s="73"/>
      <c r="B1530" s="73"/>
      <c r="C1530" s="74"/>
      <c r="D1530" s="75"/>
      <c r="E1530" s="85"/>
      <c r="F1530" s="161"/>
      <c r="G1530" s="76"/>
      <c r="H1530" s="87"/>
      <c r="I1530" s="75"/>
      <c r="J1530" s="75"/>
      <c r="K1530" s="75"/>
      <c r="L1530" s="88"/>
      <c r="M1530" s="77"/>
      <c r="N1530" s="77"/>
      <c r="O1530" s="78"/>
      <c r="S1530" s="148"/>
      <c r="T1530"/>
      <c r="U1530"/>
    </row>
    <row r="1531" spans="1:21" x14ac:dyDescent="0.2">
      <c r="A1531" s="73"/>
      <c r="B1531" s="73"/>
      <c r="C1531" s="74"/>
      <c r="D1531" s="75"/>
      <c r="E1531" s="85"/>
      <c r="F1531" s="161"/>
      <c r="G1531" s="76"/>
      <c r="H1531" s="87"/>
      <c r="I1531" s="75"/>
      <c r="J1531" s="75"/>
      <c r="K1531" s="75"/>
      <c r="L1531" s="88"/>
      <c r="M1531" s="77"/>
      <c r="N1531" s="77"/>
      <c r="O1531" s="78"/>
      <c r="S1531" s="148"/>
      <c r="T1531"/>
      <c r="U1531"/>
    </row>
    <row r="1532" spans="1:21" x14ac:dyDescent="0.2">
      <c r="A1532" s="73"/>
      <c r="B1532" s="73"/>
      <c r="C1532" s="74"/>
      <c r="D1532" s="75"/>
      <c r="E1532" s="85"/>
      <c r="F1532" s="161"/>
      <c r="G1532" s="76"/>
      <c r="H1532" s="87"/>
      <c r="I1532" s="75"/>
      <c r="J1532" s="75"/>
      <c r="K1532" s="75"/>
      <c r="L1532" s="88"/>
      <c r="M1532" s="77"/>
      <c r="N1532" s="77"/>
      <c r="O1532" s="78"/>
      <c r="S1532" s="148"/>
      <c r="T1532"/>
      <c r="U1532"/>
    </row>
    <row r="1533" spans="1:21" x14ac:dyDescent="0.2">
      <c r="A1533" s="73"/>
      <c r="B1533" s="73"/>
      <c r="C1533" s="74"/>
      <c r="D1533" s="75"/>
      <c r="E1533" s="85"/>
      <c r="F1533" s="161"/>
      <c r="G1533" s="76"/>
      <c r="H1533" s="87"/>
      <c r="I1533" s="75"/>
      <c r="J1533" s="75"/>
      <c r="K1533" s="75"/>
      <c r="L1533" s="88"/>
      <c r="M1533" s="77"/>
      <c r="N1533" s="77"/>
      <c r="O1533" s="78"/>
      <c r="S1533" s="148"/>
      <c r="T1533"/>
      <c r="U1533"/>
    </row>
    <row r="1534" spans="1:21" x14ac:dyDescent="0.2">
      <c r="A1534" s="73"/>
      <c r="B1534" s="73"/>
      <c r="C1534" s="74"/>
      <c r="D1534" s="75"/>
      <c r="E1534" s="85"/>
      <c r="F1534" s="161"/>
      <c r="G1534" s="76"/>
      <c r="H1534" s="87"/>
      <c r="I1534" s="75"/>
      <c r="J1534" s="75"/>
      <c r="K1534" s="75"/>
      <c r="L1534" s="88"/>
      <c r="M1534" s="77"/>
      <c r="N1534" s="77"/>
      <c r="O1534" s="78"/>
      <c r="S1534" s="148"/>
      <c r="T1534"/>
      <c r="U1534"/>
    </row>
    <row r="1535" spans="1:21" x14ac:dyDescent="0.2">
      <c r="A1535" s="73"/>
      <c r="B1535" s="73"/>
      <c r="C1535" s="74"/>
      <c r="D1535" s="75"/>
      <c r="E1535" s="85"/>
      <c r="F1535" s="161"/>
      <c r="G1535" s="76"/>
      <c r="H1535" s="87"/>
      <c r="I1535" s="75"/>
      <c r="J1535" s="75"/>
      <c r="K1535" s="75"/>
      <c r="L1535" s="88"/>
      <c r="M1535" s="77"/>
      <c r="N1535" s="77"/>
      <c r="O1535" s="78"/>
      <c r="S1535" s="148"/>
      <c r="T1535"/>
      <c r="U1535"/>
    </row>
    <row r="1536" spans="1:21" x14ac:dyDescent="0.2">
      <c r="A1536" s="73"/>
      <c r="B1536" s="73"/>
      <c r="C1536" s="74"/>
      <c r="D1536" s="75"/>
      <c r="E1536" s="85"/>
      <c r="F1536" s="161"/>
      <c r="G1536" s="76"/>
      <c r="H1536" s="87"/>
      <c r="I1536" s="75"/>
      <c r="J1536" s="75"/>
      <c r="K1536" s="75"/>
      <c r="L1536" s="88"/>
      <c r="M1536" s="77"/>
      <c r="N1536" s="77"/>
      <c r="O1536" s="78"/>
      <c r="S1536" s="148"/>
      <c r="T1536"/>
      <c r="U1536"/>
    </row>
    <row r="1537" spans="1:21" x14ac:dyDescent="0.2">
      <c r="A1537" s="73"/>
      <c r="B1537" s="73"/>
      <c r="C1537" s="74"/>
      <c r="D1537" s="75"/>
      <c r="E1537" s="85"/>
      <c r="F1537" s="161"/>
      <c r="G1537" s="76"/>
      <c r="H1537" s="87"/>
      <c r="I1537" s="75"/>
      <c r="J1537" s="75"/>
      <c r="K1537" s="75"/>
      <c r="L1537" s="88"/>
      <c r="M1537" s="77"/>
      <c r="N1537" s="77"/>
      <c r="O1537" s="78"/>
      <c r="S1537" s="148"/>
      <c r="T1537"/>
      <c r="U1537"/>
    </row>
    <row r="1538" spans="1:21" x14ac:dyDescent="0.2">
      <c r="A1538" s="73"/>
      <c r="B1538" s="73"/>
      <c r="C1538" s="74"/>
      <c r="D1538" s="75"/>
      <c r="E1538" s="85"/>
      <c r="F1538" s="161"/>
      <c r="G1538" s="76"/>
      <c r="H1538" s="87"/>
      <c r="I1538" s="75"/>
      <c r="J1538" s="75"/>
      <c r="K1538" s="75"/>
      <c r="L1538" s="88"/>
      <c r="M1538" s="77"/>
      <c r="N1538" s="77"/>
      <c r="O1538" s="78"/>
      <c r="S1538" s="148"/>
      <c r="T1538"/>
      <c r="U1538"/>
    </row>
    <row r="1539" spans="1:21" x14ac:dyDescent="0.2">
      <c r="A1539" s="73"/>
      <c r="B1539" s="73"/>
      <c r="C1539" s="74"/>
      <c r="D1539" s="75"/>
      <c r="E1539" s="85"/>
      <c r="F1539" s="161"/>
      <c r="G1539" s="76"/>
      <c r="H1539" s="87"/>
      <c r="I1539" s="75"/>
      <c r="J1539" s="75"/>
      <c r="K1539" s="75"/>
      <c r="L1539" s="88"/>
      <c r="M1539" s="77"/>
      <c r="N1539" s="77"/>
      <c r="O1539" s="78"/>
      <c r="S1539" s="148"/>
      <c r="T1539"/>
      <c r="U1539"/>
    </row>
    <row r="1540" spans="1:21" x14ac:dyDescent="0.2">
      <c r="A1540" s="73"/>
      <c r="B1540" s="73"/>
      <c r="C1540" s="74"/>
      <c r="D1540" s="75"/>
      <c r="E1540" s="85"/>
      <c r="F1540" s="161"/>
      <c r="G1540" s="76"/>
      <c r="H1540" s="87"/>
      <c r="I1540" s="75"/>
      <c r="J1540" s="75"/>
      <c r="K1540" s="75"/>
      <c r="L1540" s="88"/>
      <c r="M1540" s="77"/>
      <c r="N1540" s="77"/>
      <c r="O1540" s="78"/>
      <c r="S1540" s="148"/>
      <c r="T1540"/>
      <c r="U1540"/>
    </row>
    <row r="1541" spans="1:21" x14ac:dyDescent="0.2">
      <c r="A1541" s="73"/>
      <c r="B1541" s="73"/>
      <c r="C1541" s="74"/>
      <c r="D1541" s="75"/>
      <c r="E1541" s="85"/>
      <c r="F1541" s="161"/>
      <c r="G1541" s="76"/>
      <c r="H1541" s="87"/>
      <c r="I1541" s="75"/>
      <c r="J1541" s="75"/>
      <c r="K1541" s="75"/>
      <c r="L1541" s="88"/>
      <c r="M1541" s="77"/>
      <c r="N1541" s="77"/>
      <c r="O1541" s="78"/>
      <c r="S1541" s="148"/>
      <c r="T1541"/>
      <c r="U1541"/>
    </row>
    <row r="1542" spans="1:21" x14ac:dyDescent="0.2">
      <c r="A1542" s="73"/>
      <c r="B1542" s="73"/>
      <c r="C1542" s="74"/>
      <c r="D1542" s="75"/>
      <c r="E1542" s="85"/>
      <c r="F1542" s="161"/>
      <c r="G1542" s="76"/>
      <c r="H1542" s="87"/>
      <c r="I1542" s="75"/>
      <c r="J1542" s="75"/>
      <c r="K1542" s="75"/>
      <c r="L1542" s="88"/>
      <c r="M1542" s="77"/>
      <c r="N1542" s="77"/>
      <c r="O1542" s="78"/>
      <c r="S1542" s="148"/>
      <c r="T1542"/>
      <c r="U1542"/>
    </row>
    <row r="1543" spans="1:21" x14ac:dyDescent="0.2">
      <c r="A1543" s="73"/>
      <c r="B1543" s="73"/>
      <c r="C1543" s="74"/>
      <c r="D1543" s="75"/>
      <c r="E1543" s="85"/>
      <c r="F1543" s="161"/>
      <c r="G1543" s="76"/>
      <c r="H1543" s="87"/>
      <c r="I1543" s="75"/>
      <c r="J1543" s="75"/>
      <c r="K1543" s="75"/>
      <c r="L1543" s="88"/>
      <c r="M1543" s="77"/>
      <c r="N1543" s="77"/>
      <c r="O1543" s="78"/>
      <c r="S1543" s="148"/>
      <c r="T1543"/>
      <c r="U1543"/>
    </row>
    <row r="1544" spans="1:21" x14ac:dyDescent="0.2">
      <c r="A1544" s="73"/>
      <c r="B1544" s="73"/>
      <c r="C1544" s="74"/>
      <c r="D1544" s="75"/>
      <c r="E1544" s="85"/>
      <c r="F1544" s="161"/>
      <c r="G1544" s="76"/>
      <c r="H1544" s="87"/>
      <c r="I1544" s="75"/>
      <c r="J1544" s="75"/>
      <c r="K1544" s="75"/>
      <c r="L1544" s="88"/>
      <c r="M1544" s="77"/>
      <c r="N1544" s="77"/>
      <c r="O1544" s="78"/>
      <c r="S1544" s="148"/>
      <c r="T1544"/>
      <c r="U1544"/>
    </row>
    <row r="1545" spans="1:21" x14ac:dyDescent="0.2">
      <c r="A1545" s="73"/>
      <c r="B1545" s="73"/>
      <c r="C1545" s="74"/>
      <c r="D1545" s="75"/>
      <c r="E1545" s="85"/>
      <c r="F1545" s="161"/>
      <c r="G1545" s="76"/>
      <c r="H1545" s="87"/>
      <c r="I1545" s="75"/>
      <c r="J1545" s="75"/>
      <c r="K1545" s="75"/>
      <c r="L1545" s="88"/>
      <c r="M1545" s="77"/>
      <c r="N1545" s="77"/>
      <c r="O1545" s="78"/>
      <c r="S1545" s="148"/>
      <c r="T1545"/>
      <c r="U1545"/>
    </row>
    <row r="1546" spans="1:21" x14ac:dyDescent="0.2">
      <c r="A1546" s="73"/>
      <c r="B1546" s="73"/>
      <c r="C1546" s="74"/>
      <c r="D1546" s="75"/>
      <c r="E1546" s="85"/>
      <c r="F1546" s="161"/>
      <c r="G1546" s="76"/>
      <c r="H1546" s="87"/>
      <c r="I1546" s="75"/>
      <c r="J1546" s="75"/>
      <c r="K1546" s="75"/>
      <c r="L1546" s="88"/>
      <c r="M1546" s="77"/>
      <c r="N1546" s="77"/>
      <c r="O1546" s="78"/>
      <c r="S1546" s="148"/>
      <c r="T1546"/>
      <c r="U1546"/>
    </row>
    <row r="1547" spans="1:21" x14ac:dyDescent="0.2">
      <c r="A1547" s="73"/>
      <c r="B1547" s="73"/>
      <c r="C1547" s="74"/>
      <c r="D1547" s="75"/>
      <c r="E1547" s="85"/>
      <c r="F1547" s="161"/>
      <c r="G1547" s="76"/>
      <c r="H1547" s="87"/>
      <c r="I1547" s="75"/>
      <c r="J1547" s="75"/>
      <c r="K1547" s="75"/>
      <c r="L1547" s="88"/>
      <c r="M1547" s="77"/>
      <c r="N1547" s="77"/>
      <c r="O1547" s="78"/>
      <c r="S1547" s="148"/>
      <c r="T1547"/>
      <c r="U1547"/>
    </row>
    <row r="1548" spans="1:21" x14ac:dyDescent="0.2">
      <c r="A1548" s="73"/>
      <c r="B1548" s="73"/>
      <c r="C1548" s="74"/>
      <c r="D1548" s="75"/>
      <c r="E1548" s="85"/>
      <c r="F1548" s="161"/>
      <c r="G1548" s="76"/>
      <c r="H1548" s="87"/>
      <c r="I1548" s="75"/>
      <c r="J1548" s="75"/>
      <c r="K1548" s="75"/>
      <c r="L1548" s="88"/>
      <c r="M1548" s="77"/>
      <c r="N1548" s="77"/>
      <c r="O1548" s="78"/>
      <c r="S1548" s="148"/>
      <c r="T1548"/>
      <c r="U1548"/>
    </row>
    <row r="1549" spans="1:21" x14ac:dyDescent="0.2">
      <c r="A1549" s="73"/>
      <c r="B1549" s="73"/>
      <c r="C1549" s="74"/>
      <c r="D1549" s="75"/>
      <c r="E1549" s="85"/>
      <c r="F1549" s="161"/>
      <c r="G1549" s="76"/>
      <c r="H1549" s="87"/>
      <c r="I1549" s="75"/>
      <c r="J1549" s="75"/>
      <c r="K1549" s="75"/>
      <c r="L1549" s="88"/>
      <c r="M1549" s="77"/>
      <c r="N1549" s="77"/>
      <c r="O1549" s="78"/>
      <c r="S1549" s="148"/>
      <c r="T1549"/>
      <c r="U1549"/>
    </row>
    <row r="1550" spans="1:21" x14ac:dyDescent="0.2">
      <c r="A1550" s="73"/>
      <c r="B1550" s="73"/>
      <c r="C1550" s="74"/>
      <c r="D1550" s="75"/>
      <c r="E1550" s="85"/>
      <c r="F1550" s="161"/>
      <c r="G1550" s="76"/>
      <c r="H1550" s="87"/>
      <c r="I1550" s="75"/>
      <c r="J1550" s="75"/>
      <c r="K1550" s="75"/>
      <c r="L1550" s="88"/>
      <c r="M1550" s="77"/>
      <c r="N1550" s="77"/>
      <c r="O1550" s="78"/>
      <c r="S1550" s="148"/>
      <c r="T1550"/>
      <c r="U1550"/>
    </row>
    <row r="1551" spans="1:21" x14ac:dyDescent="0.2">
      <c r="A1551" s="73"/>
      <c r="B1551" s="73"/>
      <c r="C1551" s="74"/>
      <c r="D1551" s="75"/>
      <c r="E1551" s="85"/>
      <c r="F1551" s="161"/>
      <c r="G1551" s="76"/>
      <c r="H1551" s="87"/>
      <c r="I1551" s="75"/>
      <c r="J1551" s="75"/>
      <c r="K1551" s="75"/>
      <c r="L1551" s="88"/>
      <c r="M1551" s="77"/>
      <c r="N1551" s="77"/>
      <c r="O1551" s="78"/>
      <c r="S1551" s="148"/>
      <c r="T1551"/>
      <c r="U1551"/>
    </row>
    <row r="1552" spans="1:21" x14ac:dyDescent="0.2">
      <c r="A1552" s="73"/>
      <c r="B1552" s="73"/>
      <c r="C1552" s="74"/>
      <c r="D1552" s="75"/>
      <c r="E1552" s="85"/>
      <c r="F1552" s="161"/>
      <c r="G1552" s="76"/>
      <c r="H1552" s="87"/>
      <c r="I1552" s="75"/>
      <c r="J1552" s="75"/>
      <c r="K1552" s="75"/>
      <c r="L1552" s="88"/>
      <c r="M1552" s="77"/>
      <c r="N1552" s="77"/>
      <c r="O1552" s="78"/>
      <c r="S1552" s="148"/>
      <c r="T1552"/>
      <c r="U1552"/>
    </row>
    <row r="1553" spans="1:21" x14ac:dyDescent="0.2">
      <c r="A1553" s="73"/>
      <c r="B1553" s="73"/>
      <c r="C1553" s="74"/>
      <c r="D1553" s="75"/>
      <c r="E1553" s="85"/>
      <c r="F1553" s="161"/>
      <c r="G1553" s="76"/>
      <c r="H1553" s="87"/>
      <c r="I1553" s="75"/>
      <c r="J1553" s="75"/>
      <c r="K1553" s="75"/>
      <c r="L1553" s="88"/>
      <c r="M1553" s="77"/>
      <c r="N1553" s="77"/>
      <c r="O1553" s="78"/>
      <c r="S1553" s="148"/>
      <c r="T1553"/>
      <c r="U1553"/>
    </row>
    <row r="1554" spans="1:21" x14ac:dyDescent="0.2">
      <c r="A1554" s="73"/>
      <c r="B1554" s="73"/>
      <c r="C1554" s="74"/>
      <c r="D1554" s="75"/>
      <c r="E1554" s="85"/>
      <c r="F1554" s="161"/>
      <c r="G1554" s="76"/>
      <c r="H1554" s="87"/>
      <c r="I1554" s="75"/>
      <c r="J1554" s="75"/>
      <c r="K1554" s="75"/>
      <c r="L1554" s="88"/>
      <c r="M1554" s="77"/>
      <c r="N1554" s="77"/>
      <c r="O1554" s="78"/>
      <c r="S1554" s="148"/>
      <c r="T1554"/>
      <c r="U1554"/>
    </row>
    <row r="1555" spans="1:21" x14ac:dyDescent="0.2">
      <c r="A1555" s="73"/>
      <c r="B1555" s="73"/>
      <c r="C1555" s="74"/>
      <c r="D1555" s="75"/>
      <c r="E1555" s="85"/>
      <c r="F1555" s="161"/>
      <c r="G1555" s="76"/>
      <c r="H1555" s="87"/>
      <c r="I1555" s="75"/>
      <c r="J1555" s="75"/>
      <c r="K1555" s="75"/>
      <c r="L1555" s="88"/>
      <c r="M1555" s="77"/>
      <c r="N1555" s="77"/>
      <c r="O1555" s="78"/>
      <c r="S1555" s="148"/>
      <c r="T1555"/>
      <c r="U1555"/>
    </row>
    <row r="1556" spans="1:21" x14ac:dyDescent="0.2">
      <c r="A1556" s="73"/>
      <c r="B1556" s="73"/>
      <c r="C1556" s="74"/>
      <c r="D1556" s="75"/>
      <c r="E1556" s="85"/>
      <c r="F1556" s="161"/>
      <c r="G1556" s="76"/>
      <c r="H1556" s="87"/>
      <c r="I1556" s="75"/>
      <c r="J1556" s="75"/>
      <c r="K1556" s="75"/>
      <c r="L1556" s="88"/>
      <c r="M1556" s="77"/>
      <c r="N1556" s="77"/>
      <c r="O1556" s="78"/>
      <c r="S1556" s="148"/>
      <c r="T1556"/>
      <c r="U1556"/>
    </row>
    <row r="1557" spans="1:21" x14ac:dyDescent="0.2">
      <c r="A1557" s="73"/>
      <c r="B1557" s="73"/>
      <c r="C1557" s="74"/>
      <c r="D1557" s="75"/>
      <c r="E1557" s="85"/>
      <c r="F1557" s="161"/>
      <c r="G1557" s="76"/>
      <c r="H1557" s="87"/>
      <c r="I1557" s="75"/>
      <c r="J1557" s="75"/>
      <c r="K1557" s="75"/>
      <c r="L1557" s="88"/>
      <c r="M1557" s="77"/>
      <c r="N1557" s="77"/>
      <c r="O1557" s="78"/>
      <c r="S1557" s="148"/>
      <c r="T1557"/>
      <c r="U1557"/>
    </row>
    <row r="1558" spans="1:21" x14ac:dyDescent="0.2">
      <c r="A1558" s="73"/>
      <c r="B1558" s="73"/>
      <c r="C1558" s="74"/>
      <c r="D1558" s="75"/>
      <c r="E1558" s="85"/>
      <c r="F1558" s="161"/>
      <c r="G1558" s="76"/>
      <c r="H1558" s="87"/>
      <c r="I1558" s="75"/>
      <c r="J1558" s="75"/>
      <c r="K1558" s="75"/>
      <c r="L1558" s="88"/>
      <c r="M1558" s="77"/>
      <c r="N1558" s="77"/>
      <c r="O1558" s="78"/>
      <c r="S1558" s="148"/>
      <c r="T1558"/>
      <c r="U1558"/>
    </row>
    <row r="1559" spans="1:21" x14ac:dyDescent="0.2">
      <c r="A1559" s="73"/>
      <c r="B1559" s="73"/>
      <c r="C1559" s="74"/>
      <c r="D1559" s="75"/>
      <c r="E1559" s="85"/>
      <c r="F1559" s="161"/>
      <c r="G1559" s="76"/>
      <c r="H1559" s="87"/>
      <c r="I1559" s="75"/>
      <c r="J1559" s="75"/>
      <c r="K1559" s="75"/>
      <c r="L1559" s="88"/>
      <c r="M1559" s="77"/>
      <c r="N1559" s="77"/>
      <c r="O1559" s="78"/>
      <c r="S1559" s="148"/>
      <c r="T1559"/>
      <c r="U1559"/>
    </row>
    <row r="1560" spans="1:21" x14ac:dyDescent="0.2">
      <c r="A1560" s="73"/>
      <c r="B1560" s="73"/>
      <c r="C1560" s="74"/>
      <c r="D1560" s="75"/>
      <c r="E1560" s="85"/>
      <c r="F1560" s="161"/>
      <c r="G1560" s="76"/>
      <c r="H1560" s="87"/>
      <c r="I1560" s="75"/>
      <c r="J1560" s="75"/>
      <c r="K1560" s="75"/>
      <c r="L1560" s="88"/>
      <c r="M1560" s="77"/>
      <c r="N1560" s="77"/>
      <c r="O1560" s="78"/>
      <c r="S1560" s="148"/>
      <c r="T1560"/>
      <c r="U1560"/>
    </row>
    <row r="1561" spans="1:21" x14ac:dyDescent="0.2">
      <c r="A1561" s="73"/>
      <c r="B1561" s="73"/>
      <c r="C1561" s="74"/>
      <c r="D1561" s="75"/>
      <c r="E1561" s="85"/>
      <c r="F1561" s="161"/>
      <c r="G1561" s="76"/>
      <c r="H1561" s="87"/>
      <c r="I1561" s="75"/>
      <c r="J1561" s="75"/>
      <c r="K1561" s="75"/>
      <c r="L1561" s="88"/>
      <c r="M1561" s="77"/>
      <c r="N1561" s="77"/>
      <c r="O1561" s="78"/>
      <c r="S1561" s="148"/>
      <c r="T1561"/>
      <c r="U1561"/>
    </row>
    <row r="1562" spans="1:21" x14ac:dyDescent="0.2">
      <c r="A1562" s="73"/>
      <c r="B1562" s="73"/>
      <c r="C1562" s="74"/>
      <c r="D1562" s="75"/>
      <c r="E1562" s="85"/>
      <c r="F1562" s="161"/>
      <c r="G1562" s="76"/>
      <c r="H1562" s="87"/>
      <c r="I1562" s="75"/>
      <c r="J1562" s="75"/>
      <c r="K1562" s="75"/>
      <c r="L1562" s="88"/>
      <c r="M1562" s="77"/>
      <c r="N1562" s="77"/>
      <c r="O1562" s="78"/>
      <c r="S1562" s="148"/>
      <c r="T1562"/>
      <c r="U1562"/>
    </row>
    <row r="1563" spans="1:21" x14ac:dyDescent="0.2">
      <c r="A1563" s="73"/>
      <c r="B1563" s="73"/>
      <c r="C1563" s="74"/>
      <c r="D1563" s="75"/>
      <c r="E1563" s="85"/>
      <c r="F1563" s="161"/>
      <c r="G1563" s="76"/>
      <c r="H1563" s="87"/>
      <c r="I1563" s="75"/>
      <c r="J1563" s="75"/>
      <c r="K1563" s="75"/>
      <c r="L1563" s="88"/>
      <c r="M1563" s="77"/>
      <c r="N1563" s="77"/>
      <c r="O1563" s="78"/>
      <c r="S1563" s="148"/>
      <c r="T1563"/>
      <c r="U1563"/>
    </row>
    <row r="1564" spans="1:21" x14ac:dyDescent="0.2">
      <c r="A1564" s="73"/>
      <c r="B1564" s="73"/>
      <c r="C1564" s="74"/>
      <c r="D1564" s="75"/>
      <c r="E1564" s="85"/>
      <c r="F1564" s="161"/>
      <c r="G1564" s="76"/>
      <c r="H1564" s="87"/>
      <c r="I1564" s="75"/>
      <c r="J1564" s="75"/>
      <c r="K1564" s="75"/>
      <c r="L1564" s="88"/>
      <c r="M1564" s="77"/>
      <c r="N1564" s="77"/>
      <c r="O1564" s="78"/>
      <c r="S1564" s="148"/>
      <c r="T1564"/>
      <c r="U1564"/>
    </row>
    <row r="1565" spans="1:21" x14ac:dyDescent="0.2">
      <c r="A1565" s="73"/>
      <c r="B1565" s="73"/>
      <c r="C1565" s="74"/>
      <c r="D1565" s="75"/>
      <c r="E1565" s="85"/>
      <c r="F1565" s="161"/>
      <c r="G1565" s="76"/>
      <c r="H1565" s="87"/>
      <c r="I1565" s="75"/>
      <c r="J1565" s="75"/>
      <c r="K1565" s="75"/>
      <c r="L1565" s="88"/>
      <c r="M1565" s="77"/>
      <c r="N1565" s="77"/>
      <c r="O1565" s="78"/>
      <c r="S1565" s="148"/>
      <c r="T1565"/>
      <c r="U1565"/>
    </row>
    <row r="1566" spans="1:21" x14ac:dyDescent="0.2">
      <c r="A1566" s="73"/>
      <c r="B1566" s="73"/>
      <c r="C1566" s="74"/>
      <c r="D1566" s="75"/>
      <c r="E1566" s="85"/>
      <c r="F1566" s="161"/>
      <c r="G1566" s="76"/>
      <c r="H1566" s="87"/>
      <c r="I1566" s="75"/>
      <c r="J1566" s="75"/>
      <c r="K1566" s="75"/>
      <c r="L1566" s="88"/>
      <c r="M1566" s="77"/>
      <c r="N1566" s="77"/>
      <c r="O1566" s="78"/>
      <c r="S1566" s="148"/>
      <c r="T1566"/>
      <c r="U1566"/>
    </row>
    <row r="1567" spans="1:21" x14ac:dyDescent="0.2">
      <c r="A1567" s="73"/>
      <c r="B1567" s="73"/>
      <c r="C1567" s="74"/>
      <c r="D1567" s="75"/>
      <c r="E1567" s="85"/>
      <c r="F1567" s="161"/>
      <c r="G1567" s="76"/>
      <c r="H1567" s="87"/>
      <c r="I1567" s="75"/>
      <c r="J1567" s="75"/>
      <c r="K1567" s="75"/>
      <c r="L1567" s="88"/>
      <c r="M1567" s="77"/>
      <c r="N1567" s="77"/>
      <c r="O1567" s="78"/>
      <c r="S1567" s="148"/>
      <c r="T1567"/>
      <c r="U1567"/>
    </row>
    <row r="1568" spans="1:21" x14ac:dyDescent="0.2">
      <c r="A1568" s="73"/>
      <c r="B1568" s="73"/>
      <c r="C1568" s="74"/>
      <c r="D1568" s="75"/>
      <c r="E1568" s="85"/>
      <c r="F1568" s="161"/>
      <c r="G1568" s="76"/>
      <c r="H1568" s="87"/>
      <c r="I1568" s="75"/>
      <c r="J1568" s="75"/>
      <c r="K1568" s="75"/>
      <c r="L1568" s="88"/>
      <c r="M1568" s="77"/>
      <c r="N1568" s="77"/>
      <c r="O1568" s="78"/>
      <c r="S1568" s="148"/>
      <c r="T1568"/>
      <c r="U1568"/>
    </row>
    <row r="1569" spans="1:21" x14ac:dyDescent="0.2">
      <c r="A1569" s="73"/>
      <c r="B1569" s="73"/>
      <c r="C1569" s="74"/>
      <c r="D1569" s="75"/>
      <c r="E1569" s="85"/>
      <c r="F1569" s="161"/>
      <c r="G1569" s="76"/>
      <c r="H1569" s="87"/>
      <c r="I1569" s="75"/>
      <c r="J1569" s="75"/>
      <c r="K1569" s="75"/>
      <c r="L1569" s="88"/>
      <c r="M1569" s="77"/>
      <c r="N1569" s="77"/>
      <c r="O1569" s="78"/>
      <c r="S1569" s="148"/>
      <c r="T1569"/>
      <c r="U1569"/>
    </row>
    <row r="1570" spans="1:21" x14ac:dyDescent="0.2">
      <c r="A1570" s="73"/>
      <c r="B1570" s="73"/>
      <c r="C1570" s="74"/>
      <c r="D1570" s="75"/>
      <c r="E1570" s="85"/>
      <c r="F1570" s="161"/>
      <c r="G1570" s="76"/>
      <c r="H1570" s="87"/>
      <c r="I1570" s="75"/>
      <c r="J1570" s="75"/>
      <c r="K1570" s="75"/>
      <c r="L1570" s="88"/>
      <c r="M1570" s="77"/>
      <c r="N1570" s="77"/>
      <c r="O1570" s="78"/>
      <c r="S1570" s="148"/>
      <c r="T1570"/>
      <c r="U1570"/>
    </row>
    <row r="1571" spans="1:21" x14ac:dyDescent="0.2">
      <c r="A1571" s="73"/>
      <c r="B1571" s="73"/>
      <c r="C1571" s="74"/>
      <c r="D1571" s="75"/>
      <c r="E1571" s="85"/>
      <c r="F1571" s="161"/>
      <c r="G1571" s="76"/>
      <c r="H1571" s="87"/>
      <c r="I1571" s="75"/>
      <c r="J1571" s="75"/>
      <c r="K1571" s="75"/>
      <c r="L1571" s="88"/>
      <c r="M1571" s="77"/>
      <c r="N1571" s="77"/>
      <c r="O1571" s="78"/>
      <c r="S1571" s="148"/>
      <c r="T1571"/>
      <c r="U1571"/>
    </row>
    <row r="1572" spans="1:21" x14ac:dyDescent="0.2">
      <c r="A1572" s="73"/>
      <c r="B1572" s="73"/>
      <c r="C1572" s="74"/>
      <c r="D1572" s="75"/>
      <c r="E1572" s="85"/>
      <c r="F1572" s="161"/>
      <c r="G1572" s="76"/>
      <c r="H1572" s="87"/>
      <c r="I1572" s="75"/>
      <c r="J1572" s="75"/>
      <c r="K1572" s="75"/>
      <c r="L1572" s="88"/>
      <c r="M1572" s="77"/>
      <c r="N1572" s="77"/>
      <c r="O1572" s="78"/>
      <c r="S1572" s="148"/>
      <c r="T1572"/>
      <c r="U1572"/>
    </row>
    <row r="1573" spans="1:21" x14ac:dyDescent="0.2">
      <c r="A1573" s="73"/>
      <c r="B1573" s="73"/>
      <c r="C1573" s="74"/>
      <c r="D1573" s="75"/>
      <c r="E1573" s="85"/>
      <c r="F1573" s="161"/>
      <c r="G1573" s="76"/>
      <c r="H1573" s="87"/>
      <c r="I1573" s="75"/>
      <c r="J1573" s="75"/>
      <c r="K1573" s="75"/>
      <c r="L1573" s="88"/>
      <c r="M1573" s="77"/>
      <c r="N1573" s="77"/>
      <c r="O1573" s="78"/>
      <c r="S1573" s="148"/>
      <c r="T1573"/>
      <c r="U1573"/>
    </row>
    <row r="1574" spans="1:21" x14ac:dyDescent="0.2">
      <c r="A1574" s="73"/>
      <c r="B1574" s="73"/>
      <c r="C1574" s="74"/>
      <c r="D1574" s="75"/>
      <c r="E1574" s="85"/>
      <c r="F1574" s="161"/>
      <c r="G1574" s="76"/>
      <c r="H1574" s="87"/>
      <c r="I1574" s="75"/>
      <c r="J1574" s="75"/>
      <c r="K1574" s="75"/>
      <c r="L1574" s="88"/>
      <c r="M1574" s="77"/>
      <c r="N1574" s="77"/>
      <c r="O1574" s="78"/>
      <c r="S1574" s="148"/>
      <c r="T1574"/>
      <c r="U1574"/>
    </row>
    <row r="1575" spans="1:21" x14ac:dyDescent="0.2">
      <c r="A1575" s="73"/>
      <c r="B1575" s="73"/>
      <c r="C1575" s="74"/>
      <c r="D1575" s="75"/>
      <c r="E1575" s="85"/>
      <c r="F1575" s="161"/>
      <c r="G1575" s="76"/>
      <c r="H1575" s="87"/>
      <c r="I1575" s="75"/>
      <c r="J1575" s="75"/>
      <c r="K1575" s="75"/>
      <c r="L1575" s="88"/>
      <c r="M1575" s="77"/>
      <c r="N1575" s="77"/>
      <c r="O1575" s="78"/>
      <c r="S1575" s="148"/>
      <c r="T1575"/>
      <c r="U1575"/>
    </row>
    <row r="1576" spans="1:21" x14ac:dyDescent="0.2">
      <c r="A1576" s="73"/>
      <c r="B1576" s="73"/>
      <c r="C1576" s="74"/>
      <c r="D1576" s="75"/>
      <c r="E1576" s="85"/>
      <c r="F1576" s="161"/>
      <c r="G1576" s="76"/>
      <c r="H1576" s="87"/>
      <c r="I1576" s="75"/>
      <c r="J1576" s="75"/>
      <c r="K1576" s="75"/>
      <c r="L1576" s="88"/>
      <c r="M1576" s="77"/>
      <c r="N1576" s="77"/>
      <c r="O1576" s="78"/>
      <c r="S1576" s="148"/>
      <c r="T1576"/>
      <c r="U1576"/>
    </row>
    <row r="1577" spans="1:21" x14ac:dyDescent="0.2">
      <c r="A1577" s="73"/>
      <c r="B1577" s="73"/>
      <c r="C1577" s="74"/>
      <c r="D1577" s="75"/>
      <c r="E1577" s="85"/>
      <c r="F1577" s="161"/>
      <c r="G1577" s="76"/>
      <c r="H1577" s="87"/>
      <c r="I1577" s="75"/>
      <c r="J1577" s="75"/>
      <c r="K1577" s="75"/>
      <c r="L1577" s="88"/>
      <c r="M1577" s="77"/>
      <c r="N1577" s="77"/>
      <c r="O1577" s="78"/>
      <c r="S1577" s="148"/>
      <c r="T1577"/>
      <c r="U1577"/>
    </row>
    <row r="1578" spans="1:21" x14ac:dyDescent="0.2">
      <c r="A1578" s="73"/>
      <c r="B1578" s="73"/>
      <c r="C1578" s="74"/>
      <c r="D1578" s="75"/>
      <c r="E1578" s="85"/>
      <c r="F1578" s="161"/>
      <c r="G1578" s="76"/>
      <c r="H1578" s="87"/>
      <c r="I1578" s="75"/>
      <c r="J1578" s="75"/>
      <c r="K1578" s="75"/>
      <c r="L1578" s="88"/>
      <c r="M1578" s="77"/>
      <c r="N1578" s="77"/>
      <c r="O1578" s="78"/>
      <c r="S1578" s="148"/>
      <c r="T1578"/>
      <c r="U1578"/>
    </row>
    <row r="1579" spans="1:21" x14ac:dyDescent="0.2">
      <c r="A1579" s="73"/>
      <c r="B1579" s="73"/>
      <c r="C1579" s="74"/>
      <c r="D1579" s="75"/>
      <c r="E1579" s="85"/>
      <c r="F1579" s="161"/>
      <c r="G1579" s="76"/>
      <c r="H1579" s="87"/>
      <c r="I1579" s="75"/>
      <c r="J1579" s="75"/>
      <c r="K1579" s="75"/>
      <c r="L1579" s="88"/>
      <c r="M1579" s="77"/>
      <c r="N1579" s="77"/>
      <c r="O1579" s="78"/>
      <c r="S1579" s="148"/>
      <c r="T1579"/>
      <c r="U1579"/>
    </row>
    <row r="1580" spans="1:21" x14ac:dyDescent="0.2">
      <c r="A1580" s="73"/>
      <c r="B1580" s="73"/>
      <c r="C1580" s="74"/>
      <c r="D1580" s="75"/>
      <c r="E1580" s="85"/>
      <c r="F1580" s="161"/>
      <c r="G1580" s="76"/>
      <c r="H1580" s="87"/>
      <c r="I1580" s="75"/>
      <c r="J1580" s="75"/>
      <c r="K1580" s="75"/>
      <c r="L1580" s="88"/>
      <c r="M1580" s="77"/>
      <c r="N1580" s="77"/>
      <c r="O1580" s="78"/>
      <c r="S1580" s="148"/>
      <c r="T1580"/>
      <c r="U1580"/>
    </row>
    <row r="1581" spans="1:21" x14ac:dyDescent="0.2">
      <c r="A1581" s="73"/>
      <c r="B1581" s="73"/>
      <c r="C1581" s="74"/>
      <c r="D1581" s="75"/>
      <c r="E1581" s="85"/>
      <c r="F1581" s="161"/>
      <c r="G1581" s="76"/>
      <c r="H1581" s="87"/>
      <c r="I1581" s="75"/>
      <c r="J1581" s="75"/>
      <c r="K1581" s="75"/>
      <c r="L1581" s="88"/>
      <c r="M1581" s="77"/>
      <c r="N1581" s="77"/>
      <c r="O1581" s="78"/>
      <c r="S1581" s="148"/>
      <c r="T1581"/>
      <c r="U1581"/>
    </row>
    <row r="1582" spans="1:21" x14ac:dyDescent="0.2">
      <c r="A1582" s="73"/>
      <c r="B1582" s="73"/>
      <c r="C1582" s="74"/>
      <c r="D1582" s="75"/>
      <c r="E1582" s="85"/>
      <c r="F1582" s="161"/>
      <c r="G1582" s="76"/>
      <c r="H1582" s="87"/>
      <c r="I1582" s="75"/>
      <c r="J1582" s="75"/>
      <c r="K1582" s="75"/>
      <c r="L1582" s="88"/>
      <c r="M1582" s="77"/>
      <c r="N1582" s="77"/>
      <c r="O1582" s="78"/>
      <c r="S1582" s="148"/>
      <c r="T1582"/>
      <c r="U1582"/>
    </row>
    <row r="1583" spans="1:21" x14ac:dyDescent="0.2">
      <c r="A1583" s="73"/>
      <c r="B1583" s="73"/>
      <c r="C1583" s="74"/>
      <c r="D1583" s="75"/>
      <c r="E1583" s="85"/>
      <c r="F1583" s="161"/>
      <c r="G1583" s="76"/>
      <c r="H1583" s="87"/>
      <c r="I1583" s="75"/>
      <c r="J1583" s="75"/>
      <c r="K1583" s="75"/>
      <c r="L1583" s="88"/>
      <c r="M1583" s="77"/>
      <c r="N1583" s="77"/>
      <c r="O1583" s="78"/>
      <c r="S1583" s="148"/>
      <c r="T1583"/>
      <c r="U1583"/>
    </row>
    <row r="1584" spans="1:21" x14ac:dyDescent="0.2">
      <c r="A1584" s="73"/>
      <c r="B1584" s="73"/>
      <c r="C1584" s="74"/>
      <c r="D1584" s="75"/>
      <c r="E1584" s="85"/>
      <c r="F1584" s="161"/>
      <c r="G1584" s="76"/>
      <c r="H1584" s="87"/>
      <c r="I1584" s="75"/>
      <c r="J1584" s="75"/>
      <c r="K1584" s="75"/>
      <c r="L1584" s="88"/>
      <c r="M1584" s="77"/>
      <c r="N1584" s="77"/>
      <c r="O1584" s="78"/>
      <c r="S1584" s="148"/>
      <c r="T1584"/>
      <c r="U1584"/>
    </row>
    <row r="1585" spans="1:21" x14ac:dyDescent="0.2">
      <c r="A1585" s="73"/>
      <c r="B1585" s="73"/>
      <c r="C1585" s="74"/>
      <c r="D1585" s="75"/>
      <c r="E1585" s="85"/>
      <c r="F1585" s="161"/>
      <c r="G1585" s="76"/>
      <c r="H1585" s="87"/>
      <c r="I1585" s="75"/>
      <c r="J1585" s="75"/>
      <c r="K1585" s="75"/>
      <c r="L1585" s="88"/>
      <c r="M1585" s="77"/>
      <c r="N1585" s="77"/>
      <c r="O1585" s="78"/>
      <c r="S1585" s="148"/>
      <c r="T1585"/>
      <c r="U1585"/>
    </row>
    <row r="1586" spans="1:21" x14ac:dyDescent="0.2">
      <c r="A1586" s="73"/>
      <c r="B1586" s="73"/>
      <c r="C1586" s="74"/>
      <c r="D1586" s="75"/>
      <c r="E1586" s="85"/>
      <c r="F1586" s="161"/>
      <c r="G1586" s="76"/>
      <c r="H1586" s="87"/>
      <c r="I1586" s="75"/>
      <c r="J1586" s="75"/>
      <c r="K1586" s="75"/>
      <c r="L1586" s="88"/>
      <c r="M1586" s="77"/>
      <c r="N1586" s="77"/>
      <c r="O1586" s="78"/>
      <c r="S1586" s="148"/>
      <c r="T1586"/>
      <c r="U1586"/>
    </row>
    <row r="1587" spans="1:21" x14ac:dyDescent="0.2">
      <c r="A1587" s="73"/>
      <c r="B1587" s="73"/>
      <c r="C1587" s="74"/>
      <c r="D1587" s="75"/>
      <c r="E1587" s="85"/>
      <c r="F1587" s="161"/>
      <c r="G1587" s="76"/>
      <c r="H1587" s="87"/>
      <c r="I1587" s="75"/>
      <c r="J1587" s="75"/>
      <c r="K1587" s="75"/>
      <c r="L1587" s="88"/>
      <c r="M1587" s="77"/>
      <c r="N1587" s="77"/>
      <c r="O1587" s="78"/>
      <c r="S1587" s="148"/>
      <c r="T1587"/>
      <c r="U1587"/>
    </row>
    <row r="1588" spans="1:21" x14ac:dyDescent="0.2">
      <c r="A1588" s="73"/>
      <c r="B1588" s="73"/>
      <c r="C1588" s="74"/>
      <c r="D1588" s="75"/>
      <c r="E1588" s="85"/>
      <c r="F1588" s="161"/>
      <c r="G1588" s="76"/>
      <c r="H1588" s="87"/>
      <c r="I1588" s="75"/>
      <c r="J1588" s="75"/>
      <c r="K1588" s="75"/>
      <c r="L1588" s="88"/>
      <c r="M1588" s="77"/>
      <c r="N1588" s="77"/>
      <c r="O1588" s="78"/>
      <c r="S1588" s="148"/>
      <c r="T1588"/>
      <c r="U1588"/>
    </row>
    <row r="1589" spans="1:21" x14ac:dyDescent="0.2">
      <c r="A1589" s="73"/>
      <c r="B1589" s="73"/>
      <c r="C1589" s="74"/>
      <c r="D1589" s="75"/>
      <c r="E1589" s="85"/>
      <c r="F1589" s="161"/>
      <c r="G1589" s="76"/>
      <c r="H1589" s="87"/>
      <c r="I1589" s="75"/>
      <c r="J1589" s="75"/>
      <c r="K1589" s="75"/>
      <c r="L1589" s="88"/>
      <c r="M1589" s="77"/>
      <c r="N1589" s="77"/>
      <c r="O1589" s="78"/>
      <c r="S1589" s="148"/>
      <c r="T1589"/>
      <c r="U1589"/>
    </row>
    <row r="1590" spans="1:21" x14ac:dyDescent="0.2">
      <c r="A1590" s="73"/>
      <c r="B1590" s="73"/>
      <c r="C1590" s="74"/>
      <c r="D1590" s="75"/>
      <c r="E1590" s="85"/>
      <c r="F1590" s="161"/>
      <c r="G1590" s="76"/>
      <c r="H1590" s="87"/>
      <c r="I1590" s="75"/>
      <c r="J1590" s="75"/>
      <c r="K1590" s="75"/>
      <c r="L1590" s="88"/>
      <c r="M1590" s="77"/>
      <c r="N1590" s="77"/>
      <c r="O1590" s="78"/>
      <c r="S1590" s="148"/>
      <c r="T1590"/>
      <c r="U1590"/>
    </row>
    <row r="1591" spans="1:21" x14ac:dyDescent="0.2">
      <c r="A1591" s="73"/>
      <c r="B1591" s="73"/>
      <c r="C1591" s="74"/>
      <c r="D1591" s="75"/>
      <c r="E1591" s="85"/>
      <c r="F1591" s="161"/>
      <c r="G1591" s="76"/>
      <c r="H1591" s="87"/>
      <c r="I1591" s="75"/>
      <c r="J1591" s="75"/>
      <c r="K1591" s="75"/>
      <c r="L1591" s="88"/>
      <c r="M1591" s="77"/>
      <c r="N1591" s="77"/>
      <c r="O1591" s="78"/>
      <c r="S1591" s="148"/>
      <c r="T1591"/>
      <c r="U1591"/>
    </row>
    <row r="1592" spans="1:21" x14ac:dyDescent="0.2">
      <c r="A1592" s="73"/>
      <c r="B1592" s="73"/>
      <c r="C1592" s="74"/>
      <c r="D1592" s="75"/>
      <c r="E1592" s="85"/>
      <c r="F1592" s="161"/>
      <c r="G1592" s="76"/>
      <c r="H1592" s="87"/>
      <c r="I1592" s="75"/>
      <c r="J1592" s="75"/>
      <c r="K1592" s="75"/>
      <c r="L1592" s="88"/>
      <c r="M1592" s="77"/>
      <c r="N1592" s="77"/>
      <c r="O1592" s="78"/>
      <c r="S1592" s="148"/>
      <c r="T1592"/>
      <c r="U1592"/>
    </row>
    <row r="1593" spans="1:21" x14ac:dyDescent="0.2">
      <c r="A1593" s="73"/>
      <c r="B1593" s="73"/>
      <c r="C1593" s="74"/>
      <c r="D1593" s="75"/>
      <c r="E1593" s="85"/>
      <c r="F1593" s="161"/>
      <c r="G1593" s="76"/>
      <c r="H1593" s="87"/>
      <c r="I1593" s="75"/>
      <c r="J1593" s="75"/>
      <c r="K1593" s="75"/>
      <c r="L1593" s="88"/>
      <c r="M1593" s="77"/>
      <c r="N1593" s="77"/>
      <c r="O1593" s="78"/>
      <c r="S1593" s="148"/>
      <c r="T1593"/>
      <c r="U1593"/>
    </row>
    <row r="1594" spans="1:21" x14ac:dyDescent="0.2">
      <c r="A1594" s="73"/>
      <c r="B1594" s="73"/>
      <c r="C1594" s="74"/>
      <c r="D1594" s="75"/>
      <c r="E1594" s="85"/>
      <c r="F1594" s="161"/>
      <c r="G1594" s="76"/>
      <c r="H1594" s="87"/>
      <c r="I1594" s="75"/>
      <c r="J1594" s="75"/>
      <c r="K1594" s="75"/>
      <c r="L1594" s="88"/>
      <c r="M1594" s="77"/>
      <c r="N1594" s="77"/>
      <c r="O1594" s="78"/>
      <c r="S1594" s="148"/>
      <c r="T1594"/>
      <c r="U1594"/>
    </row>
    <row r="1595" spans="1:21" x14ac:dyDescent="0.2">
      <c r="A1595" s="73"/>
      <c r="B1595" s="73"/>
      <c r="C1595" s="74"/>
      <c r="D1595" s="75"/>
      <c r="E1595" s="85"/>
      <c r="F1595" s="161"/>
      <c r="G1595" s="76"/>
      <c r="H1595" s="87"/>
      <c r="I1595" s="75"/>
      <c r="J1595" s="75"/>
      <c r="K1595" s="75"/>
      <c r="L1595" s="88"/>
      <c r="M1595" s="77"/>
      <c r="N1595" s="77"/>
      <c r="O1595" s="78"/>
      <c r="S1595" s="148"/>
      <c r="T1595"/>
      <c r="U1595"/>
    </row>
    <row r="1596" spans="1:21" x14ac:dyDescent="0.2">
      <c r="A1596" s="73"/>
      <c r="B1596" s="73"/>
      <c r="C1596" s="74"/>
      <c r="D1596" s="75"/>
      <c r="E1596" s="85"/>
      <c r="F1596" s="161"/>
      <c r="G1596" s="76"/>
      <c r="H1596" s="87"/>
      <c r="I1596" s="75"/>
      <c r="J1596" s="75"/>
      <c r="K1596" s="75"/>
      <c r="L1596" s="88"/>
      <c r="M1596" s="77"/>
      <c r="N1596" s="77"/>
      <c r="O1596" s="78"/>
      <c r="S1596" s="148"/>
      <c r="T1596"/>
      <c r="U1596"/>
    </row>
    <row r="1597" spans="1:21" x14ac:dyDescent="0.2">
      <c r="A1597" s="73"/>
      <c r="B1597" s="73"/>
      <c r="C1597" s="74"/>
      <c r="D1597" s="75"/>
      <c r="E1597" s="85"/>
      <c r="F1597" s="161"/>
      <c r="G1597" s="76"/>
      <c r="H1597" s="87"/>
      <c r="I1597" s="75"/>
      <c r="J1597" s="75"/>
      <c r="K1597" s="75"/>
      <c r="L1597" s="88"/>
      <c r="M1597" s="77"/>
      <c r="N1597" s="77"/>
      <c r="O1597" s="78"/>
      <c r="S1597" s="148"/>
      <c r="T1597"/>
      <c r="U1597"/>
    </row>
    <row r="1598" spans="1:21" x14ac:dyDescent="0.2">
      <c r="A1598" s="73"/>
      <c r="B1598" s="73"/>
      <c r="C1598" s="74"/>
      <c r="D1598" s="75"/>
      <c r="E1598" s="85"/>
      <c r="F1598" s="161"/>
      <c r="G1598" s="76"/>
      <c r="H1598" s="87"/>
      <c r="I1598" s="75"/>
      <c r="J1598" s="75"/>
      <c r="K1598" s="75"/>
      <c r="L1598" s="88"/>
      <c r="M1598" s="77"/>
      <c r="N1598" s="77"/>
      <c r="O1598" s="78"/>
      <c r="S1598" s="148"/>
      <c r="T1598"/>
      <c r="U1598"/>
    </row>
    <row r="1599" spans="1:21" x14ac:dyDescent="0.2">
      <c r="A1599" s="73"/>
      <c r="B1599" s="73"/>
      <c r="C1599" s="74"/>
      <c r="D1599" s="75"/>
      <c r="E1599" s="85"/>
      <c r="F1599" s="161"/>
      <c r="G1599" s="76"/>
      <c r="H1599" s="87"/>
      <c r="I1599" s="75"/>
      <c r="J1599" s="75"/>
      <c r="K1599" s="75"/>
      <c r="L1599" s="88"/>
      <c r="M1599" s="77"/>
      <c r="N1599" s="77"/>
      <c r="O1599" s="78"/>
      <c r="S1599" s="148"/>
      <c r="T1599"/>
      <c r="U1599"/>
    </row>
    <row r="1600" spans="1:21" x14ac:dyDescent="0.2">
      <c r="A1600" s="73"/>
      <c r="B1600" s="73"/>
      <c r="C1600" s="74"/>
      <c r="D1600" s="75"/>
      <c r="E1600" s="85"/>
      <c r="F1600" s="161"/>
      <c r="G1600" s="76"/>
      <c r="H1600" s="87"/>
      <c r="I1600" s="75"/>
      <c r="J1600" s="75"/>
      <c r="K1600" s="75"/>
      <c r="L1600" s="88"/>
      <c r="M1600" s="77"/>
      <c r="N1600" s="77"/>
      <c r="O1600" s="78"/>
      <c r="S1600" s="148"/>
      <c r="T1600"/>
      <c r="U1600"/>
    </row>
    <row r="1601" spans="1:21" x14ac:dyDescent="0.2">
      <c r="A1601" s="73"/>
      <c r="B1601" s="73"/>
      <c r="C1601" s="74"/>
      <c r="D1601" s="75"/>
      <c r="E1601" s="85"/>
      <c r="F1601" s="161"/>
      <c r="G1601" s="76"/>
      <c r="H1601" s="87"/>
      <c r="I1601" s="75"/>
      <c r="J1601" s="75"/>
      <c r="K1601" s="75"/>
      <c r="L1601" s="88"/>
      <c r="M1601" s="77"/>
      <c r="N1601" s="77"/>
      <c r="O1601" s="78"/>
      <c r="S1601" s="148"/>
      <c r="T1601"/>
      <c r="U1601"/>
    </row>
    <row r="1602" spans="1:21" x14ac:dyDescent="0.2">
      <c r="A1602" s="73"/>
      <c r="B1602" s="73"/>
      <c r="C1602" s="74"/>
      <c r="D1602" s="75"/>
      <c r="E1602" s="85"/>
      <c r="F1602" s="161"/>
      <c r="G1602" s="76"/>
      <c r="H1602" s="87"/>
      <c r="I1602" s="75"/>
      <c r="J1602" s="75"/>
      <c r="K1602" s="75"/>
      <c r="L1602" s="88"/>
      <c r="M1602" s="77"/>
      <c r="N1602" s="77"/>
      <c r="O1602" s="78"/>
      <c r="S1602" s="148"/>
      <c r="T1602"/>
      <c r="U1602"/>
    </row>
    <row r="1603" spans="1:21" x14ac:dyDescent="0.2">
      <c r="A1603" s="73"/>
      <c r="B1603" s="73"/>
      <c r="C1603" s="74"/>
      <c r="D1603" s="75"/>
      <c r="E1603" s="85"/>
      <c r="F1603" s="161"/>
      <c r="G1603" s="76"/>
      <c r="H1603" s="87"/>
      <c r="I1603" s="75"/>
      <c r="J1603" s="75"/>
      <c r="K1603" s="75"/>
      <c r="L1603" s="88"/>
      <c r="M1603" s="77"/>
      <c r="N1603" s="77"/>
      <c r="O1603" s="78"/>
      <c r="S1603" s="148"/>
      <c r="T1603"/>
      <c r="U1603"/>
    </row>
    <row r="1604" spans="1:21" x14ac:dyDescent="0.2">
      <c r="A1604" s="73"/>
      <c r="B1604" s="73"/>
      <c r="C1604" s="74"/>
      <c r="D1604" s="75"/>
      <c r="E1604" s="85"/>
      <c r="F1604" s="161"/>
      <c r="G1604" s="76"/>
      <c r="H1604" s="87"/>
      <c r="I1604" s="75"/>
      <c r="J1604" s="75"/>
      <c r="K1604" s="75"/>
      <c r="L1604" s="88"/>
      <c r="M1604" s="77"/>
      <c r="N1604" s="77"/>
      <c r="O1604" s="78"/>
      <c r="S1604" s="148"/>
      <c r="T1604"/>
      <c r="U1604"/>
    </row>
    <row r="1605" spans="1:21" x14ac:dyDescent="0.2">
      <c r="A1605" s="73"/>
      <c r="B1605" s="73"/>
      <c r="C1605" s="74"/>
      <c r="D1605" s="75"/>
      <c r="E1605" s="85"/>
      <c r="F1605" s="161"/>
      <c r="G1605" s="76"/>
      <c r="H1605" s="87"/>
      <c r="I1605" s="75"/>
      <c r="J1605" s="75"/>
      <c r="K1605" s="75"/>
      <c r="L1605" s="88"/>
      <c r="M1605" s="77"/>
      <c r="N1605" s="77"/>
      <c r="O1605" s="78"/>
      <c r="S1605" s="148"/>
      <c r="T1605"/>
      <c r="U1605"/>
    </row>
    <row r="1606" spans="1:21" x14ac:dyDescent="0.2">
      <c r="A1606" s="73"/>
      <c r="B1606" s="73"/>
      <c r="C1606" s="74"/>
      <c r="D1606" s="75"/>
      <c r="E1606" s="85"/>
      <c r="F1606" s="161"/>
      <c r="G1606" s="76"/>
      <c r="H1606" s="87"/>
      <c r="I1606" s="75"/>
      <c r="J1606" s="75"/>
      <c r="K1606" s="75"/>
      <c r="L1606" s="88"/>
      <c r="M1606" s="77"/>
      <c r="N1606" s="77"/>
      <c r="O1606" s="78"/>
      <c r="S1606" s="148"/>
      <c r="T1606"/>
      <c r="U1606"/>
    </row>
    <row r="1607" spans="1:21" x14ac:dyDescent="0.2">
      <c r="A1607" s="73"/>
      <c r="B1607" s="73"/>
      <c r="C1607" s="74"/>
      <c r="D1607" s="75"/>
      <c r="E1607" s="85"/>
      <c r="F1607" s="161"/>
      <c r="G1607" s="76"/>
      <c r="H1607" s="87"/>
      <c r="I1607" s="75"/>
      <c r="J1607" s="75"/>
      <c r="K1607" s="75"/>
      <c r="L1607" s="88"/>
      <c r="M1607" s="77"/>
      <c r="N1607" s="77"/>
      <c r="O1607" s="78"/>
      <c r="S1607" s="148"/>
      <c r="T1607"/>
      <c r="U1607"/>
    </row>
    <row r="1608" spans="1:21" x14ac:dyDescent="0.2">
      <c r="A1608" s="73"/>
      <c r="B1608" s="73"/>
      <c r="C1608" s="74"/>
      <c r="D1608" s="75"/>
      <c r="E1608" s="85"/>
      <c r="F1608" s="161"/>
      <c r="G1608" s="76"/>
      <c r="H1608" s="87"/>
      <c r="I1608" s="75"/>
      <c r="J1608" s="75"/>
      <c r="K1608" s="75"/>
      <c r="L1608" s="88"/>
      <c r="M1608" s="77"/>
      <c r="N1608" s="77"/>
      <c r="O1608" s="78"/>
      <c r="S1608" s="148"/>
      <c r="T1608"/>
      <c r="U1608"/>
    </row>
    <row r="1609" spans="1:21" x14ac:dyDescent="0.2">
      <c r="A1609" s="73"/>
      <c r="B1609" s="73"/>
      <c r="C1609" s="74"/>
      <c r="D1609" s="75"/>
      <c r="E1609" s="85"/>
      <c r="F1609" s="161"/>
      <c r="G1609" s="76"/>
      <c r="H1609" s="87"/>
      <c r="I1609" s="75"/>
      <c r="J1609" s="75"/>
      <c r="K1609" s="75"/>
      <c r="L1609" s="88"/>
      <c r="M1609" s="77"/>
      <c r="N1609" s="77"/>
      <c r="O1609" s="78"/>
      <c r="S1609" s="148"/>
      <c r="T1609"/>
      <c r="U1609"/>
    </row>
    <row r="1610" spans="1:21" x14ac:dyDescent="0.2">
      <c r="A1610" s="73"/>
      <c r="B1610" s="73"/>
      <c r="C1610" s="74"/>
      <c r="D1610" s="75"/>
      <c r="E1610" s="85"/>
      <c r="F1610" s="161"/>
      <c r="G1610" s="76"/>
      <c r="H1610" s="87"/>
      <c r="I1610" s="75"/>
      <c r="J1610" s="75"/>
      <c r="K1610" s="75"/>
      <c r="L1610" s="88"/>
      <c r="M1610" s="77"/>
      <c r="N1610" s="77"/>
      <c r="O1610" s="78"/>
      <c r="S1610" s="148"/>
      <c r="T1610"/>
      <c r="U1610"/>
    </row>
    <row r="1611" spans="1:21" x14ac:dyDescent="0.2">
      <c r="A1611" s="73"/>
      <c r="B1611" s="73"/>
      <c r="C1611" s="74"/>
      <c r="D1611" s="75"/>
      <c r="E1611" s="85"/>
      <c r="F1611" s="161"/>
      <c r="G1611" s="76"/>
      <c r="H1611" s="87"/>
      <c r="I1611" s="75"/>
      <c r="J1611" s="75"/>
      <c r="K1611" s="75"/>
      <c r="L1611" s="88"/>
      <c r="M1611" s="77"/>
      <c r="N1611" s="77"/>
      <c r="O1611" s="78"/>
      <c r="S1611" s="148"/>
      <c r="T1611"/>
      <c r="U1611"/>
    </row>
    <row r="1612" spans="1:21" x14ac:dyDescent="0.2">
      <c r="A1612" s="73"/>
      <c r="B1612" s="73"/>
      <c r="C1612" s="74"/>
      <c r="D1612" s="75"/>
      <c r="E1612" s="85"/>
      <c r="F1612" s="161"/>
      <c r="G1612" s="76"/>
      <c r="H1612" s="87"/>
      <c r="I1612" s="75"/>
      <c r="J1612" s="75"/>
      <c r="K1612" s="75"/>
      <c r="L1612" s="88"/>
      <c r="M1612" s="77"/>
      <c r="N1612" s="77"/>
      <c r="O1612" s="78"/>
      <c r="S1612" s="148"/>
      <c r="T1612"/>
      <c r="U1612"/>
    </row>
    <row r="1613" spans="1:21" x14ac:dyDescent="0.2">
      <c r="A1613" s="73"/>
      <c r="B1613" s="73"/>
      <c r="C1613" s="74"/>
      <c r="D1613" s="75"/>
      <c r="E1613" s="85"/>
      <c r="F1613" s="161"/>
      <c r="G1613" s="76"/>
      <c r="H1613" s="87"/>
      <c r="I1613" s="75"/>
      <c r="J1613" s="75"/>
      <c r="K1613" s="75"/>
      <c r="L1613" s="88"/>
      <c r="M1613" s="77"/>
      <c r="N1613" s="77"/>
      <c r="O1613" s="78"/>
      <c r="S1613" s="148"/>
      <c r="T1613"/>
      <c r="U1613"/>
    </row>
    <row r="1614" spans="1:21" x14ac:dyDescent="0.2">
      <c r="A1614" s="73"/>
      <c r="B1614" s="73"/>
      <c r="C1614" s="74"/>
      <c r="D1614" s="75"/>
      <c r="E1614" s="85"/>
      <c r="F1614" s="161"/>
      <c r="G1614" s="76"/>
      <c r="H1614" s="87"/>
      <c r="I1614" s="75"/>
      <c r="J1614" s="75"/>
      <c r="K1614" s="75"/>
      <c r="L1614" s="88"/>
      <c r="M1614" s="77"/>
      <c r="N1614" s="77"/>
      <c r="O1614" s="78"/>
      <c r="S1614" s="148"/>
      <c r="T1614"/>
      <c r="U1614"/>
    </row>
    <row r="1615" spans="1:21" x14ac:dyDescent="0.2">
      <c r="A1615" s="73"/>
      <c r="B1615" s="73"/>
      <c r="C1615" s="74"/>
      <c r="D1615" s="75"/>
      <c r="E1615" s="85"/>
      <c r="F1615" s="161"/>
      <c r="G1615" s="76"/>
      <c r="H1615" s="87"/>
      <c r="I1615" s="75"/>
      <c r="J1615" s="75"/>
      <c r="K1615" s="75"/>
      <c r="L1615" s="88"/>
      <c r="M1615" s="77"/>
      <c r="N1615" s="77"/>
      <c r="O1615" s="78"/>
      <c r="S1615" s="148"/>
      <c r="T1615"/>
      <c r="U1615"/>
    </row>
    <row r="1616" spans="1:21" x14ac:dyDescent="0.2">
      <c r="A1616" s="73"/>
      <c r="B1616" s="73"/>
      <c r="C1616" s="74"/>
      <c r="D1616" s="75"/>
      <c r="E1616" s="85"/>
      <c r="F1616" s="161"/>
      <c r="G1616" s="76"/>
      <c r="H1616" s="87"/>
      <c r="I1616" s="75"/>
      <c r="J1616" s="75"/>
      <c r="K1616" s="75"/>
      <c r="L1616" s="88"/>
      <c r="M1616" s="77"/>
      <c r="N1616" s="77"/>
      <c r="O1616" s="78"/>
      <c r="S1616" s="148"/>
      <c r="T1616"/>
      <c r="U1616"/>
    </row>
    <row r="1617" spans="1:21" x14ac:dyDescent="0.2">
      <c r="A1617" s="73"/>
      <c r="B1617" s="73"/>
      <c r="C1617" s="74"/>
      <c r="D1617" s="75"/>
      <c r="E1617" s="85"/>
      <c r="F1617" s="161"/>
      <c r="G1617" s="76"/>
      <c r="H1617" s="87"/>
      <c r="I1617" s="75"/>
      <c r="J1617" s="75"/>
      <c r="K1617" s="75"/>
      <c r="L1617" s="88"/>
      <c r="M1617" s="77"/>
      <c r="N1617" s="77"/>
      <c r="O1617" s="78"/>
      <c r="S1617" s="148"/>
      <c r="T1617"/>
      <c r="U1617"/>
    </row>
    <row r="1618" spans="1:21" x14ac:dyDescent="0.2">
      <c r="A1618" s="73"/>
      <c r="B1618" s="73"/>
      <c r="C1618" s="74"/>
      <c r="D1618" s="75"/>
      <c r="E1618" s="85"/>
      <c r="F1618" s="161"/>
      <c r="G1618" s="76"/>
      <c r="H1618" s="87"/>
      <c r="I1618" s="75"/>
      <c r="J1618" s="75"/>
      <c r="K1618" s="75"/>
      <c r="L1618" s="88"/>
      <c r="M1618" s="77"/>
      <c r="N1618" s="77"/>
      <c r="O1618" s="78"/>
      <c r="S1618" s="148"/>
      <c r="T1618"/>
      <c r="U1618"/>
    </row>
    <row r="1619" spans="1:21" x14ac:dyDescent="0.2">
      <c r="A1619" s="73"/>
      <c r="B1619" s="73"/>
      <c r="C1619" s="74"/>
      <c r="D1619" s="75"/>
      <c r="E1619" s="85"/>
      <c r="F1619" s="161"/>
      <c r="G1619" s="76"/>
      <c r="H1619" s="87"/>
      <c r="I1619" s="75"/>
      <c r="J1619" s="75"/>
      <c r="K1619" s="75"/>
      <c r="L1619" s="88"/>
      <c r="M1619" s="77"/>
      <c r="N1619" s="77"/>
      <c r="O1619" s="78"/>
      <c r="S1619" s="148"/>
      <c r="T1619"/>
      <c r="U1619"/>
    </row>
    <row r="1620" spans="1:21" x14ac:dyDescent="0.2">
      <c r="A1620" s="73"/>
      <c r="B1620" s="73"/>
      <c r="C1620" s="74"/>
      <c r="D1620" s="75"/>
      <c r="E1620" s="85"/>
      <c r="F1620" s="161"/>
      <c r="G1620" s="76"/>
      <c r="H1620" s="87"/>
      <c r="I1620" s="75"/>
      <c r="J1620" s="75"/>
      <c r="K1620" s="75"/>
      <c r="L1620" s="88"/>
      <c r="M1620" s="77"/>
      <c r="N1620" s="77"/>
      <c r="O1620" s="78"/>
      <c r="S1620" s="148"/>
      <c r="T1620"/>
      <c r="U1620"/>
    </row>
    <row r="1621" spans="1:21" x14ac:dyDescent="0.2">
      <c r="A1621" s="73"/>
      <c r="B1621" s="73"/>
      <c r="C1621" s="74"/>
      <c r="D1621" s="75"/>
      <c r="E1621" s="85"/>
      <c r="F1621" s="161"/>
      <c r="G1621" s="76"/>
      <c r="H1621" s="87"/>
      <c r="I1621" s="75"/>
      <c r="J1621" s="75"/>
      <c r="K1621" s="75"/>
      <c r="L1621" s="88"/>
      <c r="M1621" s="77"/>
      <c r="N1621" s="77"/>
      <c r="O1621" s="78"/>
      <c r="S1621" s="148"/>
      <c r="T1621"/>
      <c r="U1621"/>
    </row>
    <row r="1622" spans="1:21" x14ac:dyDescent="0.2">
      <c r="A1622" s="73"/>
      <c r="B1622" s="73"/>
      <c r="C1622" s="74"/>
      <c r="D1622" s="75"/>
      <c r="E1622" s="85"/>
      <c r="F1622" s="161"/>
      <c r="G1622" s="76"/>
      <c r="H1622" s="87"/>
      <c r="I1622" s="75"/>
      <c r="J1622" s="75"/>
      <c r="K1622" s="75"/>
      <c r="L1622" s="88"/>
      <c r="M1622" s="77"/>
      <c r="N1622" s="77"/>
      <c r="O1622" s="78"/>
      <c r="S1622" s="148"/>
      <c r="T1622"/>
      <c r="U1622"/>
    </row>
    <row r="1623" spans="1:21" x14ac:dyDescent="0.2">
      <c r="A1623" s="73"/>
      <c r="B1623" s="73"/>
      <c r="C1623" s="74"/>
      <c r="D1623" s="75"/>
      <c r="E1623" s="85"/>
      <c r="F1623" s="161"/>
      <c r="G1623" s="76"/>
      <c r="H1623" s="87"/>
      <c r="I1623" s="75"/>
      <c r="J1623" s="75"/>
      <c r="K1623" s="75"/>
      <c r="L1623" s="88"/>
      <c r="M1623" s="77"/>
      <c r="N1623" s="77"/>
      <c r="O1623" s="78"/>
      <c r="S1623" s="148"/>
      <c r="T1623"/>
      <c r="U1623"/>
    </row>
    <row r="1624" spans="1:21" x14ac:dyDescent="0.2">
      <c r="A1624" s="73"/>
      <c r="B1624" s="73"/>
      <c r="C1624" s="74"/>
      <c r="D1624" s="75"/>
      <c r="E1624" s="85"/>
      <c r="F1624" s="161"/>
      <c r="G1624" s="76"/>
      <c r="H1624" s="87"/>
      <c r="I1624" s="75"/>
      <c r="J1624" s="75"/>
      <c r="K1624" s="75"/>
      <c r="L1624" s="88"/>
      <c r="M1624" s="77"/>
      <c r="N1624" s="77"/>
      <c r="O1624" s="78"/>
      <c r="S1624" s="148"/>
      <c r="T1624"/>
      <c r="U1624"/>
    </row>
    <row r="1625" spans="1:21" x14ac:dyDescent="0.2">
      <c r="A1625" s="73"/>
      <c r="B1625" s="73"/>
      <c r="C1625" s="74"/>
      <c r="D1625" s="75"/>
      <c r="E1625" s="85"/>
      <c r="F1625" s="161"/>
      <c r="G1625" s="76"/>
      <c r="H1625" s="87"/>
      <c r="I1625" s="75"/>
      <c r="J1625" s="75"/>
      <c r="K1625" s="75"/>
      <c r="L1625" s="88"/>
      <c r="M1625" s="77"/>
      <c r="N1625" s="77"/>
      <c r="O1625" s="78"/>
      <c r="S1625" s="148"/>
      <c r="T1625"/>
      <c r="U1625"/>
    </row>
    <row r="1626" spans="1:21" x14ac:dyDescent="0.2">
      <c r="A1626" s="73"/>
      <c r="B1626" s="73"/>
      <c r="C1626" s="74"/>
      <c r="D1626" s="75"/>
      <c r="E1626" s="85"/>
      <c r="F1626" s="161"/>
      <c r="G1626" s="76"/>
      <c r="H1626" s="87"/>
      <c r="I1626" s="75"/>
      <c r="J1626" s="75"/>
      <c r="K1626" s="75"/>
      <c r="L1626" s="88"/>
      <c r="M1626" s="77"/>
      <c r="N1626" s="77"/>
      <c r="O1626" s="78"/>
      <c r="S1626" s="148"/>
      <c r="T1626"/>
      <c r="U1626"/>
    </row>
    <row r="1627" spans="1:21" x14ac:dyDescent="0.2">
      <c r="A1627" s="73"/>
      <c r="B1627" s="73"/>
      <c r="C1627" s="74"/>
      <c r="D1627" s="75"/>
      <c r="E1627" s="85"/>
      <c r="F1627" s="161"/>
      <c r="G1627" s="76"/>
      <c r="H1627" s="87"/>
      <c r="I1627" s="75"/>
      <c r="J1627" s="75"/>
      <c r="K1627" s="75"/>
      <c r="L1627" s="88"/>
      <c r="M1627" s="77"/>
      <c r="N1627" s="77"/>
      <c r="O1627" s="78"/>
      <c r="S1627" s="148"/>
      <c r="T1627"/>
      <c r="U1627"/>
    </row>
    <row r="1628" spans="1:21" x14ac:dyDescent="0.2">
      <c r="A1628" s="73"/>
      <c r="B1628" s="73"/>
      <c r="C1628" s="74"/>
      <c r="D1628" s="75"/>
      <c r="E1628" s="85"/>
      <c r="F1628" s="161"/>
      <c r="G1628" s="76"/>
      <c r="H1628" s="87"/>
      <c r="I1628" s="75"/>
      <c r="J1628" s="75"/>
      <c r="K1628" s="75"/>
      <c r="L1628" s="88"/>
      <c r="M1628" s="77"/>
      <c r="N1628" s="77"/>
      <c r="O1628" s="78"/>
      <c r="S1628" s="148"/>
      <c r="T1628"/>
      <c r="U1628"/>
    </row>
    <row r="1629" spans="1:21" x14ac:dyDescent="0.2">
      <c r="A1629" s="73"/>
      <c r="B1629" s="73"/>
      <c r="C1629" s="74"/>
      <c r="D1629" s="75"/>
      <c r="E1629" s="85"/>
      <c r="F1629" s="161"/>
      <c r="G1629" s="76"/>
      <c r="H1629" s="87"/>
      <c r="I1629" s="75"/>
      <c r="J1629" s="75"/>
      <c r="K1629" s="75"/>
      <c r="L1629" s="88"/>
      <c r="M1629" s="77"/>
      <c r="N1629" s="77"/>
      <c r="O1629" s="78"/>
      <c r="S1629" s="148"/>
      <c r="T1629"/>
      <c r="U1629"/>
    </row>
    <row r="1630" spans="1:21" x14ac:dyDescent="0.2">
      <c r="A1630" s="73"/>
      <c r="B1630" s="73"/>
      <c r="C1630" s="74"/>
      <c r="D1630" s="75"/>
      <c r="E1630" s="85"/>
      <c r="F1630" s="161"/>
      <c r="G1630" s="76"/>
      <c r="H1630" s="87"/>
      <c r="I1630" s="75"/>
      <c r="J1630" s="75"/>
      <c r="K1630" s="75"/>
      <c r="L1630" s="88"/>
      <c r="M1630" s="77"/>
      <c r="N1630" s="77"/>
      <c r="O1630" s="78"/>
      <c r="S1630" s="148"/>
      <c r="T1630"/>
      <c r="U1630"/>
    </row>
    <row r="1631" spans="1:21" x14ac:dyDescent="0.2">
      <c r="A1631" s="73"/>
      <c r="B1631" s="73"/>
      <c r="C1631" s="74"/>
      <c r="D1631" s="75"/>
      <c r="E1631" s="85"/>
      <c r="F1631" s="161"/>
      <c r="G1631" s="76"/>
      <c r="H1631" s="87"/>
      <c r="I1631" s="75"/>
      <c r="J1631" s="75"/>
      <c r="K1631" s="75"/>
      <c r="L1631" s="88"/>
      <c r="M1631" s="77"/>
      <c r="N1631" s="77"/>
      <c r="O1631" s="78"/>
      <c r="S1631" s="148"/>
      <c r="T1631"/>
      <c r="U1631"/>
    </row>
    <row r="1632" spans="1:21" x14ac:dyDescent="0.2">
      <c r="A1632" s="73"/>
      <c r="B1632" s="73"/>
      <c r="C1632" s="74"/>
      <c r="D1632" s="75"/>
      <c r="E1632" s="85"/>
      <c r="F1632" s="161"/>
      <c r="G1632" s="76"/>
      <c r="H1632" s="87"/>
      <c r="I1632" s="75"/>
      <c r="J1632" s="75"/>
      <c r="K1632" s="75"/>
      <c r="L1632" s="88"/>
      <c r="M1632" s="77"/>
      <c r="N1632" s="77"/>
      <c r="O1632" s="78"/>
      <c r="S1632" s="148"/>
      <c r="T1632"/>
      <c r="U1632"/>
    </row>
    <row r="1633" spans="1:21" x14ac:dyDescent="0.2">
      <c r="A1633" s="73"/>
      <c r="B1633" s="73"/>
      <c r="C1633" s="74"/>
      <c r="D1633" s="75"/>
      <c r="E1633" s="85"/>
      <c r="F1633" s="161"/>
      <c r="G1633" s="76"/>
      <c r="H1633" s="87"/>
      <c r="I1633" s="75"/>
      <c r="J1633" s="75"/>
      <c r="K1633" s="75"/>
      <c r="L1633" s="88"/>
      <c r="M1633" s="77"/>
      <c r="N1633" s="77"/>
      <c r="O1633" s="78"/>
      <c r="S1633" s="148"/>
      <c r="T1633"/>
      <c r="U1633"/>
    </row>
    <row r="1634" spans="1:21" x14ac:dyDescent="0.2">
      <c r="A1634" s="73"/>
      <c r="B1634" s="73"/>
      <c r="C1634" s="74"/>
      <c r="D1634" s="75"/>
      <c r="E1634" s="85"/>
      <c r="F1634" s="161"/>
      <c r="G1634" s="76"/>
      <c r="H1634" s="87"/>
      <c r="I1634" s="75"/>
      <c r="J1634" s="75"/>
      <c r="K1634" s="75"/>
      <c r="L1634" s="88"/>
      <c r="M1634" s="77"/>
      <c r="N1634" s="77"/>
      <c r="O1634" s="78"/>
      <c r="S1634" s="148"/>
      <c r="T1634"/>
      <c r="U1634"/>
    </row>
    <row r="1635" spans="1:21" x14ac:dyDescent="0.2">
      <c r="A1635" s="73"/>
      <c r="B1635" s="73"/>
      <c r="C1635" s="74"/>
      <c r="D1635" s="75"/>
      <c r="E1635" s="85"/>
      <c r="F1635" s="161"/>
      <c r="G1635" s="76"/>
      <c r="H1635" s="87"/>
      <c r="I1635" s="75"/>
      <c r="J1635" s="75"/>
      <c r="K1635" s="75"/>
      <c r="L1635" s="88"/>
      <c r="M1635" s="77"/>
      <c r="N1635" s="77"/>
      <c r="O1635" s="78"/>
      <c r="S1635" s="148"/>
      <c r="T1635"/>
      <c r="U1635"/>
    </row>
    <row r="1636" spans="1:21" x14ac:dyDescent="0.2">
      <c r="A1636" s="73"/>
      <c r="B1636" s="73"/>
      <c r="C1636" s="74"/>
      <c r="D1636" s="75"/>
      <c r="E1636" s="85"/>
      <c r="F1636" s="161"/>
      <c r="G1636" s="76"/>
      <c r="H1636" s="87"/>
      <c r="I1636" s="75"/>
      <c r="J1636" s="75"/>
      <c r="K1636" s="75"/>
      <c r="L1636" s="88"/>
      <c r="M1636" s="77"/>
      <c r="N1636" s="77"/>
      <c r="O1636" s="78"/>
      <c r="S1636" s="148"/>
      <c r="T1636"/>
      <c r="U1636"/>
    </row>
    <row r="1637" spans="1:21" x14ac:dyDescent="0.2">
      <c r="A1637" s="73"/>
      <c r="B1637" s="73"/>
      <c r="C1637" s="74"/>
      <c r="D1637" s="75"/>
      <c r="E1637" s="85"/>
      <c r="F1637" s="161"/>
      <c r="G1637" s="76"/>
      <c r="H1637" s="87"/>
      <c r="I1637" s="75"/>
      <c r="J1637" s="75"/>
      <c r="K1637" s="75"/>
      <c r="L1637" s="88"/>
      <c r="M1637" s="77"/>
      <c r="N1637" s="77"/>
      <c r="O1637" s="78"/>
      <c r="S1637" s="148"/>
      <c r="T1637"/>
      <c r="U1637"/>
    </row>
    <row r="1638" spans="1:21" x14ac:dyDescent="0.2">
      <c r="A1638" s="73"/>
      <c r="B1638" s="73"/>
      <c r="C1638" s="74"/>
      <c r="D1638" s="75"/>
      <c r="E1638" s="85"/>
      <c r="F1638" s="161"/>
      <c r="G1638" s="76"/>
      <c r="H1638" s="87"/>
      <c r="I1638" s="75"/>
      <c r="J1638" s="75"/>
      <c r="K1638" s="75"/>
      <c r="L1638" s="88"/>
      <c r="M1638" s="77"/>
      <c r="N1638" s="77"/>
      <c r="O1638" s="78"/>
      <c r="S1638" s="148"/>
      <c r="T1638"/>
      <c r="U1638"/>
    </row>
    <row r="1639" spans="1:21" x14ac:dyDescent="0.2">
      <c r="A1639" s="73"/>
      <c r="B1639" s="73"/>
      <c r="C1639" s="74"/>
      <c r="D1639" s="75"/>
      <c r="E1639" s="85"/>
      <c r="F1639" s="161"/>
      <c r="G1639" s="76"/>
      <c r="H1639" s="87"/>
      <c r="I1639" s="75"/>
      <c r="J1639" s="75"/>
      <c r="K1639" s="75"/>
      <c r="L1639" s="88"/>
      <c r="M1639" s="77"/>
      <c r="N1639" s="77"/>
      <c r="O1639" s="78"/>
      <c r="S1639" s="148"/>
      <c r="T1639"/>
      <c r="U1639"/>
    </row>
    <row r="1640" spans="1:21" x14ac:dyDescent="0.2">
      <c r="A1640" s="73"/>
      <c r="B1640" s="73"/>
      <c r="C1640" s="74"/>
      <c r="D1640" s="75"/>
      <c r="E1640" s="85"/>
      <c r="F1640" s="161"/>
      <c r="G1640" s="76"/>
      <c r="H1640" s="87"/>
      <c r="I1640" s="75"/>
      <c r="J1640" s="75"/>
      <c r="K1640" s="75"/>
      <c r="L1640" s="88"/>
      <c r="M1640" s="77"/>
      <c r="N1640" s="77"/>
      <c r="O1640" s="78"/>
      <c r="S1640" s="148"/>
      <c r="T1640"/>
      <c r="U1640"/>
    </row>
    <row r="1641" spans="1:21" x14ac:dyDescent="0.2">
      <c r="A1641" s="73"/>
      <c r="B1641" s="73"/>
      <c r="C1641" s="74"/>
      <c r="D1641" s="75"/>
      <c r="E1641" s="85"/>
      <c r="F1641" s="161"/>
      <c r="G1641" s="76"/>
      <c r="H1641" s="87"/>
      <c r="I1641" s="75"/>
      <c r="J1641" s="75"/>
      <c r="K1641" s="75"/>
      <c r="L1641" s="88"/>
      <c r="M1641" s="77"/>
      <c r="N1641" s="77"/>
      <c r="O1641" s="78"/>
      <c r="S1641" s="148"/>
      <c r="T1641"/>
      <c r="U1641"/>
    </row>
    <row r="1642" spans="1:21" x14ac:dyDescent="0.2">
      <c r="A1642" s="73"/>
      <c r="B1642" s="73"/>
      <c r="C1642" s="74"/>
      <c r="D1642" s="75"/>
      <c r="E1642" s="85"/>
      <c r="F1642" s="161"/>
      <c r="G1642" s="76"/>
      <c r="H1642" s="87"/>
      <c r="I1642" s="75"/>
      <c r="J1642" s="75"/>
      <c r="K1642" s="75"/>
      <c r="L1642" s="88"/>
      <c r="M1642" s="77"/>
      <c r="N1642" s="77"/>
      <c r="O1642" s="78"/>
      <c r="S1642" s="148"/>
      <c r="T1642"/>
      <c r="U1642"/>
    </row>
    <row r="1643" spans="1:21" x14ac:dyDescent="0.2">
      <c r="A1643" s="73"/>
      <c r="B1643" s="73"/>
      <c r="C1643" s="74"/>
      <c r="D1643" s="75"/>
      <c r="E1643" s="85"/>
      <c r="F1643" s="161"/>
      <c r="G1643" s="76"/>
      <c r="H1643" s="87"/>
      <c r="I1643" s="75"/>
      <c r="J1643" s="75"/>
      <c r="K1643" s="75"/>
      <c r="L1643" s="88"/>
      <c r="M1643" s="77"/>
      <c r="N1643" s="77"/>
      <c r="O1643" s="78"/>
      <c r="S1643" s="148"/>
      <c r="T1643"/>
      <c r="U1643"/>
    </row>
    <row r="1644" spans="1:21" x14ac:dyDescent="0.2">
      <c r="A1644" s="73"/>
      <c r="B1644" s="73"/>
      <c r="C1644" s="74"/>
      <c r="D1644" s="75"/>
      <c r="E1644" s="85"/>
      <c r="F1644" s="161"/>
      <c r="G1644" s="76"/>
      <c r="H1644" s="87"/>
      <c r="I1644" s="75"/>
      <c r="J1644" s="75"/>
      <c r="K1644" s="75"/>
      <c r="L1644" s="88"/>
      <c r="M1644" s="77"/>
      <c r="N1644" s="77"/>
      <c r="O1644" s="78"/>
      <c r="S1644" s="148"/>
      <c r="T1644"/>
      <c r="U1644"/>
    </row>
    <row r="1645" spans="1:21" x14ac:dyDescent="0.2">
      <c r="A1645" s="73"/>
      <c r="B1645" s="73"/>
      <c r="C1645" s="74"/>
      <c r="D1645" s="75"/>
      <c r="E1645" s="85"/>
      <c r="F1645" s="161"/>
      <c r="G1645" s="76"/>
      <c r="H1645" s="87"/>
      <c r="I1645" s="75"/>
      <c r="J1645" s="75"/>
      <c r="K1645" s="75"/>
      <c r="L1645" s="88"/>
      <c r="M1645" s="77"/>
      <c r="N1645" s="77"/>
      <c r="O1645" s="78"/>
      <c r="S1645" s="148"/>
      <c r="T1645"/>
      <c r="U1645"/>
    </row>
    <row r="1646" spans="1:21" x14ac:dyDescent="0.2">
      <c r="A1646" s="73"/>
      <c r="B1646" s="73"/>
      <c r="C1646" s="74"/>
      <c r="D1646" s="75"/>
      <c r="E1646" s="85"/>
      <c r="F1646" s="161"/>
      <c r="G1646" s="76"/>
      <c r="H1646" s="87"/>
      <c r="I1646" s="75"/>
      <c r="J1646" s="75"/>
      <c r="K1646" s="75"/>
      <c r="L1646" s="88"/>
      <c r="M1646" s="77"/>
      <c r="N1646" s="77"/>
      <c r="O1646" s="78"/>
      <c r="S1646" s="148"/>
      <c r="T1646"/>
      <c r="U1646"/>
    </row>
    <row r="1647" spans="1:21" x14ac:dyDescent="0.2">
      <c r="A1647" s="73"/>
      <c r="B1647" s="73"/>
      <c r="C1647" s="74"/>
      <c r="D1647" s="75"/>
      <c r="E1647" s="85"/>
      <c r="F1647" s="161"/>
      <c r="G1647" s="76"/>
      <c r="H1647" s="87"/>
      <c r="I1647" s="75"/>
      <c r="J1647" s="75"/>
      <c r="K1647" s="75"/>
      <c r="L1647" s="88"/>
      <c r="M1647" s="77"/>
      <c r="N1647" s="77"/>
      <c r="O1647" s="78"/>
      <c r="S1647" s="148"/>
      <c r="T1647"/>
      <c r="U1647"/>
    </row>
    <row r="1648" spans="1:21" x14ac:dyDescent="0.2">
      <c r="A1648" s="73"/>
      <c r="B1648" s="73"/>
      <c r="C1648" s="74"/>
      <c r="D1648" s="75"/>
      <c r="E1648" s="85"/>
      <c r="F1648" s="161"/>
      <c r="G1648" s="76"/>
      <c r="H1648" s="87"/>
      <c r="I1648" s="75"/>
      <c r="J1648" s="75"/>
      <c r="K1648" s="75"/>
      <c r="L1648" s="88"/>
      <c r="M1648" s="77"/>
      <c r="N1648" s="77"/>
      <c r="O1648" s="78"/>
      <c r="S1648" s="148"/>
      <c r="T1648"/>
      <c r="U1648"/>
    </row>
    <row r="1649" spans="1:21" x14ac:dyDescent="0.2">
      <c r="A1649" s="73"/>
      <c r="B1649" s="73"/>
      <c r="C1649" s="74"/>
      <c r="D1649" s="75"/>
      <c r="E1649" s="85"/>
      <c r="F1649" s="161"/>
      <c r="G1649" s="76"/>
      <c r="H1649" s="87"/>
      <c r="I1649" s="75"/>
      <c r="J1649" s="75"/>
      <c r="K1649" s="75"/>
      <c r="L1649" s="88"/>
      <c r="M1649" s="77"/>
      <c r="N1649" s="77"/>
      <c r="O1649" s="78"/>
      <c r="S1649" s="148"/>
      <c r="T1649"/>
      <c r="U1649"/>
    </row>
    <row r="1650" spans="1:21" x14ac:dyDescent="0.2">
      <c r="A1650" s="73"/>
      <c r="B1650" s="73"/>
      <c r="C1650" s="74"/>
      <c r="D1650" s="75"/>
      <c r="E1650" s="85"/>
      <c r="F1650" s="161"/>
      <c r="G1650" s="76"/>
      <c r="H1650" s="87"/>
      <c r="I1650" s="75"/>
      <c r="J1650" s="75"/>
      <c r="K1650" s="75"/>
      <c r="L1650" s="88"/>
      <c r="M1650" s="77"/>
      <c r="N1650" s="77"/>
      <c r="O1650" s="78"/>
      <c r="S1650" s="148"/>
      <c r="T1650"/>
      <c r="U1650"/>
    </row>
    <row r="1651" spans="1:21" x14ac:dyDescent="0.2">
      <c r="A1651" s="73"/>
      <c r="B1651" s="73"/>
      <c r="C1651" s="74"/>
      <c r="D1651" s="75"/>
      <c r="E1651" s="85"/>
      <c r="F1651" s="161"/>
      <c r="G1651" s="76"/>
      <c r="H1651" s="87"/>
      <c r="I1651" s="75"/>
      <c r="J1651" s="75"/>
      <c r="K1651" s="75"/>
      <c r="L1651" s="88"/>
      <c r="M1651" s="77"/>
      <c r="N1651" s="77"/>
      <c r="O1651" s="78"/>
      <c r="S1651" s="148"/>
      <c r="T1651"/>
      <c r="U1651"/>
    </row>
    <row r="1652" spans="1:21" x14ac:dyDescent="0.2">
      <c r="A1652" s="73"/>
      <c r="B1652" s="73"/>
      <c r="C1652" s="74"/>
      <c r="D1652" s="75"/>
      <c r="E1652" s="85"/>
      <c r="F1652" s="161"/>
      <c r="G1652" s="76"/>
      <c r="H1652" s="87"/>
      <c r="I1652" s="75"/>
      <c r="J1652" s="75"/>
      <c r="K1652" s="75"/>
      <c r="L1652" s="88"/>
      <c r="M1652" s="77"/>
      <c r="N1652" s="77"/>
      <c r="O1652" s="78"/>
      <c r="S1652" s="148"/>
      <c r="T1652"/>
      <c r="U1652"/>
    </row>
    <row r="1653" spans="1:21" x14ac:dyDescent="0.2">
      <c r="A1653" s="73"/>
      <c r="B1653" s="73"/>
      <c r="C1653" s="74"/>
      <c r="D1653" s="75"/>
      <c r="E1653" s="85"/>
      <c r="F1653" s="161"/>
      <c r="G1653" s="76"/>
      <c r="H1653" s="87"/>
      <c r="I1653" s="75"/>
      <c r="J1653" s="75"/>
      <c r="K1653" s="75"/>
      <c r="L1653" s="88"/>
      <c r="M1653" s="77"/>
      <c r="N1653" s="77"/>
      <c r="O1653" s="78"/>
      <c r="S1653" s="148"/>
      <c r="T1653"/>
      <c r="U1653"/>
    </row>
    <row r="1654" spans="1:21" x14ac:dyDescent="0.2">
      <c r="A1654" s="73"/>
      <c r="B1654" s="73"/>
      <c r="C1654" s="74"/>
      <c r="D1654" s="75"/>
      <c r="E1654" s="85"/>
      <c r="F1654" s="161"/>
      <c r="G1654" s="76"/>
      <c r="H1654" s="87"/>
      <c r="I1654" s="75"/>
      <c r="J1654" s="75"/>
      <c r="K1654" s="75"/>
      <c r="L1654" s="88"/>
      <c r="M1654" s="77"/>
      <c r="N1654" s="77"/>
      <c r="O1654" s="78"/>
      <c r="S1654" s="148"/>
      <c r="T1654"/>
      <c r="U1654"/>
    </row>
    <row r="1655" spans="1:21" x14ac:dyDescent="0.2">
      <c r="A1655" s="73"/>
      <c r="B1655" s="73"/>
      <c r="C1655" s="74"/>
      <c r="D1655" s="75"/>
      <c r="E1655" s="85"/>
      <c r="F1655" s="161"/>
      <c r="G1655" s="76"/>
      <c r="H1655" s="87"/>
      <c r="I1655" s="75"/>
      <c r="J1655" s="75"/>
      <c r="K1655" s="75"/>
      <c r="L1655" s="88"/>
      <c r="M1655" s="77"/>
      <c r="N1655" s="77"/>
      <c r="O1655" s="78"/>
      <c r="S1655" s="148"/>
      <c r="T1655"/>
      <c r="U1655"/>
    </row>
    <row r="1656" spans="1:21" x14ac:dyDescent="0.2">
      <c r="A1656" s="73"/>
      <c r="B1656" s="73"/>
      <c r="C1656" s="74"/>
      <c r="D1656" s="75"/>
      <c r="E1656" s="85"/>
      <c r="F1656" s="161"/>
      <c r="G1656" s="76"/>
      <c r="H1656" s="87"/>
      <c r="I1656" s="75"/>
      <c r="J1656" s="75"/>
      <c r="K1656" s="75"/>
      <c r="L1656" s="88"/>
      <c r="M1656" s="77"/>
      <c r="N1656" s="77"/>
      <c r="O1656" s="78"/>
      <c r="S1656" s="148"/>
      <c r="T1656"/>
      <c r="U1656"/>
    </row>
    <row r="1657" spans="1:21" x14ac:dyDescent="0.2">
      <c r="A1657" s="73"/>
      <c r="B1657" s="73"/>
      <c r="C1657" s="74"/>
      <c r="D1657" s="75"/>
      <c r="E1657" s="85"/>
      <c r="F1657" s="161"/>
      <c r="G1657" s="76"/>
      <c r="H1657" s="87"/>
      <c r="I1657" s="75"/>
      <c r="J1657" s="75"/>
      <c r="K1657" s="75"/>
      <c r="L1657" s="88"/>
      <c r="M1657" s="77"/>
      <c r="N1657" s="77"/>
      <c r="O1657" s="78"/>
      <c r="S1657" s="148"/>
      <c r="T1657"/>
      <c r="U1657"/>
    </row>
    <row r="1658" spans="1:21" x14ac:dyDescent="0.2">
      <c r="A1658" s="73"/>
      <c r="B1658" s="73"/>
      <c r="C1658" s="74"/>
      <c r="D1658" s="75"/>
      <c r="E1658" s="85"/>
      <c r="F1658" s="161"/>
      <c r="G1658" s="76"/>
      <c r="H1658" s="87"/>
      <c r="I1658" s="75"/>
      <c r="J1658" s="75"/>
      <c r="K1658" s="75"/>
      <c r="L1658" s="88"/>
      <c r="M1658" s="77"/>
      <c r="N1658" s="77"/>
      <c r="O1658" s="78"/>
      <c r="S1658" s="148"/>
      <c r="T1658"/>
      <c r="U1658"/>
    </row>
    <row r="1659" spans="1:21" x14ac:dyDescent="0.2">
      <c r="A1659" s="73"/>
      <c r="B1659" s="73"/>
      <c r="C1659" s="74"/>
      <c r="D1659" s="75"/>
      <c r="E1659" s="85"/>
      <c r="F1659" s="161"/>
      <c r="G1659" s="76"/>
      <c r="H1659" s="87"/>
      <c r="I1659" s="75"/>
      <c r="J1659" s="75"/>
      <c r="K1659" s="75"/>
      <c r="L1659" s="88"/>
      <c r="M1659" s="77"/>
      <c r="N1659" s="77"/>
      <c r="O1659" s="78"/>
      <c r="S1659" s="148"/>
      <c r="T1659"/>
      <c r="U1659"/>
    </row>
    <row r="1660" spans="1:21" x14ac:dyDescent="0.2">
      <c r="A1660" s="73"/>
      <c r="B1660" s="73"/>
      <c r="C1660" s="74"/>
      <c r="D1660" s="75"/>
      <c r="E1660" s="85"/>
      <c r="F1660" s="161"/>
      <c r="G1660" s="76"/>
      <c r="H1660" s="87"/>
      <c r="I1660" s="75"/>
      <c r="J1660" s="75"/>
      <c r="K1660" s="75"/>
      <c r="L1660" s="88"/>
      <c r="M1660" s="77"/>
      <c r="N1660" s="77"/>
      <c r="O1660" s="78"/>
      <c r="S1660" s="148"/>
      <c r="T1660"/>
      <c r="U1660"/>
    </row>
    <row r="1661" spans="1:21" x14ac:dyDescent="0.2">
      <c r="A1661" s="73"/>
      <c r="B1661" s="73"/>
      <c r="C1661" s="74"/>
      <c r="D1661" s="75"/>
      <c r="E1661" s="85"/>
      <c r="F1661" s="161"/>
      <c r="G1661" s="76"/>
      <c r="H1661" s="87"/>
      <c r="I1661" s="75"/>
      <c r="J1661" s="75"/>
      <c r="K1661" s="75"/>
      <c r="L1661" s="88"/>
      <c r="M1661" s="77"/>
      <c r="N1661" s="77"/>
      <c r="O1661" s="78"/>
      <c r="S1661" s="148"/>
      <c r="T1661"/>
      <c r="U1661"/>
    </row>
    <row r="1662" spans="1:21" x14ac:dyDescent="0.2">
      <c r="A1662" s="73"/>
      <c r="B1662" s="73"/>
      <c r="C1662" s="74"/>
      <c r="D1662" s="75"/>
      <c r="E1662" s="85"/>
      <c r="F1662" s="161"/>
      <c r="G1662" s="76"/>
      <c r="H1662" s="87"/>
      <c r="I1662" s="75"/>
      <c r="J1662" s="75"/>
      <c r="K1662" s="75"/>
      <c r="L1662" s="88"/>
      <c r="M1662" s="77"/>
      <c r="N1662" s="77"/>
      <c r="O1662" s="78"/>
      <c r="S1662" s="148"/>
      <c r="T1662"/>
      <c r="U1662"/>
    </row>
    <row r="1663" spans="1:21" x14ac:dyDescent="0.2">
      <c r="A1663" s="73"/>
      <c r="B1663" s="73"/>
      <c r="C1663" s="74"/>
      <c r="D1663" s="75"/>
      <c r="E1663" s="85"/>
      <c r="F1663" s="161"/>
      <c r="G1663" s="76"/>
      <c r="H1663" s="87"/>
      <c r="I1663" s="75"/>
      <c r="J1663" s="75"/>
      <c r="K1663" s="75"/>
      <c r="L1663" s="88"/>
      <c r="M1663" s="77"/>
      <c r="N1663" s="77"/>
      <c r="O1663" s="78"/>
      <c r="S1663" s="148"/>
      <c r="T1663"/>
      <c r="U1663"/>
    </row>
    <row r="1664" spans="1:21" x14ac:dyDescent="0.2">
      <c r="A1664" s="73"/>
      <c r="B1664" s="73"/>
      <c r="C1664" s="74"/>
      <c r="D1664" s="75"/>
      <c r="E1664" s="85"/>
      <c r="F1664" s="161"/>
      <c r="G1664" s="76"/>
      <c r="H1664" s="87"/>
      <c r="I1664" s="75"/>
      <c r="J1664" s="75"/>
      <c r="K1664" s="75"/>
      <c r="L1664" s="88"/>
      <c r="M1664" s="77"/>
      <c r="N1664" s="77"/>
      <c r="O1664" s="78"/>
      <c r="S1664" s="148"/>
      <c r="T1664"/>
      <c r="U1664"/>
    </row>
    <row r="1665" spans="1:21" x14ac:dyDescent="0.2">
      <c r="A1665" s="73"/>
      <c r="B1665" s="73"/>
      <c r="C1665" s="74"/>
      <c r="D1665" s="75"/>
      <c r="E1665" s="85"/>
      <c r="F1665" s="161"/>
      <c r="G1665" s="76"/>
      <c r="H1665" s="87"/>
      <c r="I1665" s="75"/>
      <c r="J1665" s="75"/>
      <c r="K1665" s="75"/>
      <c r="L1665" s="88"/>
      <c r="M1665" s="77"/>
      <c r="N1665" s="77"/>
      <c r="O1665" s="78"/>
      <c r="S1665" s="148"/>
      <c r="T1665"/>
      <c r="U1665"/>
    </row>
    <row r="1666" spans="1:21" x14ac:dyDescent="0.2">
      <c r="A1666" s="73"/>
      <c r="B1666" s="73"/>
      <c r="C1666" s="74"/>
      <c r="D1666" s="75"/>
      <c r="E1666" s="85"/>
      <c r="F1666" s="161"/>
      <c r="G1666" s="76"/>
      <c r="H1666" s="87"/>
      <c r="I1666" s="75"/>
      <c r="J1666" s="75"/>
      <c r="K1666" s="75"/>
      <c r="L1666" s="88"/>
      <c r="M1666" s="77"/>
      <c r="N1666" s="77"/>
      <c r="O1666" s="78"/>
      <c r="S1666" s="148"/>
      <c r="T1666"/>
      <c r="U1666"/>
    </row>
    <row r="1667" spans="1:21" x14ac:dyDescent="0.2">
      <c r="A1667" s="73"/>
      <c r="B1667" s="73"/>
      <c r="C1667" s="74"/>
      <c r="D1667" s="75"/>
      <c r="E1667" s="85"/>
      <c r="F1667" s="161"/>
      <c r="G1667" s="76"/>
      <c r="H1667" s="87"/>
      <c r="I1667" s="75"/>
      <c r="J1667" s="75"/>
      <c r="K1667" s="75"/>
      <c r="L1667" s="88"/>
      <c r="M1667" s="77"/>
      <c r="N1667" s="77"/>
      <c r="O1667" s="78"/>
      <c r="S1667" s="148"/>
      <c r="T1667"/>
      <c r="U1667"/>
    </row>
    <row r="1668" spans="1:21" x14ac:dyDescent="0.2">
      <c r="A1668" s="73"/>
      <c r="B1668" s="73"/>
      <c r="C1668" s="74"/>
      <c r="D1668" s="75"/>
      <c r="E1668" s="85"/>
      <c r="F1668" s="161"/>
      <c r="G1668" s="76"/>
      <c r="H1668" s="87"/>
      <c r="I1668" s="75"/>
      <c r="J1668" s="75"/>
      <c r="K1668" s="75"/>
      <c r="L1668" s="88"/>
      <c r="M1668" s="77"/>
      <c r="N1668" s="77"/>
      <c r="O1668" s="78"/>
      <c r="S1668" s="148"/>
      <c r="T1668"/>
      <c r="U1668"/>
    </row>
    <row r="1669" spans="1:21" x14ac:dyDescent="0.2">
      <c r="A1669" s="73"/>
      <c r="B1669" s="73"/>
      <c r="C1669" s="74"/>
      <c r="D1669" s="75"/>
      <c r="E1669" s="85"/>
      <c r="F1669" s="161"/>
      <c r="G1669" s="76"/>
      <c r="H1669" s="87"/>
      <c r="I1669" s="75"/>
      <c r="J1669" s="75"/>
      <c r="K1669" s="75"/>
      <c r="L1669" s="88"/>
      <c r="M1669" s="77"/>
      <c r="N1669" s="77"/>
      <c r="O1669" s="78"/>
      <c r="S1669" s="148"/>
      <c r="T1669"/>
      <c r="U1669"/>
    </row>
    <row r="1670" spans="1:21" x14ac:dyDescent="0.2">
      <c r="A1670" s="73"/>
      <c r="B1670" s="73"/>
      <c r="C1670" s="74"/>
      <c r="D1670" s="75"/>
      <c r="E1670" s="85"/>
      <c r="F1670" s="161"/>
      <c r="G1670" s="76"/>
      <c r="H1670" s="87"/>
      <c r="I1670" s="75"/>
      <c r="J1670" s="75"/>
      <c r="K1670" s="75"/>
      <c r="L1670" s="88"/>
      <c r="M1670" s="77"/>
      <c r="N1670" s="77"/>
      <c r="O1670" s="78"/>
      <c r="S1670" s="148"/>
      <c r="T1670"/>
      <c r="U1670"/>
    </row>
    <row r="1671" spans="1:21" x14ac:dyDescent="0.2">
      <c r="A1671" s="73"/>
      <c r="B1671" s="73"/>
      <c r="C1671" s="74"/>
      <c r="D1671" s="75"/>
      <c r="E1671" s="85"/>
      <c r="F1671" s="161"/>
      <c r="G1671" s="76"/>
      <c r="H1671" s="87"/>
      <c r="I1671" s="75"/>
      <c r="J1671" s="75"/>
      <c r="K1671" s="75"/>
      <c r="L1671" s="88"/>
      <c r="M1671" s="77"/>
      <c r="N1671" s="77"/>
      <c r="O1671" s="78"/>
      <c r="S1671" s="148"/>
      <c r="T1671"/>
      <c r="U1671"/>
    </row>
    <row r="1672" spans="1:21" x14ac:dyDescent="0.2">
      <c r="A1672" s="73"/>
      <c r="B1672" s="73"/>
      <c r="C1672" s="74"/>
      <c r="D1672" s="75"/>
      <c r="E1672" s="85"/>
      <c r="F1672" s="161"/>
      <c r="G1672" s="76"/>
      <c r="H1672" s="87"/>
      <c r="I1672" s="75"/>
      <c r="J1672" s="75"/>
      <c r="K1672" s="75"/>
      <c r="L1672" s="88"/>
      <c r="M1672" s="77"/>
      <c r="N1672" s="77"/>
      <c r="O1672" s="78"/>
      <c r="S1672" s="148"/>
      <c r="T1672"/>
      <c r="U1672"/>
    </row>
    <row r="1673" spans="1:21" x14ac:dyDescent="0.2">
      <c r="A1673" s="73"/>
      <c r="B1673" s="73"/>
      <c r="C1673" s="74"/>
      <c r="D1673" s="75"/>
      <c r="E1673" s="85"/>
      <c r="F1673" s="161"/>
      <c r="G1673" s="76"/>
      <c r="H1673" s="87"/>
      <c r="I1673" s="75"/>
      <c r="J1673" s="75"/>
      <c r="K1673" s="75"/>
      <c r="L1673" s="88"/>
      <c r="M1673" s="77"/>
      <c r="N1673" s="77"/>
      <c r="O1673" s="78"/>
      <c r="S1673" s="148"/>
      <c r="T1673"/>
      <c r="U1673"/>
    </row>
    <row r="1674" spans="1:21" x14ac:dyDescent="0.2">
      <c r="A1674" s="73"/>
      <c r="B1674" s="73"/>
      <c r="C1674" s="74"/>
      <c r="D1674" s="75"/>
      <c r="E1674" s="85"/>
      <c r="F1674" s="161"/>
      <c r="G1674" s="76"/>
      <c r="H1674" s="87"/>
      <c r="I1674" s="75"/>
      <c r="J1674" s="75"/>
      <c r="K1674" s="75"/>
      <c r="L1674" s="88"/>
      <c r="M1674" s="77"/>
      <c r="N1674" s="77"/>
      <c r="O1674" s="78"/>
      <c r="S1674" s="148"/>
      <c r="T1674"/>
      <c r="U1674"/>
    </row>
    <row r="1675" spans="1:21" x14ac:dyDescent="0.2">
      <c r="A1675" s="73"/>
      <c r="B1675" s="73"/>
      <c r="C1675" s="74"/>
      <c r="D1675" s="75"/>
      <c r="E1675" s="85"/>
      <c r="F1675" s="161"/>
      <c r="G1675" s="76"/>
      <c r="H1675" s="87"/>
      <c r="I1675" s="75"/>
      <c r="J1675" s="75"/>
      <c r="K1675" s="75"/>
      <c r="L1675" s="88"/>
      <c r="M1675" s="77"/>
      <c r="N1675" s="77"/>
      <c r="O1675" s="78"/>
      <c r="S1675" s="148"/>
      <c r="T1675"/>
      <c r="U1675"/>
    </row>
    <row r="1676" spans="1:21" x14ac:dyDescent="0.2">
      <c r="A1676" s="73"/>
      <c r="B1676" s="73"/>
      <c r="C1676" s="74"/>
      <c r="D1676" s="75"/>
      <c r="E1676" s="85"/>
      <c r="F1676" s="161"/>
      <c r="G1676" s="76"/>
      <c r="H1676" s="87"/>
      <c r="I1676" s="75"/>
      <c r="J1676" s="75"/>
      <c r="K1676" s="75"/>
      <c r="L1676" s="88"/>
      <c r="M1676" s="77"/>
      <c r="N1676" s="77"/>
      <c r="O1676" s="78"/>
      <c r="S1676" s="148"/>
      <c r="T1676"/>
      <c r="U1676"/>
    </row>
    <row r="1677" spans="1:21" x14ac:dyDescent="0.2">
      <c r="A1677" s="73"/>
      <c r="B1677" s="73"/>
      <c r="C1677" s="74"/>
      <c r="D1677" s="75"/>
      <c r="E1677" s="85"/>
      <c r="F1677" s="161"/>
      <c r="G1677" s="76"/>
      <c r="H1677" s="87"/>
      <c r="I1677" s="75"/>
      <c r="J1677" s="75"/>
      <c r="K1677" s="75"/>
      <c r="L1677" s="88"/>
      <c r="M1677" s="77"/>
      <c r="N1677" s="77"/>
      <c r="O1677" s="78"/>
      <c r="S1677" s="148"/>
      <c r="T1677"/>
      <c r="U1677"/>
    </row>
    <row r="1678" spans="1:21" x14ac:dyDescent="0.2">
      <c r="A1678" s="73"/>
      <c r="B1678" s="73"/>
      <c r="C1678" s="74"/>
      <c r="D1678" s="75"/>
      <c r="E1678" s="85"/>
      <c r="F1678" s="161"/>
      <c r="G1678" s="76"/>
      <c r="H1678" s="87"/>
      <c r="I1678" s="75"/>
      <c r="J1678" s="75"/>
      <c r="K1678" s="75"/>
      <c r="L1678" s="88"/>
      <c r="M1678" s="77"/>
      <c r="N1678" s="77"/>
      <c r="O1678" s="78"/>
      <c r="S1678" s="148"/>
      <c r="T1678"/>
      <c r="U1678"/>
    </row>
    <row r="1679" spans="1:21" x14ac:dyDescent="0.2">
      <c r="A1679" s="73"/>
      <c r="B1679" s="73"/>
      <c r="C1679" s="74"/>
      <c r="D1679" s="75"/>
      <c r="E1679" s="85"/>
      <c r="F1679" s="161"/>
      <c r="G1679" s="76"/>
      <c r="H1679" s="87"/>
      <c r="I1679" s="75"/>
      <c r="J1679" s="75"/>
      <c r="K1679" s="75"/>
      <c r="L1679" s="88"/>
      <c r="M1679" s="77"/>
      <c r="N1679" s="77"/>
      <c r="O1679" s="78"/>
      <c r="S1679" s="148"/>
      <c r="T1679"/>
      <c r="U1679"/>
    </row>
    <row r="1680" spans="1:21" x14ac:dyDescent="0.2">
      <c r="A1680" s="73"/>
      <c r="B1680" s="73"/>
      <c r="C1680" s="74"/>
      <c r="D1680" s="75"/>
      <c r="E1680" s="85"/>
      <c r="F1680" s="161"/>
      <c r="G1680" s="76"/>
      <c r="H1680" s="87"/>
      <c r="I1680" s="75"/>
      <c r="J1680" s="75"/>
      <c r="K1680" s="75"/>
      <c r="L1680" s="88"/>
      <c r="M1680" s="77"/>
      <c r="N1680" s="77"/>
      <c r="O1680" s="78"/>
      <c r="S1680" s="148"/>
      <c r="T1680"/>
      <c r="U1680"/>
    </row>
    <row r="1681" spans="1:21" x14ac:dyDescent="0.2">
      <c r="A1681" s="73"/>
      <c r="B1681" s="73"/>
      <c r="C1681" s="74"/>
      <c r="D1681" s="75"/>
      <c r="E1681" s="85"/>
      <c r="F1681" s="161"/>
      <c r="G1681" s="76"/>
      <c r="H1681" s="87"/>
      <c r="I1681" s="75"/>
      <c r="J1681" s="75"/>
      <c r="K1681" s="75"/>
      <c r="L1681" s="88"/>
      <c r="M1681" s="77"/>
      <c r="N1681" s="77"/>
      <c r="O1681" s="78"/>
      <c r="S1681" s="148"/>
      <c r="T1681"/>
      <c r="U1681"/>
    </row>
    <row r="1682" spans="1:21" x14ac:dyDescent="0.2">
      <c r="A1682" s="73"/>
      <c r="B1682" s="73"/>
      <c r="C1682" s="74"/>
      <c r="D1682" s="75"/>
      <c r="E1682" s="85"/>
      <c r="F1682" s="161"/>
      <c r="G1682" s="76"/>
      <c r="H1682" s="87"/>
      <c r="I1682" s="75"/>
      <c r="J1682" s="75"/>
      <c r="K1682" s="75"/>
      <c r="L1682" s="88"/>
      <c r="M1682" s="77"/>
      <c r="N1682" s="77"/>
      <c r="O1682" s="78"/>
      <c r="S1682" s="148"/>
      <c r="T1682"/>
      <c r="U1682"/>
    </row>
    <row r="1683" spans="1:21" x14ac:dyDescent="0.2">
      <c r="A1683" s="73"/>
      <c r="B1683" s="73"/>
      <c r="C1683" s="74"/>
      <c r="D1683" s="75"/>
      <c r="E1683" s="85"/>
      <c r="F1683" s="161"/>
      <c r="G1683" s="76"/>
      <c r="H1683" s="87"/>
      <c r="I1683" s="75"/>
      <c r="J1683" s="75"/>
      <c r="K1683" s="75"/>
      <c r="L1683" s="88"/>
      <c r="M1683" s="77"/>
      <c r="N1683" s="77"/>
      <c r="O1683" s="78"/>
      <c r="S1683" s="148"/>
      <c r="T1683"/>
      <c r="U1683"/>
    </row>
    <row r="1684" spans="1:21" x14ac:dyDescent="0.2">
      <c r="A1684" s="73"/>
      <c r="B1684" s="73"/>
      <c r="C1684" s="74"/>
      <c r="D1684" s="75"/>
      <c r="E1684" s="85"/>
      <c r="F1684" s="161"/>
      <c r="G1684" s="76"/>
      <c r="H1684" s="87"/>
      <c r="I1684" s="75"/>
      <c r="J1684" s="75"/>
      <c r="K1684" s="75"/>
      <c r="L1684" s="88"/>
      <c r="M1684" s="77"/>
      <c r="N1684" s="77"/>
      <c r="O1684" s="78"/>
      <c r="S1684" s="148"/>
      <c r="T1684"/>
      <c r="U1684"/>
    </row>
    <row r="1685" spans="1:21" x14ac:dyDescent="0.2">
      <c r="A1685" s="73"/>
      <c r="B1685" s="73"/>
      <c r="C1685" s="74"/>
      <c r="D1685" s="75"/>
      <c r="E1685" s="85"/>
      <c r="F1685" s="161"/>
      <c r="G1685" s="76"/>
      <c r="H1685" s="87"/>
      <c r="I1685" s="75"/>
      <c r="J1685" s="75"/>
      <c r="K1685" s="75"/>
      <c r="L1685" s="88"/>
      <c r="M1685" s="77"/>
      <c r="N1685" s="77"/>
      <c r="O1685" s="78"/>
      <c r="S1685" s="148"/>
      <c r="T1685"/>
      <c r="U1685"/>
    </row>
    <row r="1686" spans="1:21" x14ac:dyDescent="0.2">
      <c r="A1686" s="73"/>
      <c r="B1686" s="73"/>
      <c r="C1686" s="74"/>
      <c r="D1686" s="75"/>
      <c r="E1686" s="85"/>
      <c r="F1686" s="161"/>
      <c r="G1686" s="76"/>
      <c r="H1686" s="87"/>
      <c r="I1686" s="75"/>
      <c r="J1686" s="75"/>
      <c r="K1686" s="75"/>
      <c r="L1686" s="88"/>
      <c r="M1686" s="77"/>
      <c r="N1686" s="77"/>
      <c r="O1686" s="78"/>
      <c r="S1686" s="148"/>
      <c r="T1686"/>
      <c r="U1686"/>
    </row>
    <row r="1687" spans="1:21" x14ac:dyDescent="0.2">
      <c r="A1687" s="73"/>
      <c r="B1687" s="73"/>
      <c r="C1687" s="74"/>
      <c r="D1687" s="75"/>
      <c r="E1687" s="85"/>
      <c r="F1687" s="161"/>
      <c r="G1687" s="76"/>
      <c r="H1687" s="87"/>
      <c r="I1687" s="75"/>
      <c r="J1687" s="75"/>
      <c r="K1687" s="75"/>
      <c r="L1687" s="88"/>
      <c r="M1687" s="77"/>
      <c r="N1687" s="77"/>
      <c r="O1687" s="78"/>
      <c r="S1687" s="148"/>
      <c r="T1687"/>
      <c r="U1687"/>
    </row>
    <row r="1688" spans="1:21" x14ac:dyDescent="0.2">
      <c r="A1688" s="73"/>
      <c r="B1688" s="73"/>
      <c r="C1688" s="74"/>
      <c r="D1688" s="75"/>
      <c r="E1688" s="85"/>
      <c r="F1688" s="161"/>
      <c r="G1688" s="76"/>
      <c r="H1688" s="87"/>
      <c r="I1688" s="75"/>
      <c r="J1688" s="75"/>
      <c r="K1688" s="75"/>
      <c r="L1688" s="88"/>
      <c r="M1688" s="77"/>
      <c r="N1688" s="77"/>
      <c r="O1688" s="78"/>
      <c r="S1688" s="148"/>
      <c r="T1688"/>
      <c r="U1688"/>
    </row>
    <row r="1689" spans="1:21" x14ac:dyDescent="0.2">
      <c r="A1689" s="73"/>
      <c r="B1689" s="73"/>
      <c r="C1689" s="74"/>
      <c r="D1689" s="75"/>
      <c r="E1689" s="85"/>
      <c r="F1689" s="161"/>
      <c r="G1689" s="76"/>
      <c r="H1689" s="87"/>
      <c r="I1689" s="75"/>
      <c r="J1689" s="75"/>
      <c r="K1689" s="75"/>
      <c r="L1689" s="88"/>
      <c r="M1689" s="77"/>
      <c r="N1689" s="77"/>
      <c r="O1689" s="78"/>
      <c r="S1689" s="148"/>
      <c r="T1689"/>
      <c r="U1689"/>
    </row>
    <row r="1690" spans="1:21" x14ac:dyDescent="0.2">
      <c r="A1690" s="73"/>
      <c r="B1690" s="73"/>
      <c r="C1690" s="74"/>
      <c r="D1690" s="75"/>
      <c r="E1690" s="85"/>
      <c r="F1690" s="161"/>
      <c r="G1690" s="76"/>
      <c r="H1690" s="87"/>
      <c r="I1690" s="75"/>
      <c r="J1690" s="75"/>
      <c r="K1690" s="75"/>
      <c r="L1690" s="88"/>
      <c r="M1690" s="77"/>
      <c r="N1690" s="77"/>
      <c r="O1690" s="78"/>
      <c r="S1690" s="148"/>
      <c r="T1690"/>
      <c r="U1690"/>
    </row>
    <row r="1691" spans="1:21" x14ac:dyDescent="0.2">
      <c r="A1691" s="73"/>
      <c r="B1691" s="73"/>
      <c r="C1691" s="74"/>
      <c r="D1691" s="75"/>
      <c r="E1691" s="85"/>
      <c r="F1691" s="161"/>
      <c r="G1691" s="76"/>
      <c r="H1691" s="87"/>
      <c r="I1691" s="75"/>
      <c r="J1691" s="75"/>
      <c r="K1691" s="75"/>
      <c r="L1691" s="88"/>
      <c r="M1691" s="77"/>
      <c r="N1691" s="77"/>
      <c r="O1691" s="78"/>
      <c r="S1691" s="148"/>
      <c r="T1691"/>
      <c r="U1691"/>
    </row>
    <row r="1692" spans="1:21" x14ac:dyDescent="0.2">
      <c r="A1692" s="73"/>
      <c r="B1692" s="73"/>
      <c r="C1692" s="74"/>
      <c r="D1692" s="75"/>
      <c r="E1692" s="85"/>
      <c r="F1692" s="161"/>
      <c r="G1692" s="76"/>
      <c r="H1692" s="87"/>
      <c r="I1692" s="75"/>
      <c r="J1692" s="75"/>
      <c r="K1692" s="75"/>
      <c r="L1692" s="88"/>
      <c r="M1692" s="77"/>
      <c r="N1692" s="77"/>
      <c r="O1692" s="78"/>
      <c r="S1692" s="148"/>
      <c r="T1692"/>
      <c r="U1692"/>
    </row>
    <row r="1693" spans="1:21" x14ac:dyDescent="0.2">
      <c r="A1693" s="73"/>
      <c r="B1693" s="73"/>
      <c r="C1693" s="74"/>
      <c r="D1693" s="75"/>
      <c r="E1693" s="85"/>
      <c r="F1693" s="161"/>
      <c r="G1693" s="76"/>
      <c r="H1693" s="87"/>
      <c r="I1693" s="75"/>
      <c r="J1693" s="75"/>
      <c r="K1693" s="75"/>
      <c r="L1693" s="88"/>
      <c r="M1693" s="77"/>
      <c r="N1693" s="77"/>
      <c r="O1693" s="78"/>
      <c r="S1693" s="148"/>
      <c r="T1693"/>
      <c r="U1693"/>
    </row>
    <row r="1694" spans="1:21" x14ac:dyDescent="0.2">
      <c r="A1694" s="73"/>
      <c r="B1694" s="73"/>
      <c r="C1694" s="74"/>
      <c r="D1694" s="75"/>
      <c r="E1694" s="85"/>
      <c r="F1694" s="161"/>
      <c r="G1694" s="76"/>
      <c r="H1694" s="87"/>
      <c r="I1694" s="75"/>
      <c r="J1694" s="75"/>
      <c r="K1694" s="75"/>
      <c r="L1694" s="88"/>
      <c r="M1694" s="77"/>
      <c r="N1694" s="77"/>
      <c r="O1694" s="78"/>
      <c r="S1694" s="148"/>
      <c r="T1694"/>
      <c r="U1694"/>
    </row>
    <row r="1695" spans="1:21" x14ac:dyDescent="0.2">
      <c r="A1695" s="73"/>
      <c r="B1695" s="73"/>
      <c r="C1695" s="74"/>
      <c r="D1695" s="75"/>
      <c r="E1695" s="85"/>
      <c r="F1695" s="161"/>
      <c r="G1695" s="76"/>
      <c r="H1695" s="87"/>
      <c r="I1695" s="75"/>
      <c r="J1695" s="75"/>
      <c r="K1695" s="75"/>
      <c r="L1695" s="88"/>
      <c r="M1695" s="77"/>
      <c r="N1695" s="77"/>
      <c r="O1695" s="78"/>
      <c r="S1695" s="148"/>
      <c r="T1695"/>
      <c r="U1695"/>
    </row>
    <row r="1696" spans="1:21" x14ac:dyDescent="0.2">
      <c r="A1696" s="73"/>
      <c r="B1696" s="73"/>
      <c r="C1696" s="74"/>
      <c r="D1696" s="75"/>
      <c r="E1696" s="85"/>
      <c r="F1696" s="161"/>
      <c r="G1696" s="76"/>
      <c r="H1696" s="87"/>
      <c r="I1696" s="75"/>
      <c r="J1696" s="75"/>
      <c r="K1696" s="75"/>
      <c r="L1696" s="88"/>
      <c r="M1696" s="77"/>
      <c r="N1696" s="77"/>
      <c r="O1696" s="78"/>
      <c r="S1696" s="148"/>
      <c r="T1696"/>
      <c r="U1696"/>
    </row>
    <row r="1697" spans="1:21" x14ac:dyDescent="0.2">
      <c r="A1697" s="73"/>
      <c r="B1697" s="73"/>
      <c r="C1697" s="74"/>
      <c r="D1697" s="75"/>
      <c r="E1697" s="85"/>
      <c r="F1697" s="161"/>
      <c r="G1697" s="76"/>
      <c r="H1697" s="87"/>
      <c r="I1697" s="75"/>
      <c r="J1697" s="75"/>
      <c r="K1697" s="75"/>
      <c r="L1697" s="88"/>
      <c r="M1697" s="77"/>
      <c r="N1697" s="77"/>
      <c r="O1697" s="78"/>
      <c r="S1697" s="148"/>
      <c r="T1697"/>
      <c r="U1697"/>
    </row>
    <row r="1698" spans="1:21" x14ac:dyDescent="0.2">
      <c r="A1698" s="73"/>
      <c r="B1698" s="73"/>
      <c r="C1698" s="74"/>
      <c r="D1698" s="75"/>
      <c r="E1698" s="85"/>
      <c r="F1698" s="161"/>
      <c r="G1698" s="76"/>
      <c r="H1698" s="87"/>
      <c r="I1698" s="75"/>
      <c r="J1698" s="75"/>
      <c r="K1698" s="75"/>
      <c r="L1698" s="88"/>
      <c r="M1698" s="77"/>
      <c r="N1698" s="77"/>
      <c r="O1698" s="78"/>
      <c r="S1698" s="148"/>
      <c r="T1698"/>
      <c r="U1698"/>
    </row>
    <row r="1699" spans="1:21" x14ac:dyDescent="0.2">
      <c r="A1699" s="73"/>
      <c r="B1699" s="73"/>
      <c r="C1699" s="74"/>
      <c r="D1699" s="75"/>
      <c r="E1699" s="85"/>
      <c r="F1699" s="161"/>
      <c r="G1699" s="76"/>
      <c r="H1699" s="87"/>
      <c r="I1699" s="75"/>
      <c r="J1699" s="75"/>
      <c r="K1699" s="75"/>
      <c r="L1699" s="88"/>
      <c r="M1699" s="77"/>
      <c r="N1699" s="77"/>
      <c r="O1699" s="78"/>
      <c r="S1699" s="148"/>
      <c r="T1699"/>
      <c r="U1699"/>
    </row>
    <row r="1700" spans="1:21" x14ac:dyDescent="0.2">
      <c r="A1700" s="73"/>
      <c r="B1700" s="73"/>
      <c r="C1700" s="74"/>
      <c r="D1700" s="75"/>
      <c r="E1700" s="85"/>
      <c r="F1700" s="161"/>
      <c r="G1700" s="76"/>
      <c r="H1700" s="87"/>
      <c r="I1700" s="75"/>
      <c r="J1700" s="75"/>
      <c r="K1700" s="75"/>
      <c r="L1700" s="88"/>
      <c r="M1700" s="77"/>
      <c r="N1700" s="77"/>
      <c r="O1700" s="78"/>
      <c r="S1700" s="148"/>
      <c r="T1700"/>
      <c r="U1700"/>
    </row>
    <row r="1701" spans="1:21" x14ac:dyDescent="0.2">
      <c r="A1701" s="73"/>
      <c r="B1701" s="73"/>
      <c r="C1701" s="74"/>
      <c r="D1701" s="75"/>
      <c r="E1701" s="85"/>
      <c r="F1701" s="161"/>
      <c r="G1701" s="76"/>
      <c r="H1701" s="87"/>
      <c r="I1701" s="75"/>
      <c r="J1701" s="75"/>
      <c r="K1701" s="75"/>
      <c r="L1701" s="88"/>
      <c r="M1701" s="77"/>
      <c r="N1701" s="77"/>
      <c r="O1701" s="78"/>
      <c r="S1701" s="148"/>
      <c r="T1701"/>
      <c r="U1701"/>
    </row>
    <row r="1702" spans="1:21" x14ac:dyDescent="0.2">
      <c r="A1702" s="73"/>
      <c r="B1702" s="73"/>
      <c r="C1702" s="74"/>
      <c r="D1702" s="75"/>
      <c r="E1702" s="85"/>
      <c r="F1702" s="161"/>
      <c r="G1702" s="76"/>
      <c r="H1702" s="87"/>
      <c r="I1702" s="75"/>
      <c r="J1702" s="75"/>
      <c r="K1702" s="75"/>
      <c r="L1702" s="88"/>
      <c r="M1702" s="77"/>
      <c r="N1702" s="77"/>
      <c r="O1702" s="78"/>
      <c r="S1702" s="148"/>
      <c r="T1702"/>
      <c r="U1702"/>
    </row>
    <row r="1703" spans="1:21" x14ac:dyDescent="0.2">
      <c r="A1703" s="73"/>
      <c r="B1703" s="73"/>
      <c r="C1703" s="74"/>
      <c r="D1703" s="75"/>
      <c r="E1703" s="85"/>
      <c r="F1703" s="161"/>
      <c r="G1703" s="76"/>
      <c r="H1703" s="87"/>
      <c r="I1703" s="75"/>
      <c r="J1703" s="75"/>
      <c r="K1703" s="75"/>
      <c r="L1703" s="88"/>
      <c r="M1703" s="77"/>
      <c r="N1703" s="77"/>
      <c r="O1703" s="78"/>
      <c r="S1703" s="148"/>
      <c r="T1703"/>
      <c r="U1703"/>
    </row>
    <row r="1704" spans="1:21" x14ac:dyDescent="0.2">
      <c r="A1704" s="73"/>
      <c r="B1704" s="73"/>
      <c r="C1704" s="74"/>
      <c r="D1704" s="75"/>
      <c r="E1704" s="85"/>
      <c r="F1704" s="161"/>
      <c r="G1704" s="76"/>
      <c r="H1704" s="87"/>
      <c r="I1704" s="75"/>
      <c r="J1704" s="75"/>
      <c r="K1704" s="75"/>
      <c r="L1704" s="88"/>
      <c r="M1704" s="77"/>
      <c r="N1704" s="77"/>
      <c r="O1704" s="78"/>
      <c r="S1704" s="148"/>
      <c r="T1704"/>
      <c r="U1704"/>
    </row>
    <row r="1705" spans="1:21" x14ac:dyDescent="0.2">
      <c r="A1705" s="73"/>
      <c r="B1705" s="73"/>
      <c r="C1705" s="74"/>
      <c r="D1705" s="75"/>
      <c r="E1705" s="85"/>
      <c r="F1705" s="161"/>
      <c r="G1705" s="76"/>
      <c r="H1705" s="87"/>
      <c r="I1705" s="75"/>
      <c r="J1705" s="75"/>
      <c r="K1705" s="75"/>
      <c r="L1705" s="88"/>
      <c r="M1705" s="77"/>
      <c r="N1705" s="77"/>
      <c r="O1705" s="78"/>
      <c r="S1705" s="148"/>
      <c r="T1705"/>
      <c r="U1705"/>
    </row>
    <row r="1706" spans="1:21" x14ac:dyDescent="0.2">
      <c r="A1706" s="73"/>
      <c r="B1706" s="73"/>
      <c r="C1706" s="74"/>
      <c r="D1706" s="75"/>
      <c r="E1706" s="85"/>
      <c r="F1706" s="161"/>
      <c r="G1706" s="76"/>
      <c r="H1706" s="87"/>
      <c r="I1706" s="75"/>
      <c r="J1706" s="75"/>
      <c r="K1706" s="75"/>
      <c r="L1706" s="88"/>
      <c r="M1706" s="77"/>
      <c r="N1706" s="77"/>
      <c r="O1706" s="78"/>
      <c r="S1706" s="148"/>
      <c r="T1706"/>
      <c r="U1706"/>
    </row>
    <row r="1707" spans="1:21" x14ac:dyDescent="0.2">
      <c r="A1707" s="73"/>
      <c r="B1707" s="73"/>
      <c r="C1707" s="74"/>
      <c r="D1707" s="75"/>
      <c r="E1707" s="85"/>
      <c r="F1707" s="161"/>
      <c r="G1707" s="76"/>
      <c r="H1707" s="87"/>
      <c r="I1707" s="75"/>
      <c r="J1707" s="75"/>
      <c r="K1707" s="75"/>
      <c r="L1707" s="88"/>
      <c r="M1707" s="77"/>
      <c r="N1707" s="77"/>
      <c r="O1707" s="78"/>
      <c r="S1707" s="148"/>
      <c r="T1707"/>
      <c r="U1707"/>
    </row>
    <row r="1708" spans="1:21" x14ac:dyDescent="0.2">
      <c r="A1708" s="73"/>
      <c r="B1708" s="73"/>
      <c r="C1708" s="74"/>
      <c r="D1708" s="75"/>
      <c r="E1708" s="85"/>
      <c r="F1708" s="161"/>
      <c r="G1708" s="76"/>
      <c r="H1708" s="87"/>
      <c r="I1708" s="75"/>
      <c r="J1708" s="75"/>
      <c r="K1708" s="75"/>
      <c r="L1708" s="88"/>
      <c r="M1708" s="77"/>
      <c r="N1708" s="77"/>
      <c r="O1708" s="78"/>
      <c r="S1708" s="148"/>
      <c r="T1708"/>
      <c r="U1708"/>
    </row>
    <row r="1709" spans="1:21" x14ac:dyDescent="0.2">
      <c r="A1709" s="73"/>
      <c r="B1709" s="73"/>
      <c r="C1709" s="74"/>
      <c r="D1709" s="75"/>
      <c r="E1709" s="85"/>
      <c r="F1709" s="161"/>
      <c r="G1709" s="76"/>
      <c r="H1709" s="87"/>
      <c r="I1709" s="75"/>
      <c r="J1709" s="75"/>
      <c r="K1709" s="75"/>
      <c r="L1709" s="88"/>
      <c r="M1709" s="77"/>
      <c r="N1709" s="77"/>
      <c r="O1709" s="78"/>
      <c r="S1709" s="148"/>
      <c r="T1709"/>
      <c r="U1709"/>
    </row>
    <row r="1710" spans="1:21" x14ac:dyDescent="0.2">
      <c r="A1710" s="73"/>
      <c r="B1710" s="73"/>
      <c r="C1710" s="74"/>
      <c r="D1710" s="75"/>
      <c r="E1710" s="85"/>
      <c r="F1710" s="161"/>
      <c r="G1710" s="76"/>
      <c r="H1710" s="87"/>
      <c r="I1710" s="75"/>
      <c r="J1710" s="75"/>
      <c r="K1710" s="75"/>
      <c r="L1710" s="88"/>
      <c r="M1710" s="77"/>
      <c r="N1710" s="77"/>
      <c r="O1710" s="78"/>
      <c r="S1710" s="148"/>
      <c r="T1710"/>
      <c r="U1710"/>
    </row>
    <row r="1711" spans="1:21" x14ac:dyDescent="0.2">
      <c r="A1711" s="73"/>
      <c r="B1711" s="73"/>
      <c r="C1711" s="74"/>
      <c r="D1711" s="75"/>
      <c r="E1711" s="85"/>
      <c r="F1711" s="161"/>
      <c r="G1711" s="76"/>
      <c r="H1711" s="87"/>
      <c r="I1711" s="75"/>
      <c r="J1711" s="75"/>
      <c r="K1711" s="75"/>
      <c r="L1711" s="88"/>
      <c r="M1711" s="77"/>
      <c r="N1711" s="77"/>
      <c r="O1711" s="78"/>
      <c r="S1711" s="148"/>
      <c r="T1711"/>
      <c r="U1711"/>
    </row>
    <row r="1712" spans="1:21" x14ac:dyDescent="0.2">
      <c r="A1712" s="73"/>
      <c r="B1712" s="73"/>
      <c r="C1712" s="74"/>
      <c r="D1712" s="75"/>
      <c r="E1712" s="85"/>
      <c r="F1712" s="161"/>
      <c r="G1712" s="76"/>
      <c r="H1712" s="87"/>
      <c r="I1712" s="75"/>
      <c r="J1712" s="75"/>
      <c r="K1712" s="75"/>
      <c r="L1712" s="88"/>
      <c r="M1712" s="77"/>
      <c r="N1712" s="77"/>
      <c r="O1712" s="78"/>
      <c r="S1712" s="148"/>
      <c r="T1712"/>
      <c r="U1712"/>
    </row>
    <row r="1713" spans="1:21" x14ac:dyDescent="0.2">
      <c r="A1713" s="73"/>
      <c r="B1713" s="73"/>
      <c r="C1713" s="74"/>
      <c r="D1713" s="75"/>
      <c r="E1713" s="85"/>
      <c r="F1713" s="161"/>
      <c r="G1713" s="76"/>
      <c r="H1713" s="87"/>
      <c r="I1713" s="75"/>
      <c r="J1713" s="75"/>
      <c r="K1713" s="75"/>
      <c r="L1713" s="88"/>
      <c r="M1713" s="77"/>
      <c r="N1713" s="77"/>
      <c r="O1713" s="78"/>
      <c r="S1713" s="148"/>
      <c r="T1713"/>
      <c r="U1713"/>
    </row>
    <row r="1714" spans="1:21" x14ac:dyDescent="0.2">
      <c r="A1714" s="73"/>
      <c r="B1714" s="73"/>
      <c r="C1714" s="74"/>
      <c r="D1714" s="75"/>
      <c r="E1714" s="85"/>
      <c r="F1714" s="161"/>
      <c r="G1714" s="76"/>
      <c r="H1714" s="87"/>
      <c r="I1714" s="75"/>
      <c r="J1714" s="75"/>
      <c r="K1714" s="75"/>
      <c r="L1714" s="88"/>
      <c r="M1714" s="77"/>
      <c r="N1714" s="77"/>
      <c r="O1714" s="78"/>
      <c r="S1714" s="148"/>
      <c r="T1714"/>
      <c r="U1714"/>
    </row>
    <row r="1715" spans="1:21" x14ac:dyDescent="0.2">
      <c r="A1715" s="73"/>
      <c r="B1715" s="73"/>
      <c r="C1715" s="74"/>
      <c r="D1715" s="75"/>
      <c r="E1715" s="85"/>
      <c r="F1715" s="161"/>
      <c r="G1715" s="76"/>
      <c r="H1715" s="87"/>
      <c r="I1715" s="75"/>
      <c r="J1715" s="75"/>
      <c r="K1715" s="75"/>
      <c r="L1715" s="88"/>
      <c r="M1715" s="77"/>
      <c r="N1715" s="77"/>
      <c r="O1715" s="78"/>
      <c r="S1715" s="148"/>
      <c r="T1715"/>
      <c r="U1715"/>
    </row>
    <row r="1716" spans="1:21" x14ac:dyDescent="0.2">
      <c r="A1716" s="73"/>
      <c r="B1716" s="73"/>
      <c r="C1716" s="74"/>
      <c r="D1716" s="75"/>
      <c r="E1716" s="85"/>
      <c r="F1716" s="161"/>
      <c r="G1716" s="76"/>
      <c r="H1716" s="87"/>
      <c r="I1716" s="75"/>
      <c r="J1716" s="75"/>
      <c r="K1716" s="75"/>
      <c r="L1716" s="88"/>
      <c r="M1716" s="77"/>
      <c r="N1716" s="77"/>
      <c r="O1716" s="78"/>
      <c r="S1716" s="148"/>
      <c r="T1716"/>
      <c r="U1716"/>
    </row>
    <row r="1717" spans="1:21" x14ac:dyDescent="0.2">
      <c r="A1717" s="73"/>
      <c r="B1717" s="73"/>
      <c r="C1717" s="74"/>
      <c r="D1717" s="75"/>
      <c r="E1717" s="85"/>
      <c r="F1717" s="161"/>
      <c r="G1717" s="76"/>
      <c r="H1717" s="87"/>
      <c r="I1717" s="75"/>
      <c r="J1717" s="75"/>
      <c r="K1717" s="75"/>
      <c r="L1717" s="88"/>
      <c r="M1717" s="77"/>
      <c r="N1717" s="77"/>
      <c r="O1717" s="78"/>
      <c r="S1717" s="148"/>
      <c r="T1717"/>
      <c r="U1717"/>
    </row>
    <row r="1718" spans="1:21" x14ac:dyDescent="0.2">
      <c r="A1718" s="73"/>
      <c r="B1718" s="73"/>
      <c r="C1718" s="74"/>
      <c r="D1718" s="75"/>
      <c r="E1718" s="85"/>
      <c r="F1718" s="161"/>
      <c r="G1718" s="76"/>
      <c r="H1718" s="87"/>
      <c r="I1718" s="75"/>
      <c r="J1718" s="75"/>
      <c r="K1718" s="75"/>
      <c r="L1718" s="88"/>
      <c r="M1718" s="77"/>
      <c r="N1718" s="77"/>
      <c r="O1718" s="78"/>
      <c r="S1718" s="148"/>
      <c r="T1718"/>
      <c r="U1718"/>
    </row>
    <row r="1719" spans="1:21" x14ac:dyDescent="0.2">
      <c r="A1719" s="73"/>
      <c r="B1719" s="73"/>
      <c r="C1719" s="74"/>
      <c r="D1719" s="75"/>
      <c r="E1719" s="85"/>
      <c r="F1719" s="161"/>
      <c r="G1719" s="76"/>
      <c r="H1719" s="87"/>
      <c r="I1719" s="75"/>
      <c r="J1719" s="75"/>
      <c r="K1719" s="75"/>
      <c r="L1719" s="88"/>
      <c r="M1719" s="77"/>
      <c r="N1719" s="77"/>
      <c r="O1719" s="78"/>
      <c r="S1719" s="148"/>
      <c r="T1719"/>
      <c r="U1719"/>
    </row>
    <row r="1720" spans="1:21" x14ac:dyDescent="0.2">
      <c r="A1720" s="73"/>
      <c r="B1720" s="73"/>
      <c r="C1720" s="74"/>
      <c r="D1720" s="75"/>
      <c r="E1720" s="85"/>
      <c r="F1720" s="161"/>
      <c r="G1720" s="76"/>
      <c r="H1720" s="87"/>
      <c r="I1720" s="75"/>
      <c r="J1720" s="75"/>
      <c r="K1720" s="75"/>
      <c r="L1720" s="88"/>
      <c r="M1720" s="77"/>
      <c r="N1720" s="77"/>
      <c r="O1720" s="78"/>
      <c r="S1720" s="148"/>
      <c r="T1720"/>
      <c r="U1720"/>
    </row>
    <row r="1721" spans="1:21" x14ac:dyDescent="0.2">
      <c r="A1721" s="73"/>
      <c r="B1721" s="73"/>
      <c r="C1721" s="74"/>
      <c r="D1721" s="75"/>
      <c r="E1721" s="85"/>
      <c r="F1721" s="161"/>
      <c r="G1721" s="76"/>
      <c r="H1721" s="87"/>
      <c r="I1721" s="75"/>
      <c r="J1721" s="75"/>
      <c r="K1721" s="75"/>
      <c r="L1721" s="88"/>
      <c r="M1721" s="77"/>
      <c r="N1721" s="77"/>
      <c r="O1721" s="78"/>
      <c r="S1721" s="148"/>
      <c r="T1721"/>
      <c r="U1721"/>
    </row>
    <row r="1722" spans="1:21" x14ac:dyDescent="0.2">
      <c r="A1722" s="73"/>
      <c r="B1722" s="73"/>
      <c r="C1722" s="74"/>
      <c r="D1722" s="75"/>
      <c r="E1722" s="85"/>
      <c r="F1722" s="161"/>
      <c r="G1722" s="76"/>
      <c r="H1722" s="87"/>
      <c r="I1722" s="75"/>
      <c r="J1722" s="75"/>
      <c r="K1722" s="75"/>
      <c r="L1722" s="88"/>
      <c r="M1722" s="77"/>
      <c r="N1722" s="77"/>
      <c r="O1722" s="78"/>
      <c r="S1722" s="148"/>
      <c r="T1722"/>
      <c r="U1722"/>
    </row>
    <row r="1723" spans="1:21" x14ac:dyDescent="0.2">
      <c r="A1723" s="73"/>
      <c r="B1723" s="73"/>
      <c r="C1723" s="74"/>
      <c r="D1723" s="75"/>
      <c r="E1723" s="85"/>
      <c r="F1723" s="161"/>
      <c r="G1723" s="76"/>
      <c r="H1723" s="87"/>
      <c r="I1723" s="75"/>
      <c r="J1723" s="75"/>
      <c r="K1723" s="75"/>
      <c r="L1723" s="88"/>
      <c r="M1723" s="77"/>
      <c r="N1723" s="77"/>
      <c r="O1723" s="78"/>
      <c r="S1723" s="148"/>
      <c r="T1723"/>
      <c r="U1723"/>
    </row>
    <row r="1724" spans="1:21" x14ac:dyDescent="0.2">
      <c r="A1724" s="73"/>
      <c r="B1724" s="73"/>
      <c r="C1724" s="74"/>
      <c r="D1724" s="75"/>
      <c r="E1724" s="85"/>
      <c r="F1724" s="161"/>
      <c r="G1724" s="76"/>
      <c r="H1724" s="87"/>
      <c r="I1724" s="75"/>
      <c r="J1724" s="75"/>
      <c r="K1724" s="75"/>
      <c r="L1724" s="88"/>
      <c r="M1724" s="77"/>
      <c r="N1724" s="77"/>
      <c r="O1724" s="78"/>
      <c r="S1724" s="148"/>
      <c r="T1724"/>
      <c r="U1724"/>
    </row>
    <row r="1725" spans="1:21" x14ac:dyDescent="0.2">
      <c r="A1725" s="73"/>
      <c r="B1725" s="73"/>
      <c r="C1725" s="74"/>
      <c r="D1725" s="75"/>
      <c r="E1725" s="85"/>
      <c r="F1725" s="161"/>
      <c r="G1725" s="76"/>
      <c r="H1725" s="87"/>
      <c r="I1725" s="75"/>
      <c r="J1725" s="75"/>
      <c r="K1725" s="75"/>
      <c r="L1725" s="88"/>
      <c r="M1725" s="77"/>
      <c r="N1725" s="77"/>
      <c r="O1725" s="78"/>
      <c r="S1725" s="148"/>
      <c r="T1725"/>
      <c r="U1725"/>
    </row>
    <row r="1726" spans="1:21" x14ac:dyDescent="0.2">
      <c r="A1726" s="73"/>
      <c r="B1726" s="73"/>
      <c r="C1726" s="74"/>
      <c r="D1726" s="75"/>
      <c r="E1726" s="85"/>
      <c r="F1726" s="161"/>
      <c r="G1726" s="76"/>
      <c r="H1726" s="87"/>
      <c r="I1726" s="75"/>
      <c r="J1726" s="75"/>
      <c r="K1726" s="75"/>
      <c r="L1726" s="88"/>
      <c r="M1726" s="77"/>
      <c r="N1726" s="77"/>
      <c r="O1726" s="78"/>
      <c r="S1726" s="148"/>
      <c r="T1726"/>
      <c r="U1726"/>
    </row>
    <row r="1727" spans="1:21" x14ac:dyDescent="0.2">
      <c r="A1727" s="73"/>
      <c r="B1727" s="73"/>
      <c r="C1727" s="74"/>
      <c r="D1727" s="75"/>
      <c r="E1727" s="85"/>
      <c r="F1727" s="161"/>
      <c r="G1727" s="76"/>
      <c r="H1727" s="87"/>
      <c r="I1727" s="75"/>
      <c r="J1727" s="75"/>
      <c r="K1727" s="75"/>
      <c r="L1727" s="88"/>
      <c r="M1727" s="77"/>
      <c r="N1727" s="77"/>
      <c r="O1727" s="78"/>
      <c r="S1727" s="148"/>
      <c r="T1727"/>
      <c r="U1727"/>
    </row>
    <row r="1728" spans="1:21" x14ac:dyDescent="0.2">
      <c r="A1728" s="73"/>
      <c r="B1728" s="73"/>
      <c r="C1728" s="74"/>
      <c r="D1728" s="75"/>
      <c r="E1728" s="85"/>
      <c r="F1728" s="161"/>
      <c r="G1728" s="76"/>
      <c r="H1728" s="87"/>
      <c r="I1728" s="75"/>
      <c r="J1728" s="75"/>
      <c r="K1728" s="75"/>
      <c r="L1728" s="88"/>
      <c r="M1728" s="77"/>
      <c r="N1728" s="77"/>
      <c r="O1728" s="78"/>
      <c r="S1728" s="148"/>
      <c r="T1728"/>
      <c r="U1728"/>
    </row>
    <row r="1729" spans="1:21" x14ac:dyDescent="0.2">
      <c r="A1729" s="73"/>
      <c r="B1729" s="73"/>
      <c r="C1729" s="74"/>
      <c r="D1729" s="75"/>
      <c r="E1729" s="85"/>
      <c r="F1729" s="161"/>
      <c r="G1729" s="76"/>
      <c r="H1729" s="87"/>
      <c r="I1729" s="75"/>
      <c r="J1729" s="75"/>
      <c r="K1729" s="75"/>
      <c r="L1729" s="88"/>
      <c r="M1729" s="77"/>
      <c r="N1729" s="77"/>
      <c r="O1729" s="78"/>
      <c r="S1729" s="148"/>
      <c r="T1729"/>
      <c r="U1729"/>
    </row>
    <row r="1730" spans="1:21" x14ac:dyDescent="0.2">
      <c r="A1730" s="73"/>
      <c r="B1730" s="73"/>
      <c r="C1730" s="74"/>
      <c r="D1730" s="75"/>
      <c r="E1730" s="85"/>
      <c r="F1730" s="161"/>
      <c r="G1730" s="76"/>
      <c r="H1730" s="87"/>
      <c r="I1730" s="75"/>
      <c r="J1730" s="75"/>
      <c r="K1730" s="75"/>
      <c r="L1730" s="88"/>
      <c r="M1730" s="77"/>
      <c r="N1730" s="77"/>
      <c r="O1730" s="78"/>
      <c r="S1730" s="148"/>
      <c r="T1730"/>
      <c r="U1730"/>
    </row>
    <row r="1731" spans="1:21" x14ac:dyDescent="0.2">
      <c r="A1731" s="73"/>
      <c r="B1731" s="73"/>
      <c r="C1731" s="74"/>
      <c r="D1731" s="75"/>
      <c r="E1731" s="85"/>
      <c r="F1731" s="161"/>
      <c r="G1731" s="76"/>
      <c r="H1731" s="87"/>
      <c r="I1731" s="75"/>
      <c r="J1731" s="75"/>
      <c r="K1731" s="75"/>
      <c r="L1731" s="88"/>
      <c r="M1731" s="77"/>
      <c r="N1731" s="77"/>
      <c r="O1731" s="78"/>
      <c r="S1731" s="148"/>
      <c r="T1731"/>
      <c r="U1731"/>
    </row>
    <row r="1732" spans="1:21" x14ac:dyDescent="0.2">
      <c r="A1732" s="73"/>
      <c r="B1732" s="73"/>
      <c r="C1732" s="74"/>
      <c r="D1732" s="75"/>
      <c r="E1732" s="85"/>
      <c r="F1732" s="161"/>
      <c r="G1732" s="76"/>
      <c r="H1732" s="87"/>
      <c r="I1732" s="75"/>
      <c r="J1732" s="75"/>
      <c r="K1732" s="75"/>
      <c r="L1732" s="88"/>
      <c r="M1732" s="77"/>
      <c r="N1732" s="77"/>
      <c r="O1732" s="78"/>
      <c r="S1732" s="148"/>
      <c r="T1732"/>
      <c r="U1732"/>
    </row>
    <row r="1733" spans="1:21" x14ac:dyDescent="0.2">
      <c r="A1733" s="73"/>
      <c r="B1733" s="73"/>
      <c r="C1733" s="74"/>
      <c r="D1733" s="75"/>
      <c r="E1733" s="85"/>
      <c r="F1733" s="161"/>
      <c r="G1733" s="76"/>
      <c r="H1733" s="87"/>
      <c r="I1733" s="75"/>
      <c r="J1733" s="75"/>
      <c r="K1733" s="75"/>
      <c r="L1733" s="88"/>
      <c r="M1733" s="77"/>
      <c r="N1733" s="77"/>
      <c r="O1733" s="78"/>
      <c r="S1733" s="148"/>
      <c r="T1733"/>
      <c r="U1733"/>
    </row>
    <row r="1734" spans="1:21" x14ac:dyDescent="0.2">
      <c r="A1734" s="73"/>
      <c r="B1734" s="73"/>
      <c r="C1734" s="74"/>
      <c r="D1734" s="75"/>
      <c r="E1734" s="85"/>
      <c r="F1734" s="161"/>
      <c r="G1734" s="76"/>
      <c r="H1734" s="87"/>
      <c r="I1734" s="75"/>
      <c r="J1734" s="75"/>
      <c r="K1734" s="75"/>
      <c r="L1734" s="88"/>
      <c r="M1734" s="77"/>
      <c r="N1734" s="77"/>
      <c r="O1734" s="78"/>
      <c r="S1734" s="148"/>
      <c r="T1734"/>
      <c r="U1734"/>
    </row>
    <row r="1735" spans="1:21" x14ac:dyDescent="0.2">
      <c r="A1735" s="73"/>
      <c r="B1735" s="73"/>
      <c r="C1735" s="74"/>
      <c r="D1735" s="75"/>
      <c r="E1735" s="85"/>
      <c r="F1735" s="161"/>
      <c r="G1735" s="76"/>
      <c r="H1735" s="87"/>
      <c r="I1735" s="75"/>
      <c r="J1735" s="75"/>
      <c r="K1735" s="75"/>
      <c r="L1735" s="88"/>
      <c r="M1735" s="77"/>
      <c r="N1735" s="77"/>
      <c r="O1735" s="78"/>
      <c r="S1735" s="148"/>
      <c r="T1735"/>
      <c r="U1735"/>
    </row>
    <row r="1736" spans="1:21" x14ac:dyDescent="0.2">
      <c r="A1736" s="73"/>
      <c r="B1736" s="73"/>
      <c r="C1736" s="74"/>
      <c r="D1736" s="75"/>
      <c r="E1736" s="85"/>
      <c r="F1736" s="161"/>
      <c r="G1736" s="76"/>
      <c r="H1736" s="87"/>
      <c r="I1736" s="75"/>
      <c r="J1736" s="75"/>
      <c r="K1736" s="75"/>
      <c r="L1736" s="88"/>
      <c r="M1736" s="77"/>
      <c r="N1736" s="77"/>
      <c r="O1736" s="78"/>
      <c r="S1736" s="148"/>
      <c r="T1736"/>
      <c r="U1736"/>
    </row>
    <row r="1737" spans="1:21" x14ac:dyDescent="0.2">
      <c r="A1737" s="73"/>
      <c r="B1737" s="73"/>
      <c r="C1737" s="74"/>
      <c r="D1737" s="75"/>
      <c r="E1737" s="85"/>
      <c r="F1737" s="161"/>
      <c r="G1737" s="76"/>
      <c r="H1737" s="87"/>
      <c r="I1737" s="75"/>
      <c r="J1737" s="75"/>
      <c r="K1737" s="75"/>
      <c r="L1737" s="88"/>
      <c r="M1737" s="77"/>
      <c r="N1737" s="77"/>
      <c r="O1737" s="78"/>
      <c r="S1737" s="148"/>
      <c r="T1737"/>
      <c r="U1737"/>
    </row>
    <row r="1738" spans="1:21" x14ac:dyDescent="0.2">
      <c r="A1738" s="73"/>
      <c r="B1738" s="73"/>
      <c r="C1738" s="74"/>
      <c r="D1738" s="75"/>
      <c r="E1738" s="85"/>
      <c r="F1738" s="161"/>
      <c r="G1738" s="76"/>
      <c r="H1738" s="87"/>
      <c r="I1738" s="75"/>
      <c r="J1738" s="75"/>
      <c r="K1738" s="75"/>
      <c r="L1738" s="88"/>
      <c r="M1738" s="77"/>
      <c r="N1738" s="77"/>
      <c r="O1738" s="78"/>
      <c r="S1738" s="148"/>
      <c r="T1738"/>
      <c r="U1738"/>
    </row>
    <row r="1739" spans="1:21" x14ac:dyDescent="0.2">
      <c r="A1739" s="73"/>
      <c r="B1739" s="73"/>
      <c r="C1739" s="74"/>
      <c r="D1739" s="75"/>
      <c r="E1739" s="85"/>
      <c r="F1739" s="161"/>
      <c r="G1739" s="76"/>
      <c r="H1739" s="87"/>
      <c r="I1739" s="75"/>
      <c r="J1739" s="75"/>
      <c r="K1739" s="75"/>
      <c r="L1739" s="88"/>
      <c r="M1739" s="77"/>
      <c r="N1739" s="77"/>
      <c r="O1739" s="78"/>
      <c r="S1739" s="148"/>
      <c r="T1739"/>
      <c r="U1739"/>
    </row>
    <row r="1740" spans="1:21" x14ac:dyDescent="0.2">
      <c r="A1740" s="73"/>
      <c r="B1740" s="73"/>
      <c r="C1740" s="74"/>
      <c r="D1740" s="75"/>
      <c r="E1740" s="85"/>
      <c r="F1740" s="161"/>
      <c r="G1740" s="76"/>
      <c r="H1740" s="87"/>
      <c r="I1740" s="75"/>
      <c r="J1740" s="75"/>
      <c r="K1740" s="75"/>
      <c r="L1740" s="88"/>
      <c r="M1740" s="77"/>
      <c r="N1740" s="77"/>
      <c r="O1740" s="78"/>
      <c r="S1740" s="148"/>
      <c r="T1740"/>
      <c r="U1740"/>
    </row>
    <row r="1741" spans="1:21" x14ac:dyDescent="0.2">
      <c r="A1741" s="73"/>
      <c r="B1741" s="73"/>
      <c r="C1741" s="74"/>
      <c r="D1741" s="75"/>
      <c r="E1741" s="85"/>
      <c r="F1741" s="161"/>
      <c r="G1741" s="76"/>
      <c r="H1741" s="87"/>
      <c r="I1741" s="75"/>
      <c r="J1741" s="75"/>
      <c r="K1741" s="75"/>
      <c r="L1741" s="88"/>
      <c r="M1741" s="77"/>
      <c r="N1741" s="77"/>
      <c r="O1741" s="78"/>
      <c r="S1741" s="148"/>
      <c r="T1741"/>
      <c r="U1741"/>
    </row>
    <row r="1742" spans="1:21" x14ac:dyDescent="0.2">
      <c r="A1742" s="73"/>
      <c r="B1742" s="73"/>
      <c r="C1742" s="74"/>
      <c r="D1742" s="75"/>
      <c r="E1742" s="85"/>
      <c r="F1742" s="161"/>
      <c r="G1742" s="76"/>
      <c r="H1742" s="87"/>
      <c r="I1742" s="75"/>
      <c r="J1742" s="75"/>
      <c r="K1742" s="75"/>
      <c r="L1742" s="88"/>
      <c r="M1742" s="77"/>
      <c r="N1742" s="77"/>
      <c r="O1742" s="78"/>
      <c r="S1742" s="148"/>
      <c r="T1742"/>
      <c r="U1742"/>
    </row>
    <row r="1743" spans="1:21" x14ac:dyDescent="0.2">
      <c r="A1743" s="73"/>
      <c r="B1743" s="73"/>
      <c r="C1743" s="74"/>
      <c r="D1743" s="75"/>
      <c r="E1743" s="85"/>
      <c r="F1743" s="161"/>
      <c r="G1743" s="76"/>
      <c r="H1743" s="87"/>
      <c r="I1743" s="75"/>
      <c r="J1743" s="75"/>
      <c r="K1743" s="75"/>
      <c r="L1743" s="88"/>
      <c r="M1743" s="77"/>
      <c r="N1743" s="77"/>
      <c r="O1743" s="78"/>
      <c r="S1743" s="148"/>
      <c r="T1743"/>
      <c r="U1743"/>
    </row>
    <row r="1744" spans="1:21" x14ac:dyDescent="0.2">
      <c r="A1744" s="73"/>
      <c r="B1744" s="73"/>
      <c r="C1744" s="74"/>
      <c r="D1744" s="75"/>
      <c r="E1744" s="85"/>
      <c r="F1744" s="161"/>
      <c r="G1744" s="76"/>
      <c r="H1744" s="87"/>
      <c r="I1744" s="75"/>
      <c r="J1744" s="75"/>
      <c r="K1744" s="75"/>
      <c r="L1744" s="88"/>
      <c r="M1744" s="77"/>
      <c r="N1744" s="77"/>
      <c r="O1744" s="78"/>
      <c r="S1744" s="148"/>
      <c r="T1744"/>
      <c r="U1744"/>
    </row>
    <row r="1745" spans="1:21" x14ac:dyDescent="0.2">
      <c r="A1745" s="73"/>
      <c r="B1745" s="73"/>
      <c r="C1745" s="74"/>
      <c r="D1745" s="75"/>
      <c r="E1745" s="85"/>
      <c r="F1745" s="161"/>
      <c r="G1745" s="76"/>
      <c r="H1745" s="87"/>
      <c r="I1745" s="75"/>
      <c r="J1745" s="75"/>
      <c r="K1745" s="75"/>
      <c r="L1745" s="88"/>
      <c r="M1745" s="77"/>
      <c r="N1745" s="77"/>
      <c r="O1745" s="78"/>
      <c r="S1745" s="148"/>
      <c r="T1745"/>
      <c r="U1745"/>
    </row>
    <row r="1746" spans="1:21" x14ac:dyDescent="0.2">
      <c r="A1746" s="73"/>
      <c r="B1746" s="73"/>
      <c r="C1746" s="74"/>
      <c r="D1746" s="75"/>
      <c r="E1746" s="85"/>
      <c r="F1746" s="161"/>
      <c r="G1746" s="76"/>
      <c r="H1746" s="87"/>
      <c r="I1746" s="75"/>
      <c r="J1746" s="75"/>
      <c r="K1746" s="75"/>
      <c r="L1746" s="88"/>
      <c r="M1746" s="77"/>
      <c r="N1746" s="77"/>
      <c r="O1746" s="78"/>
      <c r="S1746" s="148"/>
      <c r="T1746"/>
      <c r="U1746"/>
    </row>
    <row r="1747" spans="1:21" x14ac:dyDescent="0.2">
      <c r="A1747" s="73"/>
      <c r="B1747" s="73"/>
      <c r="C1747" s="74"/>
      <c r="D1747" s="75"/>
      <c r="E1747" s="85"/>
      <c r="F1747" s="161"/>
      <c r="G1747" s="76"/>
      <c r="H1747" s="87"/>
      <c r="I1747" s="75"/>
      <c r="J1747" s="75"/>
      <c r="K1747" s="75"/>
      <c r="L1747" s="88"/>
      <c r="M1747" s="77"/>
      <c r="N1747" s="77"/>
      <c r="O1747" s="78"/>
      <c r="S1747" s="148"/>
      <c r="T1747"/>
      <c r="U1747"/>
    </row>
    <row r="1748" spans="1:21" x14ac:dyDescent="0.2">
      <c r="A1748" s="73"/>
      <c r="B1748" s="73"/>
      <c r="C1748" s="74"/>
      <c r="D1748" s="75"/>
      <c r="E1748" s="85"/>
      <c r="F1748" s="161"/>
      <c r="G1748" s="76"/>
      <c r="H1748" s="87"/>
      <c r="I1748" s="75"/>
      <c r="J1748" s="75"/>
      <c r="K1748" s="75"/>
      <c r="L1748" s="88"/>
      <c r="M1748" s="77"/>
      <c r="N1748" s="77"/>
      <c r="O1748" s="78"/>
      <c r="S1748" s="148"/>
      <c r="T1748"/>
      <c r="U1748"/>
    </row>
    <row r="1749" spans="1:21" x14ac:dyDescent="0.2">
      <c r="A1749" s="73"/>
      <c r="B1749" s="73"/>
      <c r="C1749" s="74"/>
      <c r="D1749" s="75"/>
      <c r="E1749" s="85"/>
      <c r="F1749" s="161"/>
      <c r="G1749" s="76"/>
      <c r="H1749" s="87"/>
      <c r="I1749" s="75"/>
      <c r="J1749" s="75"/>
      <c r="K1749" s="75"/>
      <c r="L1749" s="88"/>
      <c r="M1749" s="77"/>
      <c r="N1749" s="77"/>
      <c r="O1749" s="78"/>
      <c r="S1749" s="148"/>
      <c r="T1749"/>
      <c r="U1749"/>
    </row>
    <row r="1750" spans="1:21" x14ac:dyDescent="0.2">
      <c r="A1750" s="73"/>
      <c r="B1750" s="73"/>
      <c r="C1750" s="74"/>
      <c r="D1750" s="75"/>
      <c r="E1750" s="85"/>
      <c r="F1750" s="161"/>
      <c r="G1750" s="76"/>
      <c r="H1750" s="87"/>
      <c r="I1750" s="75"/>
      <c r="J1750" s="75"/>
      <c r="K1750" s="75"/>
      <c r="L1750" s="88"/>
      <c r="M1750" s="77"/>
      <c r="N1750" s="77"/>
      <c r="O1750" s="78"/>
      <c r="S1750" s="148"/>
      <c r="T1750"/>
      <c r="U1750"/>
    </row>
    <row r="1751" spans="1:21" x14ac:dyDescent="0.2">
      <c r="A1751" s="73"/>
      <c r="B1751" s="73"/>
      <c r="C1751" s="74"/>
      <c r="D1751" s="75"/>
      <c r="E1751" s="85"/>
      <c r="F1751" s="161"/>
      <c r="G1751" s="76"/>
      <c r="H1751" s="87"/>
      <c r="I1751" s="75"/>
      <c r="J1751" s="75"/>
      <c r="K1751" s="75"/>
      <c r="L1751" s="88"/>
      <c r="M1751" s="77"/>
      <c r="N1751" s="77"/>
      <c r="O1751" s="78"/>
      <c r="S1751" s="148"/>
      <c r="T1751"/>
      <c r="U1751"/>
    </row>
    <row r="1752" spans="1:21" x14ac:dyDescent="0.2">
      <c r="A1752" s="73"/>
      <c r="B1752" s="73"/>
      <c r="C1752" s="74"/>
      <c r="D1752" s="75"/>
      <c r="E1752" s="85"/>
      <c r="F1752" s="161"/>
      <c r="G1752" s="76"/>
      <c r="H1752" s="87"/>
      <c r="I1752" s="75"/>
      <c r="J1752" s="75"/>
      <c r="K1752" s="75"/>
      <c r="L1752" s="88"/>
      <c r="M1752" s="77"/>
      <c r="N1752" s="77"/>
      <c r="O1752" s="78"/>
      <c r="S1752" s="148"/>
      <c r="T1752"/>
      <c r="U1752"/>
    </row>
    <row r="1753" spans="1:21" x14ac:dyDescent="0.2">
      <c r="A1753" s="73"/>
      <c r="B1753" s="73"/>
      <c r="C1753" s="74"/>
      <c r="D1753" s="75"/>
      <c r="E1753" s="85"/>
      <c r="F1753" s="161"/>
      <c r="G1753" s="76"/>
      <c r="H1753" s="87"/>
      <c r="I1753" s="75"/>
      <c r="J1753" s="75"/>
      <c r="K1753" s="75"/>
      <c r="L1753" s="88"/>
      <c r="M1753" s="77"/>
      <c r="N1753" s="77"/>
      <c r="O1753" s="78"/>
      <c r="S1753" s="148"/>
      <c r="T1753"/>
      <c r="U1753"/>
    </row>
    <row r="1754" spans="1:21" x14ac:dyDescent="0.2">
      <c r="A1754" s="73"/>
      <c r="B1754" s="73"/>
      <c r="C1754" s="74"/>
      <c r="D1754" s="75"/>
      <c r="E1754" s="85"/>
      <c r="F1754" s="161"/>
      <c r="G1754" s="76"/>
      <c r="H1754" s="87"/>
      <c r="I1754" s="75"/>
      <c r="J1754" s="75"/>
      <c r="K1754" s="75"/>
      <c r="L1754" s="88"/>
      <c r="M1754" s="77"/>
      <c r="N1754" s="77"/>
      <c r="O1754" s="78"/>
      <c r="S1754" s="148"/>
      <c r="T1754"/>
      <c r="U1754"/>
    </row>
    <row r="1755" spans="1:21" x14ac:dyDescent="0.2">
      <c r="A1755" s="73"/>
      <c r="B1755" s="73"/>
      <c r="C1755" s="74"/>
      <c r="D1755" s="75"/>
      <c r="E1755" s="85"/>
      <c r="F1755" s="161"/>
      <c r="G1755" s="76"/>
      <c r="H1755" s="87"/>
      <c r="I1755" s="75"/>
      <c r="J1755" s="75"/>
      <c r="K1755" s="75"/>
      <c r="L1755" s="88"/>
      <c r="M1755" s="77"/>
      <c r="N1755" s="77"/>
      <c r="O1755" s="78"/>
      <c r="S1755" s="148"/>
      <c r="T1755"/>
      <c r="U1755"/>
    </row>
    <row r="1756" spans="1:21" x14ac:dyDescent="0.2">
      <c r="A1756" s="73"/>
      <c r="B1756" s="73"/>
      <c r="C1756" s="74"/>
      <c r="D1756" s="75"/>
      <c r="E1756" s="85"/>
      <c r="F1756" s="161"/>
      <c r="G1756" s="76"/>
      <c r="H1756" s="87"/>
      <c r="I1756" s="75"/>
      <c r="J1756" s="75"/>
      <c r="K1756" s="75"/>
      <c r="L1756" s="88"/>
      <c r="M1756" s="77"/>
      <c r="N1756" s="77"/>
      <c r="O1756" s="78"/>
      <c r="S1756" s="148"/>
      <c r="T1756"/>
      <c r="U1756"/>
    </row>
    <row r="1757" spans="1:21" x14ac:dyDescent="0.2">
      <c r="A1757" s="73"/>
      <c r="B1757" s="73"/>
      <c r="C1757" s="74"/>
      <c r="D1757" s="75"/>
      <c r="E1757" s="85"/>
      <c r="F1757" s="161"/>
      <c r="G1757" s="76"/>
      <c r="H1757" s="87"/>
      <c r="I1757" s="75"/>
      <c r="J1757" s="75"/>
      <c r="K1757" s="75"/>
      <c r="L1757" s="88"/>
      <c r="M1757" s="77"/>
      <c r="N1757" s="77"/>
      <c r="O1757" s="78"/>
      <c r="S1757" s="148"/>
      <c r="T1757"/>
      <c r="U1757"/>
    </row>
    <row r="1758" spans="1:21" x14ac:dyDescent="0.2">
      <c r="A1758" s="73"/>
      <c r="B1758" s="73"/>
      <c r="C1758" s="74"/>
      <c r="D1758" s="75"/>
      <c r="E1758" s="85"/>
      <c r="F1758" s="161"/>
      <c r="G1758" s="76"/>
      <c r="H1758" s="87"/>
      <c r="I1758" s="75"/>
      <c r="J1758" s="75"/>
      <c r="K1758" s="75"/>
      <c r="L1758" s="88"/>
      <c r="M1758" s="77"/>
      <c r="N1758" s="77"/>
      <c r="O1758" s="78"/>
      <c r="S1758" s="148"/>
      <c r="T1758"/>
      <c r="U1758"/>
    </row>
    <row r="1759" spans="1:21" x14ac:dyDescent="0.2">
      <c r="A1759" s="73"/>
      <c r="B1759" s="73"/>
      <c r="C1759" s="74"/>
      <c r="D1759" s="75"/>
      <c r="E1759" s="85"/>
      <c r="F1759" s="161"/>
      <c r="G1759" s="76"/>
      <c r="H1759" s="87"/>
      <c r="I1759" s="75"/>
      <c r="J1759" s="75"/>
      <c r="K1759" s="75"/>
      <c r="L1759" s="88"/>
      <c r="M1759" s="77"/>
      <c r="N1759" s="77"/>
      <c r="O1759" s="78"/>
      <c r="S1759" s="148"/>
      <c r="T1759"/>
      <c r="U1759"/>
    </row>
    <row r="1760" spans="1:21" x14ac:dyDescent="0.2">
      <c r="A1760" s="73"/>
      <c r="B1760" s="73"/>
      <c r="C1760" s="74"/>
      <c r="D1760" s="75"/>
      <c r="E1760" s="85"/>
      <c r="F1760" s="161"/>
      <c r="G1760" s="76"/>
      <c r="H1760" s="87"/>
      <c r="I1760" s="75"/>
      <c r="J1760" s="75"/>
      <c r="K1760" s="75"/>
      <c r="L1760" s="88"/>
      <c r="M1760" s="77"/>
      <c r="N1760" s="77"/>
      <c r="O1760" s="78"/>
      <c r="S1760" s="148"/>
      <c r="T1760"/>
      <c r="U1760"/>
    </row>
    <row r="1761" spans="1:21" x14ac:dyDescent="0.2">
      <c r="A1761" s="73"/>
      <c r="B1761" s="73"/>
      <c r="C1761" s="74"/>
      <c r="D1761" s="75"/>
      <c r="E1761" s="85"/>
      <c r="F1761" s="161"/>
      <c r="G1761" s="76"/>
      <c r="H1761" s="87"/>
      <c r="I1761" s="75"/>
      <c r="J1761" s="75"/>
      <c r="K1761" s="75"/>
      <c r="L1761" s="88"/>
      <c r="M1761" s="77"/>
      <c r="N1761" s="77"/>
      <c r="O1761" s="78"/>
      <c r="S1761" s="148"/>
      <c r="T1761"/>
      <c r="U1761"/>
    </row>
    <row r="1762" spans="1:21" x14ac:dyDescent="0.2">
      <c r="A1762" s="73"/>
      <c r="B1762" s="73"/>
      <c r="C1762" s="74"/>
      <c r="D1762" s="75"/>
      <c r="E1762" s="85"/>
      <c r="F1762" s="161"/>
      <c r="G1762" s="76"/>
      <c r="H1762" s="87"/>
      <c r="I1762" s="75"/>
      <c r="J1762" s="75"/>
      <c r="K1762" s="75"/>
      <c r="L1762" s="88"/>
      <c r="M1762" s="77"/>
      <c r="N1762" s="77"/>
      <c r="O1762" s="78"/>
      <c r="S1762" s="148"/>
      <c r="T1762"/>
      <c r="U1762"/>
    </row>
    <row r="1763" spans="1:21" x14ac:dyDescent="0.2">
      <c r="A1763" s="73"/>
      <c r="B1763" s="73"/>
      <c r="C1763" s="74"/>
      <c r="D1763" s="75"/>
      <c r="E1763" s="85"/>
      <c r="F1763" s="161"/>
      <c r="G1763" s="76"/>
      <c r="H1763" s="87"/>
      <c r="I1763" s="75"/>
      <c r="J1763" s="75"/>
      <c r="K1763" s="75"/>
      <c r="L1763" s="88"/>
      <c r="M1763" s="77"/>
      <c r="N1763" s="77"/>
      <c r="O1763" s="78"/>
      <c r="S1763" s="148"/>
      <c r="T1763"/>
      <c r="U1763"/>
    </row>
    <row r="1764" spans="1:21" x14ac:dyDescent="0.2">
      <c r="A1764" s="73"/>
      <c r="B1764" s="73"/>
      <c r="C1764" s="74"/>
      <c r="D1764" s="75"/>
      <c r="E1764" s="85"/>
      <c r="F1764" s="161"/>
      <c r="G1764" s="76"/>
      <c r="H1764" s="87"/>
      <c r="I1764" s="75"/>
      <c r="J1764" s="75"/>
      <c r="K1764" s="75"/>
      <c r="L1764" s="88"/>
      <c r="M1764" s="77"/>
      <c r="N1764" s="77"/>
      <c r="O1764" s="78"/>
      <c r="S1764" s="148"/>
      <c r="T1764"/>
      <c r="U1764"/>
    </row>
    <row r="1765" spans="1:21" x14ac:dyDescent="0.2">
      <c r="A1765" s="73"/>
      <c r="B1765" s="73"/>
      <c r="C1765" s="74"/>
      <c r="D1765" s="75"/>
      <c r="E1765" s="85"/>
      <c r="F1765" s="161"/>
      <c r="G1765" s="76"/>
      <c r="H1765" s="87"/>
      <c r="I1765" s="75"/>
      <c r="J1765" s="75"/>
      <c r="K1765" s="75"/>
      <c r="L1765" s="88"/>
      <c r="M1765" s="77"/>
      <c r="N1765" s="77"/>
      <c r="O1765" s="78"/>
      <c r="S1765" s="148"/>
      <c r="T1765"/>
      <c r="U1765"/>
    </row>
    <row r="1766" spans="1:21" x14ac:dyDescent="0.2">
      <c r="A1766" s="73"/>
      <c r="B1766" s="73"/>
      <c r="C1766" s="74"/>
      <c r="D1766" s="75"/>
      <c r="E1766" s="85"/>
      <c r="F1766" s="161"/>
      <c r="G1766" s="76"/>
      <c r="H1766" s="87"/>
      <c r="I1766" s="75"/>
      <c r="J1766" s="75"/>
      <c r="K1766" s="75"/>
      <c r="L1766" s="88"/>
      <c r="M1766" s="77"/>
      <c r="N1766" s="77"/>
      <c r="O1766" s="78"/>
      <c r="S1766" s="148"/>
      <c r="T1766"/>
      <c r="U1766"/>
    </row>
    <row r="1767" spans="1:21" x14ac:dyDescent="0.2">
      <c r="A1767" s="73"/>
      <c r="B1767" s="73"/>
      <c r="C1767" s="74"/>
      <c r="D1767" s="75"/>
      <c r="E1767" s="85"/>
      <c r="F1767" s="161"/>
      <c r="G1767" s="76"/>
      <c r="H1767" s="87"/>
      <c r="I1767" s="75"/>
      <c r="J1767" s="75"/>
      <c r="K1767" s="75"/>
      <c r="L1767" s="88"/>
      <c r="M1767" s="77"/>
      <c r="N1767" s="77"/>
      <c r="O1767" s="78"/>
      <c r="S1767" s="148"/>
      <c r="T1767"/>
      <c r="U1767"/>
    </row>
    <row r="1768" spans="1:21" x14ac:dyDescent="0.2">
      <c r="A1768" s="73"/>
      <c r="B1768" s="73"/>
      <c r="C1768" s="74"/>
      <c r="D1768" s="75"/>
      <c r="E1768" s="85"/>
      <c r="F1768" s="161"/>
      <c r="G1768" s="76"/>
      <c r="H1768" s="87"/>
      <c r="I1768" s="75"/>
      <c r="J1768" s="75"/>
      <c r="K1768" s="75"/>
      <c r="L1768" s="88"/>
      <c r="M1768" s="77"/>
      <c r="N1768" s="77"/>
      <c r="O1768" s="78"/>
      <c r="S1768" s="148"/>
      <c r="T1768"/>
      <c r="U1768"/>
    </row>
    <row r="1769" spans="1:21" x14ac:dyDescent="0.2">
      <c r="A1769" s="73"/>
      <c r="B1769" s="73"/>
      <c r="C1769" s="74"/>
      <c r="D1769" s="75"/>
      <c r="E1769" s="85"/>
      <c r="F1769" s="161"/>
      <c r="G1769" s="76"/>
      <c r="H1769" s="87"/>
      <c r="I1769" s="75"/>
      <c r="J1769" s="75"/>
      <c r="K1769" s="75"/>
      <c r="L1769" s="88"/>
      <c r="M1769" s="77"/>
      <c r="N1769" s="77"/>
      <c r="O1769" s="78"/>
      <c r="S1769" s="148"/>
      <c r="T1769"/>
      <c r="U1769"/>
    </row>
    <row r="1770" spans="1:21" x14ac:dyDescent="0.2">
      <c r="A1770" s="73"/>
      <c r="B1770" s="73"/>
      <c r="C1770" s="74"/>
      <c r="D1770" s="75"/>
      <c r="E1770" s="85"/>
      <c r="F1770" s="161"/>
      <c r="G1770" s="76"/>
      <c r="H1770" s="87"/>
      <c r="I1770" s="75"/>
      <c r="J1770" s="75"/>
      <c r="K1770" s="75"/>
      <c r="L1770" s="88"/>
      <c r="M1770" s="77"/>
      <c r="N1770" s="77"/>
      <c r="O1770" s="78"/>
      <c r="S1770" s="148"/>
      <c r="T1770"/>
      <c r="U1770"/>
    </row>
    <row r="1771" spans="1:21" x14ac:dyDescent="0.2">
      <c r="A1771" s="73"/>
      <c r="B1771" s="73"/>
      <c r="C1771" s="74"/>
      <c r="D1771" s="75"/>
      <c r="E1771" s="85"/>
      <c r="F1771" s="161"/>
      <c r="G1771" s="76"/>
      <c r="H1771" s="87"/>
      <c r="I1771" s="75"/>
      <c r="J1771" s="75"/>
      <c r="K1771" s="75"/>
      <c r="L1771" s="88"/>
      <c r="M1771" s="77"/>
      <c r="N1771" s="77"/>
      <c r="O1771" s="78"/>
      <c r="S1771" s="148"/>
      <c r="T1771"/>
      <c r="U1771"/>
    </row>
    <row r="1772" spans="1:21" x14ac:dyDescent="0.2">
      <c r="A1772" s="73"/>
      <c r="B1772" s="73"/>
      <c r="C1772" s="74"/>
      <c r="D1772" s="75"/>
      <c r="E1772" s="85"/>
      <c r="F1772" s="161"/>
      <c r="G1772" s="76"/>
      <c r="H1772" s="87"/>
      <c r="I1772" s="75"/>
      <c r="J1772" s="75"/>
      <c r="K1772" s="75"/>
      <c r="L1772" s="88"/>
      <c r="M1772" s="77"/>
      <c r="N1772" s="77"/>
      <c r="O1772" s="78"/>
      <c r="S1772" s="148"/>
      <c r="T1772"/>
      <c r="U1772"/>
    </row>
    <row r="1773" spans="1:21" x14ac:dyDescent="0.2">
      <c r="A1773" s="73"/>
      <c r="B1773" s="73"/>
      <c r="C1773" s="74"/>
      <c r="D1773" s="75"/>
      <c r="E1773" s="85"/>
      <c r="F1773" s="161"/>
      <c r="G1773" s="76"/>
      <c r="H1773" s="87"/>
      <c r="I1773" s="75"/>
      <c r="J1773" s="75"/>
      <c r="K1773" s="75"/>
      <c r="L1773" s="88"/>
      <c r="M1773" s="77"/>
      <c r="N1773" s="77"/>
      <c r="O1773" s="78"/>
      <c r="S1773" s="148"/>
      <c r="T1773"/>
      <c r="U1773"/>
    </row>
    <row r="1774" spans="1:21" x14ac:dyDescent="0.2">
      <c r="A1774" s="73"/>
      <c r="B1774" s="73"/>
      <c r="C1774" s="74"/>
      <c r="D1774" s="75"/>
      <c r="E1774" s="85"/>
      <c r="F1774" s="161"/>
      <c r="G1774" s="76"/>
      <c r="H1774" s="87"/>
      <c r="I1774" s="75"/>
      <c r="J1774" s="75"/>
      <c r="K1774" s="75"/>
      <c r="L1774" s="88"/>
      <c r="M1774" s="77"/>
      <c r="N1774" s="77"/>
      <c r="O1774" s="78"/>
      <c r="S1774" s="148"/>
      <c r="T1774"/>
      <c r="U1774"/>
    </row>
    <row r="1775" spans="1:21" x14ac:dyDescent="0.2">
      <c r="A1775" s="73"/>
      <c r="B1775" s="73"/>
      <c r="C1775" s="74"/>
      <c r="D1775" s="75"/>
      <c r="E1775" s="85"/>
      <c r="F1775" s="161"/>
      <c r="G1775" s="76"/>
      <c r="H1775" s="87"/>
      <c r="I1775" s="75"/>
      <c r="J1775" s="75"/>
      <c r="K1775" s="75"/>
      <c r="L1775" s="88"/>
      <c r="M1775" s="77"/>
      <c r="N1775" s="77"/>
      <c r="O1775" s="78"/>
      <c r="S1775" s="148"/>
      <c r="T1775"/>
      <c r="U1775"/>
    </row>
    <row r="1776" spans="1:21" x14ac:dyDescent="0.2">
      <c r="A1776" s="73"/>
      <c r="B1776" s="73"/>
      <c r="C1776" s="74"/>
      <c r="D1776" s="75"/>
      <c r="E1776" s="85"/>
      <c r="F1776" s="161"/>
      <c r="G1776" s="76"/>
      <c r="H1776" s="87"/>
      <c r="I1776" s="75"/>
      <c r="J1776" s="75"/>
      <c r="K1776" s="75"/>
      <c r="L1776" s="88"/>
      <c r="M1776" s="77"/>
      <c r="N1776" s="77"/>
      <c r="O1776" s="78"/>
      <c r="S1776" s="148"/>
      <c r="T1776"/>
      <c r="U1776"/>
    </row>
    <row r="1777" spans="1:21" x14ac:dyDescent="0.2">
      <c r="A1777" s="73"/>
      <c r="B1777" s="73"/>
      <c r="C1777" s="74"/>
      <c r="D1777" s="75"/>
      <c r="E1777" s="85"/>
      <c r="F1777" s="161"/>
      <c r="G1777" s="76"/>
      <c r="H1777" s="87"/>
      <c r="I1777" s="75"/>
      <c r="J1777" s="75"/>
      <c r="K1777" s="75"/>
      <c r="L1777" s="88"/>
      <c r="M1777" s="77"/>
      <c r="N1777" s="77"/>
      <c r="O1777" s="78"/>
      <c r="S1777" s="148"/>
      <c r="T1777"/>
      <c r="U1777"/>
    </row>
    <row r="1778" spans="1:21" x14ac:dyDescent="0.2">
      <c r="A1778" s="73"/>
      <c r="B1778" s="73"/>
      <c r="C1778" s="74"/>
      <c r="D1778" s="75"/>
      <c r="E1778" s="85"/>
      <c r="F1778" s="161"/>
      <c r="G1778" s="76"/>
      <c r="H1778" s="87"/>
      <c r="I1778" s="75"/>
      <c r="J1778" s="75"/>
      <c r="K1778" s="75"/>
      <c r="L1778" s="88"/>
      <c r="M1778" s="77"/>
      <c r="N1778" s="77"/>
      <c r="O1778" s="78"/>
      <c r="S1778" s="148"/>
      <c r="T1778"/>
      <c r="U1778"/>
    </row>
    <row r="1779" spans="1:21" x14ac:dyDescent="0.2">
      <c r="A1779" s="73"/>
      <c r="B1779" s="73"/>
      <c r="C1779" s="74"/>
      <c r="D1779" s="75"/>
      <c r="E1779" s="85"/>
      <c r="F1779" s="161"/>
      <c r="G1779" s="76"/>
      <c r="H1779" s="87"/>
      <c r="I1779" s="75"/>
      <c r="J1779" s="75"/>
      <c r="K1779" s="75"/>
      <c r="L1779" s="88"/>
      <c r="M1779" s="77"/>
      <c r="N1779" s="77"/>
      <c r="O1779" s="78"/>
      <c r="S1779" s="148"/>
      <c r="T1779"/>
      <c r="U1779"/>
    </row>
    <row r="1780" spans="1:21" x14ac:dyDescent="0.2">
      <c r="A1780" s="73"/>
      <c r="B1780" s="73"/>
      <c r="C1780" s="74"/>
      <c r="D1780" s="75"/>
      <c r="E1780" s="85"/>
      <c r="F1780" s="161"/>
      <c r="G1780" s="76"/>
      <c r="H1780" s="87"/>
      <c r="I1780" s="75"/>
      <c r="J1780" s="75"/>
      <c r="K1780" s="75"/>
      <c r="L1780" s="88"/>
      <c r="M1780" s="77"/>
      <c r="N1780" s="77"/>
      <c r="O1780" s="78"/>
      <c r="S1780" s="148"/>
      <c r="T1780"/>
      <c r="U1780"/>
    </row>
    <row r="1781" spans="1:21" x14ac:dyDescent="0.2">
      <c r="A1781" s="73"/>
      <c r="B1781" s="73"/>
      <c r="C1781" s="74"/>
      <c r="D1781" s="75"/>
      <c r="E1781" s="85"/>
      <c r="F1781" s="161"/>
      <c r="G1781" s="76"/>
      <c r="H1781" s="87"/>
      <c r="I1781" s="75"/>
      <c r="J1781" s="75"/>
      <c r="K1781" s="75"/>
      <c r="L1781" s="88"/>
      <c r="M1781" s="77"/>
      <c r="N1781" s="77"/>
      <c r="O1781" s="78"/>
      <c r="S1781" s="148"/>
      <c r="T1781"/>
      <c r="U1781"/>
    </row>
    <row r="1782" spans="1:21" x14ac:dyDescent="0.2">
      <c r="A1782" s="73"/>
      <c r="B1782" s="73"/>
      <c r="C1782" s="74"/>
      <c r="D1782" s="75"/>
      <c r="E1782" s="85"/>
      <c r="F1782" s="161"/>
      <c r="G1782" s="76"/>
      <c r="H1782" s="87"/>
      <c r="I1782" s="75"/>
      <c r="J1782" s="75"/>
      <c r="K1782" s="75"/>
      <c r="L1782" s="88"/>
      <c r="M1782" s="77"/>
      <c r="N1782" s="77"/>
      <c r="O1782" s="78"/>
      <c r="S1782" s="148"/>
      <c r="T1782"/>
      <c r="U1782"/>
    </row>
    <row r="1783" spans="1:21" x14ac:dyDescent="0.2">
      <c r="A1783" s="73"/>
      <c r="B1783" s="73"/>
      <c r="C1783" s="74"/>
      <c r="D1783" s="75"/>
      <c r="E1783" s="85"/>
      <c r="F1783" s="161"/>
      <c r="G1783" s="76"/>
      <c r="H1783" s="87"/>
      <c r="I1783" s="75"/>
      <c r="J1783" s="75"/>
      <c r="K1783" s="75"/>
      <c r="L1783" s="88"/>
      <c r="M1783" s="77"/>
      <c r="N1783" s="77"/>
      <c r="O1783" s="78"/>
      <c r="S1783" s="148"/>
      <c r="T1783"/>
      <c r="U1783"/>
    </row>
    <row r="1784" spans="1:21" x14ac:dyDescent="0.2">
      <c r="A1784" s="73"/>
      <c r="B1784" s="73"/>
      <c r="C1784" s="74"/>
      <c r="D1784" s="75"/>
      <c r="E1784" s="85"/>
      <c r="F1784" s="161"/>
      <c r="G1784" s="76"/>
      <c r="H1784" s="87"/>
      <c r="I1784" s="75"/>
      <c r="J1784" s="75"/>
      <c r="K1784" s="75"/>
      <c r="L1784" s="88"/>
      <c r="M1784" s="77"/>
      <c r="N1784" s="77"/>
      <c r="O1784" s="78"/>
      <c r="S1784" s="148"/>
      <c r="T1784"/>
      <c r="U1784"/>
    </row>
    <row r="1785" spans="1:21" x14ac:dyDescent="0.2">
      <c r="A1785" s="73"/>
      <c r="B1785" s="73"/>
      <c r="C1785" s="74"/>
      <c r="D1785" s="75"/>
      <c r="E1785" s="85"/>
      <c r="F1785" s="161"/>
      <c r="G1785" s="76"/>
      <c r="H1785" s="87"/>
      <c r="I1785" s="75"/>
      <c r="J1785" s="75"/>
      <c r="K1785" s="75"/>
      <c r="L1785" s="88"/>
      <c r="M1785" s="77"/>
      <c r="N1785" s="77"/>
      <c r="O1785" s="78"/>
      <c r="S1785" s="148"/>
      <c r="T1785"/>
      <c r="U1785"/>
    </row>
    <row r="1786" spans="1:21" x14ac:dyDescent="0.2">
      <c r="A1786" s="73"/>
      <c r="B1786" s="73"/>
      <c r="C1786" s="74"/>
      <c r="D1786" s="75"/>
      <c r="E1786" s="85"/>
      <c r="F1786" s="161"/>
      <c r="G1786" s="76"/>
      <c r="H1786" s="87"/>
      <c r="I1786" s="75"/>
      <c r="J1786" s="75"/>
      <c r="K1786" s="75"/>
      <c r="L1786" s="88"/>
      <c r="M1786" s="77"/>
      <c r="N1786" s="77"/>
      <c r="O1786" s="78"/>
      <c r="S1786" s="148"/>
      <c r="T1786"/>
      <c r="U1786"/>
    </row>
    <row r="1787" spans="1:21" x14ac:dyDescent="0.2">
      <c r="A1787" s="73"/>
      <c r="B1787" s="73"/>
      <c r="C1787" s="74"/>
      <c r="D1787" s="75"/>
      <c r="E1787" s="85"/>
      <c r="F1787" s="161"/>
      <c r="G1787" s="76"/>
      <c r="H1787" s="87"/>
      <c r="I1787" s="75"/>
      <c r="J1787" s="75"/>
      <c r="K1787" s="75"/>
      <c r="L1787" s="88"/>
      <c r="M1787" s="77"/>
      <c r="N1787" s="77"/>
      <c r="O1787" s="78"/>
      <c r="S1787" s="148"/>
      <c r="T1787"/>
      <c r="U1787"/>
    </row>
    <row r="1788" spans="1:21" x14ac:dyDescent="0.2">
      <c r="A1788" s="73"/>
      <c r="B1788" s="73"/>
      <c r="C1788" s="74"/>
      <c r="D1788" s="75"/>
      <c r="E1788" s="85"/>
      <c r="F1788" s="161"/>
      <c r="G1788" s="76"/>
      <c r="H1788" s="87"/>
      <c r="I1788" s="75"/>
      <c r="J1788" s="75"/>
      <c r="K1788" s="75"/>
      <c r="L1788" s="88"/>
      <c r="M1788" s="77"/>
      <c r="N1788" s="77"/>
      <c r="O1788" s="78"/>
      <c r="S1788" s="148"/>
      <c r="T1788"/>
      <c r="U1788"/>
    </row>
    <row r="1789" spans="1:21" x14ac:dyDescent="0.2">
      <c r="A1789" s="73"/>
      <c r="B1789" s="73"/>
      <c r="C1789" s="74"/>
      <c r="D1789" s="75"/>
      <c r="E1789" s="85"/>
      <c r="F1789" s="161"/>
      <c r="G1789" s="76"/>
      <c r="H1789" s="87"/>
      <c r="I1789" s="75"/>
      <c r="J1789" s="75"/>
      <c r="K1789" s="75"/>
      <c r="L1789" s="88"/>
      <c r="M1789" s="77"/>
      <c r="N1789" s="77"/>
      <c r="O1789" s="78"/>
      <c r="S1789" s="148"/>
      <c r="T1789"/>
      <c r="U1789"/>
    </row>
    <row r="1790" spans="1:21" x14ac:dyDescent="0.2">
      <c r="A1790" s="73"/>
      <c r="B1790" s="73"/>
      <c r="C1790" s="74"/>
      <c r="D1790" s="75"/>
      <c r="E1790" s="85"/>
      <c r="F1790" s="161"/>
      <c r="G1790" s="76"/>
      <c r="H1790" s="87"/>
      <c r="I1790" s="75"/>
      <c r="J1790" s="75"/>
      <c r="K1790" s="75"/>
      <c r="L1790" s="88"/>
      <c r="M1790" s="77"/>
      <c r="N1790" s="77"/>
      <c r="O1790" s="78"/>
      <c r="S1790" s="148"/>
      <c r="T1790"/>
      <c r="U1790"/>
    </row>
    <row r="1791" spans="1:21" x14ac:dyDescent="0.2">
      <c r="A1791" s="73"/>
      <c r="B1791" s="73"/>
      <c r="C1791" s="74"/>
      <c r="D1791" s="75"/>
      <c r="E1791" s="85"/>
      <c r="F1791" s="161"/>
      <c r="G1791" s="76"/>
      <c r="H1791" s="87"/>
      <c r="I1791" s="75"/>
      <c r="J1791" s="75"/>
      <c r="K1791" s="75"/>
      <c r="L1791" s="88"/>
      <c r="M1791" s="77"/>
      <c r="N1791" s="77"/>
      <c r="O1791" s="78"/>
      <c r="S1791" s="148"/>
      <c r="T1791"/>
      <c r="U1791"/>
    </row>
    <row r="1792" spans="1:21" x14ac:dyDescent="0.2">
      <c r="A1792" s="73"/>
      <c r="B1792" s="73"/>
      <c r="C1792" s="74"/>
      <c r="D1792" s="75"/>
      <c r="E1792" s="85"/>
      <c r="F1792" s="161"/>
      <c r="G1792" s="76"/>
      <c r="H1792" s="87"/>
      <c r="I1792" s="75"/>
      <c r="J1792" s="75"/>
      <c r="K1792" s="75"/>
      <c r="L1792" s="88"/>
      <c r="M1792" s="77"/>
      <c r="N1792" s="77"/>
      <c r="O1792" s="78"/>
      <c r="S1792" s="148"/>
      <c r="T1792"/>
      <c r="U1792"/>
    </row>
    <row r="1793" spans="1:21" x14ac:dyDescent="0.2">
      <c r="A1793" s="73"/>
      <c r="B1793" s="73"/>
      <c r="C1793" s="74"/>
      <c r="D1793" s="75"/>
      <c r="E1793" s="85"/>
      <c r="F1793" s="161"/>
      <c r="G1793" s="76"/>
      <c r="H1793" s="87"/>
      <c r="I1793" s="75"/>
      <c r="J1793" s="75"/>
      <c r="K1793" s="75"/>
      <c r="L1793" s="88"/>
      <c r="M1793" s="77"/>
      <c r="N1793" s="77"/>
      <c r="O1793" s="78"/>
      <c r="S1793" s="148"/>
      <c r="T1793"/>
      <c r="U1793"/>
    </row>
    <row r="1794" spans="1:21" x14ac:dyDescent="0.2">
      <c r="A1794" s="73"/>
      <c r="B1794" s="73"/>
      <c r="C1794" s="74"/>
      <c r="D1794" s="75"/>
      <c r="E1794" s="85"/>
      <c r="F1794" s="161"/>
      <c r="G1794" s="76"/>
      <c r="H1794" s="87"/>
      <c r="I1794" s="75"/>
      <c r="J1794" s="75"/>
      <c r="K1794" s="75"/>
      <c r="L1794" s="88"/>
      <c r="M1794" s="77"/>
      <c r="N1794" s="77"/>
      <c r="O1794" s="78"/>
      <c r="S1794" s="148"/>
      <c r="T1794"/>
      <c r="U1794"/>
    </row>
    <row r="1795" spans="1:21" x14ac:dyDescent="0.2">
      <c r="A1795" s="73"/>
      <c r="B1795" s="73"/>
      <c r="C1795" s="74"/>
      <c r="D1795" s="75"/>
      <c r="E1795" s="85"/>
      <c r="F1795" s="161"/>
      <c r="G1795" s="76"/>
      <c r="H1795" s="87"/>
      <c r="I1795" s="75"/>
      <c r="J1795" s="75"/>
      <c r="K1795" s="75"/>
      <c r="L1795" s="88"/>
      <c r="M1795" s="77"/>
      <c r="N1795" s="77"/>
      <c r="O1795" s="78"/>
      <c r="S1795" s="148"/>
      <c r="T1795"/>
      <c r="U1795"/>
    </row>
    <row r="1796" spans="1:21" x14ac:dyDescent="0.2">
      <c r="A1796" s="73"/>
      <c r="B1796" s="73"/>
      <c r="C1796" s="74"/>
      <c r="D1796" s="75"/>
      <c r="E1796" s="85"/>
      <c r="F1796" s="161"/>
      <c r="G1796" s="76"/>
      <c r="H1796" s="87"/>
      <c r="I1796" s="75"/>
      <c r="J1796" s="75"/>
      <c r="K1796" s="75"/>
      <c r="L1796" s="88"/>
      <c r="M1796" s="77"/>
      <c r="N1796" s="77"/>
      <c r="O1796" s="78"/>
      <c r="S1796" s="148"/>
      <c r="T1796"/>
      <c r="U1796"/>
    </row>
    <row r="1797" spans="1:21" x14ac:dyDescent="0.2">
      <c r="A1797" s="73"/>
      <c r="B1797" s="73"/>
      <c r="C1797" s="74"/>
      <c r="D1797" s="75"/>
      <c r="E1797" s="85"/>
      <c r="F1797" s="161"/>
      <c r="G1797" s="76"/>
      <c r="H1797" s="87"/>
      <c r="I1797" s="75"/>
      <c r="J1797" s="75"/>
      <c r="K1797" s="75"/>
      <c r="L1797" s="88"/>
      <c r="M1797" s="77"/>
      <c r="N1797" s="77"/>
      <c r="O1797" s="78"/>
      <c r="S1797" s="148"/>
      <c r="T1797"/>
      <c r="U1797"/>
    </row>
    <row r="1798" spans="1:21" x14ac:dyDescent="0.2">
      <c r="A1798" s="73"/>
      <c r="B1798" s="73"/>
      <c r="C1798" s="74"/>
      <c r="D1798" s="75"/>
      <c r="E1798" s="85"/>
      <c r="F1798" s="161"/>
      <c r="G1798" s="76"/>
      <c r="H1798" s="87"/>
      <c r="I1798" s="75"/>
      <c r="J1798" s="75"/>
      <c r="K1798" s="75"/>
      <c r="L1798" s="88"/>
      <c r="M1798" s="77"/>
      <c r="N1798" s="77"/>
      <c r="O1798" s="78"/>
      <c r="S1798" s="148"/>
      <c r="T1798"/>
      <c r="U1798"/>
    </row>
    <row r="1799" spans="1:21" x14ac:dyDescent="0.2">
      <c r="A1799" s="73"/>
      <c r="B1799" s="73"/>
      <c r="C1799" s="74"/>
      <c r="D1799" s="75"/>
      <c r="E1799" s="85"/>
      <c r="F1799" s="161"/>
      <c r="G1799" s="76"/>
      <c r="H1799" s="87"/>
      <c r="I1799" s="75"/>
      <c r="J1799" s="75"/>
      <c r="K1799" s="75"/>
      <c r="L1799" s="88"/>
      <c r="M1799" s="77"/>
      <c r="N1799" s="77"/>
      <c r="O1799" s="78"/>
      <c r="S1799" s="148"/>
      <c r="T1799"/>
      <c r="U1799"/>
    </row>
    <row r="1800" spans="1:21" x14ac:dyDescent="0.2">
      <c r="A1800" s="73"/>
      <c r="B1800" s="73"/>
      <c r="C1800" s="74"/>
      <c r="D1800" s="75"/>
      <c r="E1800" s="85"/>
      <c r="F1800" s="161"/>
      <c r="G1800" s="76"/>
      <c r="H1800" s="87"/>
      <c r="I1800" s="75"/>
      <c r="J1800" s="75"/>
      <c r="K1800" s="75"/>
      <c r="L1800" s="88"/>
      <c r="M1800" s="77"/>
      <c r="N1800" s="77"/>
      <c r="O1800" s="78"/>
      <c r="S1800" s="148"/>
      <c r="T1800"/>
      <c r="U1800"/>
    </row>
    <row r="1801" spans="1:21" x14ac:dyDescent="0.2">
      <c r="A1801" s="73"/>
      <c r="B1801" s="73"/>
      <c r="C1801" s="74"/>
      <c r="D1801" s="75"/>
      <c r="E1801" s="85"/>
      <c r="F1801" s="161"/>
      <c r="G1801" s="76"/>
      <c r="H1801" s="87"/>
      <c r="I1801" s="75"/>
      <c r="J1801" s="75"/>
      <c r="K1801" s="75"/>
      <c r="L1801" s="88"/>
      <c r="M1801" s="77"/>
      <c r="N1801" s="77"/>
      <c r="O1801" s="78"/>
      <c r="S1801" s="148"/>
      <c r="T1801"/>
      <c r="U1801"/>
    </row>
    <row r="1802" spans="1:21" x14ac:dyDescent="0.2">
      <c r="A1802" s="73"/>
      <c r="B1802" s="73"/>
      <c r="C1802" s="74"/>
      <c r="D1802" s="75"/>
      <c r="E1802" s="85"/>
      <c r="F1802" s="161"/>
      <c r="G1802" s="76"/>
      <c r="H1802" s="87"/>
      <c r="I1802" s="75"/>
      <c r="J1802" s="75"/>
      <c r="K1802" s="75"/>
      <c r="L1802" s="88"/>
      <c r="M1802" s="77"/>
      <c r="N1802" s="77"/>
      <c r="O1802" s="78"/>
      <c r="S1802" s="148"/>
      <c r="T1802"/>
      <c r="U1802"/>
    </row>
    <row r="1803" spans="1:21" x14ac:dyDescent="0.2">
      <c r="A1803" s="73"/>
      <c r="B1803" s="73"/>
      <c r="C1803" s="74"/>
      <c r="D1803" s="75"/>
      <c r="E1803" s="85"/>
      <c r="F1803" s="161"/>
      <c r="G1803" s="76"/>
      <c r="H1803" s="87"/>
      <c r="I1803" s="75"/>
      <c r="J1803" s="75"/>
      <c r="K1803" s="75"/>
      <c r="L1803" s="88"/>
      <c r="M1803" s="77"/>
      <c r="N1803" s="77"/>
      <c r="O1803" s="78"/>
      <c r="S1803" s="148"/>
      <c r="T1803"/>
      <c r="U1803"/>
    </row>
    <row r="1804" spans="1:21" x14ac:dyDescent="0.2">
      <c r="A1804" s="73"/>
      <c r="B1804" s="73"/>
      <c r="C1804" s="74"/>
      <c r="D1804" s="75"/>
      <c r="E1804" s="85"/>
      <c r="F1804" s="161"/>
      <c r="G1804" s="76"/>
      <c r="H1804" s="87"/>
      <c r="I1804" s="75"/>
      <c r="J1804" s="75"/>
      <c r="K1804" s="75"/>
      <c r="L1804" s="88"/>
      <c r="M1804" s="77"/>
      <c r="N1804" s="77"/>
      <c r="O1804" s="78"/>
      <c r="S1804" s="148"/>
      <c r="T1804"/>
      <c r="U1804"/>
    </row>
    <row r="1805" spans="1:21" x14ac:dyDescent="0.2">
      <c r="A1805" s="73"/>
      <c r="B1805" s="73"/>
      <c r="C1805" s="74"/>
      <c r="D1805" s="75"/>
      <c r="E1805" s="85"/>
      <c r="F1805" s="161"/>
      <c r="G1805" s="76"/>
      <c r="H1805" s="87"/>
      <c r="I1805" s="75"/>
      <c r="J1805" s="75"/>
      <c r="K1805" s="75"/>
      <c r="L1805" s="88"/>
      <c r="M1805" s="77"/>
      <c r="N1805" s="77"/>
      <c r="O1805" s="78"/>
      <c r="S1805" s="148"/>
      <c r="T1805"/>
      <c r="U1805"/>
    </row>
    <row r="1806" spans="1:21" x14ac:dyDescent="0.2">
      <c r="A1806" s="73"/>
      <c r="B1806" s="73"/>
      <c r="C1806" s="74"/>
      <c r="D1806" s="75"/>
      <c r="E1806" s="85"/>
      <c r="F1806" s="161"/>
      <c r="G1806" s="76"/>
      <c r="H1806" s="87"/>
      <c r="I1806" s="75"/>
      <c r="J1806" s="75"/>
      <c r="K1806" s="75"/>
      <c r="L1806" s="88"/>
      <c r="M1806" s="77"/>
      <c r="N1806" s="77"/>
      <c r="O1806" s="78"/>
      <c r="S1806" s="148"/>
      <c r="T1806"/>
      <c r="U1806"/>
    </row>
    <row r="1807" spans="1:21" x14ac:dyDescent="0.2">
      <c r="A1807" s="73"/>
      <c r="B1807" s="73"/>
      <c r="C1807" s="74"/>
      <c r="D1807" s="75"/>
      <c r="E1807" s="85"/>
      <c r="F1807" s="161"/>
      <c r="G1807" s="76"/>
      <c r="H1807" s="87"/>
      <c r="I1807" s="75"/>
      <c r="J1807" s="75"/>
      <c r="K1807" s="75"/>
      <c r="L1807" s="88"/>
      <c r="M1807" s="77"/>
      <c r="N1807" s="77"/>
      <c r="O1807" s="78"/>
      <c r="S1807" s="148"/>
      <c r="T1807"/>
      <c r="U1807"/>
    </row>
    <row r="1808" spans="1:21" x14ac:dyDescent="0.2">
      <c r="A1808" s="73"/>
      <c r="B1808" s="73"/>
      <c r="C1808" s="74"/>
      <c r="D1808" s="75"/>
      <c r="E1808" s="85"/>
      <c r="F1808" s="161"/>
      <c r="G1808" s="76"/>
      <c r="H1808" s="87"/>
      <c r="I1808" s="75"/>
      <c r="J1808" s="75"/>
      <c r="K1808" s="75"/>
      <c r="L1808" s="88"/>
      <c r="M1808" s="77"/>
      <c r="N1808" s="77"/>
      <c r="O1808" s="78"/>
      <c r="S1808" s="148"/>
      <c r="T1808"/>
      <c r="U1808"/>
    </row>
    <row r="1809" spans="1:21" x14ac:dyDescent="0.2">
      <c r="A1809" s="73"/>
      <c r="B1809" s="73"/>
      <c r="C1809" s="74"/>
      <c r="D1809" s="75"/>
      <c r="E1809" s="85"/>
      <c r="F1809" s="161"/>
      <c r="G1809" s="76"/>
      <c r="H1809" s="87"/>
      <c r="I1809" s="75"/>
      <c r="J1809" s="75"/>
      <c r="K1809" s="75"/>
      <c r="L1809" s="88"/>
      <c r="M1809" s="77"/>
      <c r="N1809" s="77"/>
      <c r="O1809" s="78"/>
      <c r="S1809" s="148"/>
      <c r="T1809"/>
      <c r="U1809"/>
    </row>
    <row r="1810" spans="1:21" x14ac:dyDescent="0.2">
      <c r="A1810" s="73"/>
      <c r="B1810" s="73"/>
      <c r="C1810" s="74"/>
      <c r="D1810" s="75"/>
      <c r="E1810" s="85"/>
      <c r="F1810" s="161"/>
      <c r="G1810" s="76"/>
      <c r="H1810" s="87"/>
      <c r="I1810" s="75"/>
      <c r="J1810" s="75"/>
      <c r="K1810" s="75"/>
      <c r="L1810" s="88"/>
      <c r="M1810" s="77"/>
      <c r="N1810" s="77"/>
      <c r="O1810" s="78"/>
      <c r="S1810" s="148"/>
      <c r="T1810"/>
      <c r="U1810"/>
    </row>
    <row r="1811" spans="1:21" x14ac:dyDescent="0.2">
      <c r="A1811" s="73"/>
      <c r="B1811" s="73"/>
      <c r="C1811" s="74"/>
      <c r="D1811" s="75"/>
      <c r="E1811" s="85"/>
      <c r="F1811" s="161"/>
      <c r="G1811" s="76"/>
      <c r="H1811" s="87"/>
      <c r="I1811" s="75"/>
      <c r="J1811" s="75"/>
      <c r="K1811" s="75"/>
      <c r="L1811" s="88"/>
      <c r="M1811" s="77"/>
      <c r="N1811" s="77"/>
      <c r="O1811" s="78"/>
      <c r="S1811" s="148"/>
      <c r="T1811"/>
      <c r="U1811"/>
    </row>
    <row r="1812" spans="1:21" x14ac:dyDescent="0.2">
      <c r="A1812" s="73"/>
      <c r="B1812" s="73"/>
      <c r="C1812" s="74"/>
      <c r="D1812" s="75"/>
      <c r="E1812" s="85"/>
      <c r="F1812" s="161"/>
      <c r="G1812" s="76"/>
      <c r="H1812" s="87"/>
      <c r="I1812" s="75"/>
      <c r="J1812" s="75"/>
      <c r="K1812" s="75"/>
      <c r="L1812" s="88"/>
      <c r="M1812" s="77"/>
      <c r="N1812" s="77"/>
      <c r="O1812" s="78"/>
      <c r="S1812" s="148"/>
      <c r="T1812"/>
      <c r="U1812"/>
    </row>
    <row r="1813" spans="1:21" x14ac:dyDescent="0.2">
      <c r="A1813" s="73"/>
      <c r="B1813" s="73"/>
      <c r="C1813" s="74"/>
      <c r="D1813" s="75"/>
      <c r="E1813" s="85"/>
      <c r="F1813" s="161"/>
      <c r="G1813" s="76"/>
      <c r="H1813" s="87"/>
      <c r="I1813" s="75"/>
      <c r="J1813" s="75"/>
      <c r="K1813" s="75"/>
      <c r="L1813" s="88"/>
      <c r="M1813" s="77"/>
      <c r="N1813" s="77"/>
      <c r="O1813" s="78"/>
      <c r="S1813" s="148"/>
      <c r="T1813"/>
      <c r="U1813"/>
    </row>
    <row r="1814" spans="1:21" x14ac:dyDescent="0.2">
      <c r="A1814" s="73"/>
      <c r="B1814" s="73"/>
      <c r="C1814" s="74"/>
      <c r="D1814" s="75"/>
      <c r="E1814" s="85"/>
      <c r="F1814" s="161"/>
      <c r="G1814" s="76"/>
      <c r="H1814" s="87"/>
      <c r="I1814" s="75"/>
      <c r="J1814" s="75"/>
      <c r="K1814" s="75"/>
      <c r="L1814" s="88"/>
      <c r="M1814" s="77"/>
      <c r="N1814" s="77"/>
      <c r="O1814" s="78"/>
      <c r="S1814" s="148"/>
      <c r="T1814"/>
      <c r="U1814"/>
    </row>
    <row r="1815" spans="1:21" x14ac:dyDescent="0.2">
      <c r="A1815" s="73"/>
      <c r="B1815" s="73"/>
      <c r="C1815" s="74"/>
      <c r="D1815" s="75"/>
      <c r="E1815" s="85"/>
      <c r="F1815" s="161"/>
      <c r="G1815" s="76"/>
      <c r="H1815" s="87"/>
      <c r="I1815" s="75"/>
      <c r="J1815" s="75"/>
      <c r="K1815" s="75"/>
      <c r="L1815" s="88"/>
      <c r="M1815" s="77"/>
      <c r="N1815" s="77"/>
      <c r="O1815" s="78"/>
      <c r="S1815" s="148"/>
      <c r="T1815"/>
      <c r="U1815"/>
    </row>
    <row r="1816" spans="1:21" x14ac:dyDescent="0.2">
      <c r="A1816" s="73"/>
      <c r="B1816" s="73"/>
      <c r="C1816" s="74"/>
      <c r="D1816" s="75"/>
      <c r="E1816" s="85"/>
      <c r="F1816" s="161"/>
      <c r="G1816" s="76"/>
      <c r="H1816" s="87"/>
      <c r="I1816" s="75"/>
      <c r="J1816" s="75"/>
      <c r="K1816" s="75"/>
      <c r="L1816" s="88"/>
      <c r="M1816" s="77"/>
      <c r="N1816" s="77"/>
      <c r="O1816" s="78"/>
      <c r="S1816" s="148"/>
      <c r="T1816"/>
      <c r="U1816"/>
    </row>
    <row r="1817" spans="1:21" x14ac:dyDescent="0.2">
      <c r="A1817" s="73"/>
      <c r="B1817" s="73"/>
      <c r="C1817" s="74"/>
      <c r="D1817" s="75"/>
      <c r="E1817" s="85"/>
      <c r="F1817" s="161"/>
      <c r="G1817" s="76"/>
      <c r="H1817" s="87"/>
      <c r="I1817" s="75"/>
      <c r="J1817" s="75"/>
      <c r="K1817" s="75"/>
      <c r="L1817" s="88"/>
      <c r="M1817" s="77"/>
      <c r="N1817" s="77"/>
      <c r="O1817" s="78"/>
      <c r="S1817" s="148"/>
      <c r="T1817"/>
      <c r="U1817"/>
    </row>
    <row r="1818" spans="1:21" x14ac:dyDescent="0.2">
      <c r="A1818" s="73"/>
      <c r="B1818" s="73"/>
      <c r="C1818" s="74"/>
      <c r="D1818" s="75"/>
      <c r="E1818" s="85"/>
      <c r="F1818" s="161"/>
      <c r="G1818" s="76"/>
      <c r="H1818" s="87"/>
      <c r="I1818" s="75"/>
      <c r="J1818" s="75"/>
      <c r="K1818" s="75"/>
      <c r="L1818" s="88"/>
      <c r="M1818" s="77"/>
      <c r="N1818" s="77"/>
      <c r="O1818" s="78"/>
      <c r="S1818" s="148"/>
      <c r="T1818"/>
      <c r="U1818"/>
    </row>
    <row r="1819" spans="1:21" x14ac:dyDescent="0.2">
      <c r="A1819" s="73"/>
      <c r="B1819" s="73"/>
      <c r="C1819" s="74"/>
      <c r="D1819" s="75"/>
      <c r="E1819" s="85"/>
      <c r="F1819" s="161"/>
      <c r="G1819" s="76"/>
      <c r="H1819" s="87"/>
      <c r="I1819" s="75"/>
      <c r="J1819" s="75"/>
      <c r="K1819" s="75"/>
      <c r="L1819" s="88"/>
      <c r="M1819" s="77"/>
      <c r="N1819" s="77"/>
      <c r="O1819" s="78"/>
      <c r="S1819" s="148"/>
      <c r="T1819"/>
      <c r="U1819"/>
    </row>
    <row r="1820" spans="1:21" x14ac:dyDescent="0.2">
      <c r="A1820" s="73"/>
      <c r="B1820" s="73"/>
      <c r="C1820" s="74"/>
      <c r="D1820" s="75"/>
      <c r="E1820" s="85"/>
      <c r="F1820" s="161"/>
      <c r="G1820" s="76"/>
      <c r="H1820" s="87"/>
      <c r="I1820" s="75"/>
      <c r="J1820" s="75"/>
      <c r="K1820" s="75"/>
      <c r="L1820" s="88"/>
      <c r="M1820" s="77"/>
      <c r="N1820" s="77"/>
      <c r="O1820" s="78"/>
      <c r="S1820" s="148"/>
      <c r="T1820"/>
      <c r="U1820"/>
    </row>
    <row r="1821" spans="1:21" x14ac:dyDescent="0.2">
      <c r="A1821" s="73"/>
      <c r="B1821" s="73"/>
      <c r="C1821" s="74"/>
      <c r="D1821" s="75"/>
      <c r="E1821" s="85"/>
      <c r="F1821" s="161"/>
      <c r="G1821" s="76"/>
      <c r="H1821" s="87"/>
      <c r="I1821" s="75"/>
      <c r="J1821" s="75"/>
      <c r="K1821" s="75"/>
      <c r="L1821" s="88"/>
      <c r="M1821" s="77"/>
      <c r="N1821" s="77"/>
      <c r="O1821" s="78"/>
      <c r="S1821" s="148"/>
      <c r="T1821"/>
      <c r="U1821"/>
    </row>
    <row r="1822" spans="1:21" x14ac:dyDescent="0.2">
      <c r="A1822" s="73"/>
      <c r="B1822" s="73"/>
      <c r="C1822" s="74"/>
      <c r="D1822" s="75"/>
      <c r="E1822" s="85"/>
      <c r="F1822" s="161"/>
      <c r="G1822" s="76"/>
      <c r="H1822" s="87"/>
      <c r="I1822" s="75"/>
      <c r="J1822" s="75"/>
      <c r="K1822" s="75"/>
      <c r="L1822" s="88"/>
      <c r="M1822" s="77"/>
      <c r="N1822" s="77"/>
      <c r="O1822" s="78"/>
      <c r="S1822" s="148"/>
      <c r="T1822"/>
      <c r="U1822"/>
    </row>
    <row r="1823" spans="1:21" x14ac:dyDescent="0.2">
      <c r="A1823" s="73"/>
      <c r="B1823" s="73"/>
      <c r="C1823" s="74"/>
      <c r="D1823" s="75"/>
      <c r="E1823" s="85"/>
      <c r="F1823" s="161"/>
      <c r="G1823" s="76"/>
      <c r="H1823" s="87"/>
      <c r="I1823" s="75"/>
      <c r="J1823" s="75"/>
      <c r="K1823" s="75"/>
      <c r="L1823" s="88"/>
      <c r="M1823" s="77"/>
      <c r="N1823" s="77"/>
      <c r="O1823" s="78"/>
      <c r="S1823" s="148"/>
      <c r="T1823"/>
      <c r="U1823"/>
    </row>
    <row r="1824" spans="1:21" x14ac:dyDescent="0.2">
      <c r="A1824" s="73"/>
      <c r="B1824" s="73"/>
      <c r="C1824" s="74"/>
      <c r="D1824" s="75"/>
      <c r="E1824" s="85"/>
      <c r="F1824" s="161"/>
      <c r="G1824" s="76"/>
      <c r="H1824" s="87"/>
      <c r="I1824" s="75"/>
      <c r="J1824" s="75"/>
      <c r="K1824" s="75"/>
      <c r="L1824" s="88"/>
      <c r="M1824" s="77"/>
      <c r="N1824" s="77"/>
      <c r="O1824" s="78"/>
      <c r="S1824" s="148"/>
      <c r="T1824"/>
      <c r="U1824"/>
    </row>
    <row r="1825" spans="1:21" x14ac:dyDescent="0.2">
      <c r="A1825" s="73"/>
      <c r="B1825" s="73"/>
      <c r="C1825" s="74"/>
      <c r="D1825" s="75"/>
      <c r="E1825" s="85"/>
      <c r="F1825" s="161"/>
      <c r="G1825" s="76"/>
      <c r="H1825" s="87"/>
      <c r="I1825" s="75"/>
      <c r="J1825" s="75"/>
      <c r="K1825" s="75"/>
      <c r="L1825" s="88"/>
      <c r="M1825" s="77"/>
      <c r="N1825" s="77"/>
      <c r="O1825" s="78"/>
      <c r="S1825" s="148"/>
      <c r="T1825"/>
      <c r="U1825"/>
    </row>
    <row r="1826" spans="1:21" x14ac:dyDescent="0.2">
      <c r="A1826" s="73"/>
      <c r="B1826" s="73"/>
      <c r="C1826" s="74"/>
      <c r="D1826" s="75"/>
      <c r="E1826" s="85"/>
      <c r="F1826" s="161"/>
      <c r="G1826" s="76"/>
      <c r="H1826" s="87"/>
      <c r="I1826" s="75"/>
      <c r="J1826" s="75"/>
      <c r="K1826" s="75"/>
      <c r="L1826" s="88"/>
      <c r="M1826" s="77"/>
      <c r="N1826" s="77"/>
      <c r="O1826" s="78"/>
      <c r="S1826" s="148"/>
      <c r="T1826"/>
      <c r="U1826"/>
    </row>
    <row r="1827" spans="1:21" x14ac:dyDescent="0.2">
      <c r="A1827" s="73"/>
      <c r="B1827" s="73"/>
      <c r="C1827" s="74"/>
      <c r="D1827" s="75"/>
      <c r="E1827" s="85"/>
      <c r="F1827" s="161"/>
      <c r="G1827" s="76"/>
      <c r="H1827" s="87"/>
      <c r="I1827" s="75"/>
      <c r="J1827" s="75"/>
      <c r="K1827" s="75"/>
      <c r="L1827" s="88"/>
      <c r="M1827" s="77"/>
      <c r="N1827" s="77"/>
      <c r="O1827" s="78"/>
      <c r="S1827" s="148"/>
      <c r="T1827"/>
      <c r="U1827"/>
    </row>
    <row r="1828" spans="1:21" x14ac:dyDescent="0.2">
      <c r="A1828" s="73"/>
      <c r="B1828" s="73"/>
      <c r="C1828" s="74"/>
      <c r="D1828" s="75"/>
      <c r="E1828" s="85"/>
      <c r="F1828" s="161"/>
      <c r="G1828" s="76"/>
      <c r="H1828" s="87"/>
      <c r="I1828" s="75"/>
      <c r="J1828" s="75"/>
      <c r="K1828" s="75"/>
      <c r="L1828" s="88"/>
      <c r="M1828" s="77"/>
      <c r="N1828" s="77"/>
      <c r="O1828" s="78"/>
      <c r="S1828" s="148"/>
      <c r="T1828"/>
      <c r="U1828"/>
    </row>
    <row r="1829" spans="1:21" x14ac:dyDescent="0.2">
      <c r="A1829" s="73"/>
      <c r="B1829" s="73"/>
      <c r="C1829" s="74"/>
      <c r="D1829" s="75"/>
      <c r="E1829" s="85"/>
      <c r="F1829" s="161"/>
      <c r="G1829" s="76"/>
      <c r="H1829" s="87"/>
      <c r="I1829" s="75"/>
      <c r="J1829" s="75"/>
      <c r="K1829" s="75"/>
      <c r="L1829" s="88"/>
      <c r="M1829" s="77"/>
      <c r="N1829" s="77"/>
      <c r="O1829" s="78"/>
      <c r="S1829" s="148"/>
      <c r="T1829"/>
      <c r="U1829"/>
    </row>
    <row r="1830" spans="1:21" x14ac:dyDescent="0.2">
      <c r="A1830" s="73"/>
      <c r="B1830" s="73"/>
      <c r="C1830" s="74"/>
      <c r="D1830" s="75"/>
      <c r="E1830" s="85"/>
      <c r="F1830" s="161"/>
      <c r="G1830" s="76"/>
      <c r="H1830" s="87"/>
      <c r="I1830" s="75"/>
      <c r="J1830" s="75"/>
      <c r="K1830" s="75"/>
      <c r="L1830" s="88"/>
      <c r="M1830" s="77"/>
      <c r="N1830" s="77"/>
      <c r="O1830" s="78"/>
      <c r="S1830" s="148"/>
      <c r="T1830"/>
      <c r="U1830"/>
    </row>
    <row r="1831" spans="1:21" x14ac:dyDescent="0.2">
      <c r="A1831" s="73"/>
      <c r="B1831" s="73"/>
      <c r="C1831" s="74"/>
      <c r="D1831" s="75"/>
      <c r="E1831" s="85"/>
      <c r="F1831" s="161"/>
      <c r="G1831" s="76"/>
      <c r="H1831" s="87"/>
      <c r="I1831" s="75"/>
      <c r="J1831" s="75"/>
      <c r="K1831" s="75"/>
      <c r="L1831" s="88"/>
      <c r="M1831" s="77"/>
      <c r="N1831" s="77"/>
      <c r="O1831" s="78"/>
      <c r="S1831" s="148"/>
      <c r="T1831"/>
      <c r="U1831"/>
    </row>
    <row r="1832" spans="1:21" x14ac:dyDescent="0.2">
      <c r="A1832" s="73"/>
      <c r="B1832" s="73"/>
      <c r="C1832" s="74"/>
      <c r="D1832" s="75"/>
      <c r="E1832" s="85"/>
      <c r="F1832" s="161"/>
      <c r="G1832" s="76"/>
      <c r="H1832" s="87"/>
      <c r="I1832" s="75"/>
      <c r="J1832" s="75"/>
      <c r="K1832" s="75"/>
      <c r="L1832" s="88"/>
      <c r="M1832" s="77"/>
      <c r="N1832" s="77"/>
      <c r="O1832" s="78"/>
      <c r="S1832" s="148"/>
      <c r="T1832"/>
      <c r="U1832"/>
    </row>
    <row r="1833" spans="1:21" x14ac:dyDescent="0.2">
      <c r="A1833" s="73"/>
      <c r="B1833" s="73"/>
      <c r="C1833" s="74"/>
      <c r="D1833" s="75"/>
      <c r="E1833" s="85"/>
      <c r="F1833" s="161"/>
      <c r="G1833" s="76"/>
      <c r="H1833" s="87"/>
      <c r="I1833" s="75"/>
      <c r="J1833" s="75"/>
      <c r="K1833" s="75"/>
      <c r="L1833" s="88"/>
      <c r="M1833" s="77"/>
      <c r="N1833" s="77"/>
      <c r="O1833" s="78"/>
      <c r="S1833" s="148"/>
      <c r="T1833"/>
      <c r="U1833"/>
    </row>
    <row r="1834" spans="1:21" x14ac:dyDescent="0.2">
      <c r="A1834" s="73"/>
      <c r="B1834" s="73"/>
      <c r="C1834" s="74"/>
      <c r="D1834" s="75"/>
      <c r="E1834" s="85"/>
      <c r="F1834" s="161"/>
      <c r="G1834" s="76"/>
      <c r="H1834" s="87"/>
      <c r="I1834" s="75"/>
      <c r="J1834" s="75"/>
      <c r="K1834" s="75"/>
      <c r="L1834" s="88"/>
      <c r="M1834" s="77"/>
      <c r="N1834" s="77"/>
      <c r="O1834" s="78"/>
      <c r="S1834" s="148"/>
      <c r="T1834"/>
      <c r="U1834"/>
    </row>
    <row r="1835" spans="1:21" x14ac:dyDescent="0.2">
      <c r="A1835" s="73"/>
      <c r="B1835" s="73"/>
      <c r="C1835" s="74"/>
      <c r="D1835" s="75"/>
      <c r="E1835" s="85"/>
      <c r="F1835" s="161"/>
      <c r="G1835" s="76"/>
      <c r="H1835" s="87"/>
      <c r="I1835" s="75"/>
      <c r="J1835" s="75"/>
      <c r="K1835" s="75"/>
      <c r="L1835" s="88"/>
      <c r="M1835" s="77"/>
      <c r="N1835" s="77"/>
      <c r="O1835" s="78"/>
      <c r="S1835" s="148"/>
      <c r="T1835"/>
      <c r="U1835"/>
    </row>
    <row r="1836" spans="1:21" x14ac:dyDescent="0.2">
      <c r="A1836" s="73"/>
      <c r="B1836" s="73"/>
      <c r="C1836" s="74"/>
      <c r="D1836" s="75"/>
      <c r="E1836" s="85"/>
      <c r="F1836" s="161"/>
      <c r="G1836" s="76"/>
      <c r="H1836" s="87"/>
      <c r="I1836" s="75"/>
      <c r="J1836" s="75"/>
      <c r="K1836" s="75"/>
      <c r="L1836" s="88"/>
      <c r="M1836" s="77"/>
      <c r="N1836" s="77"/>
      <c r="O1836" s="78"/>
      <c r="S1836" s="148"/>
      <c r="T1836"/>
      <c r="U1836"/>
    </row>
    <row r="1837" spans="1:21" x14ac:dyDescent="0.2">
      <c r="A1837" s="73"/>
      <c r="B1837" s="73"/>
      <c r="C1837" s="74"/>
      <c r="D1837" s="75"/>
      <c r="E1837" s="85"/>
      <c r="F1837" s="161"/>
      <c r="G1837" s="76"/>
      <c r="H1837" s="87"/>
      <c r="I1837" s="75"/>
      <c r="J1837" s="75"/>
      <c r="K1837" s="75"/>
      <c r="L1837" s="88"/>
      <c r="M1837" s="77"/>
      <c r="N1837" s="77"/>
      <c r="O1837" s="78"/>
      <c r="S1837" s="148"/>
      <c r="T1837"/>
      <c r="U1837"/>
    </row>
    <row r="1838" spans="1:21" x14ac:dyDescent="0.2">
      <c r="A1838" s="73"/>
      <c r="B1838" s="73"/>
      <c r="C1838" s="74"/>
      <c r="D1838" s="75"/>
      <c r="E1838" s="85"/>
      <c r="F1838" s="161"/>
      <c r="G1838" s="76"/>
      <c r="H1838" s="87"/>
      <c r="I1838" s="75"/>
      <c r="J1838" s="75"/>
      <c r="K1838" s="75"/>
      <c r="L1838" s="88"/>
      <c r="M1838" s="77"/>
      <c r="N1838" s="77"/>
      <c r="O1838" s="78"/>
      <c r="S1838" s="148"/>
      <c r="T1838"/>
      <c r="U1838"/>
    </row>
    <row r="1839" spans="1:21" x14ac:dyDescent="0.2">
      <c r="A1839" s="73"/>
      <c r="B1839" s="73"/>
      <c r="C1839" s="74"/>
      <c r="D1839" s="75"/>
      <c r="E1839" s="85"/>
      <c r="F1839" s="161"/>
      <c r="G1839" s="76"/>
      <c r="H1839" s="87"/>
      <c r="I1839" s="75"/>
      <c r="J1839" s="75"/>
      <c r="K1839" s="75"/>
      <c r="L1839" s="88"/>
      <c r="M1839" s="77"/>
      <c r="N1839" s="77"/>
      <c r="O1839" s="78"/>
      <c r="S1839" s="148"/>
      <c r="T1839"/>
      <c r="U1839"/>
    </row>
    <row r="1840" spans="1:21" x14ac:dyDescent="0.2">
      <c r="A1840" s="73"/>
      <c r="B1840" s="73"/>
      <c r="C1840" s="74"/>
      <c r="D1840" s="75"/>
      <c r="E1840" s="85"/>
      <c r="F1840" s="161"/>
      <c r="G1840" s="76"/>
      <c r="H1840" s="87"/>
      <c r="I1840" s="75"/>
      <c r="J1840" s="75"/>
      <c r="K1840" s="75"/>
      <c r="L1840" s="88"/>
      <c r="M1840" s="77"/>
      <c r="N1840" s="77"/>
      <c r="O1840" s="78"/>
      <c r="S1840" s="148"/>
      <c r="T1840"/>
      <c r="U1840"/>
    </row>
    <row r="1841" spans="1:21" x14ac:dyDescent="0.2">
      <c r="A1841" s="73"/>
      <c r="B1841" s="73"/>
      <c r="C1841" s="74"/>
      <c r="D1841" s="75"/>
      <c r="E1841" s="85"/>
      <c r="F1841" s="161"/>
      <c r="G1841" s="76"/>
      <c r="H1841" s="87"/>
      <c r="I1841" s="75"/>
      <c r="J1841" s="75"/>
      <c r="K1841" s="75"/>
      <c r="L1841" s="88"/>
      <c r="M1841" s="77"/>
      <c r="N1841" s="77"/>
      <c r="O1841" s="78"/>
      <c r="S1841" s="148"/>
      <c r="T1841"/>
      <c r="U1841"/>
    </row>
    <row r="1842" spans="1:21" x14ac:dyDescent="0.2">
      <c r="A1842" s="73"/>
      <c r="B1842" s="73"/>
      <c r="C1842" s="74"/>
      <c r="D1842" s="75"/>
      <c r="E1842" s="85"/>
      <c r="F1842" s="161"/>
      <c r="G1842" s="76"/>
      <c r="H1842" s="87"/>
      <c r="I1842" s="75"/>
      <c r="J1842" s="75"/>
      <c r="K1842" s="75"/>
      <c r="L1842" s="88"/>
      <c r="M1842" s="77"/>
      <c r="N1842" s="77"/>
      <c r="O1842" s="78"/>
      <c r="S1842" s="148"/>
      <c r="T1842"/>
      <c r="U1842"/>
    </row>
    <row r="1843" spans="1:21" x14ac:dyDescent="0.2">
      <c r="A1843" s="73"/>
      <c r="B1843" s="73"/>
      <c r="C1843" s="74"/>
      <c r="D1843" s="75"/>
      <c r="E1843" s="85"/>
      <c r="F1843" s="161"/>
      <c r="G1843" s="76"/>
      <c r="H1843" s="87"/>
      <c r="I1843" s="75"/>
      <c r="J1843" s="75"/>
      <c r="K1843" s="75"/>
      <c r="L1843" s="88"/>
      <c r="M1843" s="77"/>
      <c r="N1843" s="77"/>
      <c r="O1843" s="78"/>
      <c r="S1843" s="148"/>
      <c r="T1843"/>
      <c r="U1843"/>
    </row>
    <row r="1844" spans="1:21" x14ac:dyDescent="0.2">
      <c r="A1844" s="73"/>
      <c r="B1844" s="73"/>
      <c r="C1844" s="74"/>
      <c r="D1844" s="75"/>
      <c r="E1844" s="85"/>
      <c r="F1844" s="161"/>
      <c r="G1844" s="76"/>
      <c r="H1844" s="87"/>
      <c r="I1844" s="75"/>
      <c r="J1844" s="75"/>
      <c r="K1844" s="75"/>
      <c r="L1844" s="88"/>
      <c r="M1844" s="77"/>
      <c r="N1844" s="77"/>
      <c r="O1844" s="78"/>
      <c r="S1844" s="148"/>
      <c r="T1844"/>
      <c r="U1844"/>
    </row>
    <row r="1845" spans="1:21" x14ac:dyDescent="0.2">
      <c r="A1845" s="73"/>
      <c r="B1845" s="73"/>
      <c r="C1845" s="74"/>
      <c r="D1845" s="75"/>
      <c r="E1845" s="85"/>
      <c r="F1845" s="161"/>
      <c r="G1845" s="76"/>
      <c r="H1845" s="87"/>
      <c r="I1845" s="75"/>
      <c r="J1845" s="75"/>
      <c r="K1845" s="75"/>
      <c r="L1845" s="88"/>
      <c r="M1845" s="77"/>
      <c r="N1845" s="77"/>
      <c r="O1845" s="78"/>
      <c r="S1845" s="148"/>
      <c r="T1845"/>
      <c r="U1845"/>
    </row>
    <row r="1846" spans="1:21" x14ac:dyDescent="0.2">
      <c r="A1846" s="73"/>
      <c r="B1846" s="73"/>
      <c r="C1846" s="74"/>
      <c r="D1846" s="75"/>
      <c r="E1846" s="85"/>
      <c r="F1846" s="161"/>
      <c r="G1846" s="76"/>
      <c r="H1846" s="87"/>
      <c r="I1846" s="75"/>
      <c r="J1846" s="75"/>
      <c r="K1846" s="75"/>
      <c r="L1846" s="88"/>
      <c r="M1846" s="77"/>
      <c r="N1846" s="77"/>
      <c r="O1846" s="78"/>
      <c r="S1846" s="148"/>
      <c r="T1846"/>
      <c r="U1846"/>
    </row>
    <row r="1847" spans="1:21" x14ac:dyDescent="0.2">
      <c r="A1847" s="73"/>
      <c r="B1847" s="73"/>
      <c r="C1847" s="74"/>
      <c r="D1847" s="75"/>
      <c r="E1847" s="85"/>
      <c r="F1847" s="161"/>
      <c r="G1847" s="76"/>
      <c r="H1847" s="87"/>
      <c r="I1847" s="75"/>
      <c r="J1847" s="75"/>
      <c r="K1847" s="75"/>
      <c r="L1847" s="88"/>
      <c r="M1847" s="77"/>
      <c r="N1847" s="77"/>
      <c r="O1847" s="78"/>
      <c r="S1847" s="148"/>
      <c r="T1847"/>
      <c r="U1847"/>
    </row>
    <row r="1848" spans="1:21" x14ac:dyDescent="0.2">
      <c r="A1848" s="73"/>
      <c r="B1848" s="73"/>
      <c r="C1848" s="74"/>
      <c r="D1848" s="75"/>
      <c r="E1848" s="85"/>
      <c r="F1848" s="161"/>
      <c r="G1848" s="76"/>
      <c r="H1848" s="87"/>
      <c r="I1848" s="75"/>
      <c r="J1848" s="75"/>
      <c r="K1848" s="75"/>
      <c r="L1848" s="88"/>
      <c r="M1848" s="77"/>
      <c r="N1848" s="77"/>
      <c r="O1848" s="78"/>
      <c r="S1848" s="148"/>
      <c r="T1848"/>
      <c r="U1848"/>
    </row>
    <row r="1849" spans="1:21" x14ac:dyDescent="0.2">
      <c r="A1849" s="73"/>
      <c r="B1849" s="73"/>
      <c r="C1849" s="74"/>
      <c r="D1849" s="75"/>
      <c r="E1849" s="85"/>
      <c r="F1849" s="161"/>
      <c r="G1849" s="76"/>
      <c r="H1849" s="87"/>
      <c r="I1849" s="75"/>
      <c r="J1849" s="75"/>
      <c r="K1849" s="75"/>
      <c r="L1849" s="88"/>
      <c r="M1849" s="77"/>
      <c r="N1849" s="77"/>
      <c r="O1849" s="78"/>
      <c r="S1849" s="148"/>
      <c r="T1849"/>
      <c r="U1849"/>
    </row>
    <row r="1850" spans="1:21" x14ac:dyDescent="0.2">
      <c r="A1850" s="73"/>
      <c r="B1850" s="73"/>
      <c r="C1850" s="74"/>
      <c r="D1850" s="75"/>
      <c r="E1850" s="85"/>
      <c r="F1850" s="161"/>
      <c r="G1850" s="76"/>
      <c r="H1850" s="87"/>
      <c r="I1850" s="75"/>
      <c r="J1850" s="75"/>
      <c r="K1850" s="75"/>
      <c r="L1850" s="88"/>
      <c r="M1850" s="77"/>
      <c r="N1850" s="77"/>
      <c r="O1850" s="78"/>
      <c r="S1850" s="148"/>
      <c r="T1850"/>
      <c r="U1850"/>
    </row>
    <row r="1851" spans="1:21" x14ac:dyDescent="0.2">
      <c r="A1851" s="73"/>
      <c r="B1851" s="73"/>
      <c r="C1851" s="74"/>
      <c r="D1851" s="75"/>
      <c r="E1851" s="85"/>
      <c r="F1851" s="161"/>
      <c r="G1851" s="76"/>
      <c r="H1851" s="87"/>
      <c r="I1851" s="75"/>
      <c r="J1851" s="75"/>
      <c r="K1851" s="75"/>
      <c r="L1851" s="88"/>
      <c r="M1851" s="77"/>
      <c r="N1851" s="77"/>
      <c r="O1851" s="78"/>
      <c r="S1851" s="148"/>
      <c r="T1851"/>
      <c r="U1851"/>
    </row>
    <row r="1852" spans="1:21" x14ac:dyDescent="0.2">
      <c r="A1852" s="73"/>
      <c r="B1852" s="73"/>
      <c r="C1852" s="74"/>
      <c r="D1852" s="75"/>
      <c r="E1852" s="85"/>
      <c r="F1852" s="161"/>
      <c r="G1852" s="76"/>
      <c r="H1852" s="87"/>
      <c r="I1852" s="75"/>
      <c r="J1852" s="75"/>
      <c r="K1852" s="75"/>
      <c r="L1852" s="88"/>
      <c r="M1852" s="77"/>
      <c r="N1852" s="77"/>
      <c r="O1852" s="78"/>
      <c r="S1852" s="148"/>
      <c r="T1852"/>
      <c r="U1852"/>
    </row>
    <row r="1853" spans="1:21" x14ac:dyDescent="0.2">
      <c r="A1853" s="73"/>
      <c r="B1853" s="73"/>
      <c r="C1853" s="74"/>
      <c r="D1853" s="75"/>
      <c r="E1853" s="85"/>
      <c r="F1853" s="161"/>
      <c r="G1853" s="76"/>
      <c r="H1853" s="87"/>
      <c r="I1853" s="75"/>
      <c r="J1853" s="75"/>
      <c r="K1853" s="75"/>
      <c r="L1853" s="163"/>
      <c r="M1853" s="77"/>
      <c r="N1853" s="77"/>
      <c r="O1853" s="78"/>
      <c r="S1853" s="148"/>
      <c r="T1853"/>
      <c r="U1853"/>
    </row>
    <row r="1854" spans="1:21" x14ac:dyDescent="0.2">
      <c r="A1854" s="73"/>
      <c r="B1854" s="73"/>
      <c r="C1854" s="74"/>
      <c r="D1854" s="75"/>
      <c r="E1854" s="85"/>
      <c r="F1854" s="161"/>
      <c r="G1854" s="76"/>
      <c r="H1854" s="87"/>
      <c r="I1854" s="75"/>
      <c r="J1854" s="75"/>
      <c r="K1854" s="75"/>
      <c r="L1854" s="88"/>
      <c r="M1854" s="77"/>
      <c r="N1854" s="77"/>
      <c r="O1854" s="78"/>
      <c r="S1854" s="148"/>
      <c r="T1854"/>
      <c r="U1854"/>
    </row>
    <row r="1855" spans="1:21" x14ac:dyDescent="0.2">
      <c r="A1855" s="73"/>
      <c r="B1855" s="73"/>
      <c r="C1855" s="74"/>
      <c r="D1855" s="75"/>
      <c r="E1855" s="85"/>
      <c r="F1855" s="161"/>
      <c r="G1855" s="76"/>
      <c r="H1855" s="87"/>
      <c r="I1855" s="75"/>
      <c r="J1855" s="75"/>
      <c r="K1855" s="75"/>
      <c r="L1855" s="88"/>
      <c r="M1855" s="77"/>
      <c r="N1855" s="77"/>
      <c r="O1855" s="78"/>
      <c r="S1855" s="148"/>
      <c r="T1855"/>
      <c r="U1855"/>
    </row>
    <row r="1856" spans="1:21" x14ac:dyDescent="0.2">
      <c r="A1856" s="73"/>
      <c r="B1856" s="73"/>
      <c r="C1856" s="74"/>
      <c r="D1856" s="75"/>
      <c r="E1856" s="85"/>
      <c r="F1856" s="161"/>
      <c r="G1856" s="76"/>
      <c r="H1856" s="87"/>
      <c r="I1856" s="75"/>
      <c r="J1856" s="75"/>
      <c r="K1856" s="75"/>
      <c r="L1856" s="88"/>
      <c r="M1856" s="77"/>
      <c r="N1856" s="77"/>
      <c r="O1856" s="78"/>
      <c r="S1856" s="148"/>
      <c r="T1856"/>
      <c r="U1856"/>
    </row>
    <row r="1857" spans="1:21" x14ac:dyDescent="0.2">
      <c r="A1857" s="73"/>
      <c r="B1857" s="73"/>
      <c r="C1857" s="74"/>
      <c r="D1857" s="75"/>
      <c r="E1857" s="85"/>
      <c r="F1857" s="161"/>
      <c r="G1857" s="76"/>
      <c r="H1857" s="87"/>
      <c r="I1857" s="75"/>
      <c r="J1857" s="75"/>
      <c r="K1857" s="75"/>
      <c r="L1857" s="88"/>
      <c r="M1857" s="77"/>
      <c r="N1857" s="77"/>
      <c r="O1857" s="78"/>
      <c r="S1857" s="148"/>
      <c r="T1857"/>
      <c r="U1857"/>
    </row>
    <row r="1858" spans="1:21" x14ac:dyDescent="0.2">
      <c r="A1858" s="73"/>
      <c r="B1858" s="73"/>
      <c r="C1858" s="74"/>
      <c r="D1858" s="75"/>
      <c r="E1858" s="85"/>
      <c r="F1858" s="161"/>
      <c r="G1858" s="76"/>
      <c r="H1858" s="87"/>
      <c r="I1858" s="75"/>
      <c r="J1858" s="75"/>
      <c r="K1858" s="75"/>
      <c r="L1858" s="88"/>
      <c r="M1858" s="77"/>
      <c r="N1858" s="77"/>
      <c r="O1858" s="78"/>
      <c r="S1858" s="148"/>
      <c r="T1858"/>
      <c r="U1858"/>
    </row>
    <row r="1859" spans="1:21" x14ac:dyDescent="0.2">
      <c r="A1859" s="73"/>
      <c r="B1859" s="73"/>
      <c r="C1859" s="74"/>
      <c r="D1859" s="75"/>
      <c r="E1859" s="85"/>
      <c r="F1859" s="161"/>
      <c r="G1859" s="76"/>
      <c r="H1859" s="87"/>
      <c r="I1859" s="75"/>
      <c r="J1859" s="75"/>
      <c r="K1859" s="75"/>
      <c r="L1859" s="88"/>
      <c r="M1859" s="77"/>
      <c r="N1859" s="77"/>
      <c r="O1859" s="78"/>
      <c r="S1859" s="148"/>
      <c r="T1859"/>
      <c r="U1859"/>
    </row>
    <row r="1860" spans="1:21" x14ac:dyDescent="0.2">
      <c r="A1860" s="73"/>
      <c r="B1860" s="73"/>
      <c r="C1860" s="74"/>
      <c r="D1860" s="75"/>
      <c r="E1860" s="85"/>
      <c r="F1860" s="161"/>
      <c r="G1860" s="76"/>
      <c r="H1860" s="87"/>
      <c r="I1860" s="75"/>
      <c r="J1860" s="75"/>
      <c r="K1860" s="75"/>
      <c r="L1860" s="88"/>
      <c r="M1860" s="77"/>
      <c r="N1860" s="77"/>
      <c r="O1860" s="78"/>
      <c r="S1860" s="148"/>
      <c r="T1860"/>
      <c r="U1860"/>
    </row>
    <row r="1861" spans="1:21" x14ac:dyDescent="0.2">
      <c r="A1861" s="73"/>
      <c r="B1861" s="73"/>
      <c r="C1861" s="74"/>
      <c r="D1861" s="75"/>
      <c r="E1861" s="85"/>
      <c r="F1861" s="161"/>
      <c r="G1861" s="76"/>
      <c r="H1861" s="87"/>
      <c r="I1861" s="75"/>
      <c r="J1861" s="75"/>
      <c r="K1861" s="75"/>
      <c r="L1861" s="88"/>
      <c r="M1861" s="77"/>
      <c r="N1861" s="77"/>
      <c r="O1861" s="78"/>
      <c r="S1861" s="148"/>
      <c r="T1861"/>
      <c r="U1861"/>
    </row>
    <row r="1862" spans="1:21" x14ac:dyDescent="0.2">
      <c r="A1862" s="73"/>
      <c r="B1862" s="73"/>
      <c r="C1862" s="74"/>
      <c r="D1862" s="75"/>
      <c r="E1862" s="85"/>
      <c r="F1862" s="161"/>
      <c r="G1862" s="76"/>
      <c r="H1862" s="87"/>
      <c r="I1862" s="75"/>
      <c r="J1862" s="75"/>
      <c r="K1862" s="75"/>
      <c r="L1862" s="88"/>
      <c r="M1862" s="77"/>
      <c r="N1862" s="77"/>
      <c r="O1862" s="78"/>
      <c r="S1862" s="148"/>
      <c r="T1862"/>
      <c r="U1862"/>
    </row>
    <row r="1863" spans="1:21" x14ac:dyDescent="0.2">
      <c r="A1863" s="73"/>
      <c r="B1863" s="73"/>
      <c r="C1863" s="74"/>
      <c r="D1863" s="75"/>
      <c r="E1863" s="85"/>
      <c r="F1863" s="161"/>
      <c r="G1863" s="76"/>
      <c r="H1863" s="87"/>
      <c r="I1863" s="75"/>
      <c r="J1863" s="75"/>
      <c r="K1863" s="75"/>
      <c r="L1863" s="88"/>
      <c r="M1863" s="77"/>
      <c r="N1863" s="77"/>
      <c r="O1863" s="78"/>
      <c r="S1863" s="148"/>
      <c r="T1863"/>
      <c r="U1863"/>
    </row>
    <row r="1864" spans="1:21" x14ac:dyDescent="0.2">
      <c r="A1864" s="73"/>
      <c r="B1864" s="73"/>
      <c r="C1864" s="74"/>
      <c r="D1864" s="75"/>
      <c r="E1864" s="85"/>
      <c r="F1864" s="161"/>
      <c r="G1864" s="76"/>
      <c r="H1864" s="87"/>
      <c r="I1864" s="75"/>
      <c r="J1864" s="75"/>
      <c r="K1864" s="75"/>
      <c r="L1864" s="88"/>
      <c r="M1864" s="77"/>
      <c r="N1864" s="77"/>
      <c r="O1864" s="78"/>
      <c r="S1864" s="148"/>
      <c r="T1864"/>
      <c r="U1864"/>
    </row>
    <row r="1865" spans="1:21" x14ac:dyDescent="0.2">
      <c r="A1865" s="73"/>
      <c r="B1865" s="73"/>
      <c r="C1865" s="74"/>
      <c r="D1865" s="75"/>
      <c r="E1865" s="85"/>
      <c r="F1865" s="161"/>
      <c r="G1865" s="76"/>
      <c r="H1865" s="87"/>
      <c r="I1865" s="75"/>
      <c r="J1865" s="75"/>
      <c r="K1865" s="75"/>
      <c r="L1865" s="88"/>
      <c r="M1865" s="77"/>
      <c r="N1865" s="77"/>
      <c r="O1865" s="78"/>
      <c r="S1865" s="148"/>
      <c r="T1865"/>
      <c r="U1865"/>
    </row>
    <row r="1866" spans="1:21" x14ac:dyDescent="0.2">
      <c r="A1866" s="73"/>
      <c r="B1866" s="73"/>
      <c r="C1866" s="74"/>
      <c r="D1866" s="75"/>
      <c r="E1866" s="85"/>
      <c r="F1866" s="161"/>
      <c r="G1866" s="76"/>
      <c r="H1866" s="87"/>
      <c r="I1866" s="75"/>
      <c r="J1866" s="75"/>
      <c r="K1866" s="75"/>
      <c r="L1866" s="88"/>
      <c r="M1866" s="77"/>
      <c r="N1866" s="77"/>
      <c r="O1866" s="78"/>
      <c r="S1866" s="148"/>
      <c r="T1866"/>
      <c r="U1866"/>
    </row>
    <row r="1867" spans="1:21" x14ac:dyDescent="0.2">
      <c r="A1867" s="73"/>
      <c r="B1867" s="73"/>
      <c r="C1867" s="74"/>
      <c r="D1867" s="75"/>
      <c r="E1867" s="85"/>
      <c r="F1867" s="161"/>
      <c r="G1867" s="76"/>
      <c r="H1867" s="87"/>
      <c r="I1867" s="75"/>
      <c r="J1867" s="75"/>
      <c r="K1867" s="75"/>
      <c r="L1867" s="88"/>
      <c r="M1867" s="77"/>
      <c r="N1867" s="77"/>
      <c r="O1867" s="78"/>
      <c r="S1867" s="148"/>
      <c r="T1867"/>
      <c r="U1867"/>
    </row>
    <row r="1868" spans="1:21" x14ac:dyDescent="0.2">
      <c r="A1868" s="73"/>
      <c r="B1868" s="73"/>
      <c r="C1868" s="74"/>
      <c r="D1868" s="75"/>
      <c r="E1868" s="85"/>
      <c r="F1868" s="161"/>
      <c r="G1868" s="76"/>
      <c r="H1868" s="87"/>
      <c r="I1868" s="75"/>
      <c r="J1868" s="75"/>
      <c r="K1868" s="75"/>
      <c r="L1868" s="88"/>
      <c r="M1868" s="77"/>
      <c r="N1868" s="77"/>
      <c r="O1868" s="78"/>
      <c r="S1868" s="148"/>
      <c r="T1868"/>
      <c r="U1868"/>
    </row>
    <row r="1869" spans="1:21" x14ac:dyDescent="0.2">
      <c r="A1869" s="73"/>
      <c r="B1869" s="73"/>
      <c r="C1869" s="74"/>
      <c r="D1869" s="75"/>
      <c r="E1869" s="85"/>
      <c r="F1869" s="161"/>
      <c r="G1869" s="76"/>
      <c r="H1869" s="87"/>
      <c r="I1869" s="75"/>
      <c r="J1869" s="75"/>
      <c r="K1869" s="75"/>
      <c r="L1869" s="88"/>
      <c r="M1869" s="77"/>
      <c r="N1869" s="77"/>
      <c r="O1869" s="78"/>
      <c r="S1869" s="148"/>
      <c r="T1869"/>
      <c r="U1869"/>
    </row>
    <row r="1870" spans="1:21" x14ac:dyDescent="0.2">
      <c r="A1870" s="73"/>
      <c r="B1870" s="73"/>
      <c r="C1870" s="74"/>
      <c r="D1870" s="75"/>
      <c r="E1870" s="85"/>
      <c r="F1870" s="161"/>
      <c r="G1870" s="76"/>
      <c r="H1870" s="87"/>
      <c r="I1870" s="75"/>
      <c r="J1870" s="75"/>
      <c r="K1870" s="75"/>
      <c r="L1870" s="88"/>
      <c r="M1870" s="77"/>
      <c r="N1870" s="77"/>
      <c r="O1870" s="78"/>
      <c r="S1870" s="148"/>
      <c r="T1870"/>
      <c r="U1870"/>
    </row>
    <row r="1871" spans="1:21" x14ac:dyDescent="0.2">
      <c r="A1871" s="73"/>
      <c r="B1871" s="73"/>
      <c r="C1871" s="74"/>
      <c r="D1871" s="75"/>
      <c r="E1871" s="85"/>
      <c r="F1871" s="161"/>
      <c r="G1871" s="76"/>
      <c r="H1871" s="87"/>
      <c r="I1871" s="75"/>
      <c r="J1871" s="75"/>
      <c r="K1871" s="75"/>
      <c r="L1871" s="88"/>
      <c r="M1871" s="77"/>
      <c r="N1871" s="77"/>
      <c r="O1871" s="78"/>
      <c r="S1871" s="148"/>
      <c r="T1871"/>
      <c r="U1871"/>
    </row>
    <row r="1872" spans="1:21" x14ac:dyDescent="0.2">
      <c r="A1872" s="73"/>
      <c r="B1872" s="73"/>
      <c r="C1872" s="74"/>
      <c r="D1872" s="75"/>
      <c r="E1872" s="85"/>
      <c r="F1872" s="161"/>
      <c r="G1872" s="76"/>
      <c r="H1872" s="87"/>
      <c r="I1872" s="75"/>
      <c r="J1872" s="75"/>
      <c r="K1872" s="75"/>
      <c r="L1872" s="88"/>
      <c r="M1872" s="77"/>
      <c r="N1872" s="77"/>
      <c r="O1872" s="78"/>
      <c r="S1872" s="148"/>
      <c r="T1872"/>
      <c r="U1872"/>
    </row>
    <row r="1873" spans="1:21" x14ac:dyDescent="0.2">
      <c r="A1873" s="73"/>
      <c r="B1873" s="73"/>
      <c r="C1873" s="74"/>
      <c r="D1873" s="75"/>
      <c r="E1873" s="85"/>
      <c r="F1873" s="161"/>
      <c r="G1873" s="76"/>
      <c r="H1873" s="87"/>
      <c r="I1873" s="75"/>
      <c r="J1873" s="75"/>
      <c r="K1873" s="75"/>
      <c r="L1873" s="88"/>
      <c r="M1873" s="77"/>
      <c r="N1873" s="77"/>
      <c r="O1873" s="78"/>
      <c r="S1873" s="148"/>
      <c r="T1873"/>
      <c r="U1873"/>
    </row>
    <row r="1874" spans="1:21" x14ac:dyDescent="0.2">
      <c r="A1874" s="73"/>
      <c r="B1874" s="73"/>
      <c r="C1874" s="74"/>
      <c r="D1874" s="75"/>
      <c r="E1874" s="85"/>
      <c r="F1874" s="161"/>
      <c r="G1874" s="76"/>
      <c r="H1874" s="87"/>
      <c r="I1874" s="75"/>
      <c r="J1874" s="75"/>
      <c r="K1874" s="75"/>
      <c r="L1874" s="88"/>
      <c r="M1874" s="77"/>
      <c r="N1874" s="77"/>
      <c r="O1874" s="78"/>
      <c r="S1874" s="148"/>
      <c r="T1874"/>
      <c r="U1874"/>
    </row>
    <row r="1875" spans="1:21" x14ac:dyDescent="0.2">
      <c r="A1875" s="73"/>
      <c r="B1875" s="73"/>
      <c r="C1875" s="74"/>
      <c r="D1875" s="75"/>
      <c r="E1875" s="85"/>
      <c r="F1875" s="161"/>
      <c r="G1875" s="76"/>
      <c r="H1875" s="87"/>
      <c r="I1875" s="75"/>
      <c r="J1875" s="75"/>
      <c r="K1875" s="75"/>
      <c r="L1875" s="88"/>
      <c r="M1875" s="77"/>
      <c r="N1875" s="77"/>
      <c r="O1875" s="78"/>
      <c r="S1875" s="148"/>
      <c r="T1875"/>
      <c r="U1875"/>
    </row>
    <row r="1876" spans="1:21" x14ac:dyDescent="0.2">
      <c r="A1876" s="73"/>
      <c r="B1876" s="73"/>
      <c r="C1876" s="74"/>
      <c r="D1876" s="75"/>
      <c r="E1876" s="85"/>
      <c r="F1876" s="161"/>
      <c r="G1876" s="76"/>
      <c r="H1876" s="87"/>
      <c r="I1876" s="75"/>
      <c r="J1876" s="75"/>
      <c r="K1876" s="75"/>
      <c r="L1876" s="88"/>
      <c r="M1876" s="77"/>
      <c r="N1876" s="77"/>
      <c r="O1876" s="78"/>
      <c r="S1876" s="148"/>
      <c r="T1876"/>
      <c r="U1876"/>
    </row>
    <row r="1877" spans="1:21" x14ac:dyDescent="0.2">
      <c r="A1877" s="73"/>
      <c r="B1877" s="73"/>
      <c r="C1877" s="74"/>
      <c r="D1877" s="75"/>
      <c r="E1877" s="85"/>
      <c r="F1877" s="161"/>
      <c r="G1877" s="76"/>
      <c r="H1877" s="87"/>
      <c r="I1877" s="75"/>
      <c r="J1877" s="75"/>
      <c r="K1877" s="75"/>
      <c r="L1877" s="88"/>
      <c r="M1877" s="77"/>
      <c r="N1877" s="77"/>
      <c r="O1877" s="78"/>
      <c r="S1877" s="148"/>
      <c r="T1877"/>
      <c r="U1877"/>
    </row>
    <row r="1878" spans="1:21" x14ac:dyDescent="0.2">
      <c r="A1878" s="73"/>
      <c r="B1878" s="73"/>
      <c r="C1878" s="74"/>
      <c r="D1878" s="75"/>
      <c r="E1878" s="85"/>
      <c r="F1878" s="161"/>
      <c r="G1878" s="76"/>
      <c r="H1878" s="87"/>
      <c r="I1878" s="75"/>
      <c r="J1878" s="75"/>
      <c r="K1878" s="75"/>
      <c r="L1878" s="88"/>
      <c r="M1878" s="77"/>
      <c r="N1878" s="77"/>
      <c r="O1878" s="78"/>
      <c r="S1878" s="148"/>
      <c r="T1878"/>
      <c r="U1878"/>
    </row>
    <row r="1879" spans="1:21" x14ac:dyDescent="0.2">
      <c r="A1879" s="73"/>
      <c r="B1879" s="73"/>
      <c r="C1879" s="74"/>
      <c r="D1879" s="75"/>
      <c r="E1879" s="85"/>
      <c r="F1879" s="161"/>
      <c r="G1879" s="76"/>
      <c r="H1879" s="87"/>
      <c r="I1879" s="75"/>
      <c r="J1879" s="75"/>
      <c r="K1879" s="75"/>
      <c r="L1879" s="88"/>
      <c r="M1879" s="77"/>
      <c r="N1879" s="77"/>
      <c r="O1879" s="78"/>
      <c r="S1879" s="148"/>
      <c r="T1879"/>
      <c r="U1879"/>
    </row>
    <row r="1880" spans="1:21" x14ac:dyDescent="0.2">
      <c r="A1880" s="73"/>
      <c r="B1880" s="73"/>
      <c r="C1880" s="74"/>
      <c r="D1880" s="75"/>
      <c r="E1880" s="85"/>
      <c r="F1880" s="161"/>
      <c r="G1880" s="76"/>
      <c r="H1880" s="87"/>
      <c r="I1880" s="75"/>
      <c r="J1880" s="75"/>
      <c r="K1880" s="75"/>
      <c r="L1880" s="88"/>
      <c r="M1880" s="77"/>
      <c r="N1880" s="77"/>
      <c r="O1880" s="78"/>
      <c r="S1880" s="148"/>
      <c r="T1880"/>
      <c r="U1880"/>
    </row>
    <row r="1881" spans="1:21" x14ac:dyDescent="0.2">
      <c r="A1881" s="73"/>
      <c r="B1881" s="73"/>
      <c r="C1881" s="74"/>
      <c r="D1881" s="75"/>
      <c r="E1881" s="85"/>
      <c r="F1881" s="161"/>
      <c r="G1881" s="76"/>
      <c r="H1881" s="164"/>
      <c r="I1881" s="75"/>
      <c r="J1881" s="75"/>
      <c r="K1881" s="75"/>
      <c r="L1881" s="88"/>
      <c r="M1881" s="77"/>
      <c r="N1881" s="77"/>
      <c r="O1881" s="78"/>
      <c r="S1881" s="148"/>
      <c r="T1881"/>
      <c r="U1881"/>
    </row>
    <row r="1882" spans="1:21" x14ac:dyDescent="0.2">
      <c r="A1882" s="73"/>
      <c r="B1882" s="73"/>
      <c r="C1882" s="74"/>
      <c r="D1882" s="75"/>
      <c r="E1882" s="85"/>
      <c r="F1882" s="161"/>
      <c r="G1882" s="76"/>
      <c r="H1882" s="164"/>
      <c r="I1882" s="75"/>
      <c r="J1882" s="75"/>
      <c r="K1882" s="75"/>
      <c r="L1882" s="88"/>
      <c r="M1882" s="77"/>
      <c r="N1882" s="77"/>
      <c r="O1882" s="78"/>
      <c r="S1882" s="148"/>
      <c r="T1882"/>
      <c r="U1882"/>
    </row>
    <row r="1883" spans="1:21" x14ac:dyDescent="0.2">
      <c r="A1883" s="73"/>
      <c r="B1883" s="73"/>
      <c r="C1883" s="74"/>
      <c r="D1883" s="75"/>
      <c r="E1883" s="85"/>
      <c r="F1883" s="161"/>
      <c r="G1883" s="76"/>
      <c r="H1883" s="164"/>
      <c r="I1883" s="75"/>
      <c r="J1883" s="75"/>
      <c r="K1883" s="75"/>
      <c r="L1883" s="88"/>
      <c r="M1883" s="77"/>
      <c r="N1883" s="77"/>
      <c r="O1883" s="78"/>
      <c r="S1883" s="148"/>
      <c r="T1883"/>
      <c r="U1883"/>
    </row>
    <row r="1884" spans="1:21" x14ac:dyDescent="0.2">
      <c r="A1884" s="73"/>
      <c r="B1884" s="73"/>
      <c r="C1884" s="74"/>
      <c r="D1884" s="75"/>
      <c r="E1884" s="85"/>
      <c r="F1884" s="161"/>
      <c r="G1884" s="76"/>
      <c r="H1884" s="87"/>
      <c r="I1884" s="75"/>
      <c r="J1884" s="75"/>
      <c r="K1884" s="75"/>
      <c r="L1884" s="88"/>
      <c r="M1884" s="77"/>
      <c r="N1884" s="77"/>
      <c r="O1884" s="78"/>
      <c r="S1884" s="148"/>
      <c r="T1884"/>
      <c r="U1884"/>
    </row>
    <row r="1885" spans="1:21" x14ac:dyDescent="0.2">
      <c r="A1885" s="73"/>
      <c r="B1885" s="73"/>
      <c r="C1885" s="74"/>
      <c r="D1885" s="75"/>
      <c r="E1885" s="85"/>
      <c r="F1885" s="161"/>
      <c r="G1885" s="76"/>
      <c r="H1885" s="87"/>
      <c r="I1885" s="75"/>
      <c r="J1885" s="75"/>
      <c r="K1885" s="75"/>
      <c r="L1885" s="88"/>
      <c r="M1885" s="77"/>
      <c r="N1885" s="77"/>
      <c r="O1885" s="78"/>
      <c r="S1885" s="148"/>
      <c r="T1885"/>
      <c r="U1885"/>
    </row>
    <row r="1886" spans="1:21" x14ac:dyDescent="0.2">
      <c r="A1886" s="73"/>
      <c r="B1886" s="73"/>
      <c r="C1886" s="74"/>
      <c r="D1886" s="75"/>
      <c r="E1886" s="85"/>
      <c r="F1886" s="161"/>
      <c r="G1886" s="76"/>
      <c r="H1886" s="87"/>
      <c r="I1886" s="75"/>
      <c r="J1886" s="75"/>
      <c r="K1886" s="75"/>
      <c r="L1886" s="88"/>
      <c r="M1886" s="77"/>
      <c r="N1886" s="77"/>
      <c r="O1886" s="78"/>
      <c r="S1886" s="148"/>
      <c r="T1886"/>
      <c r="U1886"/>
    </row>
    <row r="1887" spans="1:21" x14ac:dyDescent="0.2">
      <c r="A1887" s="73"/>
      <c r="B1887" s="73"/>
      <c r="C1887" s="74"/>
      <c r="D1887" s="75"/>
      <c r="E1887" s="85"/>
      <c r="F1887" s="161"/>
      <c r="G1887" s="76"/>
      <c r="H1887" s="87"/>
      <c r="I1887" s="75"/>
      <c r="J1887" s="75"/>
      <c r="K1887" s="75"/>
      <c r="L1887" s="88"/>
      <c r="M1887" s="77"/>
      <c r="N1887" s="77"/>
      <c r="O1887" s="78"/>
      <c r="S1887" s="148"/>
      <c r="T1887"/>
      <c r="U1887"/>
    </row>
    <row r="1888" spans="1:21" x14ac:dyDescent="0.2">
      <c r="A1888" s="73"/>
      <c r="B1888" s="73"/>
      <c r="C1888" s="74"/>
      <c r="D1888" s="75"/>
      <c r="E1888" s="85"/>
      <c r="F1888" s="161"/>
      <c r="G1888" s="76"/>
      <c r="H1888" s="87"/>
      <c r="I1888" s="75"/>
      <c r="J1888" s="75"/>
      <c r="K1888" s="75"/>
      <c r="L1888" s="88"/>
      <c r="M1888" s="77"/>
      <c r="N1888" s="77"/>
      <c r="O1888" s="78"/>
      <c r="S1888" s="148"/>
      <c r="T1888"/>
      <c r="U1888"/>
    </row>
    <row r="1889" spans="1:21" x14ac:dyDescent="0.2">
      <c r="A1889" s="73"/>
      <c r="B1889" s="73"/>
      <c r="C1889" s="74"/>
      <c r="D1889" s="75"/>
      <c r="E1889" s="85"/>
      <c r="F1889" s="161"/>
      <c r="G1889" s="76"/>
      <c r="H1889" s="87"/>
      <c r="I1889" s="75"/>
      <c r="J1889" s="75"/>
      <c r="K1889" s="75"/>
      <c r="L1889" s="88"/>
      <c r="M1889" s="77"/>
      <c r="N1889" s="77"/>
      <c r="O1889" s="78"/>
      <c r="S1889" s="148"/>
      <c r="T1889"/>
      <c r="U1889"/>
    </row>
    <row r="1890" spans="1:21" x14ac:dyDescent="0.2">
      <c r="A1890" s="73"/>
      <c r="B1890" s="73"/>
      <c r="C1890" s="74"/>
      <c r="D1890" s="75"/>
      <c r="E1890" s="85"/>
      <c r="F1890" s="161"/>
      <c r="G1890" s="76"/>
      <c r="H1890" s="87"/>
      <c r="I1890" s="75"/>
      <c r="J1890" s="75"/>
      <c r="K1890" s="75"/>
      <c r="L1890" s="88"/>
      <c r="M1890" s="77"/>
      <c r="N1890" s="77"/>
      <c r="O1890" s="78"/>
      <c r="S1890" s="148"/>
      <c r="T1890"/>
      <c r="U1890"/>
    </row>
    <row r="1891" spans="1:21" x14ac:dyDescent="0.2">
      <c r="A1891" s="73"/>
      <c r="B1891" s="73"/>
      <c r="C1891" s="74"/>
      <c r="D1891" s="75"/>
      <c r="E1891" s="85"/>
      <c r="F1891" s="161"/>
      <c r="G1891" s="76"/>
      <c r="H1891" s="87"/>
      <c r="I1891" s="75"/>
      <c r="J1891" s="75"/>
      <c r="K1891" s="75"/>
      <c r="L1891" s="163"/>
      <c r="M1891" s="77"/>
      <c r="N1891" s="77"/>
      <c r="O1891" s="78"/>
      <c r="S1891" s="148"/>
      <c r="T1891"/>
      <c r="U1891"/>
    </row>
    <row r="1892" spans="1:21" x14ac:dyDescent="0.2">
      <c r="A1892" s="73"/>
      <c r="B1892" s="73"/>
      <c r="C1892" s="74"/>
      <c r="D1892" s="75"/>
      <c r="E1892" s="85"/>
      <c r="F1892" s="161"/>
      <c r="G1892" s="76"/>
      <c r="H1892" s="87"/>
      <c r="I1892" s="75"/>
      <c r="J1892" s="75"/>
      <c r="K1892" s="75"/>
      <c r="L1892" s="88"/>
      <c r="M1892" s="77"/>
      <c r="N1892" s="77"/>
      <c r="O1892" s="78"/>
      <c r="S1892" s="148"/>
      <c r="T1892"/>
      <c r="U1892"/>
    </row>
    <row r="1893" spans="1:21" x14ac:dyDescent="0.2">
      <c r="A1893" s="73"/>
      <c r="B1893" s="73"/>
      <c r="C1893" s="74"/>
      <c r="D1893" s="75"/>
      <c r="E1893" s="85"/>
      <c r="F1893" s="161"/>
      <c r="G1893" s="76"/>
      <c r="H1893" s="87"/>
      <c r="I1893" s="75"/>
      <c r="J1893" s="75"/>
      <c r="K1893" s="75"/>
      <c r="L1893" s="88"/>
      <c r="M1893" s="77"/>
      <c r="N1893" s="77"/>
      <c r="O1893" s="78"/>
      <c r="S1893" s="148"/>
      <c r="T1893"/>
      <c r="U1893"/>
    </row>
    <row r="1894" spans="1:21" x14ac:dyDescent="0.2">
      <c r="A1894" s="73"/>
      <c r="B1894" s="73"/>
      <c r="C1894" s="74"/>
      <c r="D1894" s="75"/>
      <c r="E1894" s="85"/>
      <c r="F1894" s="161"/>
      <c r="G1894" s="76"/>
      <c r="H1894" s="87"/>
      <c r="I1894" s="75"/>
      <c r="J1894" s="75"/>
      <c r="K1894" s="75"/>
      <c r="L1894" s="88"/>
      <c r="M1894" s="77"/>
      <c r="N1894" s="77"/>
      <c r="O1894" s="78"/>
      <c r="S1894" s="148"/>
      <c r="T1894"/>
      <c r="U1894"/>
    </row>
    <row r="1895" spans="1:21" x14ac:dyDescent="0.2">
      <c r="A1895" s="73"/>
      <c r="B1895" s="73"/>
      <c r="C1895" s="74"/>
      <c r="D1895" s="75"/>
      <c r="E1895" s="85"/>
      <c r="F1895" s="161"/>
      <c r="G1895" s="76"/>
      <c r="H1895" s="87"/>
      <c r="I1895" s="75"/>
      <c r="J1895" s="75"/>
      <c r="K1895" s="75"/>
      <c r="L1895" s="88"/>
      <c r="M1895" s="77"/>
      <c r="N1895" s="77"/>
      <c r="O1895" s="78"/>
      <c r="S1895" s="148"/>
      <c r="T1895"/>
      <c r="U1895"/>
    </row>
    <row r="1896" spans="1:21" x14ac:dyDescent="0.2">
      <c r="A1896" s="73"/>
      <c r="B1896" s="73"/>
      <c r="C1896" s="74"/>
      <c r="D1896" s="75"/>
      <c r="E1896" s="85"/>
      <c r="F1896" s="161"/>
      <c r="G1896" s="76"/>
      <c r="H1896" s="87"/>
      <c r="I1896" s="75"/>
      <c r="J1896" s="75"/>
      <c r="K1896" s="75"/>
      <c r="L1896" s="88"/>
      <c r="M1896" s="77"/>
      <c r="N1896" s="77"/>
      <c r="O1896" s="78"/>
      <c r="S1896" s="148"/>
      <c r="T1896"/>
      <c r="U1896"/>
    </row>
    <row r="1897" spans="1:21" x14ac:dyDescent="0.2">
      <c r="A1897" s="73"/>
      <c r="B1897" s="73"/>
      <c r="C1897" s="74"/>
      <c r="D1897" s="75"/>
      <c r="E1897" s="85"/>
      <c r="F1897" s="161"/>
      <c r="G1897" s="76"/>
      <c r="H1897" s="87"/>
      <c r="I1897" s="75"/>
      <c r="J1897" s="75"/>
      <c r="K1897" s="75"/>
      <c r="L1897" s="88"/>
      <c r="M1897" s="77"/>
      <c r="N1897" s="77"/>
      <c r="O1897" s="78"/>
      <c r="S1897" s="148"/>
      <c r="T1897"/>
      <c r="U1897"/>
    </row>
    <row r="1898" spans="1:21" x14ac:dyDescent="0.2">
      <c r="A1898" s="73"/>
      <c r="B1898" s="73"/>
      <c r="C1898" s="74"/>
      <c r="D1898" s="75"/>
      <c r="E1898" s="85"/>
      <c r="F1898" s="161"/>
      <c r="G1898" s="76"/>
      <c r="H1898" s="87"/>
      <c r="I1898" s="75"/>
      <c r="J1898" s="75"/>
      <c r="K1898" s="75"/>
      <c r="L1898" s="88"/>
      <c r="M1898" s="77"/>
      <c r="N1898" s="77"/>
      <c r="O1898" s="78"/>
      <c r="S1898" s="148"/>
      <c r="T1898"/>
      <c r="U1898"/>
    </row>
    <row r="1899" spans="1:21" x14ac:dyDescent="0.2">
      <c r="A1899" s="73"/>
      <c r="B1899" s="73"/>
      <c r="C1899" s="74"/>
      <c r="D1899" s="75"/>
      <c r="E1899" s="85"/>
      <c r="F1899" s="161"/>
      <c r="G1899" s="76"/>
      <c r="H1899" s="87"/>
      <c r="I1899" s="75"/>
      <c r="J1899" s="75"/>
      <c r="K1899" s="75"/>
      <c r="L1899" s="88"/>
      <c r="M1899" s="77"/>
      <c r="N1899" s="77"/>
      <c r="O1899" s="78"/>
      <c r="S1899" s="148"/>
      <c r="T1899"/>
      <c r="U1899"/>
    </row>
    <row r="1900" spans="1:21" x14ac:dyDescent="0.2">
      <c r="A1900" s="73"/>
      <c r="B1900" s="73"/>
      <c r="C1900" s="74"/>
      <c r="D1900" s="75"/>
      <c r="E1900" s="85"/>
      <c r="F1900" s="161"/>
      <c r="G1900" s="76"/>
      <c r="H1900" s="87"/>
      <c r="I1900" s="75"/>
      <c r="J1900" s="75"/>
      <c r="K1900" s="75"/>
      <c r="L1900" s="88"/>
      <c r="M1900" s="77"/>
      <c r="N1900" s="77"/>
      <c r="O1900" s="78"/>
      <c r="S1900" s="148"/>
      <c r="T1900"/>
      <c r="U1900"/>
    </row>
    <row r="1901" spans="1:21" x14ac:dyDescent="0.2">
      <c r="A1901" s="73"/>
      <c r="B1901" s="73"/>
      <c r="C1901" s="74"/>
      <c r="D1901" s="75"/>
      <c r="E1901" s="85"/>
      <c r="F1901" s="161"/>
      <c r="G1901" s="76"/>
      <c r="H1901" s="87"/>
      <c r="I1901" s="75"/>
      <c r="J1901" s="75"/>
      <c r="K1901" s="75"/>
      <c r="L1901" s="88"/>
      <c r="M1901" s="77"/>
      <c r="N1901" s="77"/>
      <c r="O1901" s="78"/>
      <c r="S1901" s="148"/>
      <c r="T1901"/>
      <c r="U1901"/>
    </row>
    <row r="1902" spans="1:21" x14ac:dyDescent="0.2">
      <c r="A1902" s="73"/>
      <c r="B1902" s="73"/>
      <c r="C1902" s="74"/>
      <c r="D1902" s="75"/>
      <c r="E1902" s="85"/>
      <c r="F1902" s="161"/>
      <c r="G1902" s="76"/>
      <c r="H1902" s="87"/>
      <c r="I1902" s="75"/>
      <c r="J1902" s="75"/>
      <c r="K1902" s="75"/>
      <c r="L1902" s="88"/>
      <c r="M1902" s="77"/>
      <c r="N1902" s="77"/>
      <c r="O1902" s="78"/>
      <c r="S1902" s="148"/>
      <c r="T1902"/>
      <c r="U1902"/>
    </row>
    <row r="1903" spans="1:21" x14ac:dyDescent="0.2">
      <c r="A1903" s="73"/>
      <c r="B1903" s="73"/>
      <c r="C1903" s="74"/>
      <c r="D1903" s="75"/>
      <c r="E1903" s="85"/>
      <c r="F1903" s="161"/>
      <c r="G1903" s="76"/>
      <c r="H1903" s="87"/>
      <c r="I1903" s="75"/>
      <c r="J1903" s="75"/>
      <c r="K1903" s="75"/>
      <c r="L1903" s="88"/>
      <c r="M1903" s="77"/>
      <c r="N1903" s="77"/>
      <c r="O1903" s="78"/>
      <c r="S1903" s="148"/>
      <c r="T1903"/>
      <c r="U1903"/>
    </row>
    <row r="1904" spans="1:21" x14ac:dyDescent="0.2">
      <c r="A1904" s="73"/>
      <c r="B1904" s="73"/>
      <c r="C1904" s="74"/>
      <c r="D1904" s="75"/>
      <c r="E1904" s="85"/>
      <c r="F1904" s="161"/>
      <c r="G1904" s="76"/>
      <c r="H1904" s="87"/>
      <c r="I1904" s="75"/>
      <c r="J1904" s="75"/>
      <c r="K1904" s="75"/>
      <c r="L1904" s="88"/>
      <c r="M1904" s="77"/>
      <c r="N1904" s="77"/>
      <c r="O1904" s="78"/>
      <c r="S1904" s="148"/>
      <c r="T1904"/>
      <c r="U1904"/>
    </row>
    <row r="1905" spans="1:21" x14ac:dyDescent="0.2">
      <c r="A1905" s="73"/>
      <c r="B1905" s="73"/>
      <c r="C1905" s="74"/>
      <c r="D1905" s="75"/>
      <c r="E1905" s="85"/>
      <c r="F1905" s="161"/>
      <c r="G1905" s="76"/>
      <c r="H1905" s="87"/>
      <c r="I1905" s="75"/>
      <c r="J1905" s="75"/>
      <c r="K1905" s="75"/>
      <c r="L1905" s="88"/>
      <c r="M1905" s="77"/>
      <c r="N1905" s="77"/>
      <c r="O1905" s="78"/>
      <c r="S1905" s="148"/>
      <c r="T1905"/>
      <c r="U1905"/>
    </row>
    <row r="1906" spans="1:21" x14ac:dyDescent="0.2">
      <c r="A1906" s="73"/>
      <c r="B1906" s="73"/>
      <c r="C1906" s="74"/>
      <c r="D1906" s="75"/>
      <c r="E1906" s="85"/>
      <c r="F1906" s="161"/>
      <c r="G1906" s="76"/>
      <c r="H1906" s="87"/>
      <c r="I1906" s="75"/>
      <c r="J1906" s="75"/>
      <c r="K1906" s="75"/>
      <c r="L1906" s="88"/>
      <c r="M1906" s="77"/>
      <c r="N1906" s="77"/>
      <c r="O1906" s="78"/>
      <c r="S1906" s="148"/>
      <c r="T1906"/>
      <c r="U1906"/>
    </row>
    <row r="1907" spans="1:21" x14ac:dyDescent="0.2">
      <c r="A1907" s="73"/>
      <c r="B1907" s="73"/>
      <c r="C1907" s="74"/>
      <c r="D1907" s="75"/>
      <c r="E1907" s="85"/>
      <c r="F1907" s="161"/>
      <c r="G1907" s="76"/>
      <c r="H1907" s="87"/>
      <c r="I1907" s="75"/>
      <c r="J1907" s="75"/>
      <c r="K1907" s="75"/>
      <c r="L1907" s="88"/>
      <c r="M1907" s="77"/>
      <c r="N1907" s="77"/>
      <c r="O1907" s="78"/>
      <c r="S1907" s="148"/>
      <c r="T1907"/>
      <c r="U1907"/>
    </row>
    <row r="1908" spans="1:21" x14ac:dyDescent="0.2">
      <c r="A1908" s="73"/>
      <c r="B1908" s="73"/>
      <c r="C1908" s="74"/>
      <c r="D1908" s="75"/>
      <c r="E1908" s="85"/>
      <c r="F1908" s="161"/>
      <c r="G1908" s="76"/>
      <c r="H1908" s="87"/>
      <c r="I1908" s="75"/>
      <c r="J1908" s="75"/>
      <c r="K1908" s="75"/>
      <c r="L1908" s="88"/>
      <c r="M1908" s="77"/>
      <c r="N1908" s="77"/>
      <c r="O1908" s="78"/>
      <c r="S1908" s="148"/>
      <c r="T1908"/>
      <c r="U1908"/>
    </row>
    <row r="1909" spans="1:21" x14ac:dyDescent="0.2">
      <c r="A1909" s="73"/>
      <c r="B1909" s="73"/>
      <c r="C1909" s="74"/>
      <c r="D1909" s="75"/>
      <c r="E1909" s="85"/>
      <c r="F1909" s="161"/>
      <c r="G1909" s="76"/>
      <c r="H1909" s="87"/>
      <c r="I1909" s="75"/>
      <c r="J1909" s="75"/>
      <c r="K1909" s="75"/>
      <c r="L1909" s="88"/>
      <c r="M1909" s="77"/>
      <c r="N1909" s="77"/>
      <c r="O1909" s="78"/>
      <c r="S1909" s="148"/>
      <c r="T1909"/>
      <c r="U1909"/>
    </row>
    <row r="1910" spans="1:21" x14ac:dyDescent="0.2">
      <c r="A1910" s="73"/>
      <c r="B1910" s="73"/>
      <c r="C1910" s="74"/>
      <c r="D1910" s="75"/>
      <c r="E1910" s="85"/>
      <c r="F1910" s="161"/>
      <c r="G1910" s="76"/>
      <c r="H1910" s="87"/>
      <c r="I1910" s="75"/>
      <c r="J1910" s="75"/>
      <c r="K1910" s="75"/>
      <c r="L1910" s="88"/>
      <c r="M1910" s="77"/>
      <c r="N1910" s="77"/>
      <c r="O1910" s="78"/>
      <c r="S1910" s="148"/>
      <c r="T1910"/>
      <c r="U1910"/>
    </row>
    <row r="1911" spans="1:21" x14ac:dyDescent="0.2">
      <c r="A1911" s="73"/>
      <c r="B1911" s="73"/>
      <c r="C1911" s="74"/>
      <c r="D1911" s="75"/>
      <c r="E1911" s="85"/>
      <c r="F1911" s="161"/>
      <c r="G1911" s="76"/>
      <c r="H1911" s="87"/>
      <c r="I1911" s="75"/>
      <c r="J1911" s="75"/>
      <c r="K1911" s="75"/>
      <c r="L1911" s="88"/>
      <c r="M1911" s="77"/>
      <c r="N1911" s="77"/>
      <c r="O1911" s="78"/>
      <c r="S1911" s="148"/>
      <c r="T1911"/>
      <c r="U1911"/>
    </row>
    <row r="1912" spans="1:21" x14ac:dyDescent="0.2">
      <c r="A1912" s="73"/>
      <c r="B1912" s="73"/>
      <c r="C1912" s="74"/>
      <c r="D1912" s="75"/>
      <c r="E1912" s="85"/>
      <c r="F1912" s="161"/>
      <c r="G1912" s="76"/>
      <c r="H1912" s="87"/>
      <c r="I1912" s="75"/>
      <c r="J1912" s="75"/>
      <c r="K1912" s="75"/>
      <c r="L1912" s="88"/>
      <c r="M1912" s="77"/>
      <c r="N1912" s="77"/>
      <c r="O1912" s="78"/>
      <c r="S1912" s="148"/>
      <c r="T1912"/>
      <c r="U1912"/>
    </row>
    <row r="1913" spans="1:21" x14ac:dyDescent="0.2">
      <c r="A1913" s="73"/>
      <c r="B1913" s="73"/>
      <c r="C1913" s="74"/>
      <c r="D1913" s="75"/>
      <c r="E1913" s="85"/>
      <c r="F1913" s="161"/>
      <c r="G1913" s="76"/>
      <c r="H1913" s="87"/>
      <c r="I1913" s="75"/>
      <c r="J1913" s="75"/>
      <c r="K1913" s="75"/>
      <c r="L1913" s="88"/>
      <c r="M1913" s="77"/>
      <c r="N1913" s="77"/>
      <c r="O1913" s="78"/>
      <c r="S1913" s="148"/>
      <c r="T1913"/>
      <c r="U1913"/>
    </row>
    <row r="1914" spans="1:21" x14ac:dyDescent="0.2">
      <c r="A1914" s="73"/>
      <c r="B1914" s="73"/>
      <c r="C1914" s="74"/>
      <c r="D1914" s="75"/>
      <c r="E1914" s="85"/>
      <c r="F1914" s="161"/>
      <c r="G1914" s="76"/>
      <c r="H1914" s="87"/>
      <c r="I1914" s="75"/>
      <c r="J1914" s="75"/>
      <c r="K1914" s="75"/>
      <c r="L1914" s="88"/>
      <c r="M1914" s="77"/>
      <c r="N1914" s="77"/>
      <c r="O1914" s="78"/>
      <c r="S1914" s="148"/>
      <c r="T1914"/>
      <c r="U1914"/>
    </row>
    <row r="1915" spans="1:21" x14ac:dyDescent="0.2">
      <c r="A1915" s="73"/>
      <c r="B1915" s="73"/>
      <c r="C1915" s="74"/>
      <c r="D1915" s="75"/>
      <c r="E1915" s="85"/>
      <c r="F1915" s="161"/>
      <c r="G1915" s="76"/>
      <c r="H1915" s="87"/>
      <c r="I1915" s="75"/>
      <c r="J1915" s="75"/>
      <c r="K1915" s="75"/>
      <c r="L1915" s="88"/>
      <c r="M1915" s="77"/>
      <c r="N1915" s="77"/>
      <c r="O1915" s="78"/>
      <c r="S1915" s="148"/>
      <c r="T1915"/>
      <c r="U1915"/>
    </row>
    <row r="1916" spans="1:21" x14ac:dyDescent="0.2">
      <c r="A1916" s="73"/>
      <c r="B1916" s="73"/>
      <c r="C1916" s="74"/>
      <c r="D1916" s="75"/>
      <c r="E1916" s="85"/>
      <c r="F1916" s="161"/>
      <c r="G1916" s="76"/>
      <c r="H1916" s="87"/>
      <c r="I1916" s="75"/>
      <c r="J1916" s="75"/>
      <c r="K1916" s="75"/>
      <c r="L1916" s="88"/>
      <c r="M1916" s="77"/>
      <c r="N1916" s="77"/>
      <c r="O1916" s="78"/>
      <c r="S1916" s="148"/>
      <c r="T1916"/>
      <c r="U1916"/>
    </row>
    <row r="1917" spans="1:21" x14ac:dyDescent="0.2">
      <c r="A1917" s="73"/>
      <c r="B1917" s="73"/>
      <c r="C1917" s="74"/>
      <c r="D1917" s="75"/>
      <c r="E1917" s="85"/>
      <c r="F1917" s="161"/>
      <c r="G1917" s="76"/>
      <c r="H1917" s="87"/>
      <c r="I1917" s="75"/>
      <c r="J1917" s="75"/>
      <c r="K1917" s="75"/>
      <c r="L1917" s="88"/>
      <c r="M1917" s="77"/>
      <c r="N1917" s="77"/>
      <c r="O1917" s="78"/>
      <c r="S1917" s="148"/>
      <c r="T1917"/>
      <c r="U1917"/>
    </row>
    <row r="1918" spans="1:21" x14ac:dyDescent="0.2">
      <c r="A1918" s="73"/>
      <c r="B1918" s="73"/>
      <c r="C1918" s="74"/>
      <c r="D1918" s="75"/>
      <c r="E1918" s="85"/>
      <c r="F1918" s="161"/>
      <c r="G1918" s="76"/>
      <c r="H1918" s="87"/>
      <c r="I1918" s="75"/>
      <c r="J1918" s="75"/>
      <c r="K1918" s="75"/>
      <c r="L1918" s="88"/>
      <c r="M1918" s="77"/>
      <c r="N1918" s="77"/>
      <c r="O1918" s="78"/>
      <c r="S1918" s="148"/>
      <c r="T1918"/>
      <c r="U1918"/>
    </row>
    <row r="1919" spans="1:21" x14ac:dyDescent="0.2">
      <c r="A1919" s="73"/>
      <c r="B1919" s="73"/>
      <c r="C1919" s="74"/>
      <c r="D1919" s="75"/>
      <c r="E1919" s="85"/>
      <c r="F1919" s="161"/>
      <c r="G1919" s="76"/>
      <c r="H1919" s="87"/>
      <c r="I1919" s="75"/>
      <c r="J1919" s="75"/>
      <c r="K1919" s="75"/>
      <c r="L1919" s="88"/>
      <c r="M1919" s="77"/>
      <c r="N1919" s="77"/>
      <c r="O1919" s="78"/>
      <c r="S1919" s="148"/>
      <c r="T1919"/>
      <c r="U1919"/>
    </row>
    <row r="1920" spans="1:21" x14ac:dyDescent="0.2">
      <c r="A1920" s="73"/>
      <c r="B1920" s="73"/>
      <c r="C1920" s="74"/>
      <c r="D1920" s="75"/>
      <c r="E1920" s="85"/>
      <c r="F1920" s="161"/>
      <c r="G1920" s="76"/>
      <c r="H1920" s="87"/>
      <c r="I1920" s="75"/>
      <c r="J1920" s="75"/>
      <c r="K1920" s="75"/>
      <c r="L1920" s="88"/>
      <c r="M1920" s="77"/>
      <c r="N1920" s="77"/>
      <c r="O1920" s="78"/>
      <c r="S1920" s="148"/>
      <c r="T1920"/>
      <c r="U1920"/>
    </row>
    <row r="1921" spans="1:21" x14ac:dyDescent="0.2">
      <c r="A1921" s="73"/>
      <c r="B1921" s="73"/>
      <c r="C1921" s="74"/>
      <c r="D1921" s="75"/>
      <c r="E1921" s="85"/>
      <c r="F1921" s="161"/>
      <c r="G1921" s="76"/>
      <c r="H1921" s="87"/>
      <c r="I1921" s="75"/>
      <c r="J1921" s="75"/>
      <c r="K1921" s="75"/>
      <c r="L1921" s="88"/>
      <c r="M1921" s="77"/>
      <c r="N1921" s="77"/>
      <c r="O1921" s="78"/>
      <c r="S1921" s="148"/>
      <c r="T1921"/>
      <c r="U1921"/>
    </row>
    <row r="1922" spans="1:21" x14ac:dyDescent="0.2">
      <c r="A1922" s="73"/>
      <c r="B1922" s="73"/>
      <c r="C1922" s="74"/>
      <c r="D1922" s="75"/>
      <c r="E1922" s="85"/>
      <c r="F1922" s="161"/>
      <c r="G1922" s="76"/>
      <c r="H1922" s="87"/>
      <c r="I1922" s="75"/>
      <c r="J1922" s="75"/>
      <c r="K1922" s="75"/>
      <c r="L1922" s="88"/>
      <c r="M1922" s="77"/>
      <c r="N1922" s="77"/>
      <c r="O1922" s="78"/>
      <c r="S1922" s="148"/>
      <c r="T1922"/>
      <c r="U1922"/>
    </row>
    <row r="1923" spans="1:21" x14ac:dyDescent="0.2">
      <c r="A1923" s="73"/>
      <c r="B1923" s="73"/>
      <c r="C1923" s="74"/>
      <c r="D1923" s="75"/>
      <c r="E1923" s="85"/>
      <c r="F1923" s="161"/>
      <c r="G1923" s="76"/>
      <c r="H1923" s="87"/>
      <c r="I1923" s="75"/>
      <c r="J1923" s="75"/>
      <c r="K1923" s="75"/>
      <c r="L1923" s="88"/>
      <c r="M1923" s="77"/>
      <c r="N1923" s="77"/>
      <c r="O1923" s="78"/>
      <c r="S1923" s="148"/>
      <c r="T1923"/>
      <c r="U1923"/>
    </row>
    <row r="1924" spans="1:21" x14ac:dyDescent="0.2">
      <c r="A1924" s="73"/>
      <c r="B1924" s="73"/>
      <c r="C1924" s="74"/>
      <c r="D1924" s="75"/>
      <c r="E1924" s="85"/>
      <c r="F1924" s="161"/>
      <c r="G1924" s="76"/>
      <c r="H1924" s="87"/>
      <c r="I1924" s="75"/>
      <c r="J1924" s="75"/>
      <c r="K1924" s="75"/>
      <c r="L1924" s="88"/>
      <c r="M1924" s="77"/>
      <c r="N1924" s="77"/>
      <c r="O1924" s="78"/>
      <c r="S1924" s="148"/>
      <c r="T1924"/>
      <c r="U1924"/>
    </row>
    <row r="1925" spans="1:21" x14ac:dyDescent="0.2">
      <c r="A1925" s="73"/>
      <c r="B1925" s="73"/>
      <c r="C1925" s="74"/>
      <c r="D1925" s="75"/>
      <c r="E1925" s="85"/>
      <c r="F1925" s="161"/>
      <c r="G1925" s="76"/>
      <c r="H1925" s="87"/>
      <c r="I1925" s="75"/>
      <c r="J1925" s="75"/>
      <c r="K1925" s="75"/>
      <c r="L1925" s="88"/>
      <c r="M1925" s="77"/>
      <c r="N1925" s="77"/>
      <c r="O1925" s="78"/>
      <c r="S1925" s="148"/>
      <c r="T1925"/>
      <c r="U1925"/>
    </row>
    <row r="1926" spans="1:21" x14ac:dyDescent="0.2">
      <c r="A1926" s="73"/>
      <c r="B1926" s="73"/>
      <c r="C1926" s="74"/>
      <c r="D1926" s="75"/>
      <c r="E1926" s="85"/>
      <c r="F1926" s="161"/>
      <c r="G1926" s="76"/>
      <c r="H1926" s="87"/>
      <c r="I1926" s="75"/>
      <c r="J1926" s="75"/>
      <c r="K1926" s="75"/>
      <c r="L1926" s="88"/>
      <c r="M1926" s="77"/>
      <c r="N1926" s="77"/>
      <c r="O1926" s="78"/>
      <c r="S1926" s="148"/>
      <c r="T1926"/>
      <c r="U1926"/>
    </row>
    <row r="1927" spans="1:21" x14ac:dyDescent="0.2">
      <c r="A1927" s="73"/>
      <c r="B1927" s="73"/>
      <c r="C1927" s="74"/>
      <c r="D1927" s="75"/>
      <c r="E1927" s="85"/>
      <c r="F1927" s="161"/>
      <c r="G1927" s="76"/>
      <c r="H1927" s="87"/>
      <c r="I1927" s="75"/>
      <c r="J1927" s="75"/>
      <c r="K1927" s="75"/>
      <c r="L1927" s="88"/>
      <c r="M1927" s="77"/>
      <c r="N1927" s="77"/>
      <c r="O1927" s="78"/>
      <c r="S1927" s="148"/>
      <c r="T1927"/>
      <c r="U1927"/>
    </row>
    <row r="1928" spans="1:21" x14ac:dyDescent="0.2">
      <c r="A1928" s="73"/>
      <c r="B1928" s="73"/>
      <c r="C1928" s="74"/>
      <c r="D1928" s="75"/>
      <c r="E1928" s="85"/>
      <c r="F1928" s="161"/>
      <c r="G1928" s="76"/>
      <c r="H1928" s="87"/>
      <c r="I1928" s="75"/>
      <c r="J1928" s="75"/>
      <c r="K1928" s="75"/>
      <c r="L1928" s="88"/>
      <c r="M1928" s="77"/>
      <c r="N1928" s="77"/>
      <c r="O1928" s="78"/>
      <c r="S1928" s="148"/>
      <c r="T1928"/>
      <c r="U1928"/>
    </row>
    <row r="1929" spans="1:21" x14ac:dyDescent="0.2">
      <c r="A1929" s="73"/>
      <c r="B1929" s="73"/>
      <c r="C1929" s="74"/>
      <c r="D1929" s="75"/>
      <c r="E1929" s="85"/>
      <c r="F1929" s="161"/>
      <c r="G1929" s="76"/>
      <c r="H1929" s="87"/>
      <c r="I1929" s="75"/>
      <c r="J1929" s="75"/>
      <c r="K1929" s="75"/>
      <c r="L1929" s="88"/>
      <c r="M1929" s="77"/>
      <c r="N1929" s="77"/>
      <c r="O1929" s="78"/>
      <c r="S1929" s="148"/>
      <c r="T1929"/>
      <c r="U1929"/>
    </row>
    <row r="1930" spans="1:21" x14ac:dyDescent="0.2">
      <c r="A1930" s="73"/>
      <c r="B1930" s="73"/>
      <c r="C1930" s="74"/>
      <c r="D1930" s="75"/>
      <c r="E1930" s="85"/>
      <c r="F1930" s="161"/>
      <c r="G1930" s="76"/>
      <c r="H1930" s="87"/>
      <c r="I1930" s="75"/>
      <c r="J1930" s="75"/>
      <c r="K1930" s="75"/>
      <c r="L1930" s="88"/>
      <c r="M1930" s="77"/>
      <c r="N1930" s="77"/>
      <c r="O1930" s="78"/>
      <c r="S1930" s="148"/>
      <c r="T1930"/>
      <c r="U1930"/>
    </row>
    <row r="1931" spans="1:21" x14ac:dyDescent="0.2">
      <c r="A1931" s="73"/>
      <c r="B1931" s="73"/>
      <c r="C1931" s="74"/>
      <c r="D1931" s="75"/>
      <c r="E1931" s="85"/>
      <c r="F1931" s="161"/>
      <c r="G1931" s="76"/>
      <c r="H1931" s="87"/>
      <c r="I1931" s="75"/>
      <c r="J1931" s="75"/>
      <c r="K1931" s="75"/>
      <c r="L1931" s="88"/>
      <c r="M1931" s="77"/>
      <c r="N1931" s="77"/>
      <c r="O1931" s="78"/>
      <c r="S1931" s="148"/>
      <c r="T1931"/>
      <c r="U1931"/>
    </row>
    <row r="1932" spans="1:21" x14ac:dyDescent="0.2">
      <c r="A1932" s="73"/>
      <c r="B1932" s="73"/>
      <c r="C1932" s="74"/>
      <c r="D1932" s="75"/>
      <c r="E1932" s="85"/>
      <c r="F1932" s="161"/>
      <c r="G1932" s="76"/>
      <c r="H1932" s="87"/>
      <c r="I1932" s="75"/>
      <c r="J1932" s="75"/>
      <c r="K1932" s="75"/>
      <c r="L1932" s="88"/>
      <c r="M1932" s="77"/>
      <c r="N1932" s="77"/>
      <c r="O1932" s="78"/>
      <c r="S1932" s="148"/>
      <c r="T1932"/>
      <c r="U1932"/>
    </row>
    <row r="1933" spans="1:21" x14ac:dyDescent="0.2">
      <c r="A1933" s="73"/>
      <c r="B1933" s="73"/>
      <c r="C1933" s="74"/>
      <c r="D1933" s="75"/>
      <c r="E1933" s="85"/>
      <c r="F1933" s="161"/>
      <c r="G1933" s="76"/>
      <c r="H1933" s="87"/>
      <c r="I1933" s="75"/>
      <c r="J1933" s="75"/>
      <c r="K1933" s="75"/>
      <c r="L1933" s="88"/>
      <c r="M1933" s="77"/>
      <c r="N1933" s="77"/>
      <c r="O1933" s="78"/>
      <c r="S1933" s="148"/>
      <c r="T1933"/>
      <c r="U1933"/>
    </row>
    <row r="1934" spans="1:21" x14ac:dyDescent="0.2">
      <c r="A1934" s="73"/>
      <c r="B1934" s="73"/>
      <c r="C1934" s="74"/>
      <c r="D1934" s="75"/>
      <c r="E1934" s="85"/>
      <c r="F1934" s="161"/>
      <c r="G1934" s="76"/>
      <c r="H1934" s="87"/>
      <c r="I1934" s="75"/>
      <c r="J1934" s="75"/>
      <c r="K1934" s="75"/>
      <c r="L1934" s="88"/>
      <c r="M1934" s="77"/>
      <c r="N1934" s="77"/>
      <c r="O1934" s="78"/>
      <c r="S1934" s="148"/>
      <c r="T1934"/>
      <c r="U1934"/>
    </row>
    <row r="1935" spans="1:21" x14ac:dyDescent="0.2">
      <c r="A1935" s="73"/>
      <c r="B1935" s="73"/>
      <c r="C1935" s="74"/>
      <c r="D1935" s="75"/>
      <c r="E1935" s="85"/>
      <c r="F1935" s="161"/>
      <c r="G1935" s="76"/>
      <c r="H1935" s="87"/>
      <c r="I1935" s="75"/>
      <c r="J1935" s="75"/>
      <c r="K1935" s="75"/>
      <c r="L1935" s="88"/>
      <c r="M1935" s="77"/>
      <c r="N1935" s="77"/>
      <c r="O1935" s="78"/>
      <c r="S1935" s="148"/>
      <c r="T1935"/>
      <c r="U1935"/>
    </row>
    <row r="1936" spans="1:21" x14ac:dyDescent="0.2">
      <c r="A1936" s="73"/>
      <c r="B1936" s="73"/>
      <c r="C1936" s="74"/>
      <c r="D1936" s="75"/>
      <c r="E1936" s="85"/>
      <c r="F1936" s="161"/>
      <c r="G1936" s="76"/>
      <c r="H1936" s="87"/>
      <c r="I1936" s="75"/>
      <c r="J1936" s="75"/>
      <c r="K1936" s="75"/>
      <c r="L1936" s="88"/>
      <c r="M1936" s="77"/>
      <c r="N1936" s="77"/>
      <c r="O1936" s="78"/>
      <c r="S1936" s="148"/>
      <c r="T1936"/>
      <c r="U1936"/>
    </row>
    <row r="1937" spans="1:21" x14ac:dyDescent="0.2">
      <c r="A1937" s="73"/>
      <c r="B1937" s="73"/>
      <c r="C1937" s="74"/>
      <c r="D1937" s="75"/>
      <c r="E1937" s="85"/>
      <c r="F1937" s="161"/>
      <c r="G1937" s="76"/>
      <c r="H1937" s="87"/>
      <c r="I1937" s="75"/>
      <c r="J1937" s="75"/>
      <c r="K1937" s="75"/>
      <c r="L1937" s="88"/>
      <c r="M1937" s="77"/>
      <c r="N1937" s="77"/>
      <c r="O1937" s="78"/>
      <c r="S1937" s="148"/>
      <c r="T1937"/>
      <c r="U1937"/>
    </row>
    <row r="1938" spans="1:21" x14ac:dyDescent="0.2">
      <c r="A1938" s="73"/>
      <c r="B1938" s="73"/>
      <c r="C1938" s="74"/>
      <c r="D1938" s="75"/>
      <c r="E1938" s="85"/>
      <c r="F1938" s="161"/>
      <c r="G1938" s="76"/>
      <c r="H1938" s="87"/>
      <c r="I1938" s="75"/>
      <c r="J1938" s="75"/>
      <c r="K1938" s="75"/>
      <c r="L1938" s="88"/>
      <c r="M1938" s="77"/>
      <c r="N1938" s="77"/>
      <c r="O1938" s="78"/>
      <c r="S1938" s="148"/>
      <c r="T1938"/>
      <c r="U1938"/>
    </row>
    <row r="1939" spans="1:21" x14ac:dyDescent="0.2">
      <c r="A1939" s="73"/>
      <c r="B1939" s="73"/>
      <c r="C1939" s="74"/>
      <c r="D1939" s="75"/>
      <c r="E1939" s="85"/>
      <c r="F1939" s="161"/>
      <c r="G1939" s="76"/>
      <c r="H1939" s="87"/>
      <c r="I1939" s="75"/>
      <c r="J1939" s="75"/>
      <c r="K1939" s="75"/>
      <c r="L1939" s="88"/>
      <c r="M1939" s="77"/>
      <c r="N1939" s="77"/>
      <c r="O1939" s="78"/>
      <c r="S1939" s="148"/>
      <c r="T1939"/>
      <c r="U1939"/>
    </row>
    <row r="1940" spans="1:21" x14ac:dyDescent="0.2">
      <c r="A1940" s="73"/>
      <c r="B1940" s="73"/>
      <c r="C1940" s="74"/>
      <c r="D1940" s="75"/>
      <c r="E1940" s="85"/>
      <c r="F1940" s="161"/>
      <c r="G1940" s="76"/>
      <c r="H1940" s="87"/>
      <c r="I1940" s="75"/>
      <c r="J1940" s="75"/>
      <c r="K1940" s="75"/>
      <c r="L1940" s="88"/>
      <c r="M1940" s="77"/>
      <c r="N1940" s="77"/>
      <c r="O1940" s="78"/>
      <c r="S1940" s="148"/>
      <c r="T1940"/>
      <c r="U1940"/>
    </row>
    <row r="1941" spans="1:21" x14ac:dyDescent="0.2">
      <c r="A1941" s="73"/>
      <c r="B1941" s="73"/>
      <c r="C1941" s="74"/>
      <c r="D1941" s="75"/>
      <c r="E1941" s="85"/>
      <c r="F1941" s="161"/>
      <c r="G1941" s="76"/>
      <c r="H1941" s="87"/>
      <c r="I1941" s="75"/>
      <c r="J1941" s="75"/>
      <c r="K1941" s="75"/>
      <c r="L1941" s="88"/>
      <c r="M1941" s="77"/>
      <c r="N1941" s="77"/>
      <c r="O1941" s="78"/>
      <c r="S1941" s="148"/>
      <c r="T1941"/>
      <c r="U1941"/>
    </row>
    <row r="1942" spans="1:21" x14ac:dyDescent="0.2">
      <c r="A1942" s="73"/>
      <c r="B1942" s="73"/>
      <c r="C1942" s="74"/>
      <c r="D1942" s="75"/>
      <c r="E1942" s="85"/>
      <c r="F1942" s="161"/>
      <c r="G1942" s="76"/>
      <c r="H1942" s="87"/>
      <c r="I1942" s="75"/>
      <c r="J1942" s="75"/>
      <c r="K1942" s="75"/>
      <c r="L1942" s="88"/>
      <c r="M1942" s="77"/>
      <c r="N1942" s="77"/>
      <c r="O1942" s="78"/>
      <c r="S1942" s="148"/>
      <c r="T1942"/>
      <c r="U1942"/>
    </row>
    <row r="1943" spans="1:21" x14ac:dyDescent="0.2">
      <c r="A1943" s="73"/>
      <c r="B1943" s="73"/>
      <c r="C1943" s="74"/>
      <c r="D1943" s="75"/>
      <c r="E1943" s="85"/>
      <c r="F1943" s="161"/>
      <c r="G1943" s="76"/>
      <c r="H1943" s="87"/>
      <c r="I1943" s="75"/>
      <c r="J1943" s="75"/>
      <c r="K1943" s="75"/>
      <c r="L1943" s="88"/>
      <c r="M1943" s="77"/>
      <c r="N1943" s="77"/>
      <c r="O1943" s="78"/>
      <c r="S1943" s="148"/>
      <c r="T1943"/>
      <c r="U1943"/>
    </row>
    <row r="1944" spans="1:21" x14ac:dyDescent="0.2">
      <c r="A1944" s="73"/>
      <c r="B1944" s="73"/>
      <c r="C1944" s="74"/>
      <c r="D1944" s="75"/>
      <c r="E1944" s="85"/>
      <c r="F1944" s="161"/>
      <c r="G1944" s="76"/>
      <c r="H1944" s="87"/>
      <c r="I1944" s="75"/>
      <c r="J1944" s="75"/>
      <c r="K1944" s="75"/>
      <c r="L1944" s="88"/>
      <c r="M1944" s="77"/>
      <c r="N1944" s="77"/>
      <c r="O1944" s="78"/>
      <c r="S1944" s="148"/>
      <c r="T1944"/>
      <c r="U1944"/>
    </row>
    <row r="1945" spans="1:21" x14ac:dyDescent="0.2">
      <c r="A1945" s="73"/>
      <c r="B1945" s="73"/>
      <c r="C1945" s="74"/>
      <c r="D1945" s="75"/>
      <c r="E1945" s="85"/>
      <c r="F1945" s="161"/>
      <c r="G1945" s="76"/>
      <c r="H1945" s="87"/>
      <c r="I1945" s="75"/>
      <c r="J1945" s="75"/>
      <c r="K1945" s="75"/>
      <c r="L1945" s="88"/>
      <c r="M1945" s="77"/>
      <c r="N1945" s="77"/>
      <c r="O1945" s="78"/>
      <c r="S1945" s="148"/>
      <c r="T1945"/>
      <c r="U1945"/>
    </row>
    <row r="1946" spans="1:21" x14ac:dyDescent="0.2">
      <c r="A1946" s="73"/>
      <c r="B1946" s="73"/>
      <c r="C1946" s="74"/>
      <c r="D1946" s="75"/>
      <c r="E1946" s="85"/>
      <c r="F1946" s="161"/>
      <c r="G1946" s="76"/>
      <c r="H1946" s="87"/>
      <c r="I1946" s="75"/>
      <c r="J1946" s="75"/>
      <c r="K1946" s="75"/>
      <c r="L1946" s="88"/>
      <c r="M1946" s="77"/>
      <c r="N1946" s="77"/>
      <c r="O1946" s="78"/>
      <c r="S1946" s="148"/>
      <c r="T1946"/>
      <c r="U1946"/>
    </row>
    <row r="1947" spans="1:21" x14ac:dyDescent="0.2">
      <c r="A1947" s="73"/>
      <c r="B1947" s="73"/>
      <c r="C1947" s="74"/>
      <c r="D1947" s="75"/>
      <c r="E1947" s="85"/>
      <c r="F1947" s="161"/>
      <c r="G1947" s="76"/>
      <c r="H1947" s="87"/>
      <c r="I1947" s="75"/>
      <c r="J1947" s="75"/>
      <c r="K1947" s="75"/>
      <c r="L1947" s="88"/>
      <c r="M1947" s="77"/>
      <c r="N1947" s="77"/>
      <c r="O1947" s="78"/>
      <c r="S1947" s="148"/>
      <c r="T1947"/>
      <c r="U1947"/>
    </row>
    <row r="1948" spans="1:21" x14ac:dyDescent="0.2">
      <c r="A1948" s="73"/>
      <c r="B1948" s="73"/>
      <c r="C1948" s="74"/>
      <c r="D1948" s="75"/>
      <c r="E1948" s="85"/>
      <c r="F1948" s="161"/>
      <c r="G1948" s="76"/>
      <c r="H1948" s="87"/>
      <c r="I1948" s="75"/>
      <c r="J1948" s="75"/>
      <c r="K1948" s="75"/>
      <c r="L1948" s="88"/>
      <c r="M1948" s="77"/>
      <c r="N1948" s="77"/>
      <c r="O1948" s="78"/>
      <c r="S1948" s="148"/>
      <c r="T1948"/>
      <c r="U1948"/>
    </row>
    <row r="1949" spans="1:21" x14ac:dyDescent="0.2">
      <c r="A1949" s="73"/>
      <c r="B1949" s="73"/>
      <c r="C1949" s="74"/>
      <c r="D1949" s="75"/>
      <c r="E1949" s="85"/>
      <c r="F1949" s="161"/>
      <c r="G1949" s="76"/>
      <c r="H1949" s="87"/>
      <c r="I1949" s="75"/>
      <c r="J1949" s="75"/>
      <c r="K1949" s="75"/>
      <c r="L1949" s="88"/>
      <c r="M1949" s="77"/>
      <c r="N1949" s="77"/>
      <c r="O1949" s="78"/>
      <c r="S1949" s="148"/>
      <c r="T1949"/>
      <c r="U1949"/>
    </row>
    <row r="1950" spans="1:21" x14ac:dyDescent="0.2">
      <c r="A1950" s="73"/>
      <c r="B1950" s="73"/>
      <c r="C1950" s="74"/>
      <c r="D1950" s="75"/>
      <c r="E1950" s="85"/>
      <c r="F1950" s="161"/>
      <c r="G1950" s="76"/>
      <c r="H1950" s="87"/>
      <c r="I1950" s="75"/>
      <c r="J1950" s="75"/>
      <c r="K1950" s="75"/>
      <c r="L1950" s="88"/>
      <c r="M1950" s="77"/>
      <c r="N1950" s="77"/>
      <c r="O1950" s="78"/>
      <c r="S1950" s="148"/>
      <c r="T1950"/>
      <c r="U1950"/>
    </row>
    <row r="1951" spans="1:21" x14ac:dyDescent="0.2">
      <c r="A1951" s="73"/>
      <c r="B1951" s="73"/>
      <c r="C1951" s="74"/>
      <c r="D1951" s="75"/>
      <c r="E1951" s="85"/>
      <c r="F1951" s="161"/>
      <c r="G1951" s="76"/>
      <c r="H1951" s="87"/>
      <c r="I1951" s="75"/>
      <c r="J1951" s="75"/>
      <c r="K1951" s="75"/>
      <c r="L1951" s="88"/>
      <c r="M1951" s="77"/>
      <c r="N1951" s="77"/>
      <c r="O1951" s="78"/>
      <c r="S1951" s="148"/>
      <c r="T1951"/>
      <c r="U1951"/>
    </row>
    <row r="1952" spans="1:21" x14ac:dyDescent="0.2">
      <c r="A1952" s="73"/>
      <c r="B1952" s="73"/>
      <c r="C1952" s="74"/>
      <c r="D1952" s="75"/>
      <c r="E1952" s="85"/>
      <c r="F1952" s="161"/>
      <c r="G1952" s="76"/>
      <c r="H1952" s="87"/>
      <c r="I1952" s="75"/>
      <c r="J1952" s="75"/>
      <c r="K1952" s="75"/>
      <c r="L1952" s="88"/>
      <c r="M1952" s="77"/>
      <c r="N1952" s="77"/>
      <c r="O1952" s="78"/>
      <c r="S1952" s="148"/>
      <c r="T1952"/>
      <c r="U1952"/>
    </row>
    <row r="1953" spans="1:21" x14ac:dyDescent="0.2">
      <c r="A1953" s="73"/>
      <c r="B1953" s="73"/>
      <c r="C1953" s="74"/>
      <c r="D1953" s="75"/>
      <c r="E1953" s="85"/>
      <c r="F1953" s="161"/>
      <c r="G1953" s="76"/>
      <c r="H1953" s="87"/>
      <c r="I1953" s="75"/>
      <c r="J1953" s="75"/>
      <c r="K1953" s="75"/>
      <c r="L1953" s="88"/>
      <c r="M1953" s="77"/>
      <c r="N1953" s="77"/>
      <c r="O1953" s="78"/>
      <c r="S1953" s="148"/>
      <c r="T1953"/>
      <c r="U1953"/>
    </row>
    <row r="1954" spans="1:21" x14ac:dyDescent="0.2">
      <c r="A1954" s="73"/>
      <c r="B1954" s="73"/>
      <c r="C1954" s="74"/>
      <c r="D1954" s="75"/>
      <c r="E1954" s="85"/>
      <c r="F1954" s="161"/>
      <c r="G1954" s="76"/>
      <c r="H1954" s="87"/>
      <c r="I1954" s="75"/>
      <c r="J1954" s="75"/>
      <c r="K1954" s="75"/>
      <c r="L1954" s="88"/>
      <c r="M1954" s="77"/>
      <c r="N1954" s="77"/>
      <c r="O1954" s="78"/>
      <c r="S1954" s="148"/>
      <c r="T1954"/>
      <c r="U1954"/>
    </row>
    <row r="1955" spans="1:21" x14ac:dyDescent="0.2">
      <c r="A1955" s="73"/>
      <c r="B1955" s="73"/>
      <c r="C1955" s="74"/>
      <c r="D1955" s="75"/>
      <c r="E1955" s="85"/>
      <c r="F1955" s="161"/>
      <c r="G1955" s="76"/>
      <c r="H1955" s="87"/>
      <c r="I1955" s="75"/>
      <c r="J1955" s="75"/>
      <c r="K1955" s="75"/>
      <c r="L1955" s="88"/>
      <c r="M1955" s="77"/>
      <c r="N1955" s="77"/>
      <c r="O1955" s="78"/>
      <c r="S1955" s="148"/>
      <c r="T1955"/>
      <c r="U1955"/>
    </row>
    <row r="1956" spans="1:21" x14ac:dyDescent="0.2">
      <c r="A1956" s="73"/>
      <c r="B1956" s="73"/>
      <c r="C1956" s="74"/>
      <c r="D1956" s="75"/>
      <c r="E1956" s="85"/>
      <c r="F1956" s="161"/>
      <c r="G1956" s="76"/>
      <c r="H1956" s="87"/>
      <c r="I1956" s="75"/>
      <c r="J1956" s="75"/>
      <c r="K1956" s="75"/>
      <c r="L1956" s="88"/>
      <c r="M1956" s="77"/>
      <c r="N1956" s="77"/>
      <c r="O1956" s="78"/>
      <c r="S1956" s="148"/>
      <c r="T1956"/>
      <c r="U1956"/>
    </row>
    <row r="1957" spans="1:21" x14ac:dyDescent="0.2">
      <c r="A1957" s="73"/>
      <c r="B1957" s="73"/>
      <c r="C1957" s="74"/>
      <c r="D1957" s="75"/>
      <c r="E1957" s="85"/>
      <c r="F1957" s="161"/>
      <c r="G1957" s="76"/>
      <c r="H1957" s="87"/>
      <c r="I1957" s="75"/>
      <c r="J1957" s="75"/>
      <c r="K1957" s="75"/>
      <c r="L1957" s="88"/>
      <c r="M1957" s="77"/>
      <c r="N1957" s="77"/>
      <c r="O1957" s="78"/>
      <c r="S1957" s="148"/>
      <c r="T1957"/>
      <c r="U1957"/>
    </row>
  </sheetData>
  <autoFilter ref="A8:AB1957"/>
  <sortState ref="A9:AB1957">
    <sortCondition ref="O5"/>
    <sortCondition ref="M5"/>
    <sortCondition ref="N5"/>
  </sortState>
  <mergeCells count="3">
    <mergeCell ref="A5:B5"/>
    <mergeCell ref="S6:U6"/>
    <mergeCell ref="V6:Z6"/>
  </mergeCells>
  <phoneticPr fontId="2" type="noConversion"/>
  <dataValidations disablePrompts="1" count="1">
    <dataValidation type="list" allowBlank="1" showInputMessage="1" showErrorMessage="1" sqref="C2">
      <formula1>"ВСЁ,Выделенный фрагмент"</formula1>
    </dataValidation>
  </dataValidations>
  <pageMargins left="0.15748031496062992" right="0.15748031496062992" top="0.51181102362204722" bottom="0.51181102362204722" header="0.19685039370078741" footer="0.11811023622047245"/>
  <pageSetup paperSize="9" scale="56" fitToHeight="1000" orientation="landscape" blackAndWhite="1" r:id="rId1"/>
  <headerFooter alignWithMargins="0">
    <oddHeader>&amp;L&amp;14по состоянию на 11.10.2016&amp;R&amp;14 &amp;UПрофессиональное суждение о классификации ссудной задолженности и расчете резерва</oddHeader>
    <oddFooter>&amp;L&amp;12Исп. Вацик В.А., вн. 1-86-40,
        Балиев Д.В., вн. 1-66-13&amp;C&amp;12стр. &amp;P из &amp;N&amp;R&amp;12УСКЗДО / 6487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8" name="Button 35">
              <controlPr defaultSize="0" print="0" autoFill="0" autoPict="0" macro="[0]!PrintRep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0</xdr:col>
                    <xdr:colOff>1476375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9" name="Button 37">
              <controlPr defaultSize="0" print="0" autoFill="0" autoPict="0" macro="[0]!SortRep">
                <anchor moveWithCells="1" sizeWithCells="1">
                  <from>
                    <xdr:col>12</xdr:col>
                    <xdr:colOff>57150</xdr:colOff>
                    <xdr:row>0</xdr:row>
                    <xdr:rowOff>38100</xdr:rowOff>
                  </from>
                  <to>
                    <xdr:col>14</xdr:col>
                    <xdr:colOff>1009650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10" name="Check Box 38">
              <controlPr defaultSize="0" autoFill="0" autoLine="0" autoPict="0">
                <anchor moveWithCells="1">
                  <from>
                    <xdr:col>5</xdr:col>
                    <xdr:colOff>295275</xdr:colOff>
                    <xdr:row>0</xdr:row>
                    <xdr:rowOff>333375</xdr:rowOff>
                  </from>
                  <to>
                    <xdr:col>5</xdr:col>
                    <xdr:colOff>600075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Z2527"/>
  <sheetViews>
    <sheetView zoomScale="85" workbookViewId="0">
      <selection activeCell="F51" sqref="F51"/>
    </sheetView>
  </sheetViews>
  <sheetFormatPr defaultRowHeight="12.75" x14ac:dyDescent="0.2"/>
  <cols>
    <col min="2" max="3" width="10.140625" bestFit="1" customWidth="1"/>
    <col min="4" max="4" width="10.140625" customWidth="1"/>
    <col min="7" max="7" width="10.140625" bestFit="1" customWidth="1"/>
    <col min="10" max="11" width="4.7109375" customWidth="1"/>
    <col min="14" max="14" width="4.7109375" customWidth="1"/>
    <col min="17" max="17" width="4.7109375" customWidth="1"/>
    <col min="20" max="20" width="4.7109375" customWidth="1"/>
    <col min="23" max="23" width="4.7109375" customWidth="1"/>
    <col min="26" max="26" width="4.7109375" customWidth="1"/>
  </cols>
  <sheetData>
    <row r="1" spans="1:26" x14ac:dyDescent="0.2">
      <c r="A1" t="s">
        <v>394</v>
      </c>
      <c r="F1" t="s">
        <v>548</v>
      </c>
      <c r="I1" t="s">
        <v>462</v>
      </c>
      <c r="M1" t="s">
        <v>552</v>
      </c>
      <c r="P1" t="s">
        <v>553</v>
      </c>
      <c r="S1" t="s">
        <v>554</v>
      </c>
      <c r="V1" t="s">
        <v>533</v>
      </c>
      <c r="Y1" t="s">
        <v>534</v>
      </c>
    </row>
    <row r="3" spans="1:26" ht="13.5" thickBot="1" x14ac:dyDescent="0.25">
      <c r="A3" s="13" t="s">
        <v>283</v>
      </c>
      <c r="B3" s="13" t="s">
        <v>196</v>
      </c>
      <c r="C3" s="13" t="s">
        <v>197</v>
      </c>
      <c r="D3" s="13" t="s">
        <v>537</v>
      </c>
      <c r="F3" s="13" t="s">
        <v>549</v>
      </c>
      <c r="G3" s="13" t="s">
        <v>550</v>
      </c>
      <c r="I3" s="13" t="s">
        <v>283</v>
      </c>
      <c r="J3" s="13" t="s">
        <v>551</v>
      </c>
      <c r="K3" s="13" t="s">
        <v>536</v>
      </c>
      <c r="M3" s="13" t="s">
        <v>283</v>
      </c>
      <c r="N3" s="13" t="s">
        <v>551</v>
      </c>
      <c r="P3" s="13" t="s">
        <v>283</v>
      </c>
      <c r="Q3" s="13" t="s">
        <v>551</v>
      </c>
      <c r="S3" s="13" t="s">
        <v>283</v>
      </c>
      <c r="T3" s="13" t="s">
        <v>551</v>
      </c>
      <c r="V3" s="13" t="s">
        <v>283</v>
      </c>
      <c r="W3" s="13" t="s">
        <v>535</v>
      </c>
      <c r="Y3" s="13" t="s">
        <v>283</v>
      </c>
      <c r="Z3" s="13" t="s">
        <v>535</v>
      </c>
    </row>
    <row r="4" spans="1:26" x14ac:dyDescent="0.2">
      <c r="A4">
        <v>30</v>
      </c>
      <c r="B4" s="10">
        <v>36526</v>
      </c>
      <c r="C4" s="10">
        <v>40633</v>
      </c>
      <c r="D4" s="10" t="s">
        <v>538</v>
      </c>
      <c r="F4">
        <v>30</v>
      </c>
      <c r="G4" s="10">
        <v>40875</v>
      </c>
      <c r="I4">
        <v>30</v>
      </c>
      <c r="J4">
        <v>0</v>
      </c>
      <c r="K4">
        <v>1</v>
      </c>
      <c r="L4" s="14">
        <f>J4*K4</f>
        <v>0</v>
      </c>
      <c r="M4">
        <v>580</v>
      </c>
      <c r="N4">
        <v>0</v>
      </c>
      <c r="P4">
        <v>1629</v>
      </c>
      <c r="Q4">
        <v>0</v>
      </c>
      <c r="S4">
        <v>45</v>
      </c>
      <c r="T4">
        <v>1</v>
      </c>
      <c r="Y4">
        <v>4835</v>
      </c>
      <c r="Z4">
        <v>31</v>
      </c>
    </row>
    <row r="5" spans="1:26" x14ac:dyDescent="0.2">
      <c r="A5">
        <v>34</v>
      </c>
      <c r="B5" s="10">
        <v>36526</v>
      </c>
      <c r="C5" s="10">
        <v>40633</v>
      </c>
      <c r="D5" s="10" t="s">
        <v>538</v>
      </c>
      <c r="F5">
        <v>34</v>
      </c>
      <c r="G5" s="10">
        <v>40875</v>
      </c>
      <c r="I5">
        <v>34</v>
      </c>
      <c r="J5">
        <v>0</v>
      </c>
      <c r="K5">
        <v>1</v>
      </c>
      <c r="L5" s="14">
        <f t="shared" ref="L5:L68" si="0">J5*K5</f>
        <v>0</v>
      </c>
      <c r="M5">
        <v>691</v>
      </c>
      <c r="N5">
        <v>0</v>
      </c>
      <c r="P5">
        <v>1630</v>
      </c>
      <c r="Q5">
        <v>0</v>
      </c>
      <c r="S5">
        <v>57</v>
      </c>
      <c r="T5">
        <v>0</v>
      </c>
    </row>
    <row r="6" spans="1:26" x14ac:dyDescent="0.2">
      <c r="A6">
        <v>35</v>
      </c>
      <c r="B6" s="10">
        <v>36526</v>
      </c>
      <c r="C6" s="10">
        <v>40633</v>
      </c>
      <c r="D6" s="10" t="s">
        <v>538</v>
      </c>
      <c r="F6">
        <v>35</v>
      </c>
      <c r="G6" s="10">
        <v>40875</v>
      </c>
      <c r="I6">
        <v>35</v>
      </c>
      <c r="J6">
        <v>0</v>
      </c>
      <c r="K6">
        <v>1</v>
      </c>
      <c r="L6" s="14">
        <f t="shared" si="0"/>
        <v>0</v>
      </c>
      <c r="M6">
        <v>736</v>
      </c>
      <c r="N6">
        <v>0</v>
      </c>
      <c r="P6">
        <v>2145</v>
      </c>
      <c r="Q6">
        <v>0</v>
      </c>
      <c r="S6">
        <v>79</v>
      </c>
      <c r="T6">
        <v>0</v>
      </c>
    </row>
    <row r="7" spans="1:26" x14ac:dyDescent="0.2">
      <c r="A7">
        <v>51</v>
      </c>
      <c r="B7" s="10">
        <v>36526</v>
      </c>
      <c r="C7" s="10">
        <v>40633</v>
      </c>
      <c r="D7" s="10" t="s">
        <v>538</v>
      </c>
      <c r="F7">
        <v>51</v>
      </c>
      <c r="G7" s="10">
        <v>40875</v>
      </c>
      <c r="I7">
        <v>43</v>
      </c>
      <c r="J7">
        <v>0</v>
      </c>
      <c r="K7">
        <v>1</v>
      </c>
      <c r="L7" s="14">
        <f t="shared" si="0"/>
        <v>0</v>
      </c>
      <c r="M7">
        <v>739</v>
      </c>
      <c r="N7">
        <v>0</v>
      </c>
      <c r="P7">
        <v>2599</v>
      </c>
      <c r="Q7">
        <v>1</v>
      </c>
      <c r="S7">
        <v>283</v>
      </c>
      <c r="T7">
        <v>0</v>
      </c>
    </row>
    <row r="8" spans="1:26" x14ac:dyDescent="0.2">
      <c r="A8">
        <v>58</v>
      </c>
      <c r="B8" s="10">
        <v>39658</v>
      </c>
      <c r="C8" s="10">
        <v>40512</v>
      </c>
      <c r="D8" s="10" t="s">
        <v>539</v>
      </c>
      <c r="F8">
        <v>60</v>
      </c>
      <c r="G8" s="10">
        <v>40875</v>
      </c>
      <c r="I8">
        <v>51</v>
      </c>
      <c r="J8">
        <v>0</v>
      </c>
      <c r="K8">
        <v>1</v>
      </c>
      <c r="L8" s="14">
        <f t="shared" si="0"/>
        <v>0</v>
      </c>
      <c r="M8">
        <v>1242</v>
      </c>
      <c r="N8">
        <v>1</v>
      </c>
      <c r="P8">
        <v>2600</v>
      </c>
      <c r="Q8">
        <v>1</v>
      </c>
      <c r="S8">
        <v>284</v>
      </c>
      <c r="T8">
        <v>0</v>
      </c>
    </row>
    <row r="9" spans="1:26" x14ac:dyDescent="0.2">
      <c r="A9">
        <v>60</v>
      </c>
      <c r="B9" s="10">
        <v>39693</v>
      </c>
      <c r="C9" s="10">
        <v>40847</v>
      </c>
      <c r="D9" s="10" t="s">
        <v>539</v>
      </c>
      <c r="F9">
        <v>74</v>
      </c>
      <c r="G9" s="10">
        <v>40875</v>
      </c>
      <c r="I9">
        <v>60</v>
      </c>
      <c r="J9">
        <v>0</v>
      </c>
      <c r="K9">
        <v>1</v>
      </c>
      <c r="L9" s="14">
        <f t="shared" si="0"/>
        <v>0</v>
      </c>
      <c r="M9">
        <v>1243</v>
      </c>
      <c r="N9">
        <v>1</v>
      </c>
      <c r="P9">
        <v>2601</v>
      </c>
      <c r="Q9">
        <v>1</v>
      </c>
      <c r="S9">
        <v>291</v>
      </c>
      <c r="T9">
        <v>0</v>
      </c>
    </row>
    <row r="10" spans="1:26" x14ac:dyDescent="0.2">
      <c r="A10">
        <v>66</v>
      </c>
      <c r="B10" s="10">
        <v>36526</v>
      </c>
      <c r="C10" s="10">
        <v>40633</v>
      </c>
      <c r="D10" s="10" t="s">
        <v>539</v>
      </c>
      <c r="F10">
        <v>86</v>
      </c>
      <c r="G10" s="10">
        <v>40875</v>
      </c>
      <c r="I10">
        <v>66</v>
      </c>
      <c r="J10">
        <v>0</v>
      </c>
      <c r="K10">
        <v>1</v>
      </c>
      <c r="L10" s="14">
        <f t="shared" si="0"/>
        <v>0</v>
      </c>
      <c r="M10">
        <v>1244</v>
      </c>
      <c r="N10">
        <v>1</v>
      </c>
      <c r="P10">
        <v>2631</v>
      </c>
      <c r="Q10">
        <v>0</v>
      </c>
      <c r="S10">
        <v>298</v>
      </c>
      <c r="T10">
        <v>0</v>
      </c>
    </row>
    <row r="11" spans="1:26" x14ac:dyDescent="0.2">
      <c r="A11">
        <v>74</v>
      </c>
      <c r="B11" s="10">
        <v>36526</v>
      </c>
      <c r="C11" s="10">
        <v>40329</v>
      </c>
      <c r="D11" s="10" t="s">
        <v>538</v>
      </c>
      <c r="F11">
        <v>87</v>
      </c>
      <c r="G11" s="10">
        <v>40875</v>
      </c>
      <c r="I11">
        <v>79</v>
      </c>
      <c r="J11">
        <v>0</v>
      </c>
      <c r="K11">
        <v>1</v>
      </c>
      <c r="L11" s="14">
        <f t="shared" si="0"/>
        <v>0</v>
      </c>
      <c r="M11">
        <v>1265</v>
      </c>
      <c r="N11">
        <v>0</v>
      </c>
      <c r="P11">
        <v>2633</v>
      </c>
      <c r="Q11">
        <v>0</v>
      </c>
      <c r="S11">
        <v>416</v>
      </c>
      <c r="T11">
        <v>0</v>
      </c>
    </row>
    <row r="12" spans="1:26" x14ac:dyDescent="0.2">
      <c r="A12">
        <v>79</v>
      </c>
      <c r="B12" s="10">
        <v>39702</v>
      </c>
      <c r="C12" s="10">
        <v>40694</v>
      </c>
      <c r="D12" s="10" t="s">
        <v>539</v>
      </c>
      <c r="F12">
        <v>88</v>
      </c>
      <c r="G12" s="10">
        <v>40875</v>
      </c>
      <c r="I12">
        <v>85</v>
      </c>
      <c r="J12">
        <v>1</v>
      </c>
      <c r="K12">
        <v>1</v>
      </c>
      <c r="L12" s="14">
        <f>J12*K12</f>
        <v>1</v>
      </c>
      <c r="M12">
        <v>1266</v>
      </c>
      <c r="N12">
        <v>0</v>
      </c>
      <c r="P12">
        <v>2731</v>
      </c>
      <c r="Q12">
        <v>1</v>
      </c>
      <c r="S12">
        <v>676</v>
      </c>
      <c r="T12">
        <v>0</v>
      </c>
    </row>
    <row r="13" spans="1:26" x14ac:dyDescent="0.2">
      <c r="A13">
        <v>81</v>
      </c>
      <c r="B13" s="10">
        <v>39547</v>
      </c>
      <c r="C13" s="10">
        <v>40268</v>
      </c>
      <c r="D13" s="10" t="s">
        <v>204</v>
      </c>
      <c r="F13">
        <v>90</v>
      </c>
      <c r="G13" s="10">
        <v>40875</v>
      </c>
      <c r="I13">
        <v>86</v>
      </c>
      <c r="J13">
        <v>1</v>
      </c>
      <c r="K13">
        <v>2</v>
      </c>
      <c r="L13" s="14">
        <f t="shared" si="0"/>
        <v>2</v>
      </c>
      <c r="M13">
        <v>1267</v>
      </c>
      <c r="N13">
        <v>0</v>
      </c>
      <c r="P13">
        <v>2740</v>
      </c>
      <c r="Q13">
        <v>1</v>
      </c>
      <c r="S13">
        <v>683</v>
      </c>
      <c r="T13">
        <v>0</v>
      </c>
    </row>
    <row r="14" spans="1:26" x14ac:dyDescent="0.2">
      <c r="A14">
        <v>84</v>
      </c>
      <c r="B14" s="10">
        <v>36526</v>
      </c>
      <c r="C14" s="10">
        <v>40694</v>
      </c>
      <c r="D14" s="10" t="s">
        <v>539</v>
      </c>
      <c r="F14">
        <v>115</v>
      </c>
      <c r="G14" s="10">
        <v>40875</v>
      </c>
      <c r="I14">
        <v>87</v>
      </c>
      <c r="J14">
        <v>1</v>
      </c>
      <c r="K14">
        <v>1</v>
      </c>
      <c r="L14" s="14">
        <f t="shared" si="0"/>
        <v>1</v>
      </c>
      <c r="M14">
        <v>1296</v>
      </c>
      <c r="N14">
        <v>0</v>
      </c>
      <c r="P14">
        <v>3536</v>
      </c>
      <c r="Q14">
        <v>1</v>
      </c>
      <c r="S14">
        <v>691</v>
      </c>
      <c r="T14">
        <v>0</v>
      </c>
    </row>
    <row r="15" spans="1:26" x14ac:dyDescent="0.2">
      <c r="A15">
        <v>85</v>
      </c>
      <c r="B15" s="10">
        <v>36526</v>
      </c>
      <c r="C15" s="10">
        <v>40694</v>
      </c>
      <c r="D15" s="10" t="s">
        <v>539</v>
      </c>
      <c r="F15">
        <v>136</v>
      </c>
      <c r="G15" s="10">
        <v>40875</v>
      </c>
      <c r="I15">
        <v>88</v>
      </c>
      <c r="J15">
        <v>1</v>
      </c>
      <c r="K15">
        <v>2</v>
      </c>
      <c r="L15" s="14">
        <f t="shared" si="0"/>
        <v>2</v>
      </c>
      <c r="M15">
        <v>1297</v>
      </c>
      <c r="N15">
        <v>0</v>
      </c>
      <c r="P15">
        <v>4735</v>
      </c>
      <c r="Q15">
        <v>1</v>
      </c>
      <c r="S15">
        <v>735</v>
      </c>
      <c r="T15">
        <v>0</v>
      </c>
    </row>
    <row r="16" spans="1:26" x14ac:dyDescent="0.2">
      <c r="A16">
        <v>86</v>
      </c>
      <c r="B16" s="10">
        <v>36526</v>
      </c>
      <c r="C16" s="10">
        <v>40694</v>
      </c>
      <c r="D16" s="10" t="s">
        <v>205</v>
      </c>
      <c r="F16">
        <v>141</v>
      </c>
      <c r="G16" s="10">
        <v>40875</v>
      </c>
      <c r="I16">
        <v>89</v>
      </c>
      <c r="J16">
        <v>1</v>
      </c>
      <c r="K16">
        <v>1</v>
      </c>
      <c r="L16" s="14">
        <f t="shared" si="0"/>
        <v>1</v>
      </c>
      <c r="M16">
        <v>1474</v>
      </c>
      <c r="N16">
        <v>0</v>
      </c>
      <c r="P16">
        <v>6288</v>
      </c>
      <c r="Q16">
        <v>1</v>
      </c>
      <c r="S16">
        <v>742</v>
      </c>
      <c r="T16">
        <v>0</v>
      </c>
    </row>
    <row r="17" spans="1:20" x14ac:dyDescent="0.2">
      <c r="A17">
        <v>87</v>
      </c>
      <c r="B17" s="10">
        <v>36526</v>
      </c>
      <c r="C17" s="10">
        <v>40724</v>
      </c>
      <c r="D17" s="10" t="s">
        <v>205</v>
      </c>
      <c r="F17">
        <v>154</v>
      </c>
      <c r="G17" s="10">
        <v>40875</v>
      </c>
      <c r="I17">
        <v>334</v>
      </c>
      <c r="J17">
        <v>0</v>
      </c>
      <c r="K17">
        <v>1</v>
      </c>
      <c r="L17" s="14">
        <f t="shared" si="0"/>
        <v>0</v>
      </c>
      <c r="M17">
        <v>1487</v>
      </c>
      <c r="N17">
        <v>0</v>
      </c>
      <c r="P17">
        <v>6289</v>
      </c>
      <c r="Q17">
        <v>1</v>
      </c>
      <c r="S17">
        <v>749</v>
      </c>
      <c r="T17">
        <v>0</v>
      </c>
    </row>
    <row r="18" spans="1:20" x14ac:dyDescent="0.2">
      <c r="A18">
        <v>88</v>
      </c>
      <c r="B18" s="10">
        <v>36526</v>
      </c>
      <c r="C18" s="10">
        <v>40694</v>
      </c>
      <c r="D18" s="10" t="s">
        <v>205</v>
      </c>
      <c r="F18">
        <v>164</v>
      </c>
      <c r="G18" s="10">
        <v>40875</v>
      </c>
      <c r="I18">
        <v>355</v>
      </c>
      <c r="J18">
        <v>0</v>
      </c>
      <c r="K18">
        <v>1</v>
      </c>
      <c r="L18" s="14">
        <f t="shared" si="0"/>
        <v>0</v>
      </c>
      <c r="M18">
        <v>1766</v>
      </c>
      <c r="N18">
        <v>0</v>
      </c>
      <c r="S18">
        <v>752</v>
      </c>
      <c r="T18">
        <v>0</v>
      </c>
    </row>
    <row r="19" spans="1:20" x14ac:dyDescent="0.2">
      <c r="A19">
        <v>89</v>
      </c>
      <c r="B19" s="10">
        <v>36526</v>
      </c>
      <c r="C19" s="10">
        <v>40694</v>
      </c>
      <c r="D19" s="10" t="s">
        <v>539</v>
      </c>
      <c r="F19">
        <v>167</v>
      </c>
      <c r="G19" s="10">
        <v>40875</v>
      </c>
      <c r="I19">
        <v>416</v>
      </c>
      <c r="J19">
        <v>0</v>
      </c>
      <c r="K19">
        <v>1</v>
      </c>
      <c r="L19" s="14">
        <f t="shared" si="0"/>
        <v>0</v>
      </c>
      <c r="M19">
        <v>1769</v>
      </c>
      <c r="N19">
        <v>0</v>
      </c>
      <c r="S19">
        <v>757</v>
      </c>
      <c r="T19">
        <v>0</v>
      </c>
    </row>
    <row r="20" spans="1:20" x14ac:dyDescent="0.2">
      <c r="A20">
        <v>90</v>
      </c>
      <c r="B20" s="10">
        <v>36526</v>
      </c>
      <c r="C20" s="10">
        <v>40329</v>
      </c>
      <c r="D20" s="10" t="s">
        <v>538</v>
      </c>
      <c r="F20">
        <v>172</v>
      </c>
      <c r="G20" s="10">
        <v>40875</v>
      </c>
      <c r="I20">
        <v>421</v>
      </c>
      <c r="J20">
        <v>0</v>
      </c>
      <c r="K20">
        <v>1</v>
      </c>
      <c r="L20" s="14">
        <f t="shared" si="0"/>
        <v>0</v>
      </c>
      <c r="M20">
        <v>2023</v>
      </c>
      <c r="N20">
        <v>0</v>
      </c>
      <c r="S20">
        <v>762</v>
      </c>
      <c r="T20">
        <v>0</v>
      </c>
    </row>
    <row r="21" spans="1:20" x14ac:dyDescent="0.2">
      <c r="A21">
        <v>115</v>
      </c>
      <c r="B21" s="10">
        <v>36526</v>
      </c>
      <c r="C21" s="10">
        <v>40414</v>
      </c>
      <c r="D21" s="10" t="s">
        <v>538</v>
      </c>
      <c r="F21">
        <v>176</v>
      </c>
      <c r="G21" s="10">
        <v>40875</v>
      </c>
      <c r="I21">
        <v>463</v>
      </c>
      <c r="J21">
        <v>0</v>
      </c>
      <c r="K21">
        <v>1</v>
      </c>
      <c r="L21" s="14">
        <f t="shared" si="0"/>
        <v>0</v>
      </c>
      <c r="M21">
        <v>2037</v>
      </c>
      <c r="N21">
        <v>0</v>
      </c>
      <c r="S21">
        <v>766</v>
      </c>
      <c r="T21">
        <v>0</v>
      </c>
    </row>
    <row r="22" spans="1:20" x14ac:dyDescent="0.2">
      <c r="A22">
        <v>136</v>
      </c>
      <c r="B22" s="10">
        <v>36526</v>
      </c>
      <c r="C22" s="10">
        <v>40694</v>
      </c>
      <c r="D22" s="10" t="s">
        <v>538</v>
      </c>
      <c r="F22">
        <v>186</v>
      </c>
      <c r="G22" s="10">
        <v>40875</v>
      </c>
      <c r="I22">
        <v>475</v>
      </c>
      <c r="J22">
        <v>1</v>
      </c>
      <c r="K22">
        <v>1</v>
      </c>
      <c r="L22" s="14">
        <f t="shared" si="0"/>
        <v>1</v>
      </c>
      <c r="M22">
        <v>2080</v>
      </c>
      <c r="N22">
        <v>0</v>
      </c>
      <c r="S22">
        <v>767</v>
      </c>
      <c r="T22">
        <v>0</v>
      </c>
    </row>
    <row r="23" spans="1:20" x14ac:dyDescent="0.2">
      <c r="A23">
        <v>141</v>
      </c>
      <c r="B23" s="10">
        <v>36526</v>
      </c>
      <c r="C23" s="10">
        <v>40329</v>
      </c>
      <c r="D23" s="10" t="s">
        <v>538</v>
      </c>
      <c r="F23">
        <v>188</v>
      </c>
      <c r="G23" s="10">
        <v>40875</v>
      </c>
      <c r="I23">
        <v>478</v>
      </c>
      <c r="J23">
        <v>1</v>
      </c>
      <c r="K23">
        <v>1</v>
      </c>
      <c r="L23" s="14">
        <f t="shared" si="0"/>
        <v>1</v>
      </c>
      <c r="M23">
        <v>2098</v>
      </c>
      <c r="N23">
        <v>0</v>
      </c>
      <c r="S23">
        <v>771</v>
      </c>
      <c r="T23">
        <v>0</v>
      </c>
    </row>
    <row r="24" spans="1:20" x14ac:dyDescent="0.2">
      <c r="A24">
        <v>154</v>
      </c>
      <c r="B24" s="10">
        <v>36526</v>
      </c>
      <c r="C24" s="10">
        <v>40268</v>
      </c>
      <c r="D24" s="10" t="s">
        <v>538</v>
      </c>
      <c r="F24">
        <v>191</v>
      </c>
      <c r="G24" s="10">
        <v>40875</v>
      </c>
      <c r="I24">
        <v>481</v>
      </c>
      <c r="J24">
        <v>0</v>
      </c>
      <c r="K24">
        <v>1</v>
      </c>
      <c r="L24" s="14">
        <f t="shared" si="0"/>
        <v>0</v>
      </c>
      <c r="M24">
        <v>2190</v>
      </c>
      <c r="N24">
        <v>0</v>
      </c>
      <c r="S24">
        <v>772</v>
      </c>
      <c r="T24">
        <v>0</v>
      </c>
    </row>
    <row r="25" spans="1:20" x14ac:dyDescent="0.2">
      <c r="A25">
        <v>164</v>
      </c>
      <c r="B25" s="10">
        <v>36526</v>
      </c>
      <c r="C25" s="10">
        <v>40359</v>
      </c>
      <c r="D25" s="10" t="s">
        <v>538</v>
      </c>
      <c r="F25">
        <v>206</v>
      </c>
      <c r="G25" s="10">
        <v>40875</v>
      </c>
      <c r="I25">
        <v>482</v>
      </c>
      <c r="J25">
        <v>0</v>
      </c>
      <c r="K25">
        <v>1</v>
      </c>
      <c r="L25" s="14">
        <f t="shared" si="0"/>
        <v>0</v>
      </c>
      <c r="M25">
        <v>2206</v>
      </c>
      <c r="N25">
        <v>0</v>
      </c>
      <c r="S25">
        <v>773</v>
      </c>
      <c r="T25">
        <v>0</v>
      </c>
    </row>
    <row r="26" spans="1:20" x14ac:dyDescent="0.2">
      <c r="A26">
        <v>167</v>
      </c>
      <c r="B26" s="10">
        <v>36526</v>
      </c>
      <c r="C26" s="10">
        <v>40268</v>
      </c>
      <c r="D26" s="10" t="s">
        <v>538</v>
      </c>
      <c r="F26">
        <v>207</v>
      </c>
      <c r="G26" s="10">
        <v>40875</v>
      </c>
      <c r="I26">
        <v>496</v>
      </c>
      <c r="J26">
        <v>0</v>
      </c>
      <c r="K26">
        <v>1</v>
      </c>
      <c r="L26" s="14">
        <f t="shared" si="0"/>
        <v>0</v>
      </c>
      <c r="M26">
        <v>2209</v>
      </c>
      <c r="N26">
        <v>0</v>
      </c>
      <c r="S26">
        <v>775</v>
      </c>
      <c r="T26">
        <v>0</v>
      </c>
    </row>
    <row r="27" spans="1:20" x14ac:dyDescent="0.2">
      <c r="A27">
        <v>172</v>
      </c>
      <c r="B27" s="10">
        <v>36526</v>
      </c>
      <c r="C27" s="10">
        <v>40268</v>
      </c>
      <c r="D27" s="10" t="s">
        <v>538</v>
      </c>
      <c r="F27">
        <v>208</v>
      </c>
      <c r="G27" s="10">
        <v>40875</v>
      </c>
      <c r="I27">
        <v>506</v>
      </c>
      <c r="J27">
        <v>0</v>
      </c>
      <c r="K27">
        <v>1</v>
      </c>
      <c r="L27" s="14">
        <f t="shared" si="0"/>
        <v>0</v>
      </c>
      <c r="M27">
        <v>2221</v>
      </c>
      <c r="N27">
        <v>0</v>
      </c>
      <c r="S27">
        <v>780</v>
      </c>
      <c r="T27">
        <v>0</v>
      </c>
    </row>
    <row r="28" spans="1:20" x14ac:dyDescent="0.2">
      <c r="A28">
        <v>176</v>
      </c>
      <c r="B28" s="10">
        <v>36526</v>
      </c>
      <c r="C28" s="10">
        <v>40359</v>
      </c>
      <c r="D28" s="10" t="s">
        <v>538</v>
      </c>
      <c r="F28">
        <v>212</v>
      </c>
      <c r="G28" s="10">
        <v>40875</v>
      </c>
      <c r="I28">
        <v>507</v>
      </c>
      <c r="J28">
        <v>0</v>
      </c>
      <c r="K28">
        <v>1</v>
      </c>
      <c r="L28" s="14">
        <f t="shared" si="0"/>
        <v>0</v>
      </c>
      <c r="M28">
        <v>2247</v>
      </c>
      <c r="N28">
        <v>0</v>
      </c>
      <c r="S28">
        <v>783</v>
      </c>
      <c r="T28">
        <v>0</v>
      </c>
    </row>
    <row r="29" spans="1:20" x14ac:dyDescent="0.2">
      <c r="A29">
        <v>186</v>
      </c>
      <c r="B29" s="10">
        <v>36526</v>
      </c>
      <c r="C29" s="10">
        <v>40694</v>
      </c>
      <c r="D29" s="10" t="s">
        <v>538</v>
      </c>
      <c r="F29">
        <v>215</v>
      </c>
      <c r="G29" s="10">
        <v>40875</v>
      </c>
      <c r="I29">
        <v>515</v>
      </c>
      <c r="J29">
        <v>0</v>
      </c>
      <c r="K29">
        <v>1</v>
      </c>
      <c r="L29" s="14">
        <f t="shared" si="0"/>
        <v>0</v>
      </c>
      <c r="M29">
        <v>2435</v>
      </c>
      <c r="N29">
        <v>0</v>
      </c>
      <c r="S29">
        <v>894</v>
      </c>
      <c r="T29">
        <v>1</v>
      </c>
    </row>
    <row r="30" spans="1:20" x14ac:dyDescent="0.2">
      <c r="A30">
        <v>188</v>
      </c>
      <c r="B30" s="10">
        <v>36526</v>
      </c>
      <c r="C30" s="10">
        <v>40543</v>
      </c>
      <c r="D30" s="10" t="s">
        <v>538</v>
      </c>
      <c r="F30">
        <v>222</v>
      </c>
      <c r="G30" s="10">
        <v>40875</v>
      </c>
      <c r="I30">
        <v>522</v>
      </c>
      <c r="J30">
        <v>0</v>
      </c>
      <c r="K30">
        <v>1</v>
      </c>
      <c r="L30" s="14">
        <f t="shared" si="0"/>
        <v>0</v>
      </c>
      <c r="M30">
        <v>2436</v>
      </c>
      <c r="N30">
        <v>0</v>
      </c>
      <c r="S30">
        <v>995</v>
      </c>
      <c r="T30">
        <v>0</v>
      </c>
    </row>
    <row r="31" spans="1:20" x14ac:dyDescent="0.2">
      <c r="A31">
        <v>191</v>
      </c>
      <c r="B31" s="10">
        <v>36526</v>
      </c>
      <c r="C31" s="10">
        <v>40714</v>
      </c>
      <c r="D31" s="10" t="s">
        <v>538</v>
      </c>
      <c r="F31">
        <v>252</v>
      </c>
      <c r="G31" s="10">
        <v>40875</v>
      </c>
      <c r="I31">
        <v>539</v>
      </c>
      <c r="J31">
        <v>0</v>
      </c>
      <c r="K31">
        <v>1</v>
      </c>
      <c r="L31" s="14">
        <f t="shared" si="0"/>
        <v>0</v>
      </c>
      <c r="M31">
        <v>2445</v>
      </c>
      <c r="N31">
        <v>0</v>
      </c>
      <c r="S31">
        <v>1019</v>
      </c>
      <c r="T31">
        <v>0</v>
      </c>
    </row>
    <row r="32" spans="1:20" x14ac:dyDescent="0.2">
      <c r="A32">
        <v>199</v>
      </c>
      <c r="B32" s="10">
        <v>39594</v>
      </c>
      <c r="C32" s="10">
        <v>40359</v>
      </c>
      <c r="D32" s="10" t="s">
        <v>204</v>
      </c>
      <c r="F32">
        <v>285</v>
      </c>
      <c r="G32" s="10">
        <v>40875</v>
      </c>
      <c r="I32">
        <v>547</v>
      </c>
      <c r="J32">
        <v>0</v>
      </c>
      <c r="K32">
        <v>1</v>
      </c>
      <c r="L32" s="14">
        <f t="shared" si="0"/>
        <v>0</v>
      </c>
      <c r="M32">
        <v>2538</v>
      </c>
      <c r="N32">
        <v>0</v>
      </c>
      <c r="S32">
        <v>1077</v>
      </c>
      <c r="T32">
        <v>0</v>
      </c>
    </row>
    <row r="33" spans="1:20" x14ac:dyDescent="0.2">
      <c r="A33">
        <v>206</v>
      </c>
      <c r="B33" s="10">
        <v>39649</v>
      </c>
      <c r="C33" s="10">
        <v>40473</v>
      </c>
      <c r="D33" s="10" t="s">
        <v>538</v>
      </c>
      <c r="F33">
        <v>291</v>
      </c>
      <c r="G33" s="10">
        <v>40875</v>
      </c>
      <c r="I33">
        <v>563</v>
      </c>
      <c r="J33">
        <v>1</v>
      </c>
      <c r="K33">
        <v>2</v>
      </c>
      <c r="L33" s="14">
        <f t="shared" si="0"/>
        <v>2</v>
      </c>
      <c r="M33">
        <v>2546</v>
      </c>
      <c r="N33">
        <v>0</v>
      </c>
      <c r="S33">
        <v>1227</v>
      </c>
      <c r="T33">
        <v>0</v>
      </c>
    </row>
    <row r="34" spans="1:20" x14ac:dyDescent="0.2">
      <c r="A34">
        <v>207</v>
      </c>
      <c r="B34" s="10">
        <v>36526</v>
      </c>
      <c r="C34" s="10">
        <v>40268</v>
      </c>
      <c r="D34" s="10" t="s">
        <v>538</v>
      </c>
      <c r="F34">
        <v>300</v>
      </c>
      <c r="G34" s="10">
        <v>40875</v>
      </c>
      <c r="I34">
        <v>564</v>
      </c>
      <c r="J34">
        <v>1</v>
      </c>
      <c r="K34">
        <v>1</v>
      </c>
      <c r="L34" s="14">
        <f t="shared" si="0"/>
        <v>1</v>
      </c>
      <c r="M34">
        <v>2568</v>
      </c>
      <c r="N34">
        <v>0</v>
      </c>
      <c r="S34">
        <v>1242</v>
      </c>
      <c r="T34">
        <v>1</v>
      </c>
    </row>
    <row r="35" spans="1:20" x14ac:dyDescent="0.2">
      <c r="A35">
        <v>208</v>
      </c>
      <c r="B35" s="10">
        <v>39649</v>
      </c>
      <c r="C35" s="10">
        <v>40779</v>
      </c>
      <c r="D35" s="10" t="s">
        <v>538</v>
      </c>
      <c r="F35">
        <v>302</v>
      </c>
      <c r="G35" s="10">
        <v>40875</v>
      </c>
      <c r="I35">
        <v>578</v>
      </c>
      <c r="J35">
        <v>0</v>
      </c>
      <c r="K35">
        <v>1</v>
      </c>
      <c r="L35" s="14">
        <f t="shared" si="0"/>
        <v>0</v>
      </c>
      <c r="M35">
        <v>2598</v>
      </c>
      <c r="N35">
        <v>0</v>
      </c>
      <c r="S35">
        <v>1243</v>
      </c>
      <c r="T35">
        <v>1</v>
      </c>
    </row>
    <row r="36" spans="1:20" x14ac:dyDescent="0.2">
      <c r="A36">
        <v>212</v>
      </c>
      <c r="B36" s="10">
        <v>36526</v>
      </c>
      <c r="C36" s="10">
        <v>40268</v>
      </c>
      <c r="D36" s="10" t="s">
        <v>538</v>
      </c>
      <c r="F36">
        <v>320</v>
      </c>
      <c r="G36" s="10">
        <v>40875</v>
      </c>
      <c r="I36">
        <v>580</v>
      </c>
      <c r="J36">
        <v>0</v>
      </c>
      <c r="K36">
        <v>1</v>
      </c>
      <c r="L36" s="14">
        <f t="shared" si="0"/>
        <v>0</v>
      </c>
      <c r="M36">
        <v>2611</v>
      </c>
      <c r="N36">
        <v>0</v>
      </c>
      <c r="S36">
        <v>1244</v>
      </c>
      <c r="T36">
        <v>1</v>
      </c>
    </row>
    <row r="37" spans="1:20" x14ac:dyDescent="0.2">
      <c r="A37">
        <v>215</v>
      </c>
      <c r="B37" s="10">
        <v>36526</v>
      </c>
      <c r="C37" s="10">
        <v>40268</v>
      </c>
      <c r="D37" s="10" t="s">
        <v>538</v>
      </c>
      <c r="F37">
        <v>324</v>
      </c>
      <c r="G37" s="10">
        <v>40875</v>
      </c>
      <c r="I37">
        <v>584</v>
      </c>
      <c r="J37">
        <v>0</v>
      </c>
      <c r="K37">
        <v>1</v>
      </c>
      <c r="L37" s="14">
        <f t="shared" si="0"/>
        <v>0</v>
      </c>
      <c r="M37">
        <v>2628</v>
      </c>
      <c r="N37">
        <v>0</v>
      </c>
      <c r="S37">
        <v>1251</v>
      </c>
      <c r="T37">
        <v>0</v>
      </c>
    </row>
    <row r="38" spans="1:20" x14ac:dyDescent="0.2">
      <c r="A38">
        <v>222</v>
      </c>
      <c r="B38" s="10">
        <v>36526</v>
      </c>
      <c r="C38" s="10">
        <v>40543</v>
      </c>
      <c r="D38" s="10" t="s">
        <v>538</v>
      </c>
      <c r="F38">
        <v>326</v>
      </c>
      <c r="G38" s="10">
        <v>40875</v>
      </c>
      <c r="I38">
        <v>600</v>
      </c>
      <c r="J38">
        <v>0</v>
      </c>
      <c r="K38">
        <v>1</v>
      </c>
      <c r="L38" s="14">
        <f t="shared" si="0"/>
        <v>0</v>
      </c>
      <c r="M38">
        <v>2629</v>
      </c>
      <c r="N38">
        <v>0</v>
      </c>
      <c r="S38">
        <v>1257</v>
      </c>
      <c r="T38">
        <v>0</v>
      </c>
    </row>
    <row r="39" spans="1:20" x14ac:dyDescent="0.2">
      <c r="A39">
        <v>252</v>
      </c>
      <c r="B39" s="10">
        <v>219148</v>
      </c>
      <c r="C39" s="10">
        <v>40268</v>
      </c>
      <c r="D39" s="10" t="s">
        <v>538</v>
      </c>
      <c r="F39">
        <v>329</v>
      </c>
      <c r="G39" s="10">
        <v>40875</v>
      </c>
      <c r="I39">
        <v>605</v>
      </c>
      <c r="J39">
        <v>0</v>
      </c>
      <c r="K39">
        <v>1</v>
      </c>
      <c r="L39" s="14">
        <f t="shared" si="0"/>
        <v>0</v>
      </c>
      <c r="M39">
        <v>2641</v>
      </c>
      <c r="N39">
        <v>0</v>
      </c>
      <c r="S39">
        <v>1259</v>
      </c>
      <c r="T39">
        <v>0</v>
      </c>
    </row>
    <row r="40" spans="1:20" x14ac:dyDescent="0.2">
      <c r="A40">
        <v>285</v>
      </c>
      <c r="B40" s="10">
        <v>36526</v>
      </c>
      <c r="C40" s="10">
        <v>40682</v>
      </c>
      <c r="D40" s="10" t="s">
        <v>538</v>
      </c>
      <c r="F40">
        <v>334</v>
      </c>
      <c r="G40" s="10">
        <v>40875</v>
      </c>
      <c r="I40">
        <v>609</v>
      </c>
      <c r="J40">
        <v>0</v>
      </c>
      <c r="K40">
        <v>1</v>
      </c>
      <c r="L40" s="14">
        <f t="shared" si="0"/>
        <v>0</v>
      </c>
      <c r="M40">
        <v>2643</v>
      </c>
      <c r="N40">
        <v>0</v>
      </c>
      <c r="S40">
        <v>1265</v>
      </c>
      <c r="T40">
        <v>0</v>
      </c>
    </row>
    <row r="41" spans="1:20" x14ac:dyDescent="0.2">
      <c r="A41">
        <v>286</v>
      </c>
      <c r="B41" s="10">
        <v>39468</v>
      </c>
      <c r="C41" s="10">
        <v>40392</v>
      </c>
      <c r="D41" s="10" t="s">
        <v>539</v>
      </c>
      <c r="F41">
        <v>338</v>
      </c>
      <c r="G41" s="10">
        <v>40875</v>
      </c>
      <c r="I41">
        <v>629</v>
      </c>
      <c r="J41">
        <v>0</v>
      </c>
      <c r="K41">
        <v>1</v>
      </c>
      <c r="L41" s="14">
        <f t="shared" si="0"/>
        <v>0</v>
      </c>
      <c r="M41">
        <v>2657</v>
      </c>
      <c r="N41">
        <v>0</v>
      </c>
      <c r="S41">
        <v>1266</v>
      </c>
      <c r="T41">
        <v>0</v>
      </c>
    </row>
    <row r="42" spans="1:20" x14ac:dyDescent="0.2">
      <c r="A42">
        <v>291</v>
      </c>
      <c r="B42" s="10">
        <v>36526</v>
      </c>
      <c r="C42" s="10">
        <v>40268</v>
      </c>
      <c r="D42" s="10" t="s">
        <v>538</v>
      </c>
      <c r="F42">
        <v>342</v>
      </c>
      <c r="G42" s="10">
        <v>40875</v>
      </c>
      <c r="I42">
        <v>638</v>
      </c>
      <c r="J42">
        <v>0</v>
      </c>
      <c r="K42">
        <v>1</v>
      </c>
      <c r="L42" s="14">
        <f t="shared" si="0"/>
        <v>0</v>
      </c>
      <c r="M42">
        <v>2676</v>
      </c>
      <c r="N42">
        <v>0</v>
      </c>
      <c r="S42">
        <v>1267</v>
      </c>
      <c r="T42">
        <v>0</v>
      </c>
    </row>
    <row r="43" spans="1:20" x14ac:dyDescent="0.2">
      <c r="A43">
        <v>300</v>
      </c>
      <c r="B43" s="10">
        <v>36526</v>
      </c>
      <c r="C43" s="10">
        <v>40268</v>
      </c>
      <c r="D43" s="10" t="s">
        <v>538</v>
      </c>
      <c r="F43">
        <v>343</v>
      </c>
      <c r="G43" s="10">
        <v>40875</v>
      </c>
      <c r="I43">
        <v>670</v>
      </c>
      <c r="J43">
        <v>0</v>
      </c>
      <c r="K43">
        <v>1</v>
      </c>
      <c r="L43" s="14">
        <f t="shared" si="0"/>
        <v>0</v>
      </c>
      <c r="M43">
        <v>2707</v>
      </c>
      <c r="N43">
        <v>0</v>
      </c>
      <c r="S43">
        <v>1273</v>
      </c>
      <c r="T43">
        <v>0</v>
      </c>
    </row>
    <row r="44" spans="1:20" x14ac:dyDescent="0.2">
      <c r="A44">
        <v>302</v>
      </c>
      <c r="B44" s="10">
        <v>36526</v>
      </c>
      <c r="C44" s="10">
        <v>40626</v>
      </c>
      <c r="D44" s="10" t="s">
        <v>538</v>
      </c>
      <c r="F44">
        <v>354</v>
      </c>
      <c r="G44" s="10">
        <v>40875</v>
      </c>
      <c r="I44">
        <v>671</v>
      </c>
      <c r="J44">
        <v>0</v>
      </c>
      <c r="K44">
        <v>1</v>
      </c>
      <c r="L44" s="14">
        <f t="shared" si="0"/>
        <v>0</v>
      </c>
      <c r="M44">
        <v>2714</v>
      </c>
      <c r="N44">
        <v>0</v>
      </c>
      <c r="S44">
        <v>1274</v>
      </c>
      <c r="T44">
        <v>0</v>
      </c>
    </row>
    <row r="45" spans="1:20" x14ac:dyDescent="0.2">
      <c r="A45">
        <v>315</v>
      </c>
      <c r="B45" s="10">
        <v>39588</v>
      </c>
      <c r="C45" s="10">
        <v>40392</v>
      </c>
      <c r="D45" s="10" t="s">
        <v>539</v>
      </c>
      <c r="F45">
        <v>378</v>
      </c>
      <c r="G45" s="10">
        <v>40875</v>
      </c>
      <c r="I45">
        <v>672</v>
      </c>
      <c r="J45">
        <v>0</v>
      </c>
      <c r="K45">
        <v>1</v>
      </c>
      <c r="L45" s="14">
        <f t="shared" si="0"/>
        <v>0</v>
      </c>
      <c r="M45">
        <v>2727</v>
      </c>
      <c r="N45">
        <v>1</v>
      </c>
      <c r="S45">
        <v>1279</v>
      </c>
      <c r="T45">
        <v>1</v>
      </c>
    </row>
    <row r="46" spans="1:20" x14ac:dyDescent="0.2">
      <c r="A46">
        <v>320</v>
      </c>
      <c r="B46" s="10">
        <v>36526</v>
      </c>
      <c r="C46" s="10">
        <v>40268</v>
      </c>
      <c r="D46" s="10" t="s">
        <v>538</v>
      </c>
      <c r="F46">
        <v>381</v>
      </c>
      <c r="G46" s="10">
        <v>40875</v>
      </c>
      <c r="I46">
        <v>673</v>
      </c>
      <c r="J46">
        <v>0</v>
      </c>
      <c r="K46">
        <v>1</v>
      </c>
      <c r="L46" s="14">
        <f t="shared" si="0"/>
        <v>0</v>
      </c>
      <c r="M46">
        <v>2735</v>
      </c>
      <c r="N46">
        <v>0</v>
      </c>
      <c r="S46">
        <v>1297</v>
      </c>
      <c r="T46">
        <v>0</v>
      </c>
    </row>
    <row r="47" spans="1:20" x14ac:dyDescent="0.2">
      <c r="A47">
        <v>324</v>
      </c>
      <c r="B47" s="10">
        <v>36526</v>
      </c>
      <c r="C47" s="10">
        <v>40329</v>
      </c>
      <c r="D47" s="10" t="s">
        <v>538</v>
      </c>
      <c r="F47">
        <v>383</v>
      </c>
      <c r="G47" s="10">
        <v>40875</v>
      </c>
      <c r="I47">
        <v>674</v>
      </c>
      <c r="J47">
        <v>0</v>
      </c>
      <c r="K47">
        <v>1</v>
      </c>
      <c r="L47" s="14">
        <f t="shared" si="0"/>
        <v>0</v>
      </c>
      <c r="M47">
        <v>2746</v>
      </c>
      <c r="N47">
        <v>0</v>
      </c>
      <c r="S47">
        <v>1300</v>
      </c>
      <c r="T47">
        <v>0</v>
      </c>
    </row>
    <row r="48" spans="1:20" x14ac:dyDescent="0.2">
      <c r="A48">
        <v>326</v>
      </c>
      <c r="B48" s="10">
        <v>36526</v>
      </c>
      <c r="C48" s="10">
        <v>40329</v>
      </c>
      <c r="D48" s="10" t="s">
        <v>538</v>
      </c>
      <c r="F48">
        <v>384</v>
      </c>
      <c r="G48" s="10">
        <v>40875</v>
      </c>
      <c r="I48">
        <v>675</v>
      </c>
      <c r="J48">
        <v>0</v>
      </c>
      <c r="K48">
        <v>1</v>
      </c>
      <c r="L48" s="14">
        <f t="shared" si="0"/>
        <v>0</v>
      </c>
      <c r="M48">
        <v>2748</v>
      </c>
      <c r="N48">
        <v>0</v>
      </c>
      <c r="S48">
        <v>1303</v>
      </c>
      <c r="T48">
        <v>0</v>
      </c>
    </row>
    <row r="49" spans="1:20" x14ac:dyDescent="0.2">
      <c r="A49">
        <v>329</v>
      </c>
      <c r="B49" s="10">
        <v>36526</v>
      </c>
      <c r="C49" s="10">
        <v>40666</v>
      </c>
      <c r="D49" s="10" t="s">
        <v>538</v>
      </c>
      <c r="F49">
        <v>385</v>
      </c>
      <c r="G49" s="10">
        <v>40875</v>
      </c>
      <c r="I49">
        <v>676</v>
      </c>
      <c r="J49">
        <v>0</v>
      </c>
      <c r="K49">
        <v>1</v>
      </c>
      <c r="L49" s="14">
        <f t="shared" si="0"/>
        <v>0</v>
      </c>
      <c r="M49">
        <v>2752</v>
      </c>
      <c r="N49">
        <v>0</v>
      </c>
      <c r="S49">
        <v>1356</v>
      </c>
      <c r="T49">
        <v>0</v>
      </c>
    </row>
    <row r="50" spans="1:20" x14ac:dyDescent="0.2">
      <c r="A50">
        <v>334</v>
      </c>
      <c r="B50" s="10">
        <v>36526</v>
      </c>
      <c r="C50" s="10">
        <v>40626</v>
      </c>
      <c r="D50" s="10" t="s">
        <v>538</v>
      </c>
      <c r="F50">
        <v>388</v>
      </c>
      <c r="G50" s="10">
        <v>40875</v>
      </c>
      <c r="I50">
        <v>677</v>
      </c>
      <c r="J50">
        <v>0</v>
      </c>
      <c r="K50">
        <v>1</v>
      </c>
      <c r="L50" s="14">
        <f t="shared" si="0"/>
        <v>0</v>
      </c>
      <c r="M50">
        <v>2756</v>
      </c>
      <c r="N50">
        <v>0</v>
      </c>
      <c r="S50">
        <v>1476</v>
      </c>
      <c r="T50">
        <v>0</v>
      </c>
    </row>
    <row r="51" spans="1:20" x14ac:dyDescent="0.2">
      <c r="A51">
        <v>338</v>
      </c>
      <c r="B51" s="10">
        <v>36526</v>
      </c>
      <c r="C51" s="10">
        <v>40329</v>
      </c>
      <c r="D51" s="10" t="s">
        <v>538</v>
      </c>
      <c r="F51">
        <v>411</v>
      </c>
      <c r="G51" s="10">
        <v>40875</v>
      </c>
      <c r="I51">
        <v>679</v>
      </c>
      <c r="J51">
        <v>0</v>
      </c>
      <c r="K51">
        <v>1</v>
      </c>
      <c r="L51" s="14">
        <f t="shared" si="0"/>
        <v>0</v>
      </c>
      <c r="M51">
        <v>2757</v>
      </c>
      <c r="N51">
        <v>0</v>
      </c>
      <c r="S51">
        <v>1477</v>
      </c>
      <c r="T51">
        <v>0</v>
      </c>
    </row>
    <row r="52" spans="1:20" x14ac:dyDescent="0.2">
      <c r="A52">
        <v>342</v>
      </c>
      <c r="B52" s="10">
        <v>36526</v>
      </c>
      <c r="C52" s="10">
        <v>40329</v>
      </c>
      <c r="D52" s="10" t="s">
        <v>538</v>
      </c>
      <c r="F52">
        <v>420</v>
      </c>
      <c r="G52" s="10">
        <v>40875</v>
      </c>
      <c r="I52">
        <v>680</v>
      </c>
      <c r="J52">
        <v>1</v>
      </c>
      <c r="K52">
        <v>2</v>
      </c>
      <c r="L52" s="14">
        <f t="shared" si="0"/>
        <v>2</v>
      </c>
      <c r="M52">
        <v>2772</v>
      </c>
      <c r="N52">
        <v>0</v>
      </c>
      <c r="S52">
        <v>1480</v>
      </c>
      <c r="T52">
        <v>0</v>
      </c>
    </row>
    <row r="53" spans="1:20" x14ac:dyDescent="0.2">
      <c r="A53">
        <v>343</v>
      </c>
      <c r="B53" s="10">
        <v>36526</v>
      </c>
      <c r="C53" s="10">
        <v>40666</v>
      </c>
      <c r="D53" s="10" t="s">
        <v>538</v>
      </c>
      <c r="F53">
        <v>421</v>
      </c>
      <c r="G53" s="10">
        <v>40875</v>
      </c>
      <c r="I53">
        <v>701</v>
      </c>
      <c r="J53">
        <v>0</v>
      </c>
      <c r="K53">
        <v>1</v>
      </c>
      <c r="L53" s="14">
        <f t="shared" si="0"/>
        <v>0</v>
      </c>
      <c r="M53">
        <v>2780</v>
      </c>
      <c r="N53">
        <v>0</v>
      </c>
      <c r="S53">
        <v>1483</v>
      </c>
      <c r="T53">
        <v>0</v>
      </c>
    </row>
    <row r="54" spans="1:20" x14ac:dyDescent="0.2">
      <c r="A54">
        <v>347</v>
      </c>
      <c r="B54" s="10">
        <v>39436</v>
      </c>
      <c r="C54" s="10">
        <v>40268</v>
      </c>
      <c r="D54" s="10" t="s">
        <v>539</v>
      </c>
      <c r="F54">
        <v>432</v>
      </c>
      <c r="G54" s="10">
        <v>40875</v>
      </c>
      <c r="I54">
        <v>702</v>
      </c>
      <c r="J54">
        <v>0</v>
      </c>
      <c r="K54">
        <v>1</v>
      </c>
      <c r="L54" s="14">
        <f t="shared" si="0"/>
        <v>0</v>
      </c>
      <c r="M54">
        <v>2788</v>
      </c>
      <c r="N54">
        <v>0</v>
      </c>
      <c r="S54">
        <v>1578</v>
      </c>
      <c r="T54">
        <v>0</v>
      </c>
    </row>
    <row r="55" spans="1:20" x14ac:dyDescent="0.2">
      <c r="A55">
        <v>354</v>
      </c>
      <c r="B55" s="10">
        <v>36526</v>
      </c>
      <c r="C55" s="10">
        <v>40602</v>
      </c>
      <c r="D55" s="10" t="s">
        <v>538</v>
      </c>
      <c r="F55">
        <v>442</v>
      </c>
      <c r="G55" s="10">
        <v>40875</v>
      </c>
      <c r="I55">
        <v>705</v>
      </c>
      <c r="J55">
        <v>0</v>
      </c>
      <c r="K55">
        <v>1</v>
      </c>
      <c r="L55" s="14">
        <f t="shared" si="0"/>
        <v>0</v>
      </c>
      <c r="M55">
        <v>2790</v>
      </c>
      <c r="N55">
        <v>0</v>
      </c>
      <c r="S55">
        <v>1628</v>
      </c>
      <c r="T55">
        <v>0</v>
      </c>
    </row>
    <row r="56" spans="1:20" x14ac:dyDescent="0.2">
      <c r="A56">
        <v>355</v>
      </c>
      <c r="B56" s="10">
        <v>39493</v>
      </c>
      <c r="C56" s="10">
        <v>40512</v>
      </c>
      <c r="D56" s="10" t="s">
        <v>539</v>
      </c>
      <c r="F56">
        <v>461</v>
      </c>
      <c r="G56" s="10">
        <v>40875</v>
      </c>
      <c r="I56">
        <v>706</v>
      </c>
      <c r="J56">
        <v>0</v>
      </c>
      <c r="K56">
        <v>1</v>
      </c>
      <c r="L56" s="14">
        <f t="shared" si="0"/>
        <v>0</v>
      </c>
      <c r="M56">
        <v>2794</v>
      </c>
      <c r="N56">
        <v>0</v>
      </c>
      <c r="S56">
        <v>1629</v>
      </c>
      <c r="T56">
        <v>0</v>
      </c>
    </row>
    <row r="57" spans="1:20" x14ac:dyDescent="0.2">
      <c r="A57">
        <v>378</v>
      </c>
      <c r="B57" s="10">
        <v>36526</v>
      </c>
      <c r="C57" s="10">
        <v>40268</v>
      </c>
      <c r="D57" s="10" t="s">
        <v>538</v>
      </c>
      <c r="F57">
        <v>466</v>
      </c>
      <c r="G57" s="10">
        <v>40875</v>
      </c>
      <c r="I57">
        <v>713</v>
      </c>
      <c r="J57">
        <v>1</v>
      </c>
      <c r="K57">
        <v>1</v>
      </c>
      <c r="L57" s="14">
        <f t="shared" si="0"/>
        <v>1</v>
      </c>
      <c r="M57">
        <v>2797</v>
      </c>
      <c r="N57">
        <v>0</v>
      </c>
      <c r="S57">
        <v>1630</v>
      </c>
      <c r="T57">
        <v>0</v>
      </c>
    </row>
    <row r="58" spans="1:20" x14ac:dyDescent="0.2">
      <c r="A58">
        <v>381</v>
      </c>
      <c r="B58" s="10">
        <v>36526</v>
      </c>
      <c r="C58" s="10">
        <v>40602</v>
      </c>
      <c r="D58" s="10" t="s">
        <v>538</v>
      </c>
      <c r="F58">
        <v>467</v>
      </c>
      <c r="G58" s="10">
        <v>40875</v>
      </c>
      <c r="I58">
        <v>714</v>
      </c>
      <c r="J58">
        <v>0</v>
      </c>
      <c r="K58">
        <v>1</v>
      </c>
      <c r="L58" s="14">
        <f t="shared" si="0"/>
        <v>0</v>
      </c>
      <c r="M58">
        <v>2799</v>
      </c>
      <c r="N58">
        <v>0</v>
      </c>
      <c r="S58">
        <v>1800</v>
      </c>
      <c r="T58">
        <v>0</v>
      </c>
    </row>
    <row r="59" spans="1:20" x14ac:dyDescent="0.2">
      <c r="A59">
        <v>383</v>
      </c>
      <c r="B59" s="10">
        <v>36526</v>
      </c>
      <c r="C59" s="10">
        <v>40359</v>
      </c>
      <c r="D59" s="10" t="s">
        <v>538</v>
      </c>
      <c r="F59">
        <v>469</v>
      </c>
      <c r="G59" s="10">
        <v>40875</v>
      </c>
      <c r="I59">
        <v>720</v>
      </c>
      <c r="J59">
        <v>0</v>
      </c>
      <c r="K59">
        <v>1</v>
      </c>
      <c r="L59" s="14">
        <f t="shared" si="0"/>
        <v>0</v>
      </c>
      <c r="M59">
        <v>2805</v>
      </c>
      <c r="N59">
        <v>0</v>
      </c>
      <c r="S59">
        <v>2067</v>
      </c>
      <c r="T59">
        <v>0</v>
      </c>
    </row>
    <row r="60" spans="1:20" x14ac:dyDescent="0.2">
      <c r="A60">
        <v>384</v>
      </c>
      <c r="B60" s="10">
        <v>36526</v>
      </c>
      <c r="C60" s="10">
        <v>40359</v>
      </c>
      <c r="D60" s="10" t="s">
        <v>538</v>
      </c>
      <c r="F60">
        <v>475</v>
      </c>
      <c r="G60" s="10">
        <v>40875</v>
      </c>
      <c r="I60">
        <v>723</v>
      </c>
      <c r="J60">
        <v>1</v>
      </c>
      <c r="K60">
        <v>1</v>
      </c>
      <c r="L60" s="14">
        <f t="shared" si="0"/>
        <v>1</v>
      </c>
      <c r="M60">
        <v>2841</v>
      </c>
      <c r="N60">
        <v>0</v>
      </c>
      <c r="S60">
        <v>2068</v>
      </c>
      <c r="T60">
        <v>0</v>
      </c>
    </row>
    <row r="61" spans="1:20" x14ac:dyDescent="0.2">
      <c r="A61">
        <v>385</v>
      </c>
      <c r="B61" s="10">
        <v>36526</v>
      </c>
      <c r="C61" s="10">
        <v>40359</v>
      </c>
      <c r="D61" s="10" t="s">
        <v>538</v>
      </c>
      <c r="F61">
        <v>478</v>
      </c>
      <c r="G61" s="10">
        <v>40875</v>
      </c>
      <c r="I61">
        <v>724</v>
      </c>
      <c r="J61">
        <v>0</v>
      </c>
      <c r="K61">
        <v>1</v>
      </c>
      <c r="L61" s="14">
        <f t="shared" si="0"/>
        <v>0</v>
      </c>
      <c r="M61">
        <v>2846</v>
      </c>
      <c r="N61">
        <v>0</v>
      </c>
      <c r="S61">
        <v>2071</v>
      </c>
      <c r="T61">
        <v>0</v>
      </c>
    </row>
    <row r="62" spans="1:20" x14ac:dyDescent="0.2">
      <c r="A62">
        <v>388</v>
      </c>
      <c r="B62" s="10">
        <v>36526</v>
      </c>
      <c r="C62" s="10">
        <v>40268</v>
      </c>
      <c r="D62" s="10" t="s">
        <v>538</v>
      </c>
      <c r="F62">
        <v>484</v>
      </c>
      <c r="G62" s="10">
        <v>40875</v>
      </c>
      <c r="I62">
        <v>725</v>
      </c>
      <c r="J62">
        <v>1</v>
      </c>
      <c r="K62">
        <v>1</v>
      </c>
      <c r="L62" s="14">
        <f t="shared" si="0"/>
        <v>1</v>
      </c>
      <c r="M62">
        <v>2847</v>
      </c>
      <c r="N62">
        <v>0</v>
      </c>
      <c r="S62">
        <v>2076</v>
      </c>
      <c r="T62">
        <v>0</v>
      </c>
    </row>
    <row r="63" spans="1:20" x14ac:dyDescent="0.2">
      <c r="A63">
        <v>390</v>
      </c>
      <c r="B63" s="10">
        <v>36526</v>
      </c>
      <c r="C63" s="10">
        <v>40473</v>
      </c>
      <c r="D63" s="10" t="s">
        <v>206</v>
      </c>
      <c r="F63">
        <v>487</v>
      </c>
      <c r="G63" s="10">
        <v>40875</v>
      </c>
      <c r="I63">
        <v>726</v>
      </c>
      <c r="J63">
        <v>0</v>
      </c>
      <c r="K63">
        <v>1</v>
      </c>
      <c r="L63" s="14">
        <f t="shared" si="0"/>
        <v>0</v>
      </c>
      <c r="M63">
        <v>2981</v>
      </c>
      <c r="N63">
        <v>0</v>
      </c>
      <c r="S63">
        <v>2112</v>
      </c>
      <c r="T63">
        <v>0</v>
      </c>
    </row>
    <row r="64" spans="1:20" x14ac:dyDescent="0.2">
      <c r="A64">
        <v>391</v>
      </c>
      <c r="B64" s="10">
        <v>36526</v>
      </c>
      <c r="C64" s="10">
        <v>40473</v>
      </c>
      <c r="D64" s="10" t="s">
        <v>206</v>
      </c>
      <c r="F64">
        <v>488</v>
      </c>
      <c r="G64" s="10">
        <v>40875</v>
      </c>
      <c r="I64">
        <v>727</v>
      </c>
      <c r="J64">
        <v>0</v>
      </c>
      <c r="K64">
        <v>1</v>
      </c>
      <c r="L64" s="14">
        <f t="shared" si="0"/>
        <v>0</v>
      </c>
      <c r="M64">
        <v>3000</v>
      </c>
      <c r="N64">
        <v>0</v>
      </c>
      <c r="S64">
        <v>2113</v>
      </c>
      <c r="T64">
        <v>0</v>
      </c>
    </row>
    <row r="65" spans="1:20" x14ac:dyDescent="0.2">
      <c r="A65">
        <v>411</v>
      </c>
      <c r="B65" s="10">
        <v>36526</v>
      </c>
      <c r="C65" s="10">
        <v>40329</v>
      </c>
      <c r="D65" s="10" t="s">
        <v>538</v>
      </c>
      <c r="F65">
        <v>494</v>
      </c>
      <c r="G65" s="10">
        <v>40875</v>
      </c>
      <c r="I65">
        <v>728</v>
      </c>
      <c r="J65">
        <v>0</v>
      </c>
      <c r="K65">
        <v>1</v>
      </c>
      <c r="L65" s="14">
        <f t="shared" si="0"/>
        <v>0</v>
      </c>
      <c r="M65">
        <v>3012</v>
      </c>
      <c r="N65">
        <v>0</v>
      </c>
      <c r="S65">
        <v>2116</v>
      </c>
      <c r="T65">
        <v>0</v>
      </c>
    </row>
    <row r="66" spans="1:20" x14ac:dyDescent="0.2">
      <c r="A66">
        <v>416</v>
      </c>
      <c r="B66" s="10">
        <v>36526</v>
      </c>
      <c r="C66" s="10">
        <v>40662</v>
      </c>
      <c r="D66" s="10" t="s">
        <v>539</v>
      </c>
      <c r="F66">
        <v>501</v>
      </c>
      <c r="G66" s="10">
        <v>40875</v>
      </c>
      <c r="I66">
        <v>729</v>
      </c>
      <c r="J66">
        <v>0</v>
      </c>
      <c r="K66">
        <v>1</v>
      </c>
      <c r="L66" s="14">
        <f t="shared" si="0"/>
        <v>0</v>
      </c>
      <c r="M66">
        <v>3013</v>
      </c>
      <c r="N66">
        <v>0</v>
      </c>
      <c r="S66">
        <v>2132</v>
      </c>
      <c r="T66">
        <v>0</v>
      </c>
    </row>
    <row r="67" spans="1:20" x14ac:dyDescent="0.2">
      <c r="A67">
        <v>420</v>
      </c>
      <c r="B67" s="10">
        <v>36526</v>
      </c>
      <c r="C67" s="10">
        <v>40389</v>
      </c>
      <c r="D67" s="10" t="s">
        <v>538</v>
      </c>
      <c r="F67">
        <v>522</v>
      </c>
      <c r="G67" s="10">
        <v>40875</v>
      </c>
      <c r="I67">
        <v>735</v>
      </c>
      <c r="J67">
        <v>0</v>
      </c>
      <c r="K67">
        <v>1</v>
      </c>
      <c r="L67" s="14">
        <f t="shared" si="0"/>
        <v>0</v>
      </c>
      <c r="M67">
        <v>3114</v>
      </c>
      <c r="N67">
        <v>0</v>
      </c>
      <c r="S67">
        <v>2165</v>
      </c>
      <c r="T67">
        <v>0</v>
      </c>
    </row>
    <row r="68" spans="1:20" x14ac:dyDescent="0.2">
      <c r="A68">
        <v>421</v>
      </c>
      <c r="B68" s="10">
        <v>36526</v>
      </c>
      <c r="C68" s="10">
        <v>40329</v>
      </c>
      <c r="D68" s="10" t="s">
        <v>538</v>
      </c>
      <c r="F68">
        <v>526</v>
      </c>
      <c r="G68" s="10">
        <v>40875</v>
      </c>
      <c r="I68">
        <v>736</v>
      </c>
      <c r="J68">
        <v>0</v>
      </c>
      <c r="K68">
        <v>1</v>
      </c>
      <c r="L68" s="14">
        <f t="shared" si="0"/>
        <v>0</v>
      </c>
      <c r="M68">
        <v>3308</v>
      </c>
      <c r="N68">
        <v>0</v>
      </c>
      <c r="S68">
        <v>2183</v>
      </c>
      <c r="T68">
        <v>0</v>
      </c>
    </row>
    <row r="69" spans="1:20" x14ac:dyDescent="0.2">
      <c r="A69">
        <v>432</v>
      </c>
      <c r="B69" s="10">
        <v>36526</v>
      </c>
      <c r="C69" s="10">
        <v>40329</v>
      </c>
      <c r="D69" s="10" t="s">
        <v>538</v>
      </c>
      <c r="F69">
        <v>529</v>
      </c>
      <c r="G69" s="10">
        <v>40875</v>
      </c>
      <c r="I69">
        <v>737</v>
      </c>
      <c r="J69">
        <v>0</v>
      </c>
      <c r="K69">
        <v>1</v>
      </c>
      <c r="L69" s="14">
        <f t="shared" ref="L69:L132" si="1">J69*K69</f>
        <v>0</v>
      </c>
      <c r="M69">
        <v>3415</v>
      </c>
      <c r="N69">
        <v>0</v>
      </c>
      <c r="S69">
        <v>2190</v>
      </c>
      <c r="T69">
        <v>0</v>
      </c>
    </row>
    <row r="70" spans="1:20" x14ac:dyDescent="0.2">
      <c r="A70">
        <v>436</v>
      </c>
      <c r="B70" s="10">
        <v>39273</v>
      </c>
      <c r="C70" s="10">
        <v>40268</v>
      </c>
      <c r="D70" s="10" t="s">
        <v>539</v>
      </c>
      <c r="F70">
        <v>530</v>
      </c>
      <c r="G70" s="10">
        <v>40875</v>
      </c>
      <c r="I70">
        <v>740</v>
      </c>
      <c r="J70">
        <v>0</v>
      </c>
      <c r="K70">
        <v>1</v>
      </c>
      <c r="L70" s="14">
        <f t="shared" si="1"/>
        <v>0</v>
      </c>
      <c r="M70">
        <v>3464</v>
      </c>
      <c r="N70">
        <v>0</v>
      </c>
      <c r="S70">
        <v>2192</v>
      </c>
      <c r="T70">
        <v>0</v>
      </c>
    </row>
    <row r="71" spans="1:20" x14ac:dyDescent="0.2">
      <c r="A71">
        <v>442</v>
      </c>
      <c r="B71" s="10">
        <v>219148</v>
      </c>
      <c r="C71" s="10">
        <v>40389</v>
      </c>
      <c r="D71" s="10" t="s">
        <v>538</v>
      </c>
      <c r="F71">
        <v>542</v>
      </c>
      <c r="G71" s="10">
        <v>40875</v>
      </c>
      <c r="I71">
        <v>741</v>
      </c>
      <c r="J71">
        <v>0</v>
      </c>
      <c r="K71">
        <v>1</v>
      </c>
      <c r="L71" s="14">
        <f t="shared" si="1"/>
        <v>0</v>
      </c>
      <c r="M71">
        <v>3485</v>
      </c>
      <c r="N71">
        <v>0</v>
      </c>
      <c r="S71">
        <v>2214</v>
      </c>
      <c r="T71">
        <v>0</v>
      </c>
    </row>
    <row r="72" spans="1:20" x14ac:dyDescent="0.2">
      <c r="A72">
        <v>445</v>
      </c>
      <c r="B72" s="10">
        <v>39667</v>
      </c>
      <c r="C72" s="10">
        <v>40473</v>
      </c>
      <c r="D72" s="10" t="s">
        <v>204</v>
      </c>
      <c r="F72">
        <v>559</v>
      </c>
      <c r="G72" s="10">
        <v>40875</v>
      </c>
      <c r="I72">
        <v>742</v>
      </c>
      <c r="J72">
        <v>0</v>
      </c>
      <c r="K72">
        <v>1</v>
      </c>
      <c r="L72" s="14">
        <f t="shared" si="1"/>
        <v>0</v>
      </c>
      <c r="M72">
        <v>3491</v>
      </c>
      <c r="N72">
        <v>0</v>
      </c>
      <c r="S72">
        <v>2218</v>
      </c>
      <c r="T72">
        <v>0</v>
      </c>
    </row>
    <row r="73" spans="1:20" x14ac:dyDescent="0.2">
      <c r="A73">
        <v>446</v>
      </c>
      <c r="B73" s="10">
        <v>39681</v>
      </c>
      <c r="C73" s="10">
        <v>40268</v>
      </c>
      <c r="D73" s="10" t="s">
        <v>539</v>
      </c>
      <c r="F73">
        <v>560</v>
      </c>
      <c r="G73" s="10">
        <v>40875</v>
      </c>
      <c r="I73">
        <v>743</v>
      </c>
      <c r="J73">
        <v>0</v>
      </c>
      <c r="K73">
        <v>1</v>
      </c>
      <c r="L73" s="14">
        <f t="shared" si="1"/>
        <v>0</v>
      </c>
      <c r="M73">
        <v>3492</v>
      </c>
      <c r="N73">
        <v>0</v>
      </c>
      <c r="S73">
        <v>2246</v>
      </c>
      <c r="T73">
        <v>0</v>
      </c>
    </row>
    <row r="74" spans="1:20" x14ac:dyDescent="0.2">
      <c r="A74">
        <v>456</v>
      </c>
      <c r="B74" s="10">
        <v>36526</v>
      </c>
      <c r="C74" s="10">
        <v>40268</v>
      </c>
      <c r="D74" s="10" t="s">
        <v>206</v>
      </c>
      <c r="F74">
        <v>561</v>
      </c>
      <c r="G74" s="10">
        <v>40875</v>
      </c>
      <c r="I74">
        <v>746</v>
      </c>
      <c r="J74">
        <v>1</v>
      </c>
      <c r="K74">
        <v>1</v>
      </c>
      <c r="L74" s="14">
        <f t="shared" si="1"/>
        <v>1</v>
      </c>
      <c r="M74">
        <v>3494</v>
      </c>
      <c r="N74">
        <v>0</v>
      </c>
      <c r="S74">
        <v>2273</v>
      </c>
      <c r="T74">
        <v>0</v>
      </c>
    </row>
    <row r="75" spans="1:20" x14ac:dyDescent="0.2">
      <c r="A75">
        <v>457</v>
      </c>
      <c r="B75" s="10">
        <v>39712</v>
      </c>
      <c r="C75" s="10">
        <v>40268</v>
      </c>
      <c r="D75" s="10" t="s">
        <v>539</v>
      </c>
      <c r="F75">
        <v>563</v>
      </c>
      <c r="G75" s="10">
        <v>40875</v>
      </c>
      <c r="I75">
        <v>750</v>
      </c>
      <c r="J75">
        <v>0</v>
      </c>
      <c r="K75">
        <v>1</v>
      </c>
      <c r="L75" s="14">
        <f t="shared" si="1"/>
        <v>0</v>
      </c>
      <c r="M75">
        <v>3500</v>
      </c>
      <c r="N75">
        <v>0</v>
      </c>
      <c r="S75">
        <v>2283</v>
      </c>
      <c r="T75">
        <v>0</v>
      </c>
    </row>
    <row r="76" spans="1:20" x14ac:dyDescent="0.2">
      <c r="A76">
        <v>461</v>
      </c>
      <c r="B76" s="10">
        <v>36526</v>
      </c>
      <c r="C76" s="10">
        <v>40268</v>
      </c>
      <c r="D76" s="10" t="s">
        <v>538</v>
      </c>
      <c r="F76">
        <v>564</v>
      </c>
      <c r="G76" s="10">
        <v>40875</v>
      </c>
      <c r="I76">
        <v>751</v>
      </c>
      <c r="J76">
        <v>0</v>
      </c>
      <c r="K76">
        <v>1</v>
      </c>
      <c r="L76" s="14">
        <f t="shared" si="1"/>
        <v>0</v>
      </c>
      <c r="M76">
        <v>3503</v>
      </c>
      <c r="N76">
        <v>0</v>
      </c>
      <c r="S76">
        <v>2409</v>
      </c>
      <c r="T76">
        <v>0</v>
      </c>
    </row>
    <row r="77" spans="1:20" x14ac:dyDescent="0.2">
      <c r="A77">
        <v>463</v>
      </c>
      <c r="B77" s="10">
        <v>38939</v>
      </c>
      <c r="C77" s="10">
        <v>40512</v>
      </c>
      <c r="D77" s="10" t="s">
        <v>539</v>
      </c>
      <c r="F77">
        <v>581</v>
      </c>
      <c r="G77" s="10">
        <v>40875</v>
      </c>
      <c r="I77">
        <v>759</v>
      </c>
      <c r="J77">
        <v>1</v>
      </c>
      <c r="K77">
        <v>1</v>
      </c>
      <c r="L77" s="14">
        <f t="shared" si="1"/>
        <v>1</v>
      </c>
      <c r="M77">
        <v>3527</v>
      </c>
      <c r="N77">
        <v>0</v>
      </c>
      <c r="S77">
        <v>2410</v>
      </c>
      <c r="T77">
        <v>0</v>
      </c>
    </row>
    <row r="78" spans="1:20" x14ac:dyDescent="0.2">
      <c r="A78">
        <v>466</v>
      </c>
      <c r="B78" s="10">
        <v>36526</v>
      </c>
      <c r="C78" s="10">
        <v>40414</v>
      </c>
      <c r="D78" s="10" t="s">
        <v>538</v>
      </c>
      <c r="F78">
        <v>585</v>
      </c>
      <c r="G78" s="10">
        <v>40875</v>
      </c>
      <c r="I78">
        <v>771</v>
      </c>
      <c r="J78">
        <v>0</v>
      </c>
      <c r="K78">
        <v>1</v>
      </c>
      <c r="L78" s="14">
        <f t="shared" si="1"/>
        <v>0</v>
      </c>
      <c r="M78">
        <v>3528</v>
      </c>
      <c r="N78">
        <v>0</v>
      </c>
      <c r="S78">
        <v>2481</v>
      </c>
      <c r="T78">
        <v>0</v>
      </c>
    </row>
    <row r="79" spans="1:20" x14ac:dyDescent="0.2">
      <c r="A79">
        <v>467</v>
      </c>
      <c r="B79" s="10">
        <v>36526</v>
      </c>
      <c r="C79" s="10">
        <v>40389</v>
      </c>
      <c r="D79" s="10" t="s">
        <v>538</v>
      </c>
      <c r="F79">
        <v>591</v>
      </c>
      <c r="G79" s="10">
        <v>40875</v>
      </c>
      <c r="I79">
        <v>773</v>
      </c>
      <c r="J79">
        <v>0</v>
      </c>
      <c r="K79">
        <v>1</v>
      </c>
      <c r="L79" s="14">
        <f t="shared" si="1"/>
        <v>0</v>
      </c>
      <c r="M79">
        <v>3530</v>
      </c>
      <c r="N79">
        <v>0</v>
      </c>
      <c r="S79">
        <v>2504</v>
      </c>
      <c r="T79">
        <v>0</v>
      </c>
    </row>
    <row r="80" spans="1:20" x14ac:dyDescent="0.2">
      <c r="A80">
        <v>469</v>
      </c>
      <c r="B80" s="10">
        <v>36526</v>
      </c>
      <c r="C80" s="10">
        <v>40268</v>
      </c>
      <c r="D80" s="10" t="s">
        <v>538</v>
      </c>
      <c r="F80">
        <v>600</v>
      </c>
      <c r="G80" s="10">
        <v>40697</v>
      </c>
      <c r="I80">
        <v>788</v>
      </c>
      <c r="J80">
        <v>1</v>
      </c>
      <c r="K80">
        <v>1</v>
      </c>
      <c r="L80" s="14">
        <f t="shared" si="1"/>
        <v>1</v>
      </c>
      <c r="M80">
        <v>3533</v>
      </c>
      <c r="N80">
        <v>0</v>
      </c>
      <c r="S80">
        <v>2528</v>
      </c>
      <c r="T80">
        <v>0</v>
      </c>
    </row>
    <row r="81" spans="1:20" x14ac:dyDescent="0.2">
      <c r="A81">
        <v>475</v>
      </c>
      <c r="B81" s="10">
        <v>36526</v>
      </c>
      <c r="C81" s="10">
        <v>40444</v>
      </c>
      <c r="D81" s="10" t="s">
        <v>538</v>
      </c>
      <c r="F81">
        <v>606</v>
      </c>
      <c r="G81" s="10">
        <v>40875</v>
      </c>
      <c r="I81">
        <v>802</v>
      </c>
      <c r="J81">
        <v>1</v>
      </c>
      <c r="K81">
        <v>1</v>
      </c>
      <c r="L81" s="14">
        <f t="shared" si="1"/>
        <v>1</v>
      </c>
      <c r="M81">
        <v>3536</v>
      </c>
      <c r="N81">
        <v>0</v>
      </c>
      <c r="S81">
        <v>2538</v>
      </c>
      <c r="T81">
        <v>0</v>
      </c>
    </row>
    <row r="82" spans="1:20" x14ac:dyDescent="0.2">
      <c r="A82">
        <v>478</v>
      </c>
      <c r="B82" s="10">
        <v>36526</v>
      </c>
      <c r="C82" s="10">
        <v>40444</v>
      </c>
      <c r="D82" s="10" t="s">
        <v>538</v>
      </c>
      <c r="F82">
        <v>607</v>
      </c>
      <c r="G82" s="10">
        <v>40875</v>
      </c>
      <c r="I82">
        <v>803</v>
      </c>
      <c r="J82">
        <v>1</v>
      </c>
      <c r="K82">
        <v>1</v>
      </c>
      <c r="L82" s="14">
        <f t="shared" si="1"/>
        <v>1</v>
      </c>
      <c r="M82">
        <v>3543</v>
      </c>
      <c r="N82">
        <v>0</v>
      </c>
      <c r="S82">
        <v>2562</v>
      </c>
      <c r="T82">
        <v>0</v>
      </c>
    </row>
    <row r="83" spans="1:20" x14ac:dyDescent="0.2">
      <c r="A83">
        <v>481</v>
      </c>
      <c r="B83" s="10">
        <v>39006</v>
      </c>
      <c r="C83" s="10">
        <v>40512</v>
      </c>
      <c r="D83" s="10" t="s">
        <v>539</v>
      </c>
      <c r="F83">
        <v>609</v>
      </c>
      <c r="G83" s="10">
        <v>40802</v>
      </c>
      <c r="I83">
        <v>804</v>
      </c>
      <c r="J83">
        <v>1</v>
      </c>
      <c r="K83">
        <v>1</v>
      </c>
      <c r="L83" s="14">
        <f t="shared" si="1"/>
        <v>1</v>
      </c>
      <c r="M83">
        <v>3544</v>
      </c>
      <c r="N83">
        <v>0</v>
      </c>
      <c r="S83">
        <v>2564</v>
      </c>
      <c r="T83">
        <v>0</v>
      </c>
    </row>
    <row r="84" spans="1:20" x14ac:dyDescent="0.2">
      <c r="A84">
        <v>482</v>
      </c>
      <c r="B84" s="10">
        <v>39009</v>
      </c>
      <c r="C84" s="10">
        <v>40512</v>
      </c>
      <c r="D84" s="10" t="s">
        <v>539</v>
      </c>
      <c r="F84">
        <v>622</v>
      </c>
      <c r="G84" s="10">
        <v>40875</v>
      </c>
      <c r="I84">
        <v>812</v>
      </c>
      <c r="J84">
        <v>1</v>
      </c>
      <c r="K84">
        <v>1</v>
      </c>
      <c r="L84" s="14">
        <f t="shared" si="1"/>
        <v>1</v>
      </c>
      <c r="M84">
        <v>3556</v>
      </c>
      <c r="N84">
        <v>1</v>
      </c>
      <c r="S84">
        <v>2566</v>
      </c>
      <c r="T84">
        <v>0</v>
      </c>
    </row>
    <row r="85" spans="1:20" x14ac:dyDescent="0.2">
      <c r="A85">
        <v>484</v>
      </c>
      <c r="B85" s="10">
        <v>36526</v>
      </c>
      <c r="C85" s="10">
        <v>40512</v>
      </c>
      <c r="D85" s="10" t="s">
        <v>538</v>
      </c>
      <c r="F85">
        <v>623</v>
      </c>
      <c r="G85" s="10">
        <v>40875</v>
      </c>
      <c r="I85">
        <v>818</v>
      </c>
      <c r="J85">
        <v>1</v>
      </c>
      <c r="K85">
        <v>1</v>
      </c>
      <c r="L85" s="14">
        <f t="shared" si="1"/>
        <v>1</v>
      </c>
      <c r="M85">
        <v>3557</v>
      </c>
      <c r="N85">
        <v>1</v>
      </c>
      <c r="S85">
        <v>2582</v>
      </c>
      <c r="T85">
        <v>0</v>
      </c>
    </row>
    <row r="86" spans="1:20" x14ac:dyDescent="0.2">
      <c r="A86">
        <v>487</v>
      </c>
      <c r="B86" s="10">
        <v>36526</v>
      </c>
      <c r="C86" s="10">
        <v>40268</v>
      </c>
      <c r="D86" s="10" t="s">
        <v>538</v>
      </c>
      <c r="F86">
        <v>637</v>
      </c>
      <c r="G86" s="10">
        <v>40875</v>
      </c>
      <c r="I86">
        <v>819</v>
      </c>
      <c r="J86">
        <v>1</v>
      </c>
      <c r="K86">
        <v>1</v>
      </c>
      <c r="L86" s="14">
        <f t="shared" si="1"/>
        <v>1</v>
      </c>
      <c r="M86">
        <v>3595</v>
      </c>
      <c r="N86">
        <v>0</v>
      </c>
      <c r="S86">
        <v>2599</v>
      </c>
      <c r="T86">
        <v>1</v>
      </c>
    </row>
    <row r="87" spans="1:20" x14ac:dyDescent="0.2">
      <c r="A87">
        <v>488</v>
      </c>
      <c r="B87" s="10">
        <v>36526</v>
      </c>
      <c r="C87" s="10">
        <v>40268</v>
      </c>
      <c r="D87" s="10" t="s">
        <v>538</v>
      </c>
      <c r="F87">
        <v>638</v>
      </c>
      <c r="G87" s="10">
        <v>40875</v>
      </c>
      <c r="I87">
        <v>909</v>
      </c>
      <c r="J87">
        <v>1</v>
      </c>
      <c r="K87">
        <v>2</v>
      </c>
      <c r="L87" s="14">
        <f t="shared" si="1"/>
        <v>2</v>
      </c>
      <c r="M87">
        <v>3605</v>
      </c>
      <c r="N87">
        <v>0</v>
      </c>
      <c r="S87">
        <v>2600</v>
      </c>
      <c r="T87">
        <v>1</v>
      </c>
    </row>
    <row r="88" spans="1:20" x14ac:dyDescent="0.2">
      <c r="A88">
        <v>494</v>
      </c>
      <c r="B88" s="10">
        <v>36526</v>
      </c>
      <c r="C88" s="10">
        <v>40329</v>
      </c>
      <c r="D88" s="10" t="s">
        <v>538</v>
      </c>
      <c r="F88">
        <v>639</v>
      </c>
      <c r="G88" s="10">
        <v>40875</v>
      </c>
      <c r="I88">
        <v>912</v>
      </c>
      <c r="J88">
        <v>1</v>
      </c>
      <c r="K88">
        <v>2</v>
      </c>
      <c r="L88" s="14">
        <f t="shared" si="1"/>
        <v>2</v>
      </c>
      <c r="M88">
        <v>3609</v>
      </c>
      <c r="N88">
        <v>0</v>
      </c>
      <c r="S88">
        <v>2601</v>
      </c>
      <c r="T88">
        <v>1</v>
      </c>
    </row>
    <row r="89" spans="1:20" x14ac:dyDescent="0.2">
      <c r="A89">
        <v>496</v>
      </c>
      <c r="B89" s="10">
        <v>39071</v>
      </c>
      <c r="C89" s="10">
        <v>40512</v>
      </c>
      <c r="D89" s="10" t="s">
        <v>539</v>
      </c>
      <c r="F89">
        <v>646</v>
      </c>
      <c r="G89" s="10">
        <v>40875</v>
      </c>
      <c r="I89">
        <v>919</v>
      </c>
      <c r="J89">
        <v>1</v>
      </c>
      <c r="K89">
        <v>2</v>
      </c>
      <c r="L89" s="14">
        <f t="shared" si="1"/>
        <v>2</v>
      </c>
      <c r="M89">
        <v>3611</v>
      </c>
      <c r="N89">
        <v>0</v>
      </c>
      <c r="S89">
        <v>2611</v>
      </c>
      <c r="T89">
        <v>1</v>
      </c>
    </row>
    <row r="90" spans="1:20" x14ac:dyDescent="0.2">
      <c r="A90">
        <v>501</v>
      </c>
      <c r="B90" s="10">
        <v>36526</v>
      </c>
      <c r="C90" s="10">
        <v>40268</v>
      </c>
      <c r="D90" s="10" t="s">
        <v>538</v>
      </c>
      <c r="F90">
        <v>647</v>
      </c>
      <c r="G90" s="10">
        <v>40875</v>
      </c>
      <c r="I90">
        <v>922</v>
      </c>
      <c r="J90">
        <v>1</v>
      </c>
      <c r="K90">
        <v>2</v>
      </c>
      <c r="L90" s="14">
        <f t="shared" si="1"/>
        <v>2</v>
      </c>
      <c r="M90">
        <v>3614</v>
      </c>
      <c r="N90">
        <v>1</v>
      </c>
      <c r="S90">
        <v>2631</v>
      </c>
      <c r="T90">
        <v>0</v>
      </c>
    </row>
    <row r="91" spans="1:20" x14ac:dyDescent="0.2">
      <c r="A91">
        <v>506</v>
      </c>
      <c r="B91" s="10">
        <v>39134</v>
      </c>
      <c r="C91" s="10">
        <v>40512</v>
      </c>
      <c r="D91" s="10" t="s">
        <v>539</v>
      </c>
      <c r="F91">
        <v>656</v>
      </c>
      <c r="G91" s="10">
        <v>40875</v>
      </c>
      <c r="I91">
        <v>923</v>
      </c>
      <c r="J91">
        <v>1</v>
      </c>
      <c r="K91">
        <v>2</v>
      </c>
      <c r="L91" s="14">
        <f t="shared" si="1"/>
        <v>2</v>
      </c>
      <c r="M91">
        <v>3615</v>
      </c>
      <c r="N91">
        <v>0</v>
      </c>
      <c r="S91">
        <v>2632</v>
      </c>
      <c r="T91">
        <v>0</v>
      </c>
    </row>
    <row r="92" spans="1:20" x14ac:dyDescent="0.2">
      <c r="A92">
        <v>507</v>
      </c>
      <c r="B92" s="10">
        <v>39157</v>
      </c>
      <c r="C92" s="10">
        <v>40512</v>
      </c>
      <c r="D92" s="10" t="s">
        <v>539</v>
      </c>
      <c r="F92">
        <v>663</v>
      </c>
      <c r="G92" s="10">
        <v>40875</v>
      </c>
      <c r="I92">
        <v>925</v>
      </c>
      <c r="J92">
        <v>1</v>
      </c>
      <c r="K92">
        <v>2</v>
      </c>
      <c r="L92" s="14">
        <f t="shared" si="1"/>
        <v>2</v>
      </c>
      <c r="M92">
        <v>3617</v>
      </c>
      <c r="N92">
        <v>0</v>
      </c>
      <c r="S92">
        <v>2633</v>
      </c>
      <c r="T92">
        <v>0</v>
      </c>
    </row>
    <row r="93" spans="1:20" x14ac:dyDescent="0.2">
      <c r="A93">
        <v>515</v>
      </c>
      <c r="B93" s="10">
        <v>39177</v>
      </c>
      <c r="C93" s="10">
        <v>40512</v>
      </c>
      <c r="D93" s="10" t="s">
        <v>539</v>
      </c>
      <c r="F93">
        <v>668</v>
      </c>
      <c r="G93" s="10">
        <v>40875</v>
      </c>
      <c r="I93">
        <v>931</v>
      </c>
      <c r="J93">
        <v>1</v>
      </c>
      <c r="K93">
        <v>2</v>
      </c>
      <c r="L93" s="14">
        <f t="shared" si="1"/>
        <v>2</v>
      </c>
      <c r="M93">
        <v>3618</v>
      </c>
      <c r="N93">
        <v>0</v>
      </c>
      <c r="S93">
        <v>2636</v>
      </c>
      <c r="T93">
        <v>0</v>
      </c>
    </row>
    <row r="94" spans="1:20" x14ac:dyDescent="0.2">
      <c r="A94">
        <v>522</v>
      </c>
      <c r="B94" s="10">
        <v>39224</v>
      </c>
      <c r="C94" s="10">
        <v>40847</v>
      </c>
      <c r="D94" s="10" t="s">
        <v>538</v>
      </c>
      <c r="F94">
        <v>680</v>
      </c>
      <c r="G94" s="10">
        <v>40875</v>
      </c>
      <c r="I94">
        <v>968</v>
      </c>
      <c r="J94">
        <v>1</v>
      </c>
      <c r="K94">
        <v>2</v>
      </c>
      <c r="L94" s="14">
        <f t="shared" si="1"/>
        <v>2</v>
      </c>
      <c r="M94">
        <v>3619</v>
      </c>
      <c r="N94">
        <v>0</v>
      </c>
      <c r="S94">
        <v>2637</v>
      </c>
      <c r="T94">
        <v>0</v>
      </c>
    </row>
    <row r="95" spans="1:20" x14ac:dyDescent="0.2">
      <c r="A95">
        <v>526</v>
      </c>
      <c r="B95" s="10">
        <v>36526</v>
      </c>
      <c r="C95" s="10">
        <v>40574</v>
      </c>
      <c r="D95" s="10" t="s">
        <v>538</v>
      </c>
      <c r="F95">
        <v>707</v>
      </c>
      <c r="G95" s="10">
        <v>40875</v>
      </c>
      <c r="I95">
        <v>969</v>
      </c>
      <c r="J95">
        <v>1</v>
      </c>
      <c r="K95">
        <v>2</v>
      </c>
      <c r="L95" s="14">
        <f t="shared" si="1"/>
        <v>2</v>
      </c>
      <c r="M95">
        <v>3620</v>
      </c>
      <c r="N95">
        <v>0</v>
      </c>
      <c r="S95">
        <v>2694</v>
      </c>
      <c r="T95">
        <v>0</v>
      </c>
    </row>
    <row r="96" spans="1:20" x14ac:dyDescent="0.2">
      <c r="A96">
        <v>529</v>
      </c>
      <c r="B96" s="10">
        <v>36526</v>
      </c>
      <c r="C96" s="10">
        <v>40268</v>
      </c>
      <c r="D96" s="10" t="s">
        <v>538</v>
      </c>
      <c r="F96">
        <v>708</v>
      </c>
      <c r="G96" s="10">
        <v>40875</v>
      </c>
      <c r="I96">
        <v>970</v>
      </c>
      <c r="J96">
        <v>1</v>
      </c>
      <c r="K96">
        <v>2</v>
      </c>
      <c r="L96" s="14">
        <f t="shared" si="1"/>
        <v>2</v>
      </c>
      <c r="M96">
        <v>3621</v>
      </c>
      <c r="N96">
        <v>0</v>
      </c>
      <c r="S96">
        <v>2695</v>
      </c>
      <c r="T96">
        <v>0</v>
      </c>
    </row>
    <row r="97" spans="1:20" x14ac:dyDescent="0.2">
      <c r="A97">
        <v>530</v>
      </c>
      <c r="B97" s="10">
        <v>36526</v>
      </c>
      <c r="C97" s="10">
        <v>40268</v>
      </c>
      <c r="D97" s="10" t="s">
        <v>538</v>
      </c>
      <c r="F97">
        <v>709</v>
      </c>
      <c r="G97" s="10">
        <v>40875</v>
      </c>
      <c r="I97">
        <v>971</v>
      </c>
      <c r="J97">
        <v>1</v>
      </c>
      <c r="K97">
        <v>2</v>
      </c>
      <c r="L97" s="14">
        <f t="shared" si="1"/>
        <v>2</v>
      </c>
      <c r="M97">
        <v>3622</v>
      </c>
      <c r="N97">
        <v>0</v>
      </c>
      <c r="S97">
        <v>2696</v>
      </c>
      <c r="T97">
        <v>0</v>
      </c>
    </row>
    <row r="98" spans="1:20" x14ac:dyDescent="0.2">
      <c r="A98">
        <v>531</v>
      </c>
      <c r="B98" s="10">
        <v>39290</v>
      </c>
      <c r="C98" s="10">
        <v>40329</v>
      </c>
      <c r="D98" s="10" t="s">
        <v>204</v>
      </c>
      <c r="F98">
        <v>710</v>
      </c>
      <c r="G98" s="10">
        <v>40875</v>
      </c>
      <c r="I98">
        <v>972</v>
      </c>
      <c r="J98">
        <v>1</v>
      </c>
      <c r="K98">
        <v>2</v>
      </c>
      <c r="L98" s="14">
        <f t="shared" si="1"/>
        <v>2</v>
      </c>
      <c r="M98">
        <v>3648</v>
      </c>
      <c r="N98">
        <v>0</v>
      </c>
      <c r="S98">
        <v>2697</v>
      </c>
      <c r="T98">
        <v>0</v>
      </c>
    </row>
    <row r="99" spans="1:20" x14ac:dyDescent="0.2">
      <c r="A99">
        <v>536</v>
      </c>
      <c r="B99" s="10">
        <v>39377</v>
      </c>
      <c r="C99" s="10">
        <v>40268</v>
      </c>
      <c r="D99" s="10" t="s">
        <v>539</v>
      </c>
      <c r="F99">
        <v>713</v>
      </c>
      <c r="G99" s="10">
        <v>40875</v>
      </c>
      <c r="I99">
        <v>974</v>
      </c>
      <c r="J99">
        <v>1</v>
      </c>
      <c r="K99">
        <v>2</v>
      </c>
      <c r="L99" s="14">
        <f t="shared" si="1"/>
        <v>2</v>
      </c>
      <c r="M99">
        <v>3649</v>
      </c>
      <c r="N99">
        <v>0</v>
      </c>
      <c r="S99">
        <v>2698</v>
      </c>
      <c r="T99">
        <v>0</v>
      </c>
    </row>
    <row r="100" spans="1:20" x14ac:dyDescent="0.2">
      <c r="A100">
        <v>538</v>
      </c>
      <c r="B100" s="10">
        <v>36526</v>
      </c>
      <c r="C100" s="10">
        <v>40329</v>
      </c>
      <c r="D100" s="10" t="s">
        <v>205</v>
      </c>
      <c r="F100">
        <v>723</v>
      </c>
      <c r="G100" s="10">
        <v>40875</v>
      </c>
      <c r="I100">
        <v>1009</v>
      </c>
      <c r="J100">
        <v>0</v>
      </c>
      <c r="K100">
        <v>1</v>
      </c>
      <c r="L100" s="14">
        <f t="shared" si="1"/>
        <v>0</v>
      </c>
      <c r="M100">
        <v>3652</v>
      </c>
      <c r="N100">
        <v>1</v>
      </c>
      <c r="S100">
        <v>2699</v>
      </c>
      <c r="T100">
        <v>0</v>
      </c>
    </row>
    <row r="101" spans="1:20" x14ac:dyDescent="0.2">
      <c r="A101">
        <v>539</v>
      </c>
      <c r="B101" s="10">
        <v>39317</v>
      </c>
      <c r="C101" s="10">
        <v>40512</v>
      </c>
      <c r="D101" s="10" t="s">
        <v>539</v>
      </c>
      <c r="F101">
        <v>732</v>
      </c>
      <c r="G101" s="10">
        <v>40875</v>
      </c>
      <c r="I101">
        <v>1019</v>
      </c>
      <c r="J101">
        <v>1</v>
      </c>
      <c r="K101">
        <v>2</v>
      </c>
      <c r="L101" s="14">
        <f t="shared" si="1"/>
        <v>2</v>
      </c>
      <c r="M101">
        <v>3653</v>
      </c>
      <c r="N101">
        <v>1</v>
      </c>
      <c r="S101">
        <v>2700</v>
      </c>
      <c r="T101">
        <v>0</v>
      </c>
    </row>
    <row r="102" spans="1:20" x14ac:dyDescent="0.2">
      <c r="A102">
        <v>542</v>
      </c>
      <c r="B102" s="10">
        <v>36526</v>
      </c>
      <c r="C102" s="10">
        <v>40512</v>
      </c>
      <c r="D102" s="10" t="s">
        <v>538</v>
      </c>
      <c r="F102">
        <v>733</v>
      </c>
      <c r="G102" s="10">
        <v>40875</v>
      </c>
      <c r="I102">
        <v>1081</v>
      </c>
      <c r="J102">
        <v>0</v>
      </c>
      <c r="K102">
        <v>1</v>
      </c>
      <c r="L102" s="14">
        <f t="shared" si="1"/>
        <v>0</v>
      </c>
      <c r="M102">
        <v>3675</v>
      </c>
      <c r="N102">
        <v>0</v>
      </c>
      <c r="S102">
        <v>2701</v>
      </c>
      <c r="T102">
        <v>0</v>
      </c>
    </row>
    <row r="103" spans="1:20" x14ac:dyDescent="0.2">
      <c r="A103">
        <v>546</v>
      </c>
      <c r="B103" s="10">
        <v>39353</v>
      </c>
      <c r="C103" s="10">
        <v>40359</v>
      </c>
      <c r="D103" s="10" t="s">
        <v>204</v>
      </c>
      <c r="F103">
        <v>734</v>
      </c>
      <c r="G103" s="10">
        <v>40875</v>
      </c>
      <c r="I103">
        <v>1082</v>
      </c>
      <c r="J103">
        <v>0</v>
      </c>
      <c r="K103">
        <v>1</v>
      </c>
      <c r="L103" s="14">
        <f t="shared" si="1"/>
        <v>0</v>
      </c>
      <c r="M103">
        <v>3691</v>
      </c>
      <c r="N103">
        <v>0</v>
      </c>
      <c r="S103">
        <v>2702</v>
      </c>
      <c r="T103">
        <v>0</v>
      </c>
    </row>
    <row r="104" spans="1:20" x14ac:dyDescent="0.2">
      <c r="A104">
        <v>547</v>
      </c>
      <c r="B104" s="10">
        <v>36526</v>
      </c>
      <c r="C104" s="10">
        <v>40753</v>
      </c>
      <c r="D104" s="10" t="s">
        <v>539</v>
      </c>
      <c r="F104">
        <v>746</v>
      </c>
      <c r="G104" s="10">
        <v>40724</v>
      </c>
      <c r="I104">
        <v>1083</v>
      </c>
      <c r="J104">
        <v>0</v>
      </c>
      <c r="K104">
        <v>1</v>
      </c>
      <c r="L104" s="14">
        <f t="shared" si="1"/>
        <v>0</v>
      </c>
      <c r="M104">
        <v>3692</v>
      </c>
      <c r="N104">
        <v>0</v>
      </c>
      <c r="S104">
        <v>2715</v>
      </c>
      <c r="T104">
        <v>0</v>
      </c>
    </row>
    <row r="105" spans="1:20" x14ac:dyDescent="0.2">
      <c r="A105">
        <v>559</v>
      </c>
      <c r="B105" s="10">
        <v>36526</v>
      </c>
      <c r="C105" s="10">
        <v>40662</v>
      </c>
      <c r="D105" s="10" t="s">
        <v>538</v>
      </c>
      <c r="F105">
        <v>772</v>
      </c>
      <c r="G105" s="10">
        <v>40875</v>
      </c>
      <c r="I105">
        <v>1129</v>
      </c>
      <c r="J105">
        <v>1</v>
      </c>
      <c r="K105">
        <v>1</v>
      </c>
      <c r="L105" s="14">
        <f t="shared" si="1"/>
        <v>1</v>
      </c>
      <c r="M105">
        <v>3694</v>
      </c>
      <c r="N105">
        <v>0</v>
      </c>
      <c r="S105">
        <v>2722</v>
      </c>
      <c r="T105">
        <v>0</v>
      </c>
    </row>
    <row r="106" spans="1:20" x14ac:dyDescent="0.2">
      <c r="A106">
        <v>560</v>
      </c>
      <c r="B106" s="10">
        <v>36526</v>
      </c>
      <c r="C106" s="10">
        <v>40662</v>
      </c>
      <c r="D106" s="10" t="s">
        <v>538</v>
      </c>
      <c r="F106">
        <v>777</v>
      </c>
      <c r="G106" s="10">
        <v>40875</v>
      </c>
      <c r="I106">
        <v>1130</v>
      </c>
      <c r="J106">
        <v>1</v>
      </c>
      <c r="K106">
        <v>1</v>
      </c>
      <c r="L106" s="14">
        <f t="shared" si="1"/>
        <v>1</v>
      </c>
      <c r="M106">
        <v>3728</v>
      </c>
      <c r="N106">
        <v>0</v>
      </c>
      <c r="S106">
        <v>2772</v>
      </c>
      <c r="T106">
        <v>0</v>
      </c>
    </row>
    <row r="107" spans="1:20" x14ac:dyDescent="0.2">
      <c r="A107">
        <v>561</v>
      </c>
      <c r="B107" s="10">
        <v>36526</v>
      </c>
      <c r="C107" s="10">
        <v>40662</v>
      </c>
      <c r="D107" s="10" t="s">
        <v>538</v>
      </c>
      <c r="F107">
        <v>788</v>
      </c>
      <c r="G107" s="10">
        <v>40875</v>
      </c>
      <c r="I107">
        <v>1131</v>
      </c>
      <c r="J107">
        <v>1</v>
      </c>
      <c r="K107">
        <v>1</v>
      </c>
      <c r="L107" s="14">
        <f t="shared" si="1"/>
        <v>1</v>
      </c>
      <c r="M107">
        <v>3740</v>
      </c>
      <c r="N107">
        <v>0</v>
      </c>
      <c r="S107">
        <v>2791</v>
      </c>
      <c r="T107">
        <v>0</v>
      </c>
    </row>
    <row r="108" spans="1:20" x14ac:dyDescent="0.2">
      <c r="A108">
        <v>562</v>
      </c>
      <c r="B108" s="10">
        <v>36526</v>
      </c>
      <c r="C108" s="10">
        <v>40329</v>
      </c>
      <c r="D108" s="10" t="s">
        <v>205</v>
      </c>
      <c r="F108">
        <v>789</v>
      </c>
      <c r="G108" s="10">
        <v>40875</v>
      </c>
      <c r="I108">
        <v>1223</v>
      </c>
      <c r="J108">
        <v>0</v>
      </c>
      <c r="K108">
        <v>1</v>
      </c>
      <c r="L108" s="14">
        <f t="shared" si="1"/>
        <v>0</v>
      </c>
      <c r="M108">
        <v>3767</v>
      </c>
      <c r="N108">
        <v>0</v>
      </c>
      <c r="S108">
        <v>2792</v>
      </c>
      <c r="T108">
        <v>0</v>
      </c>
    </row>
    <row r="109" spans="1:20" x14ac:dyDescent="0.2">
      <c r="A109">
        <v>563</v>
      </c>
      <c r="B109" s="10">
        <v>36526</v>
      </c>
      <c r="C109" s="10">
        <v>40840</v>
      </c>
      <c r="D109" s="10" t="s">
        <v>538</v>
      </c>
      <c r="F109">
        <v>791</v>
      </c>
      <c r="G109" s="10">
        <v>40875</v>
      </c>
      <c r="I109">
        <v>1224</v>
      </c>
      <c r="J109">
        <v>0</v>
      </c>
      <c r="K109">
        <v>1</v>
      </c>
      <c r="L109" s="14">
        <f t="shared" si="1"/>
        <v>0</v>
      </c>
      <c r="M109">
        <v>3798</v>
      </c>
      <c r="N109">
        <v>0</v>
      </c>
      <c r="S109">
        <v>2793</v>
      </c>
      <c r="T109">
        <v>0</v>
      </c>
    </row>
    <row r="110" spans="1:20" x14ac:dyDescent="0.2">
      <c r="A110">
        <v>564</v>
      </c>
      <c r="B110" s="10">
        <v>36526</v>
      </c>
      <c r="C110" s="10">
        <v>40840</v>
      </c>
      <c r="D110" s="10" t="s">
        <v>538</v>
      </c>
      <c r="F110">
        <v>792</v>
      </c>
      <c r="G110" s="10">
        <v>40875</v>
      </c>
      <c r="I110">
        <v>1225</v>
      </c>
      <c r="J110">
        <v>0</v>
      </c>
      <c r="K110">
        <v>1</v>
      </c>
      <c r="L110" s="14">
        <f t="shared" si="1"/>
        <v>0</v>
      </c>
      <c r="M110">
        <v>3802</v>
      </c>
      <c r="N110">
        <v>0</v>
      </c>
      <c r="S110">
        <v>2849</v>
      </c>
      <c r="T110">
        <v>0</v>
      </c>
    </row>
    <row r="111" spans="1:20" x14ac:dyDescent="0.2">
      <c r="A111">
        <v>567</v>
      </c>
      <c r="B111" s="10">
        <v>36526</v>
      </c>
      <c r="C111" s="10">
        <v>40268</v>
      </c>
      <c r="D111" s="10" t="s">
        <v>538</v>
      </c>
      <c r="F111">
        <v>793</v>
      </c>
      <c r="G111" s="10">
        <v>40875</v>
      </c>
      <c r="I111">
        <v>1227</v>
      </c>
      <c r="J111">
        <v>0</v>
      </c>
      <c r="K111">
        <v>1</v>
      </c>
      <c r="L111" s="14">
        <f t="shared" si="1"/>
        <v>0</v>
      </c>
      <c r="M111">
        <v>3804</v>
      </c>
      <c r="N111">
        <v>1</v>
      </c>
      <c r="S111">
        <v>2866</v>
      </c>
      <c r="T111">
        <v>0</v>
      </c>
    </row>
    <row r="112" spans="1:20" x14ac:dyDescent="0.2">
      <c r="A112">
        <v>568</v>
      </c>
      <c r="B112" s="10">
        <v>39419</v>
      </c>
      <c r="C112" s="10">
        <v>40473</v>
      </c>
      <c r="D112" s="10" t="s">
        <v>204</v>
      </c>
      <c r="F112">
        <v>794</v>
      </c>
      <c r="G112" s="10">
        <v>40875</v>
      </c>
      <c r="I112">
        <v>1235</v>
      </c>
      <c r="J112">
        <v>0</v>
      </c>
      <c r="K112">
        <v>1</v>
      </c>
      <c r="L112" s="14">
        <f t="shared" si="1"/>
        <v>0</v>
      </c>
      <c r="M112">
        <v>3805</v>
      </c>
      <c r="N112">
        <v>1</v>
      </c>
      <c r="S112">
        <v>2877</v>
      </c>
      <c r="T112">
        <v>0</v>
      </c>
    </row>
    <row r="113" spans="1:20" x14ac:dyDescent="0.2">
      <c r="A113">
        <v>570</v>
      </c>
      <c r="B113" s="10">
        <v>36526</v>
      </c>
      <c r="C113" s="10">
        <v>40329</v>
      </c>
      <c r="D113" s="10" t="s">
        <v>206</v>
      </c>
      <c r="F113">
        <v>795</v>
      </c>
      <c r="G113" s="10">
        <v>40875</v>
      </c>
      <c r="I113">
        <v>1247</v>
      </c>
      <c r="J113">
        <v>0</v>
      </c>
      <c r="K113">
        <v>1</v>
      </c>
      <c r="L113" s="14">
        <f t="shared" si="1"/>
        <v>0</v>
      </c>
      <c r="M113">
        <v>3814</v>
      </c>
      <c r="N113">
        <v>0</v>
      </c>
      <c r="S113">
        <v>2947</v>
      </c>
      <c r="T113">
        <v>0</v>
      </c>
    </row>
    <row r="114" spans="1:20" x14ac:dyDescent="0.2">
      <c r="A114">
        <v>577</v>
      </c>
      <c r="B114" s="10">
        <v>39489</v>
      </c>
      <c r="C114" s="10">
        <v>40268</v>
      </c>
      <c r="D114" s="10" t="s">
        <v>539</v>
      </c>
      <c r="F114">
        <v>798</v>
      </c>
      <c r="G114" s="10">
        <v>40875</v>
      </c>
      <c r="I114">
        <v>1264</v>
      </c>
      <c r="J114">
        <v>1</v>
      </c>
      <c r="K114">
        <v>2</v>
      </c>
      <c r="L114" s="14">
        <f t="shared" si="1"/>
        <v>2</v>
      </c>
      <c r="M114">
        <v>3818</v>
      </c>
      <c r="N114">
        <v>0</v>
      </c>
      <c r="S114">
        <v>2950</v>
      </c>
      <c r="T114">
        <v>0</v>
      </c>
    </row>
    <row r="115" spans="1:20" x14ac:dyDescent="0.2">
      <c r="A115">
        <v>578</v>
      </c>
      <c r="B115" s="10">
        <v>39429</v>
      </c>
      <c r="C115" s="10">
        <v>40512</v>
      </c>
      <c r="D115" s="10" t="s">
        <v>539</v>
      </c>
      <c r="F115">
        <v>799</v>
      </c>
      <c r="G115" s="10">
        <v>40875</v>
      </c>
      <c r="I115">
        <v>1295</v>
      </c>
      <c r="J115">
        <v>0</v>
      </c>
      <c r="K115">
        <v>1</v>
      </c>
      <c r="L115" s="14">
        <f t="shared" si="1"/>
        <v>0</v>
      </c>
      <c r="M115">
        <v>3860</v>
      </c>
      <c r="N115">
        <v>0</v>
      </c>
      <c r="S115">
        <v>3007</v>
      </c>
      <c r="T115">
        <v>0</v>
      </c>
    </row>
    <row r="116" spans="1:20" x14ac:dyDescent="0.2">
      <c r="A116">
        <v>580</v>
      </c>
      <c r="B116" s="10">
        <v>39321</v>
      </c>
      <c r="C116" s="10">
        <v>40753</v>
      </c>
      <c r="D116" s="10" t="s">
        <v>539</v>
      </c>
      <c r="F116">
        <v>801</v>
      </c>
      <c r="G116" s="10">
        <v>40875</v>
      </c>
      <c r="I116">
        <v>1300</v>
      </c>
      <c r="J116">
        <v>0</v>
      </c>
      <c r="K116">
        <v>1</v>
      </c>
      <c r="L116" s="14">
        <f t="shared" si="1"/>
        <v>0</v>
      </c>
      <c r="M116">
        <v>3913</v>
      </c>
      <c r="N116">
        <v>0</v>
      </c>
      <c r="S116">
        <v>3021</v>
      </c>
      <c r="T116">
        <v>0</v>
      </c>
    </row>
    <row r="117" spans="1:20" x14ac:dyDescent="0.2">
      <c r="A117">
        <v>581</v>
      </c>
      <c r="B117" s="10">
        <v>36526</v>
      </c>
      <c r="C117" s="10">
        <v>40512</v>
      </c>
      <c r="D117" s="10" t="s">
        <v>538</v>
      </c>
      <c r="F117">
        <v>802</v>
      </c>
      <c r="G117" s="10">
        <v>40875</v>
      </c>
      <c r="I117">
        <v>1351</v>
      </c>
      <c r="J117">
        <v>0</v>
      </c>
      <c r="K117">
        <v>1</v>
      </c>
      <c r="L117" s="14">
        <f t="shared" si="1"/>
        <v>0</v>
      </c>
      <c r="M117">
        <v>3919</v>
      </c>
      <c r="N117">
        <v>0</v>
      </c>
      <c r="S117">
        <v>3058</v>
      </c>
      <c r="T117">
        <v>0</v>
      </c>
    </row>
    <row r="118" spans="1:20" x14ac:dyDescent="0.2">
      <c r="A118">
        <v>584</v>
      </c>
      <c r="B118" s="10">
        <v>39440</v>
      </c>
      <c r="C118" s="10">
        <v>40512</v>
      </c>
      <c r="D118" s="10" t="s">
        <v>539</v>
      </c>
      <c r="F118">
        <v>803</v>
      </c>
      <c r="G118" s="10">
        <v>40875</v>
      </c>
      <c r="I118">
        <v>1411</v>
      </c>
      <c r="J118">
        <v>1</v>
      </c>
      <c r="K118">
        <v>1</v>
      </c>
      <c r="L118" s="14">
        <f t="shared" si="1"/>
        <v>1</v>
      </c>
      <c r="M118">
        <v>3933</v>
      </c>
      <c r="N118">
        <v>0</v>
      </c>
      <c r="S118">
        <v>3217</v>
      </c>
      <c r="T118">
        <v>0</v>
      </c>
    </row>
    <row r="119" spans="1:20" x14ac:dyDescent="0.2">
      <c r="A119">
        <v>585</v>
      </c>
      <c r="B119" s="10">
        <v>36526</v>
      </c>
      <c r="C119" s="10">
        <v>40291</v>
      </c>
      <c r="D119" s="10" t="s">
        <v>538</v>
      </c>
      <c r="F119">
        <v>804</v>
      </c>
      <c r="G119" s="10">
        <v>40875</v>
      </c>
      <c r="I119">
        <v>1468</v>
      </c>
      <c r="J119">
        <v>0</v>
      </c>
      <c r="K119">
        <v>1</v>
      </c>
      <c r="L119" s="14">
        <f t="shared" si="1"/>
        <v>0</v>
      </c>
      <c r="M119">
        <v>3946</v>
      </c>
      <c r="N119">
        <v>0</v>
      </c>
      <c r="S119">
        <v>3335</v>
      </c>
      <c r="T119">
        <v>0</v>
      </c>
    </row>
    <row r="120" spans="1:20" x14ac:dyDescent="0.2">
      <c r="A120">
        <v>587</v>
      </c>
      <c r="B120" s="10">
        <v>36526</v>
      </c>
      <c r="C120" s="10">
        <v>40268</v>
      </c>
      <c r="D120" s="10" t="s">
        <v>538</v>
      </c>
      <c r="F120">
        <v>805</v>
      </c>
      <c r="G120" s="10">
        <v>40875</v>
      </c>
      <c r="I120">
        <v>1469</v>
      </c>
      <c r="J120">
        <v>0</v>
      </c>
      <c r="K120">
        <v>1</v>
      </c>
      <c r="L120" s="14">
        <f t="shared" si="1"/>
        <v>0</v>
      </c>
      <c r="M120">
        <v>3968</v>
      </c>
      <c r="N120">
        <v>0</v>
      </c>
      <c r="S120">
        <v>3363</v>
      </c>
      <c r="T120">
        <v>0</v>
      </c>
    </row>
    <row r="121" spans="1:20" x14ac:dyDescent="0.2">
      <c r="A121">
        <v>591</v>
      </c>
      <c r="B121" s="10">
        <v>36526</v>
      </c>
      <c r="C121" s="10">
        <v>40662</v>
      </c>
      <c r="D121" s="10" t="s">
        <v>538</v>
      </c>
      <c r="F121">
        <v>806</v>
      </c>
      <c r="G121" s="10">
        <v>40875</v>
      </c>
      <c r="I121">
        <v>1470</v>
      </c>
      <c r="J121">
        <v>0</v>
      </c>
      <c r="K121">
        <v>1</v>
      </c>
      <c r="L121" s="14">
        <f t="shared" si="1"/>
        <v>0</v>
      </c>
      <c r="M121">
        <v>4001</v>
      </c>
      <c r="N121">
        <v>0</v>
      </c>
      <c r="S121">
        <v>3459</v>
      </c>
      <c r="T121">
        <v>0</v>
      </c>
    </row>
    <row r="122" spans="1:20" x14ac:dyDescent="0.2">
      <c r="A122">
        <v>593</v>
      </c>
      <c r="B122" s="10">
        <v>39421</v>
      </c>
      <c r="C122" s="10">
        <v>40268</v>
      </c>
      <c r="D122" s="10" t="s">
        <v>204</v>
      </c>
      <c r="F122">
        <v>807</v>
      </c>
      <c r="G122" s="10">
        <v>40875</v>
      </c>
      <c r="I122">
        <v>1479</v>
      </c>
      <c r="J122">
        <v>0</v>
      </c>
      <c r="K122">
        <v>1</v>
      </c>
      <c r="L122" s="14">
        <f t="shared" si="1"/>
        <v>0</v>
      </c>
      <c r="M122">
        <v>4004</v>
      </c>
      <c r="N122">
        <v>0</v>
      </c>
      <c r="S122">
        <v>3460</v>
      </c>
      <c r="T122">
        <v>0</v>
      </c>
    </row>
    <row r="123" spans="1:20" x14ac:dyDescent="0.2">
      <c r="A123">
        <v>594</v>
      </c>
      <c r="B123" s="10">
        <v>39492</v>
      </c>
      <c r="C123" s="10">
        <v>40268</v>
      </c>
      <c r="D123" s="10" t="s">
        <v>539</v>
      </c>
      <c r="F123">
        <v>808</v>
      </c>
      <c r="G123" s="10">
        <v>40875</v>
      </c>
      <c r="I123">
        <v>1482</v>
      </c>
      <c r="J123">
        <v>0</v>
      </c>
      <c r="K123">
        <v>1</v>
      </c>
      <c r="L123" s="14">
        <f t="shared" si="1"/>
        <v>0</v>
      </c>
      <c r="M123">
        <v>4005</v>
      </c>
      <c r="N123">
        <v>0</v>
      </c>
      <c r="S123">
        <v>3473</v>
      </c>
      <c r="T123">
        <v>0</v>
      </c>
    </row>
    <row r="124" spans="1:20" x14ac:dyDescent="0.2">
      <c r="A124">
        <v>596</v>
      </c>
      <c r="B124" s="10">
        <v>36526</v>
      </c>
      <c r="C124" s="10">
        <v>40512</v>
      </c>
      <c r="D124" s="10" t="s">
        <v>205</v>
      </c>
      <c r="F124">
        <v>811</v>
      </c>
      <c r="G124" s="10">
        <v>40875</v>
      </c>
      <c r="I124">
        <v>1483</v>
      </c>
      <c r="J124">
        <v>0</v>
      </c>
      <c r="K124">
        <v>1</v>
      </c>
      <c r="L124" s="14">
        <f t="shared" si="1"/>
        <v>0</v>
      </c>
      <c r="M124">
        <v>4020</v>
      </c>
      <c r="N124">
        <v>0</v>
      </c>
      <c r="S124">
        <v>3474</v>
      </c>
      <c r="T124">
        <v>0</v>
      </c>
    </row>
    <row r="125" spans="1:20" x14ac:dyDescent="0.2">
      <c r="A125">
        <v>600</v>
      </c>
      <c r="B125" s="10">
        <v>39518</v>
      </c>
      <c r="C125" s="10">
        <v>40816</v>
      </c>
      <c r="D125" s="10" t="s">
        <v>539</v>
      </c>
      <c r="F125">
        <v>812</v>
      </c>
      <c r="G125" s="10">
        <v>40875</v>
      </c>
      <c r="I125">
        <v>1569</v>
      </c>
      <c r="J125">
        <v>0</v>
      </c>
      <c r="K125">
        <v>1</v>
      </c>
      <c r="L125" s="14">
        <f t="shared" si="1"/>
        <v>0</v>
      </c>
      <c r="M125">
        <v>4023</v>
      </c>
      <c r="N125">
        <v>0</v>
      </c>
      <c r="S125">
        <v>3517</v>
      </c>
      <c r="T125">
        <v>0</v>
      </c>
    </row>
    <row r="126" spans="1:20" x14ac:dyDescent="0.2">
      <c r="A126">
        <v>603</v>
      </c>
      <c r="B126" s="10">
        <v>36526</v>
      </c>
      <c r="C126" s="10">
        <v>40329</v>
      </c>
      <c r="D126" s="10" t="s">
        <v>205</v>
      </c>
      <c r="F126">
        <v>813</v>
      </c>
      <c r="G126" s="10">
        <v>40875</v>
      </c>
      <c r="I126">
        <v>1628</v>
      </c>
      <c r="J126">
        <v>0</v>
      </c>
      <c r="K126">
        <v>1</v>
      </c>
      <c r="L126" s="14">
        <f t="shared" si="1"/>
        <v>0</v>
      </c>
      <c r="M126">
        <v>4024</v>
      </c>
      <c r="N126">
        <v>0</v>
      </c>
      <c r="S126">
        <v>3533</v>
      </c>
      <c r="T126">
        <v>0</v>
      </c>
    </row>
    <row r="127" spans="1:20" x14ac:dyDescent="0.2">
      <c r="A127">
        <v>605</v>
      </c>
      <c r="B127" s="10">
        <v>39534</v>
      </c>
      <c r="C127" s="10">
        <v>40816</v>
      </c>
      <c r="D127" s="10" t="s">
        <v>539</v>
      </c>
      <c r="F127">
        <v>814</v>
      </c>
      <c r="G127" s="10">
        <v>40875</v>
      </c>
      <c r="I127">
        <v>1629</v>
      </c>
      <c r="J127">
        <v>0</v>
      </c>
      <c r="K127">
        <v>1</v>
      </c>
      <c r="L127" s="14">
        <f t="shared" si="1"/>
        <v>0</v>
      </c>
      <c r="M127">
        <v>4080</v>
      </c>
      <c r="N127">
        <v>0</v>
      </c>
      <c r="S127">
        <v>3604</v>
      </c>
      <c r="T127">
        <v>0</v>
      </c>
    </row>
    <row r="128" spans="1:20" x14ac:dyDescent="0.2">
      <c r="A128">
        <v>606</v>
      </c>
      <c r="B128" s="10">
        <v>36526</v>
      </c>
      <c r="C128" s="10">
        <v>40512</v>
      </c>
      <c r="D128" s="10" t="s">
        <v>538</v>
      </c>
      <c r="F128">
        <v>815</v>
      </c>
      <c r="G128" s="10">
        <v>40875</v>
      </c>
      <c r="I128">
        <v>1630</v>
      </c>
      <c r="J128">
        <v>0</v>
      </c>
      <c r="K128">
        <v>1</v>
      </c>
      <c r="L128" s="14">
        <f t="shared" si="1"/>
        <v>0</v>
      </c>
      <c r="M128">
        <v>4125</v>
      </c>
      <c r="N128">
        <v>0</v>
      </c>
      <c r="S128">
        <v>3611</v>
      </c>
      <c r="T128">
        <v>0</v>
      </c>
    </row>
    <row r="129" spans="1:20" x14ac:dyDescent="0.2">
      <c r="A129">
        <v>607</v>
      </c>
      <c r="B129" s="10">
        <v>36526</v>
      </c>
      <c r="C129" s="10">
        <v>40512</v>
      </c>
      <c r="D129" s="10" t="s">
        <v>538</v>
      </c>
      <c r="F129">
        <v>816</v>
      </c>
      <c r="G129" s="10">
        <v>40875</v>
      </c>
      <c r="I129">
        <v>1654</v>
      </c>
      <c r="J129">
        <v>0</v>
      </c>
      <c r="K129">
        <v>1</v>
      </c>
      <c r="L129" s="14">
        <f t="shared" si="1"/>
        <v>0</v>
      </c>
      <c r="M129">
        <v>4136</v>
      </c>
      <c r="N129">
        <v>0</v>
      </c>
      <c r="S129">
        <v>3639</v>
      </c>
      <c r="T129">
        <v>0</v>
      </c>
    </row>
    <row r="130" spans="1:20" x14ac:dyDescent="0.2">
      <c r="A130">
        <v>609</v>
      </c>
      <c r="B130" s="10">
        <v>39559</v>
      </c>
      <c r="C130" s="10">
        <v>40802</v>
      </c>
      <c r="D130" s="10" t="s">
        <v>539</v>
      </c>
      <c r="F130">
        <v>818</v>
      </c>
      <c r="G130" s="10">
        <v>40875</v>
      </c>
      <c r="I130">
        <v>1767</v>
      </c>
      <c r="J130">
        <v>1</v>
      </c>
      <c r="K130">
        <v>1</v>
      </c>
      <c r="L130" s="14">
        <f t="shared" si="1"/>
        <v>1</v>
      </c>
      <c r="M130">
        <v>4167</v>
      </c>
      <c r="N130">
        <v>0</v>
      </c>
      <c r="S130">
        <v>3640</v>
      </c>
      <c r="T130">
        <v>0</v>
      </c>
    </row>
    <row r="131" spans="1:20" x14ac:dyDescent="0.2">
      <c r="A131">
        <v>611</v>
      </c>
      <c r="B131" s="10">
        <v>36526</v>
      </c>
      <c r="C131" s="10">
        <v>40268</v>
      </c>
      <c r="D131" s="10" t="s">
        <v>206</v>
      </c>
      <c r="F131">
        <v>819</v>
      </c>
      <c r="G131" s="10">
        <v>40875</v>
      </c>
      <c r="I131">
        <v>1781</v>
      </c>
      <c r="J131">
        <v>1</v>
      </c>
      <c r="K131">
        <v>1</v>
      </c>
      <c r="L131" s="14">
        <f t="shared" si="1"/>
        <v>1</v>
      </c>
      <c r="M131">
        <v>4172</v>
      </c>
      <c r="N131">
        <v>0</v>
      </c>
      <c r="S131">
        <v>3644</v>
      </c>
      <c r="T131">
        <v>0</v>
      </c>
    </row>
    <row r="132" spans="1:20" x14ac:dyDescent="0.2">
      <c r="A132">
        <v>618</v>
      </c>
      <c r="B132" s="10">
        <v>36526</v>
      </c>
      <c r="C132" s="10">
        <v>40268</v>
      </c>
      <c r="D132" s="10" t="s">
        <v>207</v>
      </c>
      <c r="F132">
        <v>820</v>
      </c>
      <c r="G132" s="10">
        <v>40875</v>
      </c>
      <c r="I132">
        <v>1782</v>
      </c>
      <c r="J132">
        <v>1</v>
      </c>
      <c r="K132">
        <v>1</v>
      </c>
      <c r="L132" s="14">
        <f t="shared" si="1"/>
        <v>1</v>
      </c>
      <c r="M132">
        <v>4217</v>
      </c>
      <c r="N132">
        <v>0</v>
      </c>
      <c r="S132">
        <v>3650</v>
      </c>
      <c r="T132">
        <v>0</v>
      </c>
    </row>
    <row r="133" spans="1:20" x14ac:dyDescent="0.2">
      <c r="A133">
        <v>622</v>
      </c>
      <c r="B133" s="10">
        <v>36526</v>
      </c>
      <c r="C133" s="10">
        <v>40268</v>
      </c>
      <c r="D133" s="10" t="s">
        <v>538</v>
      </c>
      <c r="F133">
        <v>828</v>
      </c>
      <c r="G133" s="10">
        <v>40875</v>
      </c>
      <c r="I133">
        <v>1783</v>
      </c>
      <c r="J133">
        <v>1</v>
      </c>
      <c r="K133">
        <v>1</v>
      </c>
      <c r="L133" s="14">
        <f t="shared" ref="L133:L196" si="2">J133*K133</f>
        <v>1</v>
      </c>
      <c r="M133">
        <v>4241</v>
      </c>
      <c r="N133">
        <v>0</v>
      </c>
      <c r="S133">
        <v>3661</v>
      </c>
      <c r="T133">
        <v>0</v>
      </c>
    </row>
    <row r="134" spans="1:20" x14ac:dyDescent="0.2">
      <c r="A134">
        <v>623</v>
      </c>
      <c r="B134" s="10">
        <v>36526</v>
      </c>
      <c r="C134" s="10">
        <v>40268</v>
      </c>
      <c r="D134" s="10" t="s">
        <v>538</v>
      </c>
      <c r="F134">
        <v>830</v>
      </c>
      <c r="G134" s="10">
        <v>40875</v>
      </c>
      <c r="I134">
        <v>1784</v>
      </c>
      <c r="J134">
        <v>1</v>
      </c>
      <c r="K134">
        <v>1</v>
      </c>
      <c r="L134" s="14">
        <f t="shared" si="2"/>
        <v>1</v>
      </c>
      <c r="M134">
        <v>4254</v>
      </c>
      <c r="N134">
        <v>0</v>
      </c>
      <c r="S134">
        <v>3663</v>
      </c>
      <c r="T134">
        <v>0</v>
      </c>
    </row>
    <row r="135" spans="1:20" x14ac:dyDescent="0.2">
      <c r="A135">
        <v>624</v>
      </c>
      <c r="B135" s="10">
        <v>36526</v>
      </c>
      <c r="C135" s="10">
        <v>40268</v>
      </c>
      <c r="D135" s="10" t="s">
        <v>206</v>
      </c>
      <c r="F135">
        <v>831</v>
      </c>
      <c r="G135" s="10">
        <v>40875</v>
      </c>
      <c r="I135">
        <v>1785</v>
      </c>
      <c r="J135">
        <v>1</v>
      </c>
      <c r="K135">
        <v>1</v>
      </c>
      <c r="L135" s="14">
        <f t="shared" si="2"/>
        <v>1</v>
      </c>
      <c r="M135">
        <v>4279</v>
      </c>
      <c r="N135">
        <v>0</v>
      </c>
      <c r="S135">
        <v>3700</v>
      </c>
      <c r="T135">
        <v>0</v>
      </c>
    </row>
    <row r="136" spans="1:20" x14ac:dyDescent="0.2">
      <c r="A136">
        <v>625</v>
      </c>
      <c r="B136" s="10">
        <v>36526</v>
      </c>
      <c r="C136" s="10">
        <v>40329</v>
      </c>
      <c r="D136" s="10" t="s">
        <v>205</v>
      </c>
      <c r="F136">
        <v>835</v>
      </c>
      <c r="G136" s="10">
        <v>40875</v>
      </c>
      <c r="I136">
        <v>1798</v>
      </c>
      <c r="J136">
        <v>1</v>
      </c>
      <c r="K136">
        <v>1</v>
      </c>
      <c r="L136" s="14">
        <f t="shared" si="2"/>
        <v>1</v>
      </c>
      <c r="M136">
        <v>4286</v>
      </c>
      <c r="N136">
        <v>0</v>
      </c>
      <c r="S136">
        <v>3701</v>
      </c>
      <c r="T136">
        <v>0</v>
      </c>
    </row>
    <row r="137" spans="1:20" x14ac:dyDescent="0.2">
      <c r="A137">
        <v>629</v>
      </c>
      <c r="B137" s="10">
        <v>39597</v>
      </c>
      <c r="C137" s="10">
        <v>40512</v>
      </c>
      <c r="D137" s="10" t="s">
        <v>539</v>
      </c>
      <c r="F137">
        <v>836</v>
      </c>
      <c r="G137" s="10">
        <v>40875</v>
      </c>
      <c r="I137">
        <v>1802</v>
      </c>
      <c r="J137">
        <v>1</v>
      </c>
      <c r="K137">
        <v>1</v>
      </c>
      <c r="L137" s="14">
        <f t="shared" si="2"/>
        <v>1</v>
      </c>
      <c r="M137">
        <v>4299</v>
      </c>
      <c r="N137">
        <v>1</v>
      </c>
      <c r="S137">
        <v>3709</v>
      </c>
      <c r="T137">
        <v>0</v>
      </c>
    </row>
    <row r="138" spans="1:20" x14ac:dyDescent="0.2">
      <c r="A138">
        <v>630</v>
      </c>
      <c r="B138" s="10">
        <v>36526</v>
      </c>
      <c r="C138" s="10">
        <v>40329</v>
      </c>
      <c r="D138" s="10" t="s">
        <v>205</v>
      </c>
      <c r="F138">
        <v>837</v>
      </c>
      <c r="G138" s="10">
        <v>40875</v>
      </c>
      <c r="I138">
        <v>1803</v>
      </c>
      <c r="J138">
        <v>1</v>
      </c>
      <c r="K138">
        <v>1</v>
      </c>
      <c r="L138" s="14">
        <f t="shared" si="2"/>
        <v>1</v>
      </c>
      <c r="M138">
        <v>4320</v>
      </c>
      <c r="N138">
        <v>0</v>
      </c>
      <c r="S138">
        <v>3753</v>
      </c>
      <c r="T138">
        <v>0</v>
      </c>
    </row>
    <row r="139" spans="1:20" x14ac:dyDescent="0.2">
      <c r="A139">
        <v>631</v>
      </c>
      <c r="B139" s="10">
        <v>36526</v>
      </c>
      <c r="C139" s="10">
        <v>40512</v>
      </c>
      <c r="D139" s="10" t="s">
        <v>205</v>
      </c>
      <c r="F139">
        <v>838</v>
      </c>
      <c r="G139" s="10">
        <v>40875</v>
      </c>
      <c r="I139">
        <v>2045</v>
      </c>
      <c r="J139">
        <v>0</v>
      </c>
      <c r="K139">
        <v>1</v>
      </c>
      <c r="L139" s="14">
        <f t="shared" si="2"/>
        <v>0</v>
      </c>
      <c r="M139">
        <v>4322</v>
      </c>
      <c r="N139">
        <v>0</v>
      </c>
      <c r="S139">
        <v>3828</v>
      </c>
      <c r="T139">
        <v>0</v>
      </c>
    </row>
    <row r="140" spans="1:20" x14ac:dyDescent="0.2">
      <c r="A140">
        <v>632</v>
      </c>
      <c r="B140" s="10">
        <v>36526</v>
      </c>
      <c r="C140" s="10">
        <v>40268</v>
      </c>
      <c r="D140" s="10" t="s">
        <v>206</v>
      </c>
      <c r="F140">
        <v>839</v>
      </c>
      <c r="G140" s="10">
        <v>40875</v>
      </c>
      <c r="I140">
        <v>2070</v>
      </c>
      <c r="J140">
        <v>0</v>
      </c>
      <c r="K140">
        <v>1</v>
      </c>
      <c r="L140" s="14">
        <f t="shared" si="2"/>
        <v>0</v>
      </c>
      <c r="M140">
        <v>4323</v>
      </c>
      <c r="N140">
        <v>0</v>
      </c>
      <c r="S140">
        <v>3854</v>
      </c>
      <c r="T140">
        <v>0</v>
      </c>
    </row>
    <row r="141" spans="1:20" x14ac:dyDescent="0.2">
      <c r="A141">
        <v>633</v>
      </c>
      <c r="B141" s="10">
        <v>39610</v>
      </c>
      <c r="C141" s="10">
        <v>40589</v>
      </c>
      <c r="D141" s="10" t="s">
        <v>539</v>
      </c>
      <c r="F141">
        <v>840</v>
      </c>
      <c r="G141" s="10">
        <v>40875</v>
      </c>
      <c r="I141">
        <v>2094</v>
      </c>
      <c r="J141">
        <v>0</v>
      </c>
      <c r="K141">
        <v>1</v>
      </c>
      <c r="L141" s="14">
        <f t="shared" si="2"/>
        <v>0</v>
      </c>
      <c r="M141">
        <v>4331</v>
      </c>
      <c r="N141">
        <v>1</v>
      </c>
      <c r="S141">
        <v>3875</v>
      </c>
      <c r="T141">
        <v>0</v>
      </c>
    </row>
    <row r="142" spans="1:20" x14ac:dyDescent="0.2">
      <c r="A142">
        <v>635</v>
      </c>
      <c r="B142" s="10">
        <v>36526</v>
      </c>
      <c r="C142" s="10">
        <v>40291</v>
      </c>
      <c r="D142" s="10" t="s">
        <v>207</v>
      </c>
      <c r="F142">
        <v>865</v>
      </c>
      <c r="G142" s="10">
        <v>40875</v>
      </c>
      <c r="I142">
        <v>2095</v>
      </c>
      <c r="J142">
        <v>0</v>
      </c>
      <c r="K142">
        <v>1</v>
      </c>
      <c r="L142" s="14">
        <f t="shared" si="2"/>
        <v>0</v>
      </c>
      <c r="M142">
        <v>4332</v>
      </c>
      <c r="N142">
        <v>1</v>
      </c>
      <c r="S142">
        <v>3981</v>
      </c>
      <c r="T142">
        <v>0</v>
      </c>
    </row>
    <row r="143" spans="1:20" x14ac:dyDescent="0.2">
      <c r="A143">
        <v>637</v>
      </c>
      <c r="B143" s="10">
        <v>36526</v>
      </c>
      <c r="C143" s="10">
        <v>40329</v>
      </c>
      <c r="D143" s="10" t="s">
        <v>538</v>
      </c>
      <c r="F143">
        <v>891</v>
      </c>
      <c r="G143" s="10">
        <v>40875</v>
      </c>
      <c r="I143">
        <v>2109</v>
      </c>
      <c r="J143">
        <v>0</v>
      </c>
      <c r="K143">
        <v>1</v>
      </c>
      <c r="L143" s="14">
        <f t="shared" si="2"/>
        <v>0</v>
      </c>
      <c r="M143">
        <v>4337</v>
      </c>
      <c r="N143">
        <v>0</v>
      </c>
      <c r="S143">
        <v>4001</v>
      </c>
      <c r="T143">
        <v>0</v>
      </c>
    </row>
    <row r="144" spans="1:20" x14ac:dyDescent="0.2">
      <c r="A144">
        <v>638</v>
      </c>
      <c r="B144" s="10">
        <v>36526</v>
      </c>
      <c r="C144" s="10">
        <v>40268</v>
      </c>
      <c r="D144" s="10" t="s">
        <v>538</v>
      </c>
      <c r="F144">
        <v>894</v>
      </c>
      <c r="G144" s="10">
        <v>40875</v>
      </c>
      <c r="I144">
        <v>2113</v>
      </c>
      <c r="J144">
        <v>0</v>
      </c>
      <c r="K144">
        <v>1</v>
      </c>
      <c r="L144" s="14">
        <f t="shared" si="2"/>
        <v>0</v>
      </c>
      <c r="M144">
        <v>4351</v>
      </c>
      <c r="N144">
        <v>0</v>
      </c>
      <c r="S144">
        <v>4079</v>
      </c>
      <c r="T144">
        <v>0</v>
      </c>
    </row>
    <row r="145" spans="1:20" x14ac:dyDescent="0.2">
      <c r="A145">
        <v>639</v>
      </c>
      <c r="B145" s="10">
        <v>36526</v>
      </c>
      <c r="C145" s="10">
        <v>40495</v>
      </c>
      <c r="D145" s="10" t="s">
        <v>538</v>
      </c>
      <c r="F145">
        <v>895</v>
      </c>
      <c r="G145" s="10">
        <v>40875</v>
      </c>
      <c r="I145">
        <v>2130</v>
      </c>
      <c r="J145">
        <v>0</v>
      </c>
      <c r="K145">
        <v>1</v>
      </c>
      <c r="L145" s="14">
        <f t="shared" si="2"/>
        <v>0</v>
      </c>
      <c r="M145">
        <v>4354</v>
      </c>
      <c r="N145">
        <v>0</v>
      </c>
      <c r="S145">
        <v>4096</v>
      </c>
      <c r="T145">
        <v>0</v>
      </c>
    </row>
    <row r="146" spans="1:20" x14ac:dyDescent="0.2">
      <c r="A146">
        <v>643</v>
      </c>
      <c r="B146" s="10">
        <v>36526</v>
      </c>
      <c r="C146" s="10">
        <v>40268</v>
      </c>
      <c r="D146" s="10" t="s">
        <v>206</v>
      </c>
      <c r="F146">
        <v>905</v>
      </c>
      <c r="G146" s="10">
        <v>40875</v>
      </c>
      <c r="I146">
        <v>2132</v>
      </c>
      <c r="J146">
        <v>0</v>
      </c>
      <c r="K146">
        <v>1</v>
      </c>
      <c r="L146" s="14">
        <f t="shared" si="2"/>
        <v>0</v>
      </c>
      <c r="M146">
        <v>4358</v>
      </c>
      <c r="N146">
        <v>0</v>
      </c>
      <c r="S146">
        <v>4112</v>
      </c>
      <c r="T146">
        <v>0</v>
      </c>
    </row>
    <row r="147" spans="1:20" x14ac:dyDescent="0.2">
      <c r="A147">
        <v>645</v>
      </c>
      <c r="B147" s="10">
        <v>36526</v>
      </c>
      <c r="C147" s="10">
        <v>40602</v>
      </c>
      <c r="D147" s="10" t="s">
        <v>206</v>
      </c>
      <c r="F147">
        <v>909</v>
      </c>
      <c r="G147" s="10">
        <v>40785</v>
      </c>
      <c r="I147">
        <v>2144</v>
      </c>
      <c r="J147">
        <v>1</v>
      </c>
      <c r="K147">
        <v>2</v>
      </c>
      <c r="L147" s="14">
        <f t="shared" si="2"/>
        <v>2</v>
      </c>
      <c r="M147">
        <v>4359</v>
      </c>
      <c r="N147">
        <v>0</v>
      </c>
      <c r="S147">
        <v>4209</v>
      </c>
      <c r="T147">
        <v>0</v>
      </c>
    </row>
    <row r="148" spans="1:20" x14ac:dyDescent="0.2">
      <c r="A148">
        <v>646</v>
      </c>
      <c r="B148" s="10">
        <v>36526</v>
      </c>
      <c r="C148" s="10">
        <v>40268</v>
      </c>
      <c r="D148" s="10" t="s">
        <v>538</v>
      </c>
      <c r="F148">
        <v>912</v>
      </c>
      <c r="G148" s="10">
        <v>40875</v>
      </c>
      <c r="I148">
        <v>2148</v>
      </c>
      <c r="J148">
        <v>1</v>
      </c>
      <c r="K148">
        <v>2</v>
      </c>
      <c r="L148" s="14">
        <f t="shared" si="2"/>
        <v>2</v>
      </c>
      <c r="M148">
        <v>4364</v>
      </c>
      <c r="N148">
        <v>0</v>
      </c>
      <c r="S148">
        <v>4247</v>
      </c>
      <c r="T148">
        <v>0</v>
      </c>
    </row>
    <row r="149" spans="1:20" x14ac:dyDescent="0.2">
      <c r="A149">
        <v>647</v>
      </c>
      <c r="B149" s="10">
        <v>36526</v>
      </c>
      <c r="C149" s="10">
        <v>40329</v>
      </c>
      <c r="D149" s="10" t="s">
        <v>538</v>
      </c>
      <c r="F149">
        <v>919</v>
      </c>
      <c r="G149" s="10">
        <v>40875</v>
      </c>
      <c r="I149">
        <v>2159</v>
      </c>
      <c r="J149">
        <v>0</v>
      </c>
      <c r="K149">
        <v>1</v>
      </c>
      <c r="L149" s="14">
        <f t="shared" si="2"/>
        <v>0</v>
      </c>
      <c r="M149">
        <v>4366</v>
      </c>
      <c r="N149">
        <v>0</v>
      </c>
      <c r="S149">
        <v>4314</v>
      </c>
      <c r="T149">
        <v>0</v>
      </c>
    </row>
    <row r="150" spans="1:20" x14ac:dyDescent="0.2">
      <c r="A150">
        <v>651</v>
      </c>
      <c r="B150" s="10">
        <v>39636</v>
      </c>
      <c r="C150" s="10">
        <v>40589</v>
      </c>
      <c r="D150" s="10" t="s">
        <v>539</v>
      </c>
      <c r="F150">
        <v>922</v>
      </c>
      <c r="G150" s="10">
        <v>40875</v>
      </c>
      <c r="I150">
        <v>2160</v>
      </c>
      <c r="J150">
        <v>0</v>
      </c>
      <c r="K150">
        <v>1</v>
      </c>
      <c r="L150" s="14">
        <f t="shared" si="2"/>
        <v>0</v>
      </c>
      <c r="M150">
        <v>4369</v>
      </c>
      <c r="N150">
        <v>0</v>
      </c>
      <c r="S150">
        <v>4347</v>
      </c>
      <c r="T150">
        <v>0</v>
      </c>
    </row>
    <row r="151" spans="1:20" x14ac:dyDescent="0.2">
      <c r="A151">
        <v>652</v>
      </c>
      <c r="B151" s="10">
        <v>36526</v>
      </c>
      <c r="C151" s="10">
        <v>40602</v>
      </c>
      <c r="D151" s="10" t="s">
        <v>266</v>
      </c>
      <c r="F151">
        <v>923</v>
      </c>
      <c r="G151" s="10">
        <v>40875</v>
      </c>
      <c r="I151">
        <v>2166</v>
      </c>
      <c r="J151">
        <v>0</v>
      </c>
      <c r="K151">
        <v>1</v>
      </c>
      <c r="L151" s="14">
        <f t="shared" si="2"/>
        <v>0</v>
      </c>
      <c r="M151">
        <v>4373</v>
      </c>
      <c r="N151">
        <v>0</v>
      </c>
      <c r="S151">
        <v>4353</v>
      </c>
      <c r="T151">
        <v>0</v>
      </c>
    </row>
    <row r="152" spans="1:20" x14ac:dyDescent="0.2">
      <c r="A152">
        <v>654</v>
      </c>
      <c r="B152" s="10">
        <v>39653</v>
      </c>
      <c r="C152" s="10">
        <v>40589</v>
      </c>
      <c r="D152" s="10" t="s">
        <v>539</v>
      </c>
      <c r="F152">
        <v>925</v>
      </c>
      <c r="G152" s="10">
        <v>40875</v>
      </c>
      <c r="I152">
        <v>2167</v>
      </c>
      <c r="J152">
        <v>0</v>
      </c>
      <c r="K152">
        <v>1</v>
      </c>
      <c r="L152" s="14">
        <f t="shared" si="2"/>
        <v>0</v>
      </c>
      <c r="M152">
        <v>4374</v>
      </c>
      <c r="N152">
        <v>0</v>
      </c>
      <c r="S152">
        <v>4384</v>
      </c>
      <c r="T152">
        <v>0</v>
      </c>
    </row>
    <row r="153" spans="1:20" x14ac:dyDescent="0.2">
      <c r="A153">
        <v>656</v>
      </c>
      <c r="B153" s="10">
        <v>219148</v>
      </c>
      <c r="C153" s="10">
        <v>40389</v>
      </c>
      <c r="D153" s="10" t="s">
        <v>538</v>
      </c>
      <c r="F153">
        <v>931</v>
      </c>
      <c r="G153" s="10">
        <v>40875</v>
      </c>
      <c r="I153">
        <v>2178</v>
      </c>
      <c r="J153">
        <v>1</v>
      </c>
      <c r="K153">
        <v>1</v>
      </c>
      <c r="L153" s="14">
        <f t="shared" si="2"/>
        <v>1</v>
      </c>
      <c r="M153">
        <v>4377</v>
      </c>
      <c r="N153">
        <v>0</v>
      </c>
      <c r="S153">
        <v>4449</v>
      </c>
      <c r="T153">
        <v>0</v>
      </c>
    </row>
    <row r="154" spans="1:20" x14ac:dyDescent="0.2">
      <c r="A154">
        <v>657</v>
      </c>
      <c r="B154" s="10">
        <v>36526</v>
      </c>
      <c r="C154" s="10">
        <v>40268</v>
      </c>
      <c r="D154" s="10" t="s">
        <v>206</v>
      </c>
      <c r="F154">
        <v>950</v>
      </c>
      <c r="G154" s="10">
        <v>40875</v>
      </c>
      <c r="I154">
        <v>2190</v>
      </c>
      <c r="J154">
        <v>1</v>
      </c>
      <c r="K154">
        <v>2</v>
      </c>
      <c r="L154" s="14">
        <f t="shared" si="2"/>
        <v>2</v>
      </c>
      <c r="M154">
        <v>4383</v>
      </c>
      <c r="N154">
        <v>0</v>
      </c>
      <c r="S154">
        <v>4474</v>
      </c>
      <c r="T154">
        <v>0</v>
      </c>
    </row>
    <row r="155" spans="1:20" x14ac:dyDescent="0.2">
      <c r="A155">
        <v>662</v>
      </c>
      <c r="B155" s="10">
        <v>36526</v>
      </c>
      <c r="C155" s="10">
        <v>40268</v>
      </c>
      <c r="D155" s="10" t="s">
        <v>207</v>
      </c>
      <c r="F155">
        <v>952</v>
      </c>
      <c r="G155" s="10">
        <v>40875</v>
      </c>
      <c r="I155">
        <v>2197</v>
      </c>
      <c r="J155">
        <v>0</v>
      </c>
      <c r="K155">
        <v>1</v>
      </c>
      <c r="L155" s="14">
        <f t="shared" si="2"/>
        <v>0</v>
      </c>
      <c r="M155">
        <v>4395</v>
      </c>
      <c r="N155">
        <v>0</v>
      </c>
      <c r="S155">
        <v>4511</v>
      </c>
      <c r="T155">
        <v>0</v>
      </c>
    </row>
    <row r="156" spans="1:20" x14ac:dyDescent="0.2">
      <c r="A156">
        <v>663</v>
      </c>
      <c r="B156" s="10">
        <v>36526</v>
      </c>
      <c r="C156" s="10">
        <v>40512</v>
      </c>
      <c r="D156" s="10" t="s">
        <v>538</v>
      </c>
      <c r="F156">
        <v>968</v>
      </c>
      <c r="G156" s="10">
        <v>40875</v>
      </c>
      <c r="I156">
        <v>2214</v>
      </c>
      <c r="J156">
        <v>0</v>
      </c>
      <c r="K156">
        <v>1</v>
      </c>
      <c r="L156" s="14">
        <f t="shared" si="2"/>
        <v>0</v>
      </c>
      <c r="M156">
        <v>4397</v>
      </c>
      <c r="N156">
        <v>0</v>
      </c>
      <c r="S156">
        <v>4621</v>
      </c>
      <c r="T156">
        <v>0</v>
      </c>
    </row>
    <row r="157" spans="1:20" x14ac:dyDescent="0.2">
      <c r="A157">
        <v>667</v>
      </c>
      <c r="B157" s="10">
        <v>39681</v>
      </c>
      <c r="C157" s="10">
        <v>40451</v>
      </c>
      <c r="D157" s="10" t="s">
        <v>539</v>
      </c>
      <c r="F157">
        <v>969</v>
      </c>
      <c r="G157" s="10">
        <v>40856</v>
      </c>
      <c r="I157">
        <v>2229</v>
      </c>
      <c r="J157">
        <v>1</v>
      </c>
      <c r="K157">
        <v>1</v>
      </c>
      <c r="L157" s="14">
        <f t="shared" si="2"/>
        <v>1</v>
      </c>
      <c r="M157">
        <v>4401</v>
      </c>
      <c r="N157">
        <v>0</v>
      </c>
      <c r="S157">
        <v>4648</v>
      </c>
      <c r="T157">
        <v>0</v>
      </c>
    </row>
    <row r="158" spans="1:20" x14ac:dyDescent="0.2">
      <c r="A158">
        <v>668</v>
      </c>
      <c r="B158" s="10">
        <v>36526</v>
      </c>
      <c r="C158" s="10">
        <v>40484</v>
      </c>
      <c r="D158" s="10" t="s">
        <v>538</v>
      </c>
      <c r="F158">
        <v>970</v>
      </c>
      <c r="G158" s="10">
        <v>40875</v>
      </c>
      <c r="I158">
        <v>2231</v>
      </c>
      <c r="J158">
        <v>1</v>
      </c>
      <c r="K158">
        <v>1</v>
      </c>
      <c r="L158" s="14">
        <f t="shared" si="2"/>
        <v>1</v>
      </c>
      <c r="M158">
        <v>4402</v>
      </c>
      <c r="N158">
        <v>0</v>
      </c>
      <c r="S158">
        <v>4662</v>
      </c>
      <c r="T158">
        <v>0</v>
      </c>
    </row>
    <row r="159" spans="1:20" x14ac:dyDescent="0.2">
      <c r="A159">
        <v>670</v>
      </c>
      <c r="B159" s="10">
        <v>36526</v>
      </c>
      <c r="C159" s="10">
        <v>40753</v>
      </c>
      <c r="D159" s="10" t="s">
        <v>539</v>
      </c>
      <c r="F159">
        <v>971</v>
      </c>
      <c r="G159" s="10">
        <v>40875</v>
      </c>
      <c r="I159">
        <v>2232</v>
      </c>
      <c r="J159">
        <v>1</v>
      </c>
      <c r="K159">
        <v>1</v>
      </c>
      <c r="L159" s="14">
        <f t="shared" si="2"/>
        <v>1</v>
      </c>
      <c r="M159">
        <v>4409</v>
      </c>
      <c r="N159">
        <v>0</v>
      </c>
      <c r="S159">
        <v>4681</v>
      </c>
      <c r="T159">
        <v>0</v>
      </c>
    </row>
    <row r="160" spans="1:20" x14ac:dyDescent="0.2">
      <c r="A160">
        <v>671</v>
      </c>
      <c r="B160" s="10">
        <v>38813</v>
      </c>
      <c r="C160" s="10">
        <v>40512</v>
      </c>
      <c r="D160" s="10" t="s">
        <v>539</v>
      </c>
      <c r="F160">
        <v>972</v>
      </c>
      <c r="G160" s="10">
        <v>40875</v>
      </c>
      <c r="I160">
        <v>2233</v>
      </c>
      <c r="J160">
        <v>1</v>
      </c>
      <c r="K160">
        <v>1</v>
      </c>
      <c r="L160" s="14">
        <f t="shared" si="2"/>
        <v>1</v>
      </c>
      <c r="M160">
        <v>4411</v>
      </c>
      <c r="N160">
        <v>0</v>
      </c>
      <c r="S160">
        <v>4706</v>
      </c>
      <c r="T160">
        <v>0</v>
      </c>
    </row>
    <row r="161" spans="1:20" x14ac:dyDescent="0.2">
      <c r="A161">
        <v>672</v>
      </c>
      <c r="B161" s="10">
        <v>38966</v>
      </c>
      <c r="C161" s="10">
        <v>40753</v>
      </c>
      <c r="D161" s="10" t="s">
        <v>539</v>
      </c>
      <c r="F161">
        <v>974</v>
      </c>
      <c r="G161" s="10">
        <v>40875</v>
      </c>
      <c r="I161">
        <v>2238</v>
      </c>
      <c r="J161">
        <v>0</v>
      </c>
      <c r="K161">
        <v>1</v>
      </c>
      <c r="L161" s="14">
        <f t="shared" si="2"/>
        <v>0</v>
      </c>
      <c r="M161">
        <v>4412</v>
      </c>
      <c r="N161">
        <v>0</v>
      </c>
      <c r="S161">
        <v>4738</v>
      </c>
      <c r="T161">
        <v>0</v>
      </c>
    </row>
    <row r="162" spans="1:20" x14ac:dyDescent="0.2">
      <c r="A162">
        <v>673</v>
      </c>
      <c r="B162" s="10">
        <v>36526</v>
      </c>
      <c r="C162" s="10">
        <v>40753</v>
      </c>
      <c r="D162" s="10" t="s">
        <v>539</v>
      </c>
      <c r="F162">
        <v>977</v>
      </c>
      <c r="G162" s="10">
        <v>40875</v>
      </c>
      <c r="I162">
        <v>2239</v>
      </c>
      <c r="J162">
        <v>1</v>
      </c>
      <c r="K162">
        <v>1</v>
      </c>
      <c r="L162" s="14">
        <f t="shared" si="2"/>
        <v>1</v>
      </c>
      <c r="M162">
        <v>4414</v>
      </c>
      <c r="N162">
        <v>0</v>
      </c>
      <c r="S162">
        <v>4823</v>
      </c>
      <c r="T162">
        <v>0</v>
      </c>
    </row>
    <row r="163" spans="1:20" x14ac:dyDescent="0.2">
      <c r="A163">
        <v>674</v>
      </c>
      <c r="B163" s="10">
        <v>36526</v>
      </c>
      <c r="C163" s="10">
        <v>40512</v>
      </c>
      <c r="D163" s="10" t="s">
        <v>539</v>
      </c>
      <c r="F163">
        <v>999</v>
      </c>
      <c r="G163" s="10">
        <v>40875</v>
      </c>
      <c r="I163">
        <v>2240</v>
      </c>
      <c r="J163">
        <v>1</v>
      </c>
      <c r="K163">
        <v>1</v>
      </c>
      <c r="L163" s="14">
        <f t="shared" si="2"/>
        <v>1</v>
      </c>
      <c r="M163">
        <v>4418</v>
      </c>
      <c r="N163">
        <v>0</v>
      </c>
      <c r="S163">
        <v>4824</v>
      </c>
      <c r="T163">
        <v>0</v>
      </c>
    </row>
    <row r="164" spans="1:20" x14ac:dyDescent="0.2">
      <c r="A164">
        <v>675</v>
      </c>
      <c r="B164" s="10">
        <v>38790</v>
      </c>
      <c r="C164" s="10">
        <v>40753</v>
      </c>
      <c r="D164" s="10" t="s">
        <v>539</v>
      </c>
      <c r="F164">
        <v>1000</v>
      </c>
      <c r="G164" s="10">
        <v>40875</v>
      </c>
      <c r="I164">
        <v>2242</v>
      </c>
      <c r="J164">
        <v>1</v>
      </c>
      <c r="K164">
        <v>1</v>
      </c>
      <c r="L164" s="14">
        <f t="shared" si="2"/>
        <v>1</v>
      </c>
      <c r="M164">
        <v>4419</v>
      </c>
      <c r="N164">
        <v>0</v>
      </c>
      <c r="S164">
        <v>4825</v>
      </c>
      <c r="T164">
        <v>0</v>
      </c>
    </row>
    <row r="165" spans="1:20" x14ac:dyDescent="0.2">
      <c r="A165">
        <v>676</v>
      </c>
      <c r="B165" s="10">
        <v>38832</v>
      </c>
      <c r="C165" s="10">
        <v>40444</v>
      </c>
      <c r="D165" s="10" t="s">
        <v>539</v>
      </c>
      <c r="F165">
        <v>1001</v>
      </c>
      <c r="G165" s="10">
        <v>40875</v>
      </c>
      <c r="I165">
        <v>2243</v>
      </c>
      <c r="J165">
        <v>1</v>
      </c>
      <c r="K165">
        <v>1</v>
      </c>
      <c r="L165" s="14">
        <f t="shared" si="2"/>
        <v>1</v>
      </c>
      <c r="M165">
        <v>4420</v>
      </c>
      <c r="N165">
        <v>1</v>
      </c>
      <c r="S165">
        <v>4826</v>
      </c>
      <c r="T165">
        <v>0</v>
      </c>
    </row>
    <row r="166" spans="1:20" x14ac:dyDescent="0.2">
      <c r="A166">
        <v>677</v>
      </c>
      <c r="B166" s="10">
        <v>36526</v>
      </c>
      <c r="C166" s="10">
        <v>40753</v>
      </c>
      <c r="D166" s="10" t="s">
        <v>539</v>
      </c>
      <c r="F166">
        <v>1002</v>
      </c>
      <c r="G166" s="10">
        <v>40875</v>
      </c>
      <c r="I166">
        <v>2244</v>
      </c>
      <c r="J166">
        <v>1</v>
      </c>
      <c r="K166">
        <v>1</v>
      </c>
      <c r="L166" s="14">
        <f t="shared" si="2"/>
        <v>1</v>
      </c>
      <c r="M166">
        <v>4421</v>
      </c>
      <c r="N166">
        <v>1</v>
      </c>
      <c r="S166">
        <v>4827</v>
      </c>
      <c r="T166">
        <v>0</v>
      </c>
    </row>
    <row r="167" spans="1:20" x14ac:dyDescent="0.2">
      <c r="A167">
        <v>679</v>
      </c>
      <c r="B167" s="10">
        <v>38947</v>
      </c>
      <c r="C167" s="10">
        <v>40753</v>
      </c>
      <c r="D167" s="10" t="s">
        <v>539</v>
      </c>
      <c r="F167">
        <v>1003</v>
      </c>
      <c r="G167" s="10">
        <v>40875</v>
      </c>
      <c r="I167">
        <v>2258</v>
      </c>
      <c r="J167">
        <v>1</v>
      </c>
      <c r="K167">
        <v>1</v>
      </c>
      <c r="L167" s="14">
        <f t="shared" si="2"/>
        <v>1</v>
      </c>
      <c r="M167">
        <v>4436</v>
      </c>
      <c r="N167">
        <v>0</v>
      </c>
      <c r="S167">
        <v>4828</v>
      </c>
      <c r="T167">
        <v>0</v>
      </c>
    </row>
    <row r="168" spans="1:20" x14ac:dyDescent="0.2">
      <c r="A168">
        <v>680</v>
      </c>
      <c r="B168" s="10">
        <v>36526</v>
      </c>
      <c r="C168" s="10">
        <v>40732</v>
      </c>
      <c r="D168" s="10" t="s">
        <v>538</v>
      </c>
      <c r="F168">
        <v>1004</v>
      </c>
      <c r="G168" s="10">
        <v>40875</v>
      </c>
      <c r="I168">
        <v>2259</v>
      </c>
      <c r="J168">
        <v>1</v>
      </c>
      <c r="K168">
        <v>1</v>
      </c>
      <c r="L168" s="14">
        <f t="shared" si="2"/>
        <v>1</v>
      </c>
      <c r="M168">
        <v>4438</v>
      </c>
      <c r="N168">
        <v>0</v>
      </c>
      <c r="S168">
        <v>4832</v>
      </c>
      <c r="T168">
        <v>0</v>
      </c>
    </row>
    <row r="169" spans="1:20" x14ac:dyDescent="0.2">
      <c r="A169">
        <v>681</v>
      </c>
      <c r="B169" s="10">
        <v>36526</v>
      </c>
      <c r="C169" s="10">
        <v>40444</v>
      </c>
      <c r="D169" s="10" t="s">
        <v>539</v>
      </c>
      <c r="F169">
        <v>1005</v>
      </c>
      <c r="G169" s="10">
        <v>40875</v>
      </c>
      <c r="I169">
        <v>2260</v>
      </c>
      <c r="J169">
        <v>1</v>
      </c>
      <c r="K169">
        <v>1</v>
      </c>
      <c r="L169" s="14">
        <f t="shared" si="2"/>
        <v>1</v>
      </c>
      <c r="M169">
        <v>4439</v>
      </c>
      <c r="N169">
        <v>0</v>
      </c>
      <c r="S169">
        <v>4833</v>
      </c>
      <c r="T169">
        <v>0</v>
      </c>
    </row>
    <row r="170" spans="1:20" x14ac:dyDescent="0.2">
      <c r="A170">
        <v>685</v>
      </c>
      <c r="B170" s="10">
        <v>36526</v>
      </c>
      <c r="C170" s="10">
        <v>40444</v>
      </c>
      <c r="D170" s="10" t="s">
        <v>539</v>
      </c>
      <c r="F170">
        <v>1009</v>
      </c>
      <c r="G170" s="10">
        <v>40875</v>
      </c>
      <c r="I170">
        <v>2263</v>
      </c>
      <c r="J170">
        <v>1</v>
      </c>
      <c r="K170">
        <v>1</v>
      </c>
      <c r="L170" s="14">
        <f t="shared" si="2"/>
        <v>1</v>
      </c>
      <c r="M170">
        <v>4445</v>
      </c>
      <c r="N170">
        <v>0</v>
      </c>
      <c r="S170">
        <v>4835</v>
      </c>
      <c r="T170">
        <v>0</v>
      </c>
    </row>
    <row r="171" spans="1:20" x14ac:dyDescent="0.2">
      <c r="A171">
        <v>686</v>
      </c>
      <c r="B171" s="10">
        <v>39559</v>
      </c>
      <c r="C171" s="10">
        <v>40329</v>
      </c>
      <c r="D171" s="10" t="s">
        <v>539</v>
      </c>
      <c r="F171">
        <v>1134</v>
      </c>
      <c r="G171" s="10">
        <v>40875</v>
      </c>
      <c r="I171">
        <v>2271</v>
      </c>
      <c r="J171">
        <v>0</v>
      </c>
      <c r="K171">
        <v>1</v>
      </c>
      <c r="L171" s="14">
        <f t="shared" si="2"/>
        <v>0</v>
      </c>
      <c r="M171">
        <v>4446</v>
      </c>
      <c r="N171">
        <v>0</v>
      </c>
      <c r="S171">
        <v>4847</v>
      </c>
      <c r="T171">
        <v>0</v>
      </c>
    </row>
    <row r="172" spans="1:20" x14ac:dyDescent="0.2">
      <c r="A172">
        <v>692</v>
      </c>
      <c r="B172" s="10">
        <v>38796</v>
      </c>
      <c r="C172" s="10">
        <v>40268</v>
      </c>
      <c r="D172" s="10" t="s">
        <v>539</v>
      </c>
      <c r="F172">
        <v>1248</v>
      </c>
      <c r="G172" s="10">
        <v>40875</v>
      </c>
      <c r="I172">
        <v>2275</v>
      </c>
      <c r="J172">
        <v>1</v>
      </c>
      <c r="K172">
        <v>1</v>
      </c>
      <c r="L172" s="14">
        <f t="shared" si="2"/>
        <v>1</v>
      </c>
      <c r="M172">
        <v>4447</v>
      </c>
      <c r="N172">
        <v>0</v>
      </c>
      <c r="S172">
        <v>4880</v>
      </c>
      <c r="T172">
        <v>0</v>
      </c>
    </row>
    <row r="173" spans="1:20" x14ac:dyDescent="0.2">
      <c r="A173">
        <v>698</v>
      </c>
      <c r="B173" s="10">
        <v>38758</v>
      </c>
      <c r="C173" s="10">
        <v>40602</v>
      </c>
      <c r="D173" s="10" t="s">
        <v>539</v>
      </c>
      <c r="F173">
        <v>1249</v>
      </c>
      <c r="G173" s="10">
        <v>40875</v>
      </c>
      <c r="I173">
        <v>2276</v>
      </c>
      <c r="J173">
        <v>1</v>
      </c>
      <c r="K173">
        <v>1</v>
      </c>
      <c r="L173" s="14">
        <f t="shared" si="2"/>
        <v>1</v>
      </c>
      <c r="M173">
        <v>4472</v>
      </c>
      <c r="N173">
        <v>1</v>
      </c>
      <c r="S173">
        <v>4907</v>
      </c>
      <c r="T173">
        <v>0</v>
      </c>
    </row>
    <row r="174" spans="1:20" x14ac:dyDescent="0.2">
      <c r="A174">
        <v>699</v>
      </c>
      <c r="B174" s="10">
        <v>36526</v>
      </c>
      <c r="C174" s="10">
        <v>40268</v>
      </c>
      <c r="D174" s="10" t="s">
        <v>539</v>
      </c>
      <c r="F174">
        <v>1255</v>
      </c>
      <c r="G174" s="10">
        <v>40875</v>
      </c>
      <c r="I174">
        <v>2277</v>
      </c>
      <c r="J174">
        <v>1</v>
      </c>
      <c r="K174">
        <v>1</v>
      </c>
      <c r="L174" s="14">
        <f t="shared" si="2"/>
        <v>1</v>
      </c>
      <c r="M174">
        <v>4494</v>
      </c>
      <c r="N174">
        <v>0</v>
      </c>
      <c r="S174">
        <v>4966</v>
      </c>
      <c r="T174">
        <v>0</v>
      </c>
    </row>
    <row r="175" spans="1:20" x14ac:dyDescent="0.2">
      <c r="A175">
        <v>701</v>
      </c>
      <c r="B175" s="10">
        <v>38968</v>
      </c>
      <c r="C175" s="10">
        <v>40512</v>
      </c>
      <c r="D175" s="10" t="s">
        <v>539</v>
      </c>
      <c r="F175">
        <v>1256</v>
      </c>
      <c r="G175" s="10">
        <v>40875</v>
      </c>
      <c r="I175">
        <v>2429</v>
      </c>
      <c r="J175">
        <v>1</v>
      </c>
      <c r="K175">
        <v>1</v>
      </c>
      <c r="L175" s="14">
        <f t="shared" si="2"/>
        <v>1</v>
      </c>
      <c r="M175">
        <v>4497</v>
      </c>
      <c r="N175">
        <v>0</v>
      </c>
      <c r="S175">
        <v>4967</v>
      </c>
      <c r="T175">
        <v>0</v>
      </c>
    </row>
    <row r="176" spans="1:20" x14ac:dyDescent="0.2">
      <c r="A176">
        <v>702</v>
      </c>
      <c r="B176" s="10">
        <v>38980</v>
      </c>
      <c r="C176" s="10">
        <v>40753</v>
      </c>
      <c r="D176" s="10" t="s">
        <v>539</v>
      </c>
      <c r="F176">
        <v>1261</v>
      </c>
      <c r="G176" s="10">
        <v>40875</v>
      </c>
      <c r="I176">
        <v>2432</v>
      </c>
      <c r="J176">
        <v>1</v>
      </c>
      <c r="K176">
        <v>1</v>
      </c>
      <c r="L176" s="14">
        <f t="shared" si="2"/>
        <v>1</v>
      </c>
      <c r="M176">
        <v>4504</v>
      </c>
      <c r="N176">
        <v>1</v>
      </c>
      <c r="S176">
        <v>5038</v>
      </c>
      <c r="T176">
        <v>0</v>
      </c>
    </row>
    <row r="177" spans="1:20" x14ac:dyDescent="0.2">
      <c r="A177">
        <v>705</v>
      </c>
      <c r="B177" s="10">
        <v>39002</v>
      </c>
      <c r="C177" s="10">
        <v>40753</v>
      </c>
      <c r="D177" s="10" t="s">
        <v>539</v>
      </c>
      <c r="F177">
        <v>1262</v>
      </c>
      <c r="G177" s="10">
        <v>40875</v>
      </c>
      <c r="I177">
        <v>2441</v>
      </c>
      <c r="J177">
        <v>1</v>
      </c>
      <c r="K177">
        <v>1</v>
      </c>
      <c r="L177" s="14">
        <f t="shared" si="2"/>
        <v>1</v>
      </c>
      <c r="M177">
        <v>4509</v>
      </c>
      <c r="N177">
        <v>0</v>
      </c>
      <c r="S177">
        <v>5101</v>
      </c>
      <c r="T177">
        <v>0</v>
      </c>
    </row>
    <row r="178" spans="1:20" x14ac:dyDescent="0.2">
      <c r="A178">
        <v>706</v>
      </c>
      <c r="B178" s="10">
        <v>39001</v>
      </c>
      <c r="C178" s="10">
        <v>40512</v>
      </c>
      <c r="D178" s="10" t="s">
        <v>539</v>
      </c>
      <c r="F178">
        <v>1263</v>
      </c>
      <c r="G178" s="10">
        <v>40875</v>
      </c>
      <c r="I178">
        <v>2442</v>
      </c>
      <c r="J178">
        <v>1</v>
      </c>
      <c r="K178">
        <v>1</v>
      </c>
      <c r="L178" s="14">
        <f t="shared" si="2"/>
        <v>1</v>
      </c>
      <c r="M178">
        <v>4512</v>
      </c>
      <c r="N178">
        <v>0</v>
      </c>
      <c r="S178">
        <v>5243</v>
      </c>
      <c r="T178">
        <v>0</v>
      </c>
    </row>
    <row r="179" spans="1:20" x14ac:dyDescent="0.2">
      <c r="A179">
        <v>707</v>
      </c>
      <c r="B179" s="10">
        <v>36526</v>
      </c>
      <c r="C179" s="10">
        <v>40268</v>
      </c>
      <c r="D179" s="10" t="s">
        <v>538</v>
      </c>
      <c r="F179">
        <v>1269</v>
      </c>
      <c r="G179" s="10">
        <v>40875</v>
      </c>
      <c r="I179">
        <v>2443</v>
      </c>
      <c r="J179">
        <v>1</v>
      </c>
      <c r="K179">
        <v>1</v>
      </c>
      <c r="L179" s="14">
        <f t="shared" si="2"/>
        <v>1</v>
      </c>
      <c r="M179">
        <v>4560</v>
      </c>
      <c r="N179">
        <v>0</v>
      </c>
      <c r="S179">
        <v>5269</v>
      </c>
      <c r="T179">
        <v>0</v>
      </c>
    </row>
    <row r="180" spans="1:20" x14ac:dyDescent="0.2">
      <c r="A180">
        <v>708</v>
      </c>
      <c r="B180" s="10">
        <v>36526</v>
      </c>
      <c r="C180" s="10">
        <v>40268</v>
      </c>
      <c r="D180" s="10" t="s">
        <v>538</v>
      </c>
      <c r="F180">
        <v>1277</v>
      </c>
      <c r="G180" s="10">
        <v>40875</v>
      </c>
      <c r="I180">
        <v>2452</v>
      </c>
      <c r="J180">
        <v>0</v>
      </c>
      <c r="K180">
        <v>1</v>
      </c>
      <c r="L180" s="14">
        <f t="shared" si="2"/>
        <v>0</v>
      </c>
      <c r="M180">
        <v>4561</v>
      </c>
      <c r="N180">
        <v>0</v>
      </c>
      <c r="S180">
        <v>5285</v>
      </c>
      <c r="T180">
        <v>0</v>
      </c>
    </row>
    <row r="181" spans="1:20" x14ac:dyDescent="0.2">
      <c r="A181">
        <v>709</v>
      </c>
      <c r="B181" s="10">
        <v>36526</v>
      </c>
      <c r="C181" s="10">
        <v>40268</v>
      </c>
      <c r="D181" s="10" t="s">
        <v>538</v>
      </c>
      <c r="F181">
        <v>1284</v>
      </c>
      <c r="G181" s="10">
        <v>40875</v>
      </c>
      <c r="I181">
        <v>2453</v>
      </c>
      <c r="J181">
        <v>0</v>
      </c>
      <c r="K181">
        <v>1</v>
      </c>
      <c r="L181" s="14">
        <f t="shared" si="2"/>
        <v>0</v>
      </c>
      <c r="M181">
        <v>4564</v>
      </c>
      <c r="N181">
        <v>0</v>
      </c>
      <c r="S181">
        <v>5307</v>
      </c>
      <c r="T181">
        <v>0</v>
      </c>
    </row>
    <row r="182" spans="1:20" x14ac:dyDescent="0.2">
      <c r="A182">
        <v>710</v>
      </c>
      <c r="B182" s="10">
        <v>36526</v>
      </c>
      <c r="C182" s="10">
        <v>40268</v>
      </c>
      <c r="D182" s="10" t="s">
        <v>538</v>
      </c>
      <c r="F182">
        <v>1285</v>
      </c>
      <c r="G182" s="10">
        <v>40875</v>
      </c>
      <c r="I182">
        <v>2454</v>
      </c>
      <c r="J182">
        <v>0</v>
      </c>
      <c r="K182">
        <v>1</v>
      </c>
      <c r="L182" s="14">
        <f t="shared" si="2"/>
        <v>0</v>
      </c>
      <c r="M182">
        <v>4568</v>
      </c>
      <c r="N182">
        <v>0</v>
      </c>
      <c r="S182">
        <v>5328</v>
      </c>
      <c r="T182">
        <v>0</v>
      </c>
    </row>
    <row r="183" spans="1:20" x14ac:dyDescent="0.2">
      <c r="A183">
        <v>713</v>
      </c>
      <c r="B183" s="10">
        <v>36526</v>
      </c>
      <c r="C183" s="10">
        <v>40444</v>
      </c>
      <c r="D183" s="10" t="s">
        <v>538</v>
      </c>
      <c r="F183">
        <v>1286</v>
      </c>
      <c r="G183" s="10">
        <v>40875</v>
      </c>
      <c r="I183">
        <v>2455</v>
      </c>
      <c r="J183">
        <v>0</v>
      </c>
      <c r="K183">
        <v>1</v>
      </c>
      <c r="L183" s="14">
        <f t="shared" si="2"/>
        <v>0</v>
      </c>
      <c r="M183">
        <v>4570</v>
      </c>
      <c r="N183">
        <v>0</v>
      </c>
      <c r="S183">
        <v>5330</v>
      </c>
      <c r="T183">
        <v>0</v>
      </c>
    </row>
    <row r="184" spans="1:20" x14ac:dyDescent="0.2">
      <c r="A184">
        <v>714</v>
      </c>
      <c r="B184" s="10">
        <v>39065</v>
      </c>
      <c r="C184" s="10">
        <v>40753</v>
      </c>
      <c r="D184" s="10" t="s">
        <v>539</v>
      </c>
      <c r="F184">
        <v>1287</v>
      </c>
      <c r="G184" s="10">
        <v>40875</v>
      </c>
      <c r="I184">
        <v>2507</v>
      </c>
      <c r="J184">
        <v>0</v>
      </c>
      <c r="K184">
        <v>1</v>
      </c>
      <c r="L184" s="14">
        <f t="shared" si="2"/>
        <v>0</v>
      </c>
      <c r="M184">
        <v>4587</v>
      </c>
      <c r="N184">
        <v>0</v>
      </c>
      <c r="S184">
        <v>5527</v>
      </c>
      <c r="T184">
        <v>0</v>
      </c>
    </row>
    <row r="185" spans="1:20" x14ac:dyDescent="0.2">
      <c r="A185">
        <v>715</v>
      </c>
      <c r="B185" s="10">
        <v>39080</v>
      </c>
      <c r="C185" s="10">
        <v>40268</v>
      </c>
      <c r="D185" s="10" t="s">
        <v>539</v>
      </c>
      <c r="F185">
        <v>1290</v>
      </c>
      <c r="G185" s="10">
        <v>40875</v>
      </c>
      <c r="I185">
        <v>2538</v>
      </c>
      <c r="J185">
        <v>1</v>
      </c>
      <c r="K185">
        <v>2</v>
      </c>
      <c r="L185" s="14">
        <f t="shared" si="2"/>
        <v>2</v>
      </c>
      <c r="M185">
        <v>4632</v>
      </c>
      <c r="N185">
        <v>0</v>
      </c>
      <c r="S185">
        <v>5560</v>
      </c>
      <c r="T185">
        <v>0</v>
      </c>
    </row>
    <row r="186" spans="1:20" x14ac:dyDescent="0.2">
      <c r="A186">
        <v>718</v>
      </c>
      <c r="B186" s="10">
        <v>39093</v>
      </c>
      <c r="C186" s="10">
        <v>40268</v>
      </c>
      <c r="D186" s="10" t="s">
        <v>539</v>
      </c>
      <c r="F186">
        <v>1291</v>
      </c>
      <c r="G186" s="10">
        <v>40875</v>
      </c>
      <c r="I186">
        <v>2547</v>
      </c>
      <c r="J186">
        <v>1</v>
      </c>
      <c r="K186">
        <v>1</v>
      </c>
      <c r="L186" s="14">
        <f t="shared" si="2"/>
        <v>1</v>
      </c>
      <c r="M186">
        <v>4661</v>
      </c>
      <c r="N186">
        <v>0</v>
      </c>
      <c r="S186">
        <v>5561</v>
      </c>
      <c r="T186">
        <v>0</v>
      </c>
    </row>
    <row r="187" spans="1:20" x14ac:dyDescent="0.2">
      <c r="A187">
        <v>720</v>
      </c>
      <c r="B187" s="10">
        <v>39202</v>
      </c>
      <c r="C187" s="10">
        <v>40512</v>
      </c>
      <c r="D187" s="10" t="s">
        <v>539</v>
      </c>
      <c r="F187">
        <v>1292</v>
      </c>
      <c r="G187" s="10">
        <v>40875</v>
      </c>
      <c r="I187">
        <v>2564</v>
      </c>
      <c r="J187">
        <v>0</v>
      </c>
      <c r="K187">
        <v>1</v>
      </c>
      <c r="L187" s="14">
        <f t="shared" si="2"/>
        <v>0</v>
      </c>
      <c r="M187">
        <v>4671</v>
      </c>
      <c r="N187">
        <v>0</v>
      </c>
      <c r="S187">
        <v>5582</v>
      </c>
      <c r="T187">
        <v>0</v>
      </c>
    </row>
    <row r="188" spans="1:20" x14ac:dyDescent="0.2">
      <c r="A188">
        <v>721</v>
      </c>
      <c r="B188" s="10">
        <v>39512</v>
      </c>
      <c r="C188" s="10">
        <v>40512</v>
      </c>
      <c r="D188" s="10" t="s">
        <v>539</v>
      </c>
      <c r="F188">
        <v>1294</v>
      </c>
      <c r="G188" s="10">
        <v>40875</v>
      </c>
      <c r="I188">
        <v>2566</v>
      </c>
      <c r="J188">
        <v>1</v>
      </c>
      <c r="K188">
        <v>2</v>
      </c>
      <c r="L188" s="14">
        <f t="shared" si="2"/>
        <v>2</v>
      </c>
      <c r="M188">
        <v>4672</v>
      </c>
      <c r="N188">
        <v>0</v>
      </c>
      <c r="S188">
        <v>5777</v>
      </c>
      <c r="T188">
        <v>0</v>
      </c>
    </row>
    <row r="189" spans="1:20" x14ac:dyDescent="0.2">
      <c r="A189">
        <v>722</v>
      </c>
      <c r="B189" s="10">
        <v>38985</v>
      </c>
      <c r="C189" s="10">
        <v>40268</v>
      </c>
      <c r="D189" s="10" t="s">
        <v>539</v>
      </c>
      <c r="F189">
        <v>1301</v>
      </c>
      <c r="G189" s="10">
        <v>40875</v>
      </c>
      <c r="I189">
        <v>2568</v>
      </c>
      <c r="J189">
        <v>0</v>
      </c>
      <c r="K189">
        <v>1</v>
      </c>
      <c r="L189" s="14">
        <f t="shared" si="2"/>
        <v>0</v>
      </c>
      <c r="M189">
        <v>4742</v>
      </c>
      <c r="N189">
        <v>0</v>
      </c>
      <c r="S189">
        <v>5948</v>
      </c>
      <c r="T189">
        <v>0</v>
      </c>
    </row>
    <row r="190" spans="1:20" x14ac:dyDescent="0.2">
      <c r="A190">
        <v>723</v>
      </c>
      <c r="B190" s="10">
        <v>36526</v>
      </c>
      <c r="C190" s="10">
        <v>40291</v>
      </c>
      <c r="D190" s="10" t="s">
        <v>538</v>
      </c>
      <c r="F190">
        <v>1302</v>
      </c>
      <c r="G190" s="10">
        <v>40875</v>
      </c>
      <c r="I190">
        <v>2590</v>
      </c>
      <c r="J190">
        <v>0</v>
      </c>
      <c r="K190">
        <v>1</v>
      </c>
      <c r="L190" s="14">
        <f t="shared" si="2"/>
        <v>0</v>
      </c>
      <c r="M190">
        <v>4808</v>
      </c>
      <c r="N190">
        <v>0</v>
      </c>
      <c r="S190">
        <v>5952</v>
      </c>
      <c r="T190">
        <v>0</v>
      </c>
    </row>
    <row r="191" spans="1:20" x14ac:dyDescent="0.2">
      <c r="A191">
        <v>724</v>
      </c>
      <c r="B191" s="10">
        <v>39230</v>
      </c>
      <c r="C191" s="10">
        <v>40512</v>
      </c>
      <c r="D191" s="10" t="s">
        <v>539</v>
      </c>
      <c r="F191">
        <v>1304</v>
      </c>
      <c r="G191" s="10">
        <v>40875</v>
      </c>
      <c r="I191">
        <v>2595</v>
      </c>
      <c r="J191">
        <v>1</v>
      </c>
      <c r="K191">
        <v>1</v>
      </c>
      <c r="L191" s="14">
        <f t="shared" si="2"/>
        <v>1</v>
      </c>
      <c r="M191">
        <v>4809</v>
      </c>
      <c r="N191">
        <v>0</v>
      </c>
      <c r="S191">
        <v>5958</v>
      </c>
      <c r="T191">
        <v>0</v>
      </c>
    </row>
    <row r="192" spans="1:20" x14ac:dyDescent="0.2">
      <c r="A192">
        <v>725</v>
      </c>
      <c r="B192" s="10">
        <v>39311</v>
      </c>
      <c r="C192" s="10">
        <v>40268</v>
      </c>
      <c r="D192" s="10" t="s">
        <v>539</v>
      </c>
      <c r="F192">
        <v>1305</v>
      </c>
      <c r="G192" s="10">
        <v>40875</v>
      </c>
      <c r="I192">
        <v>2602</v>
      </c>
      <c r="J192">
        <v>0</v>
      </c>
      <c r="K192">
        <v>1</v>
      </c>
      <c r="L192" s="14">
        <f t="shared" si="2"/>
        <v>0</v>
      </c>
      <c r="M192">
        <v>4836</v>
      </c>
      <c r="N192">
        <v>0</v>
      </c>
      <c r="S192">
        <v>5969</v>
      </c>
      <c r="T192">
        <v>0</v>
      </c>
    </row>
    <row r="193" spans="1:20" x14ac:dyDescent="0.2">
      <c r="A193">
        <v>726</v>
      </c>
      <c r="B193" s="10">
        <v>39246</v>
      </c>
      <c r="C193" s="10">
        <v>40574</v>
      </c>
      <c r="D193" s="10" t="s">
        <v>539</v>
      </c>
      <c r="F193">
        <v>1306</v>
      </c>
      <c r="G193" s="10">
        <v>40875</v>
      </c>
      <c r="I193">
        <v>2618</v>
      </c>
      <c r="J193">
        <v>0</v>
      </c>
      <c r="K193">
        <v>1</v>
      </c>
      <c r="L193" s="14">
        <f t="shared" si="2"/>
        <v>0</v>
      </c>
      <c r="M193">
        <v>4845</v>
      </c>
      <c r="N193">
        <v>0</v>
      </c>
      <c r="S193">
        <v>5989</v>
      </c>
      <c r="T193">
        <v>0</v>
      </c>
    </row>
    <row r="194" spans="1:20" x14ac:dyDescent="0.2">
      <c r="A194">
        <v>727</v>
      </c>
      <c r="B194" s="10">
        <v>39246</v>
      </c>
      <c r="C194" s="10">
        <v>40574</v>
      </c>
      <c r="D194" s="10" t="s">
        <v>539</v>
      </c>
      <c r="F194">
        <v>1307</v>
      </c>
      <c r="G194" s="10">
        <v>40875</v>
      </c>
      <c r="I194">
        <v>2620</v>
      </c>
      <c r="J194">
        <v>1</v>
      </c>
      <c r="K194">
        <v>1</v>
      </c>
      <c r="L194" s="14">
        <f t="shared" si="2"/>
        <v>1</v>
      </c>
      <c r="M194">
        <v>4849</v>
      </c>
      <c r="N194">
        <v>0</v>
      </c>
      <c r="S194">
        <v>6032</v>
      </c>
      <c r="T194">
        <v>0</v>
      </c>
    </row>
    <row r="195" spans="1:20" x14ac:dyDescent="0.2">
      <c r="A195">
        <v>728</v>
      </c>
      <c r="B195" s="10">
        <v>39246</v>
      </c>
      <c r="C195" s="10">
        <v>40574</v>
      </c>
      <c r="D195" s="10" t="s">
        <v>539</v>
      </c>
      <c r="F195">
        <v>1308</v>
      </c>
      <c r="G195" s="10">
        <v>40875</v>
      </c>
      <c r="I195">
        <v>2621</v>
      </c>
      <c r="J195">
        <v>1</v>
      </c>
      <c r="K195">
        <v>1</v>
      </c>
      <c r="L195" s="14">
        <f t="shared" si="2"/>
        <v>1</v>
      </c>
      <c r="M195">
        <v>4854</v>
      </c>
      <c r="N195">
        <v>1</v>
      </c>
      <c r="S195">
        <v>6049</v>
      </c>
      <c r="T195">
        <v>0</v>
      </c>
    </row>
    <row r="196" spans="1:20" x14ac:dyDescent="0.2">
      <c r="A196">
        <v>729</v>
      </c>
      <c r="B196" s="10">
        <v>39246</v>
      </c>
      <c r="C196" s="10">
        <v>40574</v>
      </c>
      <c r="D196" s="10" t="s">
        <v>539</v>
      </c>
      <c r="F196">
        <v>1309</v>
      </c>
      <c r="G196" s="10">
        <v>40875</v>
      </c>
      <c r="I196">
        <v>2622</v>
      </c>
      <c r="J196">
        <v>1</v>
      </c>
      <c r="K196">
        <v>1</v>
      </c>
      <c r="L196" s="14">
        <f t="shared" si="2"/>
        <v>1</v>
      </c>
      <c r="M196">
        <v>4856</v>
      </c>
      <c r="N196">
        <v>0</v>
      </c>
      <c r="S196">
        <v>6108</v>
      </c>
      <c r="T196">
        <v>0</v>
      </c>
    </row>
    <row r="197" spans="1:20" x14ac:dyDescent="0.2">
      <c r="A197">
        <v>732</v>
      </c>
      <c r="B197" s="10">
        <v>36526</v>
      </c>
      <c r="C197" s="10">
        <v>40444</v>
      </c>
      <c r="D197" s="10" t="s">
        <v>538</v>
      </c>
      <c r="F197">
        <v>1310</v>
      </c>
      <c r="G197" s="10">
        <v>40875</v>
      </c>
      <c r="I197">
        <v>2627</v>
      </c>
      <c r="J197">
        <v>1</v>
      </c>
      <c r="K197">
        <v>1</v>
      </c>
      <c r="L197" s="14">
        <f t="shared" ref="L197:L260" si="3">J197*K197</f>
        <v>1</v>
      </c>
      <c r="M197">
        <v>4863</v>
      </c>
      <c r="N197">
        <v>0</v>
      </c>
      <c r="S197">
        <v>6109</v>
      </c>
      <c r="T197">
        <v>0</v>
      </c>
    </row>
    <row r="198" spans="1:20" x14ac:dyDescent="0.2">
      <c r="A198">
        <v>733</v>
      </c>
      <c r="B198" s="10">
        <v>36526</v>
      </c>
      <c r="C198" s="10">
        <v>40268</v>
      </c>
      <c r="D198" s="10" t="s">
        <v>538</v>
      </c>
      <c r="F198">
        <v>1311</v>
      </c>
      <c r="G198" s="10">
        <v>40875</v>
      </c>
      <c r="I198">
        <v>2628</v>
      </c>
      <c r="J198">
        <v>0</v>
      </c>
      <c r="K198">
        <v>1</v>
      </c>
      <c r="L198" s="14">
        <f t="shared" si="3"/>
        <v>0</v>
      </c>
      <c r="M198">
        <v>4915</v>
      </c>
      <c r="N198">
        <v>0</v>
      </c>
      <c r="S198">
        <v>6110</v>
      </c>
      <c r="T198">
        <v>0</v>
      </c>
    </row>
    <row r="199" spans="1:20" x14ac:dyDescent="0.2">
      <c r="A199">
        <v>734</v>
      </c>
      <c r="B199" s="10">
        <v>36526</v>
      </c>
      <c r="C199" s="10">
        <v>40268</v>
      </c>
      <c r="D199" s="10" t="s">
        <v>538</v>
      </c>
      <c r="F199">
        <v>1312</v>
      </c>
      <c r="G199" s="10">
        <v>40875</v>
      </c>
      <c r="I199">
        <v>2711</v>
      </c>
      <c r="J199">
        <v>1</v>
      </c>
      <c r="K199">
        <v>2</v>
      </c>
      <c r="L199" s="14">
        <f t="shared" si="3"/>
        <v>2</v>
      </c>
      <c r="M199">
        <v>5241</v>
      </c>
      <c r="N199">
        <v>0</v>
      </c>
      <c r="S199">
        <v>6111</v>
      </c>
      <c r="T199">
        <v>0</v>
      </c>
    </row>
    <row r="200" spans="1:20" x14ac:dyDescent="0.2">
      <c r="A200">
        <v>735</v>
      </c>
      <c r="B200" s="10">
        <v>39304</v>
      </c>
      <c r="C200" s="10">
        <v>40753</v>
      </c>
      <c r="D200" s="10" t="s">
        <v>539</v>
      </c>
      <c r="F200">
        <v>1335</v>
      </c>
      <c r="G200" s="10">
        <v>40875</v>
      </c>
      <c r="I200">
        <v>2718</v>
      </c>
      <c r="J200">
        <v>1</v>
      </c>
      <c r="K200">
        <v>1</v>
      </c>
      <c r="L200" s="14">
        <f t="shared" si="3"/>
        <v>1</v>
      </c>
      <c r="M200">
        <v>5331</v>
      </c>
      <c r="N200">
        <v>0</v>
      </c>
      <c r="S200">
        <v>6137</v>
      </c>
      <c r="T200">
        <v>0</v>
      </c>
    </row>
    <row r="201" spans="1:20" x14ac:dyDescent="0.2">
      <c r="A201">
        <v>736</v>
      </c>
      <c r="B201" s="10">
        <v>39321</v>
      </c>
      <c r="C201" s="10">
        <v>40753</v>
      </c>
      <c r="D201" s="10" t="s">
        <v>539</v>
      </c>
      <c r="F201">
        <v>1336</v>
      </c>
      <c r="G201" s="10">
        <v>40875</v>
      </c>
      <c r="I201">
        <v>2727</v>
      </c>
      <c r="J201">
        <v>1</v>
      </c>
      <c r="K201">
        <v>1</v>
      </c>
      <c r="L201" s="14">
        <f t="shared" si="3"/>
        <v>1</v>
      </c>
      <c r="M201">
        <v>5425</v>
      </c>
      <c r="N201">
        <v>0</v>
      </c>
      <c r="S201">
        <v>6241</v>
      </c>
      <c r="T201">
        <v>0</v>
      </c>
    </row>
    <row r="202" spans="1:20" x14ac:dyDescent="0.2">
      <c r="A202">
        <v>737</v>
      </c>
      <c r="B202" s="10">
        <v>39317</v>
      </c>
      <c r="C202" s="10">
        <v>40512</v>
      </c>
      <c r="D202" s="10" t="s">
        <v>539</v>
      </c>
      <c r="F202">
        <v>1338</v>
      </c>
      <c r="G202" s="10">
        <v>40875</v>
      </c>
      <c r="I202">
        <v>2733</v>
      </c>
      <c r="J202">
        <v>1</v>
      </c>
      <c r="K202">
        <v>2</v>
      </c>
      <c r="L202" s="14">
        <f t="shared" si="3"/>
        <v>2</v>
      </c>
      <c r="M202">
        <v>5584</v>
      </c>
      <c r="N202">
        <v>0</v>
      </c>
      <c r="S202">
        <v>6259</v>
      </c>
      <c r="T202">
        <v>0</v>
      </c>
    </row>
    <row r="203" spans="1:20" x14ac:dyDescent="0.2">
      <c r="A203">
        <v>739</v>
      </c>
      <c r="B203" s="10">
        <v>39321</v>
      </c>
      <c r="C203" s="10">
        <v>40753</v>
      </c>
      <c r="D203" s="10" t="s">
        <v>539</v>
      </c>
      <c r="F203">
        <v>1339</v>
      </c>
      <c r="G203" s="10">
        <v>40875</v>
      </c>
      <c r="I203">
        <v>2765</v>
      </c>
      <c r="J203">
        <v>1</v>
      </c>
      <c r="K203">
        <v>1</v>
      </c>
      <c r="L203" s="14">
        <f t="shared" si="3"/>
        <v>1</v>
      </c>
      <c r="M203">
        <v>5585</v>
      </c>
      <c r="N203">
        <v>0</v>
      </c>
    </row>
    <row r="204" spans="1:20" x14ac:dyDescent="0.2">
      <c r="A204">
        <v>740</v>
      </c>
      <c r="B204" s="10">
        <v>38894</v>
      </c>
      <c r="C204" s="10">
        <v>40512</v>
      </c>
      <c r="D204" s="10" t="s">
        <v>539</v>
      </c>
      <c r="F204">
        <v>1340</v>
      </c>
      <c r="G204" s="10">
        <v>40875</v>
      </c>
      <c r="I204">
        <v>2930</v>
      </c>
      <c r="J204">
        <v>1</v>
      </c>
      <c r="K204">
        <v>1</v>
      </c>
      <c r="L204" s="14">
        <f t="shared" si="3"/>
        <v>1</v>
      </c>
      <c r="M204">
        <v>5589</v>
      </c>
      <c r="N204">
        <v>0</v>
      </c>
    </row>
    <row r="205" spans="1:20" x14ac:dyDescent="0.2">
      <c r="A205">
        <v>741</v>
      </c>
      <c r="B205" s="10">
        <v>39388</v>
      </c>
      <c r="C205" s="10">
        <v>40753</v>
      </c>
      <c r="D205" s="10" t="s">
        <v>539</v>
      </c>
      <c r="F205">
        <v>1341</v>
      </c>
      <c r="G205" s="10">
        <v>40875</v>
      </c>
      <c r="I205">
        <v>2947</v>
      </c>
      <c r="J205">
        <v>0</v>
      </c>
      <c r="K205">
        <v>1</v>
      </c>
      <c r="L205" s="14">
        <f t="shared" si="3"/>
        <v>0</v>
      </c>
      <c r="M205">
        <v>5606</v>
      </c>
      <c r="N205">
        <v>0</v>
      </c>
    </row>
    <row r="206" spans="1:20" x14ac:dyDescent="0.2">
      <c r="A206">
        <v>742</v>
      </c>
      <c r="B206" s="10">
        <v>39436</v>
      </c>
      <c r="C206" s="10">
        <v>40753</v>
      </c>
      <c r="D206" s="10" t="s">
        <v>539</v>
      </c>
      <c r="F206">
        <v>1402</v>
      </c>
      <c r="G206" s="10">
        <v>40875</v>
      </c>
      <c r="I206">
        <v>2948</v>
      </c>
      <c r="J206">
        <v>0</v>
      </c>
      <c r="K206">
        <v>1</v>
      </c>
      <c r="L206" s="14">
        <f t="shared" si="3"/>
        <v>0</v>
      </c>
      <c r="M206">
        <v>5617</v>
      </c>
      <c r="N206">
        <v>0</v>
      </c>
    </row>
    <row r="207" spans="1:20" x14ac:dyDescent="0.2">
      <c r="A207">
        <v>743</v>
      </c>
      <c r="B207" s="10">
        <v>39402</v>
      </c>
      <c r="C207" s="10">
        <v>40512</v>
      </c>
      <c r="D207" s="10" t="s">
        <v>539</v>
      </c>
      <c r="F207">
        <v>1411</v>
      </c>
      <c r="G207" s="10">
        <v>40875</v>
      </c>
      <c r="I207">
        <v>2949</v>
      </c>
      <c r="J207">
        <v>1</v>
      </c>
      <c r="K207">
        <v>1</v>
      </c>
      <c r="L207" s="14">
        <f t="shared" si="3"/>
        <v>1</v>
      </c>
      <c r="M207">
        <v>5618</v>
      </c>
      <c r="N207">
        <v>0</v>
      </c>
    </row>
    <row r="208" spans="1:20" x14ac:dyDescent="0.2">
      <c r="A208">
        <v>746</v>
      </c>
      <c r="B208" s="10">
        <v>39456</v>
      </c>
      <c r="C208" s="10">
        <v>40724</v>
      </c>
      <c r="D208" s="10" t="s">
        <v>539</v>
      </c>
      <c r="F208">
        <v>1441</v>
      </c>
      <c r="G208" s="10">
        <v>40875</v>
      </c>
      <c r="I208">
        <v>2999</v>
      </c>
      <c r="J208">
        <v>0</v>
      </c>
      <c r="K208">
        <v>1</v>
      </c>
      <c r="L208" s="14">
        <f t="shared" si="3"/>
        <v>0</v>
      </c>
      <c r="M208">
        <v>5641</v>
      </c>
      <c r="N208">
        <v>0</v>
      </c>
    </row>
    <row r="209" spans="1:14" x14ac:dyDescent="0.2">
      <c r="A209">
        <v>749</v>
      </c>
      <c r="B209" s="10">
        <v>39527</v>
      </c>
      <c r="C209" s="10">
        <v>40268</v>
      </c>
      <c r="D209" s="10" t="s">
        <v>539</v>
      </c>
      <c r="F209">
        <v>1453</v>
      </c>
      <c r="G209" s="10">
        <v>40875</v>
      </c>
      <c r="I209">
        <v>3008</v>
      </c>
      <c r="J209">
        <v>1</v>
      </c>
      <c r="K209">
        <v>1</v>
      </c>
      <c r="L209" s="14">
        <f t="shared" si="3"/>
        <v>1</v>
      </c>
      <c r="M209">
        <v>5642</v>
      </c>
      <c r="N209">
        <v>0</v>
      </c>
    </row>
    <row r="210" spans="1:14" x14ac:dyDescent="0.2">
      <c r="A210">
        <v>750</v>
      </c>
      <c r="B210" s="10">
        <v>39505</v>
      </c>
      <c r="C210" s="10">
        <v>40574</v>
      </c>
      <c r="D210" s="10" t="s">
        <v>539</v>
      </c>
      <c r="F210">
        <v>1454</v>
      </c>
      <c r="G210" s="10">
        <v>40875</v>
      </c>
      <c r="I210">
        <v>3009</v>
      </c>
      <c r="J210">
        <v>1</v>
      </c>
      <c r="K210">
        <v>1</v>
      </c>
      <c r="L210" s="14">
        <f t="shared" si="3"/>
        <v>1</v>
      </c>
      <c r="M210">
        <v>5647</v>
      </c>
      <c r="N210">
        <v>0</v>
      </c>
    </row>
    <row r="211" spans="1:14" x14ac:dyDescent="0.2">
      <c r="A211">
        <v>751</v>
      </c>
      <c r="B211" s="10">
        <v>39505</v>
      </c>
      <c r="C211" s="10">
        <v>40574</v>
      </c>
      <c r="D211" s="10" t="s">
        <v>539</v>
      </c>
      <c r="F211">
        <v>1455</v>
      </c>
      <c r="G211" s="10">
        <v>40875</v>
      </c>
      <c r="I211">
        <v>3010</v>
      </c>
      <c r="J211">
        <v>1</v>
      </c>
      <c r="K211">
        <v>1</v>
      </c>
      <c r="L211" s="14">
        <f t="shared" si="3"/>
        <v>1</v>
      </c>
      <c r="M211">
        <v>5772</v>
      </c>
      <c r="N211">
        <v>0</v>
      </c>
    </row>
    <row r="212" spans="1:14" x14ac:dyDescent="0.2">
      <c r="A212">
        <v>753</v>
      </c>
      <c r="B212" s="10">
        <v>39533</v>
      </c>
      <c r="C212" s="10">
        <v>40589</v>
      </c>
      <c r="D212" s="10" t="s">
        <v>539</v>
      </c>
      <c r="F212">
        <v>1456</v>
      </c>
      <c r="G212" s="10">
        <v>40875</v>
      </c>
      <c r="I212">
        <v>3059</v>
      </c>
      <c r="J212">
        <v>0</v>
      </c>
      <c r="K212">
        <v>1</v>
      </c>
      <c r="L212" s="14">
        <f t="shared" si="3"/>
        <v>0</v>
      </c>
      <c r="M212">
        <v>5781</v>
      </c>
      <c r="N212">
        <v>0</v>
      </c>
    </row>
    <row r="213" spans="1:14" x14ac:dyDescent="0.2">
      <c r="A213">
        <v>754</v>
      </c>
      <c r="B213" s="10">
        <v>39591</v>
      </c>
      <c r="C213" s="10">
        <v>40268</v>
      </c>
      <c r="D213" s="10" t="s">
        <v>539</v>
      </c>
      <c r="F213">
        <v>1457</v>
      </c>
      <c r="G213" s="10">
        <v>40875</v>
      </c>
      <c r="I213">
        <v>3060</v>
      </c>
      <c r="J213">
        <v>0</v>
      </c>
      <c r="K213">
        <v>1</v>
      </c>
      <c r="L213" s="14">
        <f t="shared" si="3"/>
        <v>0</v>
      </c>
      <c r="M213">
        <v>5787</v>
      </c>
      <c r="N213">
        <v>0</v>
      </c>
    </row>
    <row r="214" spans="1:14" x14ac:dyDescent="0.2">
      <c r="A214">
        <v>755</v>
      </c>
      <c r="B214" s="10">
        <v>39591</v>
      </c>
      <c r="C214" s="10">
        <v>40268</v>
      </c>
      <c r="D214" s="10" t="s">
        <v>539</v>
      </c>
      <c r="F214">
        <v>1764</v>
      </c>
      <c r="G214" s="10">
        <v>40875</v>
      </c>
      <c r="I214">
        <v>3061</v>
      </c>
      <c r="J214">
        <v>0</v>
      </c>
      <c r="K214">
        <v>1</v>
      </c>
      <c r="L214" s="14">
        <f t="shared" si="3"/>
        <v>0</v>
      </c>
      <c r="M214">
        <v>5803</v>
      </c>
      <c r="N214">
        <v>0</v>
      </c>
    </row>
    <row r="215" spans="1:14" x14ac:dyDescent="0.2">
      <c r="A215">
        <v>756</v>
      </c>
      <c r="B215" s="10">
        <v>39594</v>
      </c>
      <c r="C215" s="10">
        <v>40268</v>
      </c>
      <c r="D215" s="10" t="s">
        <v>539</v>
      </c>
      <c r="F215">
        <v>1772</v>
      </c>
      <c r="G215" s="10">
        <v>40875</v>
      </c>
      <c r="I215">
        <v>3077</v>
      </c>
      <c r="J215">
        <v>0</v>
      </c>
      <c r="K215">
        <v>1</v>
      </c>
      <c r="L215" s="14">
        <f t="shared" si="3"/>
        <v>0</v>
      </c>
      <c r="M215">
        <v>5810</v>
      </c>
      <c r="N215">
        <v>0</v>
      </c>
    </row>
    <row r="216" spans="1:14" x14ac:dyDescent="0.2">
      <c r="A216">
        <v>757</v>
      </c>
      <c r="B216" s="10">
        <v>39568</v>
      </c>
      <c r="C216" s="10">
        <v>40268</v>
      </c>
      <c r="D216" s="10" t="s">
        <v>539</v>
      </c>
      <c r="F216">
        <v>1773</v>
      </c>
      <c r="G216" s="10">
        <v>40875</v>
      </c>
      <c r="I216">
        <v>3120</v>
      </c>
      <c r="J216">
        <v>0</v>
      </c>
      <c r="K216">
        <v>1</v>
      </c>
      <c r="L216" s="14">
        <f t="shared" si="3"/>
        <v>0</v>
      </c>
      <c r="M216">
        <v>5818</v>
      </c>
      <c r="N216">
        <v>0</v>
      </c>
    </row>
    <row r="217" spans="1:14" x14ac:dyDescent="0.2">
      <c r="A217">
        <v>758</v>
      </c>
      <c r="B217" s="10">
        <v>39171</v>
      </c>
      <c r="C217" s="10">
        <v>40268</v>
      </c>
      <c r="D217" s="10" t="s">
        <v>539</v>
      </c>
      <c r="F217">
        <v>1774</v>
      </c>
      <c r="G217" s="10">
        <v>40875</v>
      </c>
      <c r="I217">
        <v>3121</v>
      </c>
      <c r="J217">
        <v>0</v>
      </c>
      <c r="K217">
        <v>1</v>
      </c>
      <c r="L217" s="14">
        <f t="shared" si="3"/>
        <v>0</v>
      </c>
      <c r="M217">
        <v>5829</v>
      </c>
      <c r="N217">
        <v>0</v>
      </c>
    </row>
    <row r="218" spans="1:14" x14ac:dyDescent="0.2">
      <c r="A218">
        <v>759</v>
      </c>
      <c r="B218" s="10">
        <v>36526</v>
      </c>
      <c r="C218" s="10">
        <v>40694</v>
      </c>
      <c r="D218" s="10" t="s">
        <v>539</v>
      </c>
      <c r="F218">
        <v>1775</v>
      </c>
      <c r="G218" s="10">
        <v>40875</v>
      </c>
      <c r="I218">
        <v>3122</v>
      </c>
      <c r="J218">
        <v>0</v>
      </c>
      <c r="K218">
        <v>1</v>
      </c>
      <c r="L218" s="14">
        <f t="shared" si="3"/>
        <v>0</v>
      </c>
      <c r="M218">
        <v>5830</v>
      </c>
      <c r="N218">
        <v>0</v>
      </c>
    </row>
    <row r="219" spans="1:14" x14ac:dyDescent="0.2">
      <c r="A219">
        <v>771</v>
      </c>
      <c r="B219" s="10">
        <v>39496</v>
      </c>
      <c r="C219" s="10">
        <v>40840</v>
      </c>
      <c r="D219" s="10" t="s">
        <v>539</v>
      </c>
      <c r="F219">
        <v>1776</v>
      </c>
      <c r="G219" s="10">
        <v>40875</v>
      </c>
      <c r="I219">
        <v>3123</v>
      </c>
      <c r="J219">
        <v>0</v>
      </c>
      <c r="K219">
        <v>1</v>
      </c>
      <c r="L219" s="14">
        <f t="shared" si="3"/>
        <v>0</v>
      </c>
      <c r="M219">
        <v>5831</v>
      </c>
      <c r="N219">
        <v>0</v>
      </c>
    </row>
    <row r="220" spans="1:14" x14ac:dyDescent="0.2">
      <c r="A220">
        <v>772</v>
      </c>
      <c r="B220" s="10">
        <v>36526</v>
      </c>
      <c r="C220" s="10">
        <v>40444</v>
      </c>
      <c r="D220" s="10" t="s">
        <v>538</v>
      </c>
      <c r="F220">
        <v>1789</v>
      </c>
      <c r="G220" s="10">
        <v>40875</v>
      </c>
      <c r="I220">
        <v>3147</v>
      </c>
      <c r="J220">
        <v>0</v>
      </c>
      <c r="K220">
        <v>1</v>
      </c>
      <c r="L220" s="14">
        <f t="shared" si="3"/>
        <v>0</v>
      </c>
      <c r="M220">
        <v>5832</v>
      </c>
      <c r="N220">
        <v>0</v>
      </c>
    </row>
    <row r="221" spans="1:14" x14ac:dyDescent="0.2">
      <c r="A221">
        <v>773</v>
      </c>
      <c r="B221" s="10">
        <v>39688</v>
      </c>
      <c r="C221" s="10">
        <v>40779</v>
      </c>
      <c r="D221" s="10" t="s">
        <v>539</v>
      </c>
      <c r="F221">
        <v>1790</v>
      </c>
      <c r="G221" s="10">
        <v>40875</v>
      </c>
      <c r="I221">
        <v>3148</v>
      </c>
      <c r="J221">
        <v>0</v>
      </c>
      <c r="K221">
        <v>1</v>
      </c>
      <c r="L221" s="14">
        <f t="shared" si="3"/>
        <v>0</v>
      </c>
      <c r="M221">
        <v>5841</v>
      </c>
      <c r="N221">
        <v>0</v>
      </c>
    </row>
    <row r="222" spans="1:14" x14ac:dyDescent="0.2">
      <c r="A222">
        <v>776</v>
      </c>
      <c r="B222" s="10">
        <v>36526</v>
      </c>
      <c r="C222" s="10">
        <v>40268</v>
      </c>
      <c r="D222" s="10" t="s">
        <v>539</v>
      </c>
      <c r="F222">
        <v>1791</v>
      </c>
      <c r="G222" s="10">
        <v>40875</v>
      </c>
      <c r="I222">
        <v>3335</v>
      </c>
      <c r="J222">
        <v>0</v>
      </c>
      <c r="K222">
        <v>1</v>
      </c>
      <c r="L222" s="14">
        <f t="shared" si="3"/>
        <v>0</v>
      </c>
      <c r="M222">
        <v>5842</v>
      </c>
      <c r="N222">
        <v>0</v>
      </c>
    </row>
    <row r="223" spans="1:14" x14ac:dyDescent="0.2">
      <c r="A223">
        <v>777</v>
      </c>
      <c r="B223" s="10">
        <v>36526</v>
      </c>
      <c r="C223" s="10">
        <v>40268</v>
      </c>
      <c r="D223" s="10" t="s">
        <v>538</v>
      </c>
      <c r="F223">
        <v>1792</v>
      </c>
      <c r="G223" s="10">
        <v>40875</v>
      </c>
      <c r="I223">
        <v>3363</v>
      </c>
      <c r="J223">
        <v>0</v>
      </c>
      <c r="K223">
        <v>1</v>
      </c>
      <c r="L223" s="14">
        <f t="shared" si="3"/>
        <v>0</v>
      </c>
      <c r="M223">
        <v>5907</v>
      </c>
      <c r="N223">
        <v>0</v>
      </c>
    </row>
    <row r="224" spans="1:14" x14ac:dyDescent="0.2">
      <c r="A224">
        <v>778</v>
      </c>
      <c r="B224" s="10">
        <v>39079</v>
      </c>
      <c r="C224" s="10">
        <v>40414</v>
      </c>
      <c r="D224" s="10" t="s">
        <v>539</v>
      </c>
      <c r="F224">
        <v>1793</v>
      </c>
      <c r="G224" s="10">
        <v>40875</v>
      </c>
      <c r="I224">
        <v>3417</v>
      </c>
      <c r="J224">
        <v>0</v>
      </c>
      <c r="K224">
        <v>1</v>
      </c>
      <c r="L224" s="14">
        <f t="shared" si="3"/>
        <v>0</v>
      </c>
      <c r="M224">
        <v>5979</v>
      </c>
      <c r="N224">
        <v>0</v>
      </c>
    </row>
    <row r="225" spans="1:14" x14ac:dyDescent="0.2">
      <c r="A225">
        <v>781</v>
      </c>
      <c r="B225" s="10">
        <v>39429</v>
      </c>
      <c r="C225" s="10">
        <v>40396</v>
      </c>
      <c r="D225" s="10" t="s">
        <v>539</v>
      </c>
      <c r="F225">
        <v>1798</v>
      </c>
      <c r="G225" s="10">
        <v>40875</v>
      </c>
      <c r="I225">
        <v>3418</v>
      </c>
      <c r="J225">
        <v>0</v>
      </c>
      <c r="K225">
        <v>1</v>
      </c>
      <c r="L225" s="14">
        <f t="shared" si="3"/>
        <v>0</v>
      </c>
      <c r="M225">
        <v>5980</v>
      </c>
      <c r="N225">
        <v>0</v>
      </c>
    </row>
    <row r="226" spans="1:14" x14ac:dyDescent="0.2">
      <c r="A226">
        <v>782</v>
      </c>
      <c r="B226" s="10">
        <v>39443</v>
      </c>
      <c r="C226" s="10">
        <v>40268</v>
      </c>
      <c r="D226" s="10" t="s">
        <v>539</v>
      </c>
      <c r="F226">
        <v>1802</v>
      </c>
      <c r="G226" s="10">
        <v>40875</v>
      </c>
      <c r="I226">
        <v>3419</v>
      </c>
      <c r="J226">
        <v>0</v>
      </c>
      <c r="K226">
        <v>1</v>
      </c>
      <c r="L226" s="14">
        <f t="shared" si="3"/>
        <v>0</v>
      </c>
      <c r="M226">
        <v>5982</v>
      </c>
      <c r="N226">
        <v>0</v>
      </c>
    </row>
    <row r="227" spans="1:14" x14ac:dyDescent="0.2">
      <c r="A227">
        <v>783</v>
      </c>
      <c r="B227" s="10">
        <v>39471</v>
      </c>
      <c r="C227" s="10">
        <v>40512</v>
      </c>
      <c r="D227" s="10" t="s">
        <v>539</v>
      </c>
      <c r="F227">
        <v>1803</v>
      </c>
      <c r="G227" s="10">
        <v>40875</v>
      </c>
      <c r="I227">
        <v>3442</v>
      </c>
      <c r="J227">
        <v>0</v>
      </c>
      <c r="K227">
        <v>1</v>
      </c>
      <c r="L227" s="14">
        <f t="shared" si="3"/>
        <v>0</v>
      </c>
      <c r="M227">
        <v>6011</v>
      </c>
      <c r="N227">
        <v>0</v>
      </c>
    </row>
    <row r="228" spans="1:14" x14ac:dyDescent="0.2">
      <c r="A228">
        <v>788</v>
      </c>
      <c r="B228" s="10">
        <v>36526</v>
      </c>
      <c r="C228" s="10">
        <v>40268</v>
      </c>
      <c r="D228" s="10" t="s">
        <v>538</v>
      </c>
      <c r="F228">
        <v>1821</v>
      </c>
      <c r="G228" s="10">
        <v>40875</v>
      </c>
      <c r="I228">
        <v>3447</v>
      </c>
      <c r="J228">
        <v>0</v>
      </c>
      <c r="K228">
        <v>1</v>
      </c>
      <c r="L228" s="14">
        <f t="shared" si="3"/>
        <v>0</v>
      </c>
      <c r="M228">
        <v>6012</v>
      </c>
      <c r="N228">
        <v>0</v>
      </c>
    </row>
    <row r="229" spans="1:14" x14ac:dyDescent="0.2">
      <c r="A229">
        <v>789</v>
      </c>
      <c r="B229" s="10">
        <v>36526</v>
      </c>
      <c r="C229" s="10">
        <v>40753</v>
      </c>
      <c r="D229" s="10" t="s">
        <v>538</v>
      </c>
      <c r="F229">
        <v>2033</v>
      </c>
      <c r="G229" s="10">
        <v>40875</v>
      </c>
      <c r="I229">
        <v>3448</v>
      </c>
      <c r="J229">
        <v>0</v>
      </c>
      <c r="K229">
        <v>1</v>
      </c>
      <c r="L229" s="14">
        <f t="shared" si="3"/>
        <v>0</v>
      </c>
      <c r="M229">
        <v>6014</v>
      </c>
      <c r="N229">
        <v>0</v>
      </c>
    </row>
    <row r="230" spans="1:14" x14ac:dyDescent="0.2">
      <c r="A230">
        <v>791</v>
      </c>
      <c r="B230" s="10">
        <v>36526</v>
      </c>
      <c r="C230" s="10">
        <v>40574</v>
      </c>
      <c r="D230" s="10" t="s">
        <v>538</v>
      </c>
      <c r="F230">
        <v>2041</v>
      </c>
      <c r="G230" s="10">
        <v>40875</v>
      </c>
      <c r="I230">
        <v>3465</v>
      </c>
      <c r="J230">
        <v>0</v>
      </c>
      <c r="K230">
        <v>1</v>
      </c>
      <c r="L230" s="14">
        <f t="shared" si="3"/>
        <v>0</v>
      </c>
      <c r="M230">
        <v>6052</v>
      </c>
      <c r="N230">
        <v>0</v>
      </c>
    </row>
    <row r="231" spans="1:14" x14ac:dyDescent="0.2">
      <c r="A231">
        <v>792</v>
      </c>
      <c r="B231" s="10">
        <v>36526</v>
      </c>
      <c r="C231" s="10">
        <v>40268</v>
      </c>
      <c r="D231" s="10" t="s">
        <v>538</v>
      </c>
      <c r="F231">
        <v>2042</v>
      </c>
      <c r="G231" s="10">
        <v>40875</v>
      </c>
      <c r="I231">
        <v>3466</v>
      </c>
      <c r="J231">
        <v>0</v>
      </c>
      <c r="K231">
        <v>1</v>
      </c>
      <c r="L231" s="14">
        <f t="shared" si="3"/>
        <v>0</v>
      </c>
      <c r="M231">
        <v>6070</v>
      </c>
      <c r="N231">
        <v>0</v>
      </c>
    </row>
    <row r="232" spans="1:14" x14ac:dyDescent="0.2">
      <c r="A232">
        <v>793</v>
      </c>
      <c r="B232" s="10">
        <v>36526</v>
      </c>
      <c r="C232" s="10">
        <v>40268</v>
      </c>
      <c r="D232" s="10" t="s">
        <v>538</v>
      </c>
      <c r="F232">
        <v>2043</v>
      </c>
      <c r="G232" s="10">
        <v>40875</v>
      </c>
      <c r="I232">
        <v>3467</v>
      </c>
      <c r="J232">
        <v>0</v>
      </c>
      <c r="K232">
        <v>1</v>
      </c>
      <c r="L232" s="14">
        <f t="shared" si="3"/>
        <v>0</v>
      </c>
      <c r="M232">
        <v>6113</v>
      </c>
      <c r="N232">
        <v>0</v>
      </c>
    </row>
    <row r="233" spans="1:14" x14ac:dyDescent="0.2">
      <c r="A233">
        <v>794</v>
      </c>
      <c r="B233" s="10">
        <v>36526</v>
      </c>
      <c r="C233" s="10">
        <v>40268</v>
      </c>
      <c r="D233" s="10" t="s">
        <v>538</v>
      </c>
      <c r="F233">
        <v>2045</v>
      </c>
      <c r="G233" s="10">
        <v>40700</v>
      </c>
      <c r="I233">
        <v>3477</v>
      </c>
      <c r="J233">
        <v>0</v>
      </c>
      <c r="K233">
        <v>1</v>
      </c>
      <c r="L233" s="14">
        <f t="shared" si="3"/>
        <v>0</v>
      </c>
      <c r="M233">
        <v>6118</v>
      </c>
      <c r="N233">
        <v>0</v>
      </c>
    </row>
    <row r="234" spans="1:14" x14ac:dyDescent="0.2">
      <c r="A234">
        <v>795</v>
      </c>
      <c r="B234" s="10">
        <v>36526</v>
      </c>
      <c r="C234" s="10">
        <v>40268</v>
      </c>
      <c r="D234" s="10" t="s">
        <v>538</v>
      </c>
      <c r="F234">
        <v>2072</v>
      </c>
      <c r="G234" s="10">
        <v>40875</v>
      </c>
      <c r="I234">
        <v>3478</v>
      </c>
      <c r="J234">
        <v>0</v>
      </c>
      <c r="K234">
        <v>1</v>
      </c>
      <c r="L234" s="14">
        <f t="shared" si="3"/>
        <v>0</v>
      </c>
      <c r="M234">
        <v>6119</v>
      </c>
      <c r="N234">
        <v>0</v>
      </c>
    </row>
    <row r="235" spans="1:14" x14ac:dyDescent="0.2">
      <c r="A235">
        <v>798</v>
      </c>
      <c r="B235" s="10">
        <v>36526</v>
      </c>
      <c r="C235" s="10">
        <v>40444</v>
      </c>
      <c r="D235" s="10" t="s">
        <v>538</v>
      </c>
      <c r="F235">
        <v>2075</v>
      </c>
      <c r="G235" s="10">
        <v>40875</v>
      </c>
      <c r="I235">
        <v>3479</v>
      </c>
      <c r="J235">
        <v>0</v>
      </c>
      <c r="K235">
        <v>1</v>
      </c>
      <c r="L235" s="14">
        <f t="shared" si="3"/>
        <v>0</v>
      </c>
      <c r="M235">
        <v>6129</v>
      </c>
      <c r="N235">
        <v>0</v>
      </c>
    </row>
    <row r="236" spans="1:14" x14ac:dyDescent="0.2">
      <c r="A236">
        <v>799</v>
      </c>
      <c r="B236" s="10">
        <v>36526</v>
      </c>
      <c r="C236" s="10">
        <v>40268</v>
      </c>
      <c r="D236" s="10" t="s">
        <v>538</v>
      </c>
      <c r="F236">
        <v>2088</v>
      </c>
      <c r="G236" s="10">
        <v>40875</v>
      </c>
      <c r="I236">
        <v>3480</v>
      </c>
      <c r="J236">
        <v>0</v>
      </c>
      <c r="K236">
        <v>1</v>
      </c>
      <c r="L236" s="14">
        <f t="shared" si="3"/>
        <v>0</v>
      </c>
      <c r="M236">
        <v>6130</v>
      </c>
      <c r="N236">
        <v>0</v>
      </c>
    </row>
    <row r="237" spans="1:14" x14ac:dyDescent="0.2">
      <c r="A237">
        <v>801</v>
      </c>
      <c r="B237" s="10">
        <v>36526</v>
      </c>
      <c r="C237" s="10">
        <v>40694</v>
      </c>
      <c r="D237" s="10" t="s">
        <v>538</v>
      </c>
      <c r="F237">
        <v>2089</v>
      </c>
      <c r="G237" s="10">
        <v>40875</v>
      </c>
      <c r="I237">
        <v>3481</v>
      </c>
      <c r="J237">
        <v>0</v>
      </c>
      <c r="K237">
        <v>1</v>
      </c>
      <c r="L237" s="14">
        <f t="shared" si="3"/>
        <v>0</v>
      </c>
      <c r="M237">
        <v>6135</v>
      </c>
      <c r="N237">
        <v>0</v>
      </c>
    </row>
    <row r="238" spans="1:14" x14ac:dyDescent="0.2">
      <c r="A238">
        <v>802</v>
      </c>
      <c r="B238" s="10">
        <v>36526</v>
      </c>
      <c r="C238" s="10">
        <v>40268</v>
      </c>
      <c r="D238" s="10" t="s">
        <v>538</v>
      </c>
      <c r="F238">
        <v>2090</v>
      </c>
      <c r="G238" s="10">
        <v>40875</v>
      </c>
      <c r="I238">
        <v>3482</v>
      </c>
      <c r="J238">
        <v>0</v>
      </c>
      <c r="K238">
        <v>1</v>
      </c>
      <c r="L238" s="14">
        <f t="shared" si="3"/>
        <v>0</v>
      </c>
      <c r="M238">
        <v>6142</v>
      </c>
      <c r="N238">
        <v>0</v>
      </c>
    </row>
    <row r="239" spans="1:14" x14ac:dyDescent="0.2">
      <c r="A239">
        <v>803</v>
      </c>
      <c r="B239" s="10">
        <v>36526</v>
      </c>
      <c r="C239" s="10">
        <v>40268</v>
      </c>
      <c r="D239" s="10" t="s">
        <v>538</v>
      </c>
      <c r="F239">
        <v>2091</v>
      </c>
      <c r="G239" s="10">
        <v>40875</v>
      </c>
      <c r="I239">
        <v>3489</v>
      </c>
      <c r="J239">
        <v>0</v>
      </c>
      <c r="K239">
        <v>1</v>
      </c>
      <c r="L239" s="14">
        <f t="shared" si="3"/>
        <v>0</v>
      </c>
      <c r="M239">
        <v>6149</v>
      </c>
      <c r="N239">
        <v>0</v>
      </c>
    </row>
    <row r="240" spans="1:14" x14ac:dyDescent="0.2">
      <c r="A240">
        <v>804</v>
      </c>
      <c r="B240" s="10">
        <v>36526</v>
      </c>
      <c r="C240" s="10">
        <v>40268</v>
      </c>
      <c r="D240" s="10" t="s">
        <v>538</v>
      </c>
      <c r="F240">
        <v>2092</v>
      </c>
      <c r="G240" s="10">
        <v>40875</v>
      </c>
      <c r="I240">
        <v>3514</v>
      </c>
      <c r="J240">
        <v>0</v>
      </c>
      <c r="K240">
        <v>1</v>
      </c>
      <c r="L240" s="14">
        <f t="shared" si="3"/>
        <v>0</v>
      </c>
      <c r="M240">
        <v>6151</v>
      </c>
      <c r="N240">
        <v>0</v>
      </c>
    </row>
    <row r="241" spans="1:14" x14ac:dyDescent="0.2">
      <c r="A241">
        <v>805</v>
      </c>
      <c r="B241" s="10">
        <v>36526</v>
      </c>
      <c r="C241" s="10">
        <v>40268</v>
      </c>
      <c r="D241" s="10" t="s">
        <v>538</v>
      </c>
      <c r="F241">
        <v>2093</v>
      </c>
      <c r="G241" s="10">
        <v>40875</v>
      </c>
      <c r="I241">
        <v>3519</v>
      </c>
      <c r="J241">
        <v>0</v>
      </c>
      <c r="K241">
        <v>1</v>
      </c>
      <c r="L241" s="14">
        <f t="shared" si="3"/>
        <v>0</v>
      </c>
      <c r="M241">
        <v>6155</v>
      </c>
      <c r="N241">
        <v>0</v>
      </c>
    </row>
    <row r="242" spans="1:14" x14ac:dyDescent="0.2">
      <c r="A242">
        <v>806</v>
      </c>
      <c r="B242" s="10">
        <v>36526</v>
      </c>
      <c r="C242" s="10">
        <v>40268</v>
      </c>
      <c r="D242" s="10" t="s">
        <v>538</v>
      </c>
      <c r="F242">
        <v>2094</v>
      </c>
      <c r="G242" s="10">
        <v>40875</v>
      </c>
      <c r="I242">
        <v>3520</v>
      </c>
      <c r="J242">
        <v>0</v>
      </c>
      <c r="K242">
        <v>1</v>
      </c>
      <c r="L242" s="14">
        <f t="shared" si="3"/>
        <v>0</v>
      </c>
      <c r="M242">
        <v>6157</v>
      </c>
      <c r="N242">
        <v>0</v>
      </c>
    </row>
    <row r="243" spans="1:14" x14ac:dyDescent="0.2">
      <c r="A243">
        <v>807</v>
      </c>
      <c r="B243" s="10">
        <v>36526</v>
      </c>
      <c r="C243" s="10">
        <v>40268</v>
      </c>
      <c r="D243" s="10" t="s">
        <v>538</v>
      </c>
      <c r="F243">
        <v>2095</v>
      </c>
      <c r="G243" s="10">
        <v>40875</v>
      </c>
      <c r="I243">
        <v>3521</v>
      </c>
      <c r="J243">
        <v>0</v>
      </c>
      <c r="K243">
        <v>1</v>
      </c>
      <c r="L243" s="14">
        <f t="shared" si="3"/>
        <v>0</v>
      </c>
      <c r="M243">
        <v>6162</v>
      </c>
      <c r="N243">
        <v>0</v>
      </c>
    </row>
    <row r="244" spans="1:14" x14ac:dyDescent="0.2">
      <c r="A244">
        <v>808</v>
      </c>
      <c r="B244" s="10">
        <v>36526</v>
      </c>
      <c r="C244" s="10">
        <v>40816</v>
      </c>
      <c r="D244" s="10" t="s">
        <v>538</v>
      </c>
      <c r="F244">
        <v>2096</v>
      </c>
      <c r="G244" s="10">
        <v>40875</v>
      </c>
      <c r="I244">
        <v>3522</v>
      </c>
      <c r="J244">
        <v>0</v>
      </c>
      <c r="K244">
        <v>1</v>
      </c>
      <c r="L244" s="14">
        <f t="shared" si="3"/>
        <v>0</v>
      </c>
      <c r="M244">
        <v>6163</v>
      </c>
      <c r="N244">
        <v>0</v>
      </c>
    </row>
    <row r="245" spans="1:14" x14ac:dyDescent="0.2">
      <c r="A245">
        <v>811</v>
      </c>
      <c r="B245" s="10">
        <v>36526</v>
      </c>
      <c r="C245" s="10">
        <v>40268</v>
      </c>
      <c r="D245" s="10" t="s">
        <v>538</v>
      </c>
      <c r="F245">
        <v>2097</v>
      </c>
      <c r="G245" s="10">
        <v>40875</v>
      </c>
      <c r="I245">
        <v>3533</v>
      </c>
      <c r="J245">
        <v>0</v>
      </c>
      <c r="K245">
        <v>1</v>
      </c>
      <c r="L245" s="14">
        <f t="shared" si="3"/>
        <v>0</v>
      </c>
      <c r="M245">
        <v>6165</v>
      </c>
      <c r="N245">
        <v>0</v>
      </c>
    </row>
    <row r="246" spans="1:14" x14ac:dyDescent="0.2">
      <c r="A246">
        <v>812</v>
      </c>
      <c r="B246" s="10">
        <v>36526</v>
      </c>
      <c r="C246" s="10">
        <v>40268</v>
      </c>
      <c r="D246" s="10" t="s">
        <v>538</v>
      </c>
      <c r="F246">
        <v>2102</v>
      </c>
      <c r="G246" s="10">
        <v>40875</v>
      </c>
      <c r="I246">
        <v>3585</v>
      </c>
      <c r="J246">
        <v>0</v>
      </c>
      <c r="K246">
        <v>1</v>
      </c>
      <c r="L246" s="14">
        <f t="shared" si="3"/>
        <v>0</v>
      </c>
      <c r="M246">
        <v>6166</v>
      </c>
      <c r="N246">
        <v>0</v>
      </c>
    </row>
    <row r="247" spans="1:14" x14ac:dyDescent="0.2">
      <c r="A247">
        <v>813</v>
      </c>
      <c r="B247" s="10">
        <v>36526</v>
      </c>
      <c r="C247" s="10">
        <v>40473</v>
      </c>
      <c r="D247" s="10" t="s">
        <v>538</v>
      </c>
      <c r="F247">
        <v>2103</v>
      </c>
      <c r="G247" s="10">
        <v>40875</v>
      </c>
      <c r="I247">
        <v>3586</v>
      </c>
      <c r="J247">
        <v>0</v>
      </c>
      <c r="K247">
        <v>1</v>
      </c>
      <c r="L247" s="14">
        <f t="shared" si="3"/>
        <v>0</v>
      </c>
      <c r="M247">
        <v>6182</v>
      </c>
      <c r="N247">
        <v>0</v>
      </c>
    </row>
    <row r="248" spans="1:14" x14ac:dyDescent="0.2">
      <c r="A248">
        <v>814</v>
      </c>
      <c r="B248" s="10">
        <v>36526</v>
      </c>
      <c r="C248" s="10">
        <v>40268</v>
      </c>
      <c r="D248" s="10" t="s">
        <v>538</v>
      </c>
      <c r="F248">
        <v>2104</v>
      </c>
      <c r="G248" s="10">
        <v>40875</v>
      </c>
      <c r="I248">
        <v>3587</v>
      </c>
      <c r="J248">
        <v>0</v>
      </c>
      <c r="K248">
        <v>1</v>
      </c>
      <c r="L248" s="14">
        <f t="shared" si="3"/>
        <v>0</v>
      </c>
      <c r="M248">
        <v>6196</v>
      </c>
      <c r="N248">
        <v>0</v>
      </c>
    </row>
    <row r="249" spans="1:14" x14ac:dyDescent="0.2">
      <c r="A249">
        <v>815</v>
      </c>
      <c r="B249" s="10">
        <v>36526</v>
      </c>
      <c r="C249" s="10">
        <v>40268</v>
      </c>
      <c r="D249" s="10" t="s">
        <v>538</v>
      </c>
      <c r="F249">
        <v>2105</v>
      </c>
      <c r="G249" s="10">
        <v>40875</v>
      </c>
      <c r="I249">
        <v>3607</v>
      </c>
      <c r="J249">
        <v>0</v>
      </c>
      <c r="K249">
        <v>1</v>
      </c>
      <c r="L249" s="14">
        <f t="shared" si="3"/>
        <v>0</v>
      </c>
      <c r="M249">
        <v>6197</v>
      </c>
      <c r="N249">
        <v>0</v>
      </c>
    </row>
    <row r="250" spans="1:14" x14ac:dyDescent="0.2">
      <c r="A250">
        <v>816</v>
      </c>
      <c r="B250" s="10">
        <v>36526</v>
      </c>
      <c r="C250" s="10">
        <v>40268</v>
      </c>
      <c r="D250" s="10" t="s">
        <v>538</v>
      </c>
      <c r="F250">
        <v>2106</v>
      </c>
      <c r="G250" s="10">
        <v>40875</v>
      </c>
      <c r="I250">
        <v>3663</v>
      </c>
      <c r="J250">
        <v>0</v>
      </c>
      <c r="K250">
        <v>1</v>
      </c>
      <c r="L250" s="14">
        <f t="shared" si="3"/>
        <v>0</v>
      </c>
      <c r="M250">
        <v>6221</v>
      </c>
      <c r="N250">
        <v>0</v>
      </c>
    </row>
    <row r="251" spans="1:14" x14ac:dyDescent="0.2">
      <c r="A251">
        <v>818</v>
      </c>
      <c r="B251" s="10">
        <v>36526</v>
      </c>
      <c r="C251" s="10">
        <v>40268</v>
      </c>
      <c r="D251" s="10" t="s">
        <v>538</v>
      </c>
      <c r="F251">
        <v>2109</v>
      </c>
      <c r="G251" s="10">
        <v>40875</v>
      </c>
      <c r="I251">
        <v>3696</v>
      </c>
      <c r="J251">
        <v>0</v>
      </c>
      <c r="K251">
        <v>1</v>
      </c>
      <c r="L251" s="14">
        <f t="shared" si="3"/>
        <v>0</v>
      </c>
      <c r="M251">
        <v>6222</v>
      </c>
      <c r="N251">
        <v>0</v>
      </c>
    </row>
    <row r="252" spans="1:14" x14ac:dyDescent="0.2">
      <c r="A252">
        <v>819</v>
      </c>
      <c r="B252" s="10">
        <v>36526</v>
      </c>
      <c r="C252" s="10">
        <v>40444</v>
      </c>
      <c r="D252" s="10" t="s">
        <v>538</v>
      </c>
      <c r="F252">
        <v>2130</v>
      </c>
      <c r="G252" s="10">
        <v>40875</v>
      </c>
      <c r="I252">
        <v>3700</v>
      </c>
      <c r="J252">
        <v>0</v>
      </c>
      <c r="K252">
        <v>1</v>
      </c>
      <c r="L252" s="14">
        <f t="shared" si="3"/>
        <v>0</v>
      </c>
      <c r="M252">
        <v>6226</v>
      </c>
      <c r="N252">
        <v>0</v>
      </c>
    </row>
    <row r="253" spans="1:14" x14ac:dyDescent="0.2">
      <c r="A253">
        <v>820</v>
      </c>
      <c r="B253" s="10">
        <v>36526</v>
      </c>
      <c r="C253" s="10">
        <v>40602</v>
      </c>
      <c r="D253" s="10" t="s">
        <v>538</v>
      </c>
      <c r="F253">
        <v>2131</v>
      </c>
      <c r="G253" s="10">
        <v>40875</v>
      </c>
      <c r="I253">
        <v>3701</v>
      </c>
      <c r="J253">
        <v>0</v>
      </c>
      <c r="K253">
        <v>1</v>
      </c>
      <c r="L253" s="14">
        <f t="shared" si="3"/>
        <v>0</v>
      </c>
      <c r="M253">
        <v>6234</v>
      </c>
      <c r="N253">
        <v>0</v>
      </c>
    </row>
    <row r="254" spans="1:14" x14ac:dyDescent="0.2">
      <c r="A254">
        <v>828</v>
      </c>
      <c r="B254" s="10">
        <v>36526</v>
      </c>
      <c r="C254" s="10">
        <v>40268</v>
      </c>
      <c r="D254" s="10" t="s">
        <v>538</v>
      </c>
      <c r="F254">
        <v>2143</v>
      </c>
      <c r="G254" s="10">
        <v>40875</v>
      </c>
      <c r="I254">
        <v>3806</v>
      </c>
      <c r="J254">
        <v>0</v>
      </c>
      <c r="K254">
        <v>1</v>
      </c>
      <c r="L254" s="14">
        <f t="shared" si="3"/>
        <v>0</v>
      </c>
      <c r="M254">
        <v>6243</v>
      </c>
      <c r="N254">
        <v>0</v>
      </c>
    </row>
    <row r="255" spans="1:14" x14ac:dyDescent="0.2">
      <c r="A255">
        <v>830</v>
      </c>
      <c r="B255" s="10">
        <v>36526</v>
      </c>
      <c r="C255" s="10">
        <v>40291</v>
      </c>
      <c r="D255" s="10" t="s">
        <v>538</v>
      </c>
      <c r="F255">
        <v>2144</v>
      </c>
      <c r="G255" s="10">
        <v>40875</v>
      </c>
      <c r="I255">
        <v>3807</v>
      </c>
      <c r="J255">
        <v>0</v>
      </c>
      <c r="K255">
        <v>1</v>
      </c>
      <c r="L255" s="14">
        <f t="shared" si="3"/>
        <v>0</v>
      </c>
      <c r="M255">
        <v>6244</v>
      </c>
      <c r="N255">
        <v>0</v>
      </c>
    </row>
    <row r="256" spans="1:14" x14ac:dyDescent="0.2">
      <c r="A256">
        <v>831</v>
      </c>
      <c r="B256" s="10">
        <v>36526</v>
      </c>
      <c r="C256" s="10">
        <v>40414</v>
      </c>
      <c r="D256" s="10" t="s">
        <v>538</v>
      </c>
      <c r="F256">
        <v>2145</v>
      </c>
      <c r="G256" s="10">
        <v>40875</v>
      </c>
      <c r="I256">
        <v>3824</v>
      </c>
      <c r="J256">
        <v>1</v>
      </c>
      <c r="K256">
        <v>1</v>
      </c>
      <c r="L256" s="14">
        <f t="shared" si="3"/>
        <v>1</v>
      </c>
      <c r="M256">
        <v>6254</v>
      </c>
      <c r="N256">
        <v>0</v>
      </c>
    </row>
    <row r="257" spans="1:14" x14ac:dyDescent="0.2">
      <c r="A257">
        <v>835</v>
      </c>
      <c r="B257" s="10">
        <v>36526</v>
      </c>
      <c r="C257" s="10">
        <v>40512</v>
      </c>
      <c r="D257" s="10" t="s">
        <v>538</v>
      </c>
      <c r="F257">
        <v>2149</v>
      </c>
      <c r="G257" s="10">
        <v>40875</v>
      </c>
      <c r="I257">
        <v>3919</v>
      </c>
      <c r="J257">
        <v>0</v>
      </c>
      <c r="K257">
        <v>1</v>
      </c>
      <c r="L257" s="14">
        <f t="shared" si="3"/>
        <v>0</v>
      </c>
      <c r="M257">
        <v>6279</v>
      </c>
      <c r="N257">
        <v>0</v>
      </c>
    </row>
    <row r="258" spans="1:14" x14ac:dyDescent="0.2">
      <c r="A258">
        <v>836</v>
      </c>
      <c r="B258" s="10">
        <v>219148</v>
      </c>
      <c r="C258" s="10">
        <v>40539</v>
      </c>
      <c r="D258" s="10" t="s">
        <v>538</v>
      </c>
      <c r="F258">
        <v>2150</v>
      </c>
      <c r="G258" s="10">
        <v>40875</v>
      </c>
      <c r="I258">
        <v>3920</v>
      </c>
      <c r="J258">
        <v>1</v>
      </c>
      <c r="K258">
        <v>2</v>
      </c>
      <c r="L258" s="14">
        <f t="shared" si="3"/>
        <v>2</v>
      </c>
      <c r="M258">
        <v>6285</v>
      </c>
      <c r="N258">
        <v>0</v>
      </c>
    </row>
    <row r="259" spans="1:14" x14ac:dyDescent="0.2">
      <c r="A259">
        <v>837</v>
      </c>
      <c r="B259" s="10">
        <v>36526</v>
      </c>
      <c r="C259" s="10">
        <v>40539</v>
      </c>
      <c r="D259" s="10" t="s">
        <v>538</v>
      </c>
      <c r="F259">
        <v>2151</v>
      </c>
      <c r="G259" s="10">
        <v>40875</v>
      </c>
      <c r="I259">
        <v>3921</v>
      </c>
      <c r="J259">
        <v>1</v>
      </c>
      <c r="K259">
        <v>2</v>
      </c>
      <c r="L259" s="14">
        <f t="shared" si="3"/>
        <v>2</v>
      </c>
      <c r="M259">
        <v>6299</v>
      </c>
      <c r="N259">
        <v>0</v>
      </c>
    </row>
    <row r="260" spans="1:14" x14ac:dyDescent="0.2">
      <c r="A260">
        <v>838</v>
      </c>
      <c r="B260" s="10">
        <v>36526</v>
      </c>
      <c r="C260" s="10">
        <v>40539</v>
      </c>
      <c r="D260" s="10" t="s">
        <v>538</v>
      </c>
      <c r="F260">
        <v>2152</v>
      </c>
      <c r="G260" s="10">
        <v>40875</v>
      </c>
      <c r="I260">
        <v>3923</v>
      </c>
      <c r="J260">
        <v>0</v>
      </c>
      <c r="K260">
        <v>1</v>
      </c>
      <c r="L260" s="14">
        <f t="shared" si="3"/>
        <v>0</v>
      </c>
      <c r="M260">
        <v>6301</v>
      </c>
      <c r="N260">
        <v>0</v>
      </c>
    </row>
    <row r="261" spans="1:14" x14ac:dyDescent="0.2">
      <c r="A261">
        <v>839</v>
      </c>
      <c r="B261" s="10">
        <v>36526</v>
      </c>
      <c r="C261" s="10">
        <v>40539</v>
      </c>
      <c r="D261" s="10" t="s">
        <v>538</v>
      </c>
      <c r="F261">
        <v>2153</v>
      </c>
      <c r="G261" s="10">
        <v>40875</v>
      </c>
      <c r="I261">
        <v>3924</v>
      </c>
      <c r="J261">
        <v>0</v>
      </c>
      <c r="K261">
        <v>1</v>
      </c>
      <c r="L261" s="14">
        <f t="shared" ref="L261:L324" si="4">J261*K261</f>
        <v>0</v>
      </c>
      <c r="M261">
        <v>6302</v>
      </c>
      <c r="N261">
        <v>0</v>
      </c>
    </row>
    <row r="262" spans="1:14" x14ac:dyDescent="0.2">
      <c r="A262">
        <v>840</v>
      </c>
      <c r="B262" s="10">
        <v>36526</v>
      </c>
      <c r="C262" s="10">
        <v>40662</v>
      </c>
      <c r="D262" s="10" t="s">
        <v>538</v>
      </c>
      <c r="F262">
        <v>2154</v>
      </c>
      <c r="G262" s="10">
        <v>40875</v>
      </c>
      <c r="I262">
        <v>3925</v>
      </c>
      <c r="J262">
        <v>0</v>
      </c>
      <c r="K262">
        <v>1</v>
      </c>
      <c r="L262" s="14">
        <f t="shared" si="4"/>
        <v>0</v>
      </c>
      <c r="M262">
        <v>6305</v>
      </c>
      <c r="N262">
        <v>0</v>
      </c>
    </row>
    <row r="263" spans="1:14" x14ac:dyDescent="0.2">
      <c r="A263">
        <v>865</v>
      </c>
      <c r="B263" s="10">
        <v>36526</v>
      </c>
      <c r="C263" s="10">
        <v>40268</v>
      </c>
      <c r="D263" s="10" t="s">
        <v>538</v>
      </c>
      <c r="F263">
        <v>2155</v>
      </c>
      <c r="G263" s="10">
        <v>40875</v>
      </c>
      <c r="I263">
        <v>3926</v>
      </c>
      <c r="J263">
        <v>0</v>
      </c>
      <c r="K263">
        <v>1</v>
      </c>
      <c r="L263" s="14">
        <f t="shared" si="4"/>
        <v>0</v>
      </c>
      <c r="M263">
        <v>6307</v>
      </c>
      <c r="N263">
        <v>0</v>
      </c>
    </row>
    <row r="264" spans="1:14" x14ac:dyDescent="0.2">
      <c r="A264">
        <v>891</v>
      </c>
      <c r="B264" s="10">
        <v>36526</v>
      </c>
      <c r="C264" s="10">
        <v>40779</v>
      </c>
      <c r="D264" s="10" t="s">
        <v>538</v>
      </c>
      <c r="F264">
        <v>2156</v>
      </c>
      <c r="G264" s="10">
        <v>40875</v>
      </c>
      <c r="I264">
        <v>3948</v>
      </c>
      <c r="J264">
        <v>0</v>
      </c>
      <c r="K264">
        <v>1</v>
      </c>
      <c r="L264" s="14">
        <f t="shared" si="4"/>
        <v>0</v>
      </c>
      <c r="M264">
        <v>6308</v>
      </c>
      <c r="N264">
        <v>0</v>
      </c>
    </row>
    <row r="265" spans="1:14" x14ac:dyDescent="0.2">
      <c r="A265">
        <v>893</v>
      </c>
      <c r="B265" s="10">
        <v>36526</v>
      </c>
      <c r="C265" s="10">
        <v>40268</v>
      </c>
      <c r="D265" s="10" t="s">
        <v>267</v>
      </c>
      <c r="F265">
        <v>2157</v>
      </c>
      <c r="G265" s="10">
        <v>40875</v>
      </c>
      <c r="I265">
        <v>3949</v>
      </c>
      <c r="J265">
        <v>0</v>
      </c>
      <c r="K265">
        <v>1</v>
      </c>
      <c r="L265" s="14">
        <f t="shared" si="4"/>
        <v>0</v>
      </c>
      <c r="M265">
        <v>6330</v>
      </c>
      <c r="N265">
        <v>0</v>
      </c>
    </row>
    <row r="266" spans="1:14" x14ac:dyDescent="0.2">
      <c r="A266">
        <v>894</v>
      </c>
      <c r="B266" s="10">
        <v>36526</v>
      </c>
      <c r="C266" s="10">
        <v>40543</v>
      </c>
      <c r="D266" s="10" t="s">
        <v>538</v>
      </c>
      <c r="F266">
        <v>2159</v>
      </c>
      <c r="G266" s="10">
        <v>40875</v>
      </c>
      <c r="I266">
        <v>3950</v>
      </c>
      <c r="J266">
        <v>1</v>
      </c>
      <c r="K266">
        <v>2</v>
      </c>
      <c r="L266" s="14">
        <f t="shared" si="4"/>
        <v>2</v>
      </c>
      <c r="M266">
        <v>6331</v>
      </c>
      <c r="N266">
        <v>0</v>
      </c>
    </row>
    <row r="267" spans="1:14" x14ac:dyDescent="0.2">
      <c r="A267">
        <v>895</v>
      </c>
      <c r="B267" s="10">
        <v>36526</v>
      </c>
      <c r="C267" s="10">
        <v>40268</v>
      </c>
      <c r="D267" s="10" t="s">
        <v>538</v>
      </c>
      <c r="F267">
        <v>2160</v>
      </c>
      <c r="G267" s="10">
        <v>40875</v>
      </c>
      <c r="I267">
        <v>3951</v>
      </c>
      <c r="J267">
        <v>1</v>
      </c>
      <c r="K267">
        <v>2</v>
      </c>
      <c r="L267" s="14">
        <f t="shared" si="4"/>
        <v>2</v>
      </c>
      <c r="M267">
        <v>6332</v>
      </c>
      <c r="N267">
        <v>0</v>
      </c>
    </row>
    <row r="268" spans="1:14" x14ac:dyDescent="0.2">
      <c r="A268">
        <v>905</v>
      </c>
      <c r="B268" s="10">
        <v>36526</v>
      </c>
      <c r="C268" s="10">
        <v>40268</v>
      </c>
      <c r="D268" s="10" t="s">
        <v>538</v>
      </c>
      <c r="F268">
        <v>2161</v>
      </c>
      <c r="G268" s="10">
        <v>40875</v>
      </c>
      <c r="I268">
        <v>3965</v>
      </c>
      <c r="J268">
        <v>0</v>
      </c>
      <c r="K268">
        <v>1</v>
      </c>
      <c r="L268" s="14">
        <f t="shared" si="4"/>
        <v>0</v>
      </c>
      <c r="M268">
        <v>6338</v>
      </c>
      <c r="N268">
        <v>0</v>
      </c>
    </row>
    <row r="269" spans="1:14" x14ac:dyDescent="0.2">
      <c r="A269">
        <v>909</v>
      </c>
      <c r="B269" s="10">
        <v>36526</v>
      </c>
      <c r="C269" s="10">
        <v>40785</v>
      </c>
      <c r="D269" s="10" t="s">
        <v>539</v>
      </c>
      <c r="F269">
        <v>2163</v>
      </c>
      <c r="G269" s="10">
        <v>40875</v>
      </c>
      <c r="I269">
        <v>3966</v>
      </c>
      <c r="J269">
        <v>0</v>
      </c>
      <c r="K269">
        <v>1</v>
      </c>
      <c r="L269" s="14">
        <f t="shared" si="4"/>
        <v>0</v>
      </c>
      <c r="M269">
        <v>6343</v>
      </c>
      <c r="N269">
        <v>0</v>
      </c>
    </row>
    <row r="270" spans="1:14" x14ac:dyDescent="0.2">
      <c r="A270">
        <v>912</v>
      </c>
      <c r="B270" s="10">
        <v>36526</v>
      </c>
      <c r="C270" s="10">
        <v>40863</v>
      </c>
      <c r="D270" s="10" t="s">
        <v>268</v>
      </c>
      <c r="F270">
        <v>2173</v>
      </c>
      <c r="G270" s="10">
        <v>40875</v>
      </c>
      <c r="I270">
        <v>3989</v>
      </c>
      <c r="J270">
        <v>1</v>
      </c>
      <c r="K270">
        <v>2</v>
      </c>
      <c r="L270" s="14">
        <f t="shared" si="4"/>
        <v>2</v>
      </c>
      <c r="M270">
        <v>6344</v>
      </c>
      <c r="N270">
        <v>0</v>
      </c>
    </row>
    <row r="271" spans="1:14" x14ac:dyDescent="0.2">
      <c r="A271">
        <v>916</v>
      </c>
      <c r="B271" s="10">
        <v>36526</v>
      </c>
      <c r="C271" s="10">
        <v>40604</v>
      </c>
      <c r="D271" s="10" t="s">
        <v>205</v>
      </c>
      <c r="F271">
        <v>2190</v>
      </c>
      <c r="G271" s="10">
        <v>40862</v>
      </c>
      <c r="I271">
        <v>3990</v>
      </c>
      <c r="J271">
        <v>1</v>
      </c>
      <c r="K271">
        <v>2</v>
      </c>
      <c r="L271" s="14">
        <f t="shared" si="4"/>
        <v>2</v>
      </c>
      <c r="M271">
        <v>6353</v>
      </c>
      <c r="N271">
        <v>0</v>
      </c>
    </row>
    <row r="272" spans="1:14" x14ac:dyDescent="0.2">
      <c r="A272">
        <v>919</v>
      </c>
      <c r="B272" s="10">
        <v>36526</v>
      </c>
      <c r="C272" s="10">
        <v>40694</v>
      </c>
      <c r="D272" s="10" t="s">
        <v>205</v>
      </c>
      <c r="F272">
        <v>2215</v>
      </c>
      <c r="G272" s="10">
        <v>40875</v>
      </c>
      <c r="I272">
        <v>4019</v>
      </c>
      <c r="J272">
        <v>0</v>
      </c>
      <c r="K272">
        <v>1</v>
      </c>
      <c r="L272" s="14">
        <f t="shared" si="4"/>
        <v>0</v>
      </c>
      <c r="M272">
        <v>6360</v>
      </c>
      <c r="N272">
        <v>0</v>
      </c>
    </row>
    <row r="273" spans="1:14" x14ac:dyDescent="0.2">
      <c r="A273">
        <v>922</v>
      </c>
      <c r="B273" s="10">
        <v>36526</v>
      </c>
      <c r="C273" s="10">
        <v>40861</v>
      </c>
      <c r="D273" s="10" t="s">
        <v>268</v>
      </c>
      <c r="F273">
        <v>2219</v>
      </c>
      <c r="G273" s="10">
        <v>40875</v>
      </c>
      <c r="I273">
        <v>4067</v>
      </c>
      <c r="J273">
        <v>1</v>
      </c>
      <c r="K273">
        <v>2</v>
      </c>
      <c r="L273" s="14">
        <f t="shared" si="4"/>
        <v>2</v>
      </c>
      <c r="M273">
        <v>6361</v>
      </c>
      <c r="N273">
        <v>0</v>
      </c>
    </row>
    <row r="274" spans="1:14" x14ac:dyDescent="0.2">
      <c r="A274">
        <v>923</v>
      </c>
      <c r="B274" s="10">
        <v>36526</v>
      </c>
      <c r="C274" s="10">
        <v>40861</v>
      </c>
      <c r="D274" s="10" t="s">
        <v>268</v>
      </c>
      <c r="F274">
        <v>2223</v>
      </c>
      <c r="G274" s="10">
        <v>40875</v>
      </c>
      <c r="I274">
        <v>4068</v>
      </c>
      <c r="J274">
        <v>1</v>
      </c>
      <c r="K274">
        <v>2</v>
      </c>
      <c r="L274" s="14">
        <f t="shared" si="4"/>
        <v>2</v>
      </c>
      <c r="M274">
        <v>6362</v>
      </c>
      <c r="N274">
        <v>0</v>
      </c>
    </row>
    <row r="275" spans="1:14" x14ac:dyDescent="0.2">
      <c r="A275">
        <v>924</v>
      </c>
      <c r="B275" s="10">
        <v>36526</v>
      </c>
      <c r="C275" s="10">
        <v>40604</v>
      </c>
      <c r="D275" s="10" t="s">
        <v>205</v>
      </c>
      <c r="F275">
        <v>2224</v>
      </c>
      <c r="G275" s="10">
        <v>40875</v>
      </c>
      <c r="I275">
        <v>4100</v>
      </c>
      <c r="J275">
        <v>0</v>
      </c>
      <c r="K275">
        <v>1</v>
      </c>
      <c r="L275" s="14">
        <f t="shared" si="4"/>
        <v>0</v>
      </c>
      <c r="M275">
        <v>6378</v>
      </c>
      <c r="N275">
        <v>0</v>
      </c>
    </row>
    <row r="276" spans="1:14" x14ac:dyDescent="0.2">
      <c r="A276">
        <v>925</v>
      </c>
      <c r="B276" s="10">
        <v>36526</v>
      </c>
      <c r="C276" s="10">
        <v>40861</v>
      </c>
      <c r="D276" s="10" t="s">
        <v>268</v>
      </c>
      <c r="F276">
        <v>2225</v>
      </c>
      <c r="G276" s="10">
        <v>40875</v>
      </c>
      <c r="I276">
        <v>4101</v>
      </c>
      <c r="J276">
        <v>0</v>
      </c>
      <c r="K276">
        <v>1</v>
      </c>
      <c r="L276" s="14">
        <f t="shared" si="4"/>
        <v>0</v>
      </c>
      <c r="M276">
        <v>6379</v>
      </c>
      <c r="N276">
        <v>0</v>
      </c>
    </row>
    <row r="277" spans="1:14" x14ac:dyDescent="0.2">
      <c r="A277">
        <v>931</v>
      </c>
      <c r="B277" s="10">
        <v>36526</v>
      </c>
      <c r="C277" s="10">
        <v>40861</v>
      </c>
      <c r="D277" s="10" t="s">
        <v>268</v>
      </c>
      <c r="F277">
        <v>2226</v>
      </c>
      <c r="G277" s="10">
        <v>40875</v>
      </c>
      <c r="I277">
        <v>4102</v>
      </c>
      <c r="J277">
        <v>0</v>
      </c>
      <c r="K277">
        <v>1</v>
      </c>
      <c r="L277" s="14">
        <f t="shared" si="4"/>
        <v>0</v>
      </c>
      <c r="M277">
        <v>6380</v>
      </c>
      <c r="N277">
        <v>0</v>
      </c>
    </row>
    <row r="278" spans="1:14" x14ac:dyDescent="0.2">
      <c r="A278">
        <v>935</v>
      </c>
      <c r="B278" s="10">
        <v>39559</v>
      </c>
      <c r="C278" s="10">
        <v>40543</v>
      </c>
      <c r="D278" s="10" t="s">
        <v>539</v>
      </c>
      <c r="F278">
        <v>2227</v>
      </c>
      <c r="G278" s="10">
        <v>40875</v>
      </c>
      <c r="I278">
        <v>4103</v>
      </c>
      <c r="J278">
        <v>0</v>
      </c>
      <c r="K278">
        <v>1</v>
      </c>
      <c r="L278" s="14">
        <f t="shared" si="4"/>
        <v>0</v>
      </c>
    </row>
    <row r="279" spans="1:14" x14ac:dyDescent="0.2">
      <c r="A279">
        <v>942</v>
      </c>
      <c r="B279" s="10">
        <v>36526</v>
      </c>
      <c r="C279" s="10">
        <v>40268</v>
      </c>
      <c r="D279" s="10" t="s">
        <v>266</v>
      </c>
      <c r="F279">
        <v>2229</v>
      </c>
      <c r="G279" s="10">
        <v>40875</v>
      </c>
      <c r="I279">
        <v>4118</v>
      </c>
      <c r="J279">
        <v>1</v>
      </c>
      <c r="K279">
        <v>2</v>
      </c>
      <c r="L279" s="14">
        <f t="shared" si="4"/>
        <v>2</v>
      </c>
    </row>
    <row r="280" spans="1:14" x14ac:dyDescent="0.2">
      <c r="A280">
        <v>950</v>
      </c>
      <c r="B280" s="10">
        <v>36526</v>
      </c>
      <c r="C280" s="10">
        <v>40268</v>
      </c>
      <c r="D280" s="10" t="s">
        <v>538</v>
      </c>
      <c r="F280">
        <v>2231</v>
      </c>
      <c r="G280" s="10">
        <v>40875</v>
      </c>
      <c r="I280">
        <v>4119</v>
      </c>
      <c r="J280">
        <v>1</v>
      </c>
      <c r="K280">
        <v>2</v>
      </c>
      <c r="L280" s="14">
        <f t="shared" si="4"/>
        <v>2</v>
      </c>
    </row>
    <row r="281" spans="1:14" x14ac:dyDescent="0.2">
      <c r="A281">
        <v>951</v>
      </c>
      <c r="B281" s="10">
        <v>36526</v>
      </c>
      <c r="C281" s="10">
        <v>40268</v>
      </c>
      <c r="D281" s="10" t="s">
        <v>266</v>
      </c>
      <c r="F281">
        <v>2232</v>
      </c>
      <c r="G281" s="10">
        <v>40875</v>
      </c>
      <c r="I281">
        <v>4137</v>
      </c>
      <c r="J281">
        <v>1</v>
      </c>
      <c r="K281">
        <v>2</v>
      </c>
      <c r="L281" s="14">
        <f t="shared" si="4"/>
        <v>2</v>
      </c>
    </row>
    <row r="282" spans="1:14" x14ac:dyDescent="0.2">
      <c r="A282">
        <v>952</v>
      </c>
      <c r="B282" s="10">
        <v>36526</v>
      </c>
      <c r="C282" s="10">
        <v>40666</v>
      </c>
      <c r="D282" s="10" t="s">
        <v>538</v>
      </c>
      <c r="F282">
        <v>2233</v>
      </c>
      <c r="G282" s="10">
        <v>40875</v>
      </c>
      <c r="I282">
        <v>4138</v>
      </c>
      <c r="J282">
        <v>1</v>
      </c>
      <c r="K282">
        <v>2</v>
      </c>
      <c r="L282" s="14">
        <f t="shared" si="4"/>
        <v>2</v>
      </c>
    </row>
    <row r="283" spans="1:14" x14ac:dyDescent="0.2">
      <c r="A283">
        <v>965</v>
      </c>
      <c r="B283" s="10">
        <v>36526</v>
      </c>
      <c r="C283" s="10">
        <v>40694</v>
      </c>
      <c r="D283" s="10" t="s">
        <v>539</v>
      </c>
      <c r="F283">
        <v>2239</v>
      </c>
      <c r="G283" s="10">
        <v>40875</v>
      </c>
      <c r="I283">
        <v>4139</v>
      </c>
      <c r="J283">
        <v>0</v>
      </c>
      <c r="K283">
        <v>1</v>
      </c>
      <c r="L283" s="14">
        <f t="shared" si="4"/>
        <v>0</v>
      </c>
    </row>
    <row r="284" spans="1:14" x14ac:dyDescent="0.2">
      <c r="A284">
        <v>968</v>
      </c>
      <c r="B284" s="10">
        <v>36526</v>
      </c>
      <c r="C284" s="10">
        <v>40847</v>
      </c>
      <c r="D284" s="10" t="s">
        <v>539</v>
      </c>
      <c r="F284">
        <v>2240</v>
      </c>
      <c r="G284" s="10">
        <v>40875</v>
      </c>
      <c r="I284">
        <v>4140</v>
      </c>
      <c r="J284">
        <v>0</v>
      </c>
      <c r="K284">
        <v>1</v>
      </c>
      <c r="L284" s="14">
        <f t="shared" si="4"/>
        <v>0</v>
      </c>
    </row>
    <row r="285" spans="1:14" x14ac:dyDescent="0.2">
      <c r="A285">
        <v>969</v>
      </c>
      <c r="B285" s="10">
        <v>36526</v>
      </c>
      <c r="C285" s="10">
        <v>40856</v>
      </c>
      <c r="D285" s="10" t="s">
        <v>539</v>
      </c>
      <c r="F285">
        <v>2241</v>
      </c>
      <c r="G285" s="10">
        <v>40875</v>
      </c>
      <c r="I285">
        <v>4141</v>
      </c>
      <c r="J285">
        <v>1</v>
      </c>
      <c r="K285">
        <v>2</v>
      </c>
      <c r="L285" s="14">
        <f t="shared" si="4"/>
        <v>2</v>
      </c>
    </row>
    <row r="286" spans="1:14" x14ac:dyDescent="0.2">
      <c r="A286">
        <v>970</v>
      </c>
      <c r="B286" s="10">
        <v>36526</v>
      </c>
      <c r="C286" s="10">
        <v>40847</v>
      </c>
      <c r="D286" s="10" t="s">
        <v>539</v>
      </c>
      <c r="F286">
        <v>2242</v>
      </c>
      <c r="G286" s="10">
        <v>40875</v>
      </c>
      <c r="I286">
        <v>4152</v>
      </c>
      <c r="J286">
        <v>1</v>
      </c>
      <c r="K286">
        <v>2</v>
      </c>
      <c r="L286" s="14">
        <f t="shared" si="4"/>
        <v>2</v>
      </c>
    </row>
    <row r="287" spans="1:14" x14ac:dyDescent="0.2">
      <c r="A287">
        <v>971</v>
      </c>
      <c r="B287" s="10">
        <v>36526</v>
      </c>
      <c r="C287" s="10">
        <v>40847</v>
      </c>
      <c r="D287" s="10" t="s">
        <v>539</v>
      </c>
      <c r="F287">
        <v>2243</v>
      </c>
      <c r="G287" s="10">
        <v>40875</v>
      </c>
      <c r="I287">
        <v>4153</v>
      </c>
      <c r="J287">
        <v>1</v>
      </c>
      <c r="K287">
        <v>2</v>
      </c>
      <c r="L287" s="14">
        <f t="shared" si="4"/>
        <v>2</v>
      </c>
    </row>
    <row r="288" spans="1:14" x14ac:dyDescent="0.2">
      <c r="A288">
        <v>972</v>
      </c>
      <c r="B288" s="10">
        <v>36526</v>
      </c>
      <c r="C288" s="10">
        <v>40847</v>
      </c>
      <c r="D288" s="10" t="s">
        <v>539</v>
      </c>
      <c r="F288">
        <v>2244</v>
      </c>
      <c r="G288" s="10">
        <v>40778</v>
      </c>
      <c r="I288">
        <v>4154</v>
      </c>
      <c r="J288">
        <v>1</v>
      </c>
      <c r="K288">
        <v>2</v>
      </c>
      <c r="L288" s="14">
        <f t="shared" si="4"/>
        <v>2</v>
      </c>
    </row>
    <row r="289" spans="1:12" x14ac:dyDescent="0.2">
      <c r="A289">
        <v>974</v>
      </c>
      <c r="B289" s="10">
        <v>36526</v>
      </c>
      <c r="C289" s="10">
        <v>40847</v>
      </c>
      <c r="D289" s="10" t="s">
        <v>539</v>
      </c>
      <c r="F289">
        <v>2251</v>
      </c>
      <c r="G289" s="10">
        <v>40875</v>
      </c>
      <c r="I289">
        <v>4160</v>
      </c>
      <c r="J289">
        <v>0</v>
      </c>
      <c r="K289">
        <v>1</v>
      </c>
      <c r="L289" s="14">
        <f t="shared" si="4"/>
        <v>0</v>
      </c>
    </row>
    <row r="290" spans="1:12" x14ac:dyDescent="0.2">
      <c r="A290">
        <v>977</v>
      </c>
      <c r="B290" s="10">
        <v>36526</v>
      </c>
      <c r="C290" s="10">
        <v>40666</v>
      </c>
      <c r="D290" s="10" t="s">
        <v>538</v>
      </c>
      <c r="F290">
        <v>2257</v>
      </c>
      <c r="G290" s="10">
        <v>40875</v>
      </c>
      <c r="I290">
        <v>4161</v>
      </c>
      <c r="J290">
        <v>0</v>
      </c>
      <c r="K290">
        <v>1</v>
      </c>
      <c r="L290" s="14">
        <f t="shared" si="4"/>
        <v>0</v>
      </c>
    </row>
    <row r="291" spans="1:12" x14ac:dyDescent="0.2">
      <c r="A291">
        <v>983</v>
      </c>
      <c r="B291" s="10">
        <v>36526</v>
      </c>
      <c r="C291" s="10">
        <v>40329</v>
      </c>
      <c r="D291" s="10" t="s">
        <v>205</v>
      </c>
      <c r="F291">
        <v>2258</v>
      </c>
      <c r="G291" s="10">
        <v>40875</v>
      </c>
      <c r="I291">
        <v>4179</v>
      </c>
      <c r="J291">
        <v>1</v>
      </c>
      <c r="K291">
        <v>2</v>
      </c>
      <c r="L291" s="14">
        <f t="shared" si="4"/>
        <v>2</v>
      </c>
    </row>
    <row r="292" spans="1:12" x14ac:dyDescent="0.2">
      <c r="A292">
        <v>984</v>
      </c>
      <c r="B292" s="10">
        <v>36526</v>
      </c>
      <c r="C292" s="10">
        <v>40414</v>
      </c>
      <c r="D292" s="10" t="s">
        <v>205</v>
      </c>
      <c r="F292">
        <v>2259</v>
      </c>
      <c r="G292" s="10">
        <v>40875</v>
      </c>
      <c r="I292">
        <v>4197</v>
      </c>
      <c r="J292">
        <v>0</v>
      </c>
      <c r="K292">
        <v>1</v>
      </c>
      <c r="L292" s="14">
        <f t="shared" si="4"/>
        <v>0</v>
      </c>
    </row>
    <row r="293" spans="1:12" x14ac:dyDescent="0.2">
      <c r="A293">
        <v>985</v>
      </c>
      <c r="B293" s="10">
        <v>36526</v>
      </c>
      <c r="C293" s="10">
        <v>40329</v>
      </c>
      <c r="D293" s="10" t="s">
        <v>205</v>
      </c>
      <c r="F293">
        <v>2260</v>
      </c>
      <c r="G293" s="10">
        <v>40875</v>
      </c>
      <c r="I293">
        <v>4198</v>
      </c>
      <c r="J293">
        <v>1</v>
      </c>
      <c r="K293">
        <v>2</v>
      </c>
      <c r="L293" s="14">
        <f t="shared" si="4"/>
        <v>2</v>
      </c>
    </row>
    <row r="294" spans="1:12" x14ac:dyDescent="0.2">
      <c r="A294">
        <v>986</v>
      </c>
      <c r="B294" s="10">
        <v>36526</v>
      </c>
      <c r="C294" s="10">
        <v>40268</v>
      </c>
      <c r="D294" s="10" t="s">
        <v>205</v>
      </c>
      <c r="F294">
        <v>2261</v>
      </c>
      <c r="G294" s="10">
        <v>40875</v>
      </c>
      <c r="I294">
        <v>4199</v>
      </c>
      <c r="J294">
        <v>0</v>
      </c>
      <c r="K294">
        <v>1</v>
      </c>
      <c r="L294" s="14">
        <f t="shared" si="4"/>
        <v>0</v>
      </c>
    </row>
    <row r="295" spans="1:12" x14ac:dyDescent="0.2">
      <c r="A295">
        <v>987</v>
      </c>
      <c r="B295" s="10">
        <v>36526</v>
      </c>
      <c r="C295" s="10">
        <v>40512</v>
      </c>
      <c r="D295" s="10" t="s">
        <v>205</v>
      </c>
      <c r="F295">
        <v>2262</v>
      </c>
      <c r="G295" s="10">
        <v>40875</v>
      </c>
      <c r="I295">
        <v>4200</v>
      </c>
      <c r="J295">
        <v>0</v>
      </c>
      <c r="K295">
        <v>1</v>
      </c>
      <c r="L295" s="14">
        <f t="shared" si="4"/>
        <v>0</v>
      </c>
    </row>
    <row r="296" spans="1:12" x14ac:dyDescent="0.2">
      <c r="A296">
        <v>988</v>
      </c>
      <c r="B296" s="10">
        <v>36526</v>
      </c>
      <c r="C296" s="10">
        <v>40512</v>
      </c>
      <c r="D296" s="10" t="s">
        <v>205</v>
      </c>
      <c r="F296">
        <v>2263</v>
      </c>
      <c r="G296" s="10">
        <v>40875</v>
      </c>
      <c r="I296">
        <v>4201</v>
      </c>
      <c r="J296">
        <v>1</v>
      </c>
      <c r="K296">
        <v>2</v>
      </c>
      <c r="L296" s="14">
        <f t="shared" si="4"/>
        <v>2</v>
      </c>
    </row>
    <row r="297" spans="1:12" x14ac:dyDescent="0.2">
      <c r="A297">
        <v>989</v>
      </c>
      <c r="B297" s="10">
        <v>36526</v>
      </c>
      <c r="C297" s="10">
        <v>40414</v>
      </c>
      <c r="D297" s="10" t="s">
        <v>205</v>
      </c>
      <c r="F297">
        <v>2265</v>
      </c>
      <c r="G297" s="10">
        <v>40875</v>
      </c>
      <c r="I297">
        <v>4202</v>
      </c>
      <c r="J297">
        <v>1</v>
      </c>
      <c r="K297">
        <v>2</v>
      </c>
      <c r="L297" s="14">
        <f t="shared" si="4"/>
        <v>2</v>
      </c>
    </row>
    <row r="298" spans="1:12" x14ac:dyDescent="0.2">
      <c r="A298">
        <v>992</v>
      </c>
      <c r="B298" s="10">
        <v>36526</v>
      </c>
      <c r="C298" s="10">
        <v>40512</v>
      </c>
      <c r="D298" s="10" t="s">
        <v>205</v>
      </c>
      <c r="F298">
        <v>2271</v>
      </c>
      <c r="G298" s="10">
        <v>40827</v>
      </c>
      <c r="I298">
        <v>4212</v>
      </c>
      <c r="J298">
        <v>0</v>
      </c>
      <c r="K298">
        <v>1</v>
      </c>
      <c r="L298" s="14">
        <f t="shared" si="4"/>
        <v>0</v>
      </c>
    </row>
    <row r="299" spans="1:12" x14ac:dyDescent="0.2">
      <c r="A299">
        <v>993</v>
      </c>
      <c r="B299" s="10">
        <v>36526</v>
      </c>
      <c r="C299" s="10">
        <v>40329</v>
      </c>
      <c r="D299" s="10" t="s">
        <v>205</v>
      </c>
      <c r="F299">
        <v>2275</v>
      </c>
      <c r="G299" s="10">
        <v>40875</v>
      </c>
      <c r="I299">
        <v>4213</v>
      </c>
      <c r="J299">
        <v>0</v>
      </c>
      <c r="K299">
        <v>1</v>
      </c>
      <c r="L299" s="14">
        <f t="shared" si="4"/>
        <v>0</v>
      </c>
    </row>
    <row r="300" spans="1:12" x14ac:dyDescent="0.2">
      <c r="A300">
        <v>994</v>
      </c>
      <c r="B300" s="10">
        <v>36526</v>
      </c>
      <c r="C300" s="10">
        <v>40291</v>
      </c>
      <c r="D300" s="10" t="s">
        <v>205</v>
      </c>
      <c r="F300">
        <v>2276</v>
      </c>
      <c r="G300" s="10">
        <v>40875</v>
      </c>
      <c r="I300">
        <v>4214</v>
      </c>
      <c r="J300">
        <v>0</v>
      </c>
      <c r="K300">
        <v>1</v>
      </c>
      <c r="L300" s="14">
        <f t="shared" si="4"/>
        <v>0</v>
      </c>
    </row>
    <row r="301" spans="1:12" x14ac:dyDescent="0.2">
      <c r="A301">
        <v>999</v>
      </c>
      <c r="B301" s="10">
        <v>36526</v>
      </c>
      <c r="C301" s="10">
        <v>40268</v>
      </c>
      <c r="D301" s="10" t="s">
        <v>538</v>
      </c>
      <c r="F301">
        <v>2277</v>
      </c>
      <c r="G301" s="10">
        <v>40875</v>
      </c>
      <c r="I301">
        <v>4215</v>
      </c>
      <c r="J301">
        <v>0</v>
      </c>
      <c r="K301">
        <v>1</v>
      </c>
      <c r="L301" s="14">
        <f t="shared" si="4"/>
        <v>0</v>
      </c>
    </row>
    <row r="302" spans="1:12" x14ac:dyDescent="0.2">
      <c r="A302">
        <v>1000</v>
      </c>
      <c r="B302" s="10">
        <v>36526</v>
      </c>
      <c r="C302" s="10">
        <v>40268</v>
      </c>
      <c r="D302" s="10" t="s">
        <v>538</v>
      </c>
      <c r="F302">
        <v>2423</v>
      </c>
      <c r="G302" s="10">
        <v>40875</v>
      </c>
      <c r="I302">
        <v>4236</v>
      </c>
      <c r="J302">
        <v>0</v>
      </c>
      <c r="K302">
        <v>1</v>
      </c>
      <c r="L302" s="14">
        <f t="shared" si="4"/>
        <v>0</v>
      </c>
    </row>
    <row r="303" spans="1:12" x14ac:dyDescent="0.2">
      <c r="A303">
        <v>1001</v>
      </c>
      <c r="B303" s="10">
        <v>36526</v>
      </c>
      <c r="C303" s="10">
        <v>40574</v>
      </c>
      <c r="D303" s="10" t="s">
        <v>538</v>
      </c>
      <c r="F303">
        <v>2424</v>
      </c>
      <c r="G303" s="10">
        <v>40875</v>
      </c>
      <c r="I303">
        <v>4238</v>
      </c>
      <c r="J303">
        <v>0</v>
      </c>
      <c r="K303">
        <v>1</v>
      </c>
      <c r="L303" s="14">
        <f t="shared" si="4"/>
        <v>0</v>
      </c>
    </row>
    <row r="304" spans="1:12" x14ac:dyDescent="0.2">
      <c r="A304">
        <v>1002</v>
      </c>
      <c r="B304" s="10">
        <v>36526</v>
      </c>
      <c r="C304" s="10">
        <v>40574</v>
      </c>
      <c r="D304" s="10" t="s">
        <v>538</v>
      </c>
      <c r="F304">
        <v>2425</v>
      </c>
      <c r="G304" s="10">
        <v>40875</v>
      </c>
      <c r="I304">
        <v>4239</v>
      </c>
      <c r="J304">
        <v>0</v>
      </c>
      <c r="K304">
        <v>1</v>
      </c>
      <c r="L304" s="14">
        <f t="shared" si="4"/>
        <v>0</v>
      </c>
    </row>
    <row r="305" spans="1:12" x14ac:dyDescent="0.2">
      <c r="A305">
        <v>1003</v>
      </c>
      <c r="B305" s="10">
        <v>36526</v>
      </c>
      <c r="C305" s="10">
        <v>40574</v>
      </c>
      <c r="D305" s="10" t="s">
        <v>538</v>
      </c>
      <c r="F305">
        <v>2426</v>
      </c>
      <c r="G305" s="10">
        <v>40875</v>
      </c>
      <c r="I305">
        <v>4240</v>
      </c>
      <c r="J305">
        <v>0</v>
      </c>
      <c r="K305">
        <v>1</v>
      </c>
      <c r="L305" s="14">
        <f t="shared" si="4"/>
        <v>0</v>
      </c>
    </row>
    <row r="306" spans="1:12" x14ac:dyDescent="0.2">
      <c r="A306">
        <v>1004</v>
      </c>
      <c r="B306" s="10">
        <v>36526</v>
      </c>
      <c r="C306" s="10">
        <v>40291</v>
      </c>
      <c r="D306" s="10" t="s">
        <v>538</v>
      </c>
      <c r="F306">
        <v>2427</v>
      </c>
      <c r="G306" s="10">
        <v>40875</v>
      </c>
      <c r="I306">
        <v>4241</v>
      </c>
      <c r="J306">
        <v>0</v>
      </c>
      <c r="K306">
        <v>1</v>
      </c>
      <c r="L306" s="14">
        <f t="shared" si="4"/>
        <v>0</v>
      </c>
    </row>
    <row r="307" spans="1:12" x14ac:dyDescent="0.2">
      <c r="A307">
        <v>1005</v>
      </c>
      <c r="B307" s="10">
        <v>36526</v>
      </c>
      <c r="C307" s="10">
        <v>40291</v>
      </c>
      <c r="D307" s="10" t="s">
        <v>538</v>
      </c>
      <c r="F307">
        <v>2428</v>
      </c>
      <c r="G307" s="10">
        <v>40875</v>
      </c>
      <c r="I307">
        <v>4251</v>
      </c>
      <c r="J307">
        <v>1</v>
      </c>
      <c r="K307">
        <v>1</v>
      </c>
      <c r="L307" s="14">
        <f t="shared" si="4"/>
        <v>1</v>
      </c>
    </row>
    <row r="308" spans="1:12" x14ac:dyDescent="0.2">
      <c r="A308">
        <v>1009</v>
      </c>
      <c r="B308" s="10">
        <v>39710</v>
      </c>
      <c r="C308" s="10">
        <v>40847</v>
      </c>
      <c r="D308" s="10" t="s">
        <v>539</v>
      </c>
      <c r="F308">
        <v>2429</v>
      </c>
      <c r="G308" s="10">
        <v>40875</v>
      </c>
      <c r="I308">
        <v>4353</v>
      </c>
      <c r="J308">
        <v>0</v>
      </c>
      <c r="K308">
        <v>1</v>
      </c>
      <c r="L308" s="14">
        <f t="shared" si="4"/>
        <v>0</v>
      </c>
    </row>
    <row r="309" spans="1:12" x14ac:dyDescent="0.2">
      <c r="A309">
        <v>1019</v>
      </c>
      <c r="B309" s="10">
        <v>39720</v>
      </c>
      <c r="C309" s="10">
        <v>40633</v>
      </c>
      <c r="D309" s="10" t="s">
        <v>539</v>
      </c>
      <c r="F309">
        <v>2430</v>
      </c>
      <c r="G309" s="10">
        <v>40875</v>
      </c>
      <c r="I309">
        <v>4422</v>
      </c>
      <c r="J309">
        <v>1</v>
      </c>
      <c r="K309">
        <v>1</v>
      </c>
      <c r="L309" s="14">
        <f t="shared" si="4"/>
        <v>1</v>
      </c>
    </row>
    <row r="310" spans="1:12" x14ac:dyDescent="0.2">
      <c r="A310">
        <v>1020</v>
      </c>
      <c r="B310" s="10">
        <v>39721</v>
      </c>
      <c r="C310" s="10">
        <v>40694</v>
      </c>
      <c r="D310" s="10" t="s">
        <v>539</v>
      </c>
      <c r="F310">
        <v>2431</v>
      </c>
      <c r="G310" s="10">
        <v>40875</v>
      </c>
      <c r="I310">
        <v>4450</v>
      </c>
      <c r="J310">
        <v>0</v>
      </c>
      <c r="K310">
        <v>1</v>
      </c>
      <c r="L310" s="14">
        <f t="shared" si="4"/>
        <v>0</v>
      </c>
    </row>
    <row r="311" spans="1:12" x14ac:dyDescent="0.2">
      <c r="A311">
        <v>1026</v>
      </c>
      <c r="B311" s="10">
        <v>39703</v>
      </c>
      <c r="C311" s="10">
        <v>40389</v>
      </c>
      <c r="D311" s="10" t="s">
        <v>269</v>
      </c>
      <c r="F311">
        <v>2432</v>
      </c>
      <c r="G311" s="10">
        <v>40875</v>
      </c>
      <c r="I311">
        <v>4451</v>
      </c>
      <c r="J311">
        <v>0</v>
      </c>
      <c r="K311">
        <v>1</v>
      </c>
      <c r="L311" s="14">
        <f t="shared" si="4"/>
        <v>0</v>
      </c>
    </row>
    <row r="312" spans="1:12" x14ac:dyDescent="0.2">
      <c r="A312">
        <v>1078</v>
      </c>
      <c r="B312" s="10">
        <v>36526</v>
      </c>
      <c r="C312" s="10">
        <v>40268</v>
      </c>
      <c r="D312" s="10" t="s">
        <v>206</v>
      </c>
      <c r="F312">
        <v>2433</v>
      </c>
      <c r="G312" s="10">
        <v>40875</v>
      </c>
      <c r="I312">
        <v>4452</v>
      </c>
      <c r="J312">
        <v>0</v>
      </c>
      <c r="K312">
        <v>1</v>
      </c>
      <c r="L312" s="14">
        <f t="shared" si="4"/>
        <v>0</v>
      </c>
    </row>
    <row r="313" spans="1:12" x14ac:dyDescent="0.2">
      <c r="A313">
        <v>1081</v>
      </c>
      <c r="B313" s="10">
        <v>39752</v>
      </c>
      <c r="C313" s="10">
        <v>40574</v>
      </c>
      <c r="D313" s="10" t="s">
        <v>539</v>
      </c>
      <c r="F313">
        <v>2434</v>
      </c>
      <c r="G313" s="10">
        <v>40875</v>
      </c>
      <c r="I313">
        <v>4453</v>
      </c>
      <c r="J313">
        <v>0</v>
      </c>
      <c r="K313">
        <v>1</v>
      </c>
      <c r="L313" s="14">
        <f t="shared" si="4"/>
        <v>0</v>
      </c>
    </row>
    <row r="314" spans="1:12" x14ac:dyDescent="0.2">
      <c r="A314">
        <v>1082</v>
      </c>
      <c r="B314" s="10">
        <v>39736</v>
      </c>
      <c r="C314" s="10">
        <v>40779</v>
      </c>
      <c r="D314" s="10" t="s">
        <v>539</v>
      </c>
      <c r="F314">
        <v>2435</v>
      </c>
      <c r="G314" s="10">
        <v>40875</v>
      </c>
      <c r="I314">
        <v>4454</v>
      </c>
      <c r="J314">
        <v>0</v>
      </c>
      <c r="K314">
        <v>1</v>
      </c>
      <c r="L314" s="14">
        <f t="shared" si="4"/>
        <v>0</v>
      </c>
    </row>
    <row r="315" spans="1:12" x14ac:dyDescent="0.2">
      <c r="A315">
        <v>1083</v>
      </c>
      <c r="B315" s="10">
        <v>39731</v>
      </c>
      <c r="C315" s="10">
        <v>40574</v>
      </c>
      <c r="D315" s="10" t="s">
        <v>539</v>
      </c>
      <c r="F315">
        <v>2436</v>
      </c>
      <c r="G315" s="10">
        <v>40875</v>
      </c>
      <c r="I315">
        <v>4455</v>
      </c>
      <c r="J315">
        <v>0</v>
      </c>
      <c r="K315">
        <v>1</v>
      </c>
      <c r="L315" s="14">
        <f t="shared" si="4"/>
        <v>0</v>
      </c>
    </row>
    <row r="316" spans="1:12" x14ac:dyDescent="0.2">
      <c r="A316">
        <v>1129</v>
      </c>
      <c r="B316" s="10">
        <v>219148</v>
      </c>
      <c r="C316" s="10">
        <v>40679</v>
      </c>
      <c r="D316" s="10" t="s">
        <v>270</v>
      </c>
      <c r="F316">
        <v>2439</v>
      </c>
      <c r="G316" s="10">
        <v>40875</v>
      </c>
      <c r="I316">
        <v>4456</v>
      </c>
      <c r="J316">
        <v>0</v>
      </c>
      <c r="K316">
        <v>1</v>
      </c>
      <c r="L316" s="14">
        <f t="shared" si="4"/>
        <v>0</v>
      </c>
    </row>
    <row r="317" spans="1:12" x14ac:dyDescent="0.2">
      <c r="A317">
        <v>1130</v>
      </c>
      <c r="B317" s="10">
        <v>219148</v>
      </c>
      <c r="C317" s="10">
        <v>40543</v>
      </c>
      <c r="D317" s="10" t="s">
        <v>270</v>
      </c>
      <c r="F317">
        <v>2441</v>
      </c>
      <c r="G317" s="10">
        <v>40875</v>
      </c>
      <c r="I317">
        <v>4457</v>
      </c>
      <c r="J317">
        <v>0</v>
      </c>
      <c r="K317">
        <v>1</v>
      </c>
      <c r="L317" s="14">
        <f t="shared" si="4"/>
        <v>0</v>
      </c>
    </row>
    <row r="318" spans="1:12" x14ac:dyDescent="0.2">
      <c r="A318">
        <v>1131</v>
      </c>
      <c r="B318" s="10">
        <v>219148</v>
      </c>
      <c r="C318" s="10">
        <v>40543</v>
      </c>
      <c r="D318" s="10" t="s">
        <v>270</v>
      </c>
      <c r="F318">
        <v>2442</v>
      </c>
      <c r="G318" s="10">
        <v>40875</v>
      </c>
      <c r="I318">
        <v>4458</v>
      </c>
      <c r="J318">
        <v>0</v>
      </c>
      <c r="K318">
        <v>1</v>
      </c>
      <c r="L318" s="14">
        <f t="shared" si="4"/>
        <v>0</v>
      </c>
    </row>
    <row r="319" spans="1:12" x14ac:dyDescent="0.2">
      <c r="A319">
        <v>1134</v>
      </c>
      <c r="B319" s="10">
        <v>36526</v>
      </c>
      <c r="C319" s="10">
        <v>40662</v>
      </c>
      <c r="D319" s="10" t="s">
        <v>538</v>
      </c>
      <c r="F319">
        <v>2443</v>
      </c>
      <c r="G319" s="10">
        <v>40875</v>
      </c>
      <c r="I319">
        <v>4459</v>
      </c>
      <c r="J319">
        <v>0</v>
      </c>
      <c r="K319">
        <v>1</v>
      </c>
      <c r="L319" s="14">
        <f t="shared" si="4"/>
        <v>0</v>
      </c>
    </row>
    <row r="320" spans="1:12" x14ac:dyDescent="0.2">
      <c r="A320">
        <v>1142</v>
      </c>
      <c r="B320" s="10">
        <v>219148</v>
      </c>
      <c r="C320" s="10">
        <v>40268</v>
      </c>
      <c r="D320" s="10" t="s">
        <v>271</v>
      </c>
      <c r="F320">
        <v>2444</v>
      </c>
      <c r="G320" s="10">
        <v>40875</v>
      </c>
      <c r="I320">
        <v>4487</v>
      </c>
      <c r="J320">
        <v>1</v>
      </c>
      <c r="K320">
        <v>1</v>
      </c>
      <c r="L320" s="14">
        <f t="shared" si="4"/>
        <v>1</v>
      </c>
    </row>
    <row r="321" spans="1:12" x14ac:dyDescent="0.2">
      <c r="A321">
        <v>1200</v>
      </c>
      <c r="B321" s="10">
        <v>40855</v>
      </c>
      <c r="C321" s="10">
        <v>40826</v>
      </c>
      <c r="D321" s="10" t="s">
        <v>272</v>
      </c>
      <c r="F321">
        <v>2446</v>
      </c>
      <c r="G321" s="10">
        <v>40875</v>
      </c>
      <c r="I321">
        <v>4572</v>
      </c>
      <c r="J321">
        <v>1</v>
      </c>
      <c r="K321">
        <v>1</v>
      </c>
      <c r="L321" s="14">
        <f t="shared" si="4"/>
        <v>1</v>
      </c>
    </row>
    <row r="322" spans="1:12" x14ac:dyDescent="0.2">
      <c r="A322">
        <v>1223</v>
      </c>
      <c r="B322" s="10">
        <v>39751</v>
      </c>
      <c r="C322" s="10">
        <v>40779</v>
      </c>
      <c r="D322" s="10" t="s">
        <v>539</v>
      </c>
      <c r="F322">
        <v>2447</v>
      </c>
      <c r="G322" s="10">
        <v>40875</v>
      </c>
      <c r="I322">
        <v>4581</v>
      </c>
      <c r="J322">
        <v>1</v>
      </c>
      <c r="K322">
        <v>1</v>
      </c>
      <c r="L322" s="14">
        <f t="shared" si="4"/>
        <v>1</v>
      </c>
    </row>
    <row r="323" spans="1:12" x14ac:dyDescent="0.2">
      <c r="A323">
        <v>1224</v>
      </c>
      <c r="B323" s="10">
        <v>39751</v>
      </c>
      <c r="C323" s="10">
        <v>40779</v>
      </c>
      <c r="D323" s="10" t="s">
        <v>539</v>
      </c>
      <c r="F323">
        <v>2449</v>
      </c>
      <c r="G323" s="10">
        <v>40875</v>
      </c>
      <c r="I323">
        <v>4626</v>
      </c>
      <c r="J323">
        <v>1</v>
      </c>
      <c r="K323">
        <v>2</v>
      </c>
      <c r="L323" s="14">
        <f t="shared" si="4"/>
        <v>2</v>
      </c>
    </row>
    <row r="324" spans="1:12" x14ac:dyDescent="0.2">
      <c r="A324">
        <v>1225</v>
      </c>
      <c r="B324" s="10">
        <v>39751</v>
      </c>
      <c r="C324" s="10">
        <v>40786</v>
      </c>
      <c r="D324" s="10" t="s">
        <v>539</v>
      </c>
      <c r="F324">
        <v>2452</v>
      </c>
      <c r="G324" s="10">
        <v>40875</v>
      </c>
      <c r="I324">
        <v>4627</v>
      </c>
      <c r="J324">
        <v>1</v>
      </c>
      <c r="K324">
        <v>1</v>
      </c>
      <c r="L324" s="14">
        <f t="shared" si="4"/>
        <v>1</v>
      </c>
    </row>
    <row r="325" spans="1:12" x14ac:dyDescent="0.2">
      <c r="A325">
        <v>1227</v>
      </c>
      <c r="B325" s="10">
        <v>39752</v>
      </c>
      <c r="C325" s="10">
        <v>40512</v>
      </c>
      <c r="D325" s="10" t="s">
        <v>539</v>
      </c>
      <c r="F325">
        <v>2453</v>
      </c>
      <c r="G325" s="10">
        <v>40875</v>
      </c>
      <c r="I325">
        <v>4648</v>
      </c>
      <c r="J325">
        <v>0</v>
      </c>
      <c r="K325">
        <v>1</v>
      </c>
      <c r="L325" s="14">
        <f t="shared" ref="L325:L381" si="5">J325*K325</f>
        <v>0</v>
      </c>
    </row>
    <row r="326" spans="1:12" x14ac:dyDescent="0.2">
      <c r="A326">
        <v>1231</v>
      </c>
      <c r="B326" s="10">
        <v>36526</v>
      </c>
      <c r="C326" s="10">
        <v>40268</v>
      </c>
      <c r="D326" s="10" t="s">
        <v>206</v>
      </c>
      <c r="F326">
        <v>2454</v>
      </c>
      <c r="G326" s="10">
        <v>40875</v>
      </c>
      <c r="I326">
        <v>4694</v>
      </c>
      <c r="J326">
        <v>1</v>
      </c>
      <c r="K326">
        <v>1</v>
      </c>
      <c r="L326" s="14">
        <f t="shared" si="5"/>
        <v>1</v>
      </c>
    </row>
    <row r="327" spans="1:12" x14ac:dyDescent="0.2">
      <c r="A327">
        <v>1235</v>
      </c>
      <c r="B327" s="10">
        <v>39758</v>
      </c>
      <c r="C327" s="10">
        <v>40574</v>
      </c>
      <c r="D327" s="10" t="s">
        <v>539</v>
      </c>
      <c r="F327">
        <v>2455</v>
      </c>
      <c r="G327" s="10">
        <v>40875</v>
      </c>
      <c r="I327">
        <v>4697</v>
      </c>
      <c r="J327">
        <v>1</v>
      </c>
      <c r="K327">
        <v>1</v>
      </c>
      <c r="L327" s="14">
        <f t="shared" si="5"/>
        <v>1</v>
      </c>
    </row>
    <row r="328" spans="1:12" x14ac:dyDescent="0.2">
      <c r="A328">
        <v>1246</v>
      </c>
      <c r="B328" s="10">
        <v>39763</v>
      </c>
      <c r="C328" s="10">
        <v>40589</v>
      </c>
      <c r="D328" s="10" t="s">
        <v>539</v>
      </c>
      <c r="F328">
        <v>2457</v>
      </c>
      <c r="G328" s="10">
        <v>40875</v>
      </c>
      <c r="I328">
        <v>4698</v>
      </c>
      <c r="J328">
        <v>1</v>
      </c>
      <c r="K328">
        <v>1</v>
      </c>
      <c r="L328" s="14">
        <f t="shared" si="5"/>
        <v>1</v>
      </c>
    </row>
    <row r="329" spans="1:12" x14ac:dyDescent="0.2">
      <c r="A329">
        <v>1247</v>
      </c>
      <c r="B329" s="10">
        <v>39763</v>
      </c>
      <c r="C329" s="10">
        <v>40512</v>
      </c>
      <c r="D329" s="10" t="s">
        <v>539</v>
      </c>
      <c r="F329">
        <v>2458</v>
      </c>
      <c r="G329" s="10">
        <v>40875</v>
      </c>
      <c r="I329">
        <v>4724</v>
      </c>
      <c r="J329">
        <v>1</v>
      </c>
      <c r="K329">
        <v>1</v>
      </c>
      <c r="L329" s="14">
        <f t="shared" si="5"/>
        <v>1</v>
      </c>
    </row>
    <row r="330" spans="1:12" x14ac:dyDescent="0.2">
      <c r="A330">
        <v>1248</v>
      </c>
      <c r="B330" s="10">
        <v>36526</v>
      </c>
      <c r="C330" s="10">
        <v>40389</v>
      </c>
      <c r="D330" s="10" t="s">
        <v>538</v>
      </c>
      <c r="F330">
        <v>2459</v>
      </c>
      <c r="G330" s="10">
        <v>40875</v>
      </c>
      <c r="I330">
        <v>4725</v>
      </c>
      <c r="J330">
        <v>1</v>
      </c>
      <c r="K330">
        <v>1</v>
      </c>
      <c r="L330" s="14">
        <f t="shared" si="5"/>
        <v>1</v>
      </c>
    </row>
    <row r="331" spans="1:12" x14ac:dyDescent="0.2">
      <c r="A331">
        <v>1249</v>
      </c>
      <c r="B331" s="10">
        <v>36526</v>
      </c>
      <c r="C331" s="10">
        <v>40268</v>
      </c>
      <c r="D331" s="10" t="s">
        <v>538</v>
      </c>
      <c r="F331">
        <v>2460</v>
      </c>
      <c r="G331" s="10">
        <v>40875</v>
      </c>
      <c r="I331">
        <v>4753</v>
      </c>
      <c r="J331">
        <v>1</v>
      </c>
      <c r="K331">
        <v>1</v>
      </c>
      <c r="L331" s="14">
        <f t="shared" si="5"/>
        <v>1</v>
      </c>
    </row>
    <row r="332" spans="1:12" x14ac:dyDescent="0.2">
      <c r="A332">
        <v>1255</v>
      </c>
      <c r="B332" s="10">
        <v>36526</v>
      </c>
      <c r="C332" s="10">
        <v>40268</v>
      </c>
      <c r="D332" s="10" t="s">
        <v>538</v>
      </c>
      <c r="F332">
        <v>2466</v>
      </c>
      <c r="G332" s="10">
        <v>40875</v>
      </c>
      <c r="I332">
        <v>4768</v>
      </c>
      <c r="J332">
        <v>0</v>
      </c>
      <c r="K332">
        <v>1</v>
      </c>
      <c r="L332" s="14">
        <f t="shared" si="5"/>
        <v>0</v>
      </c>
    </row>
    <row r="333" spans="1:12" x14ac:dyDescent="0.2">
      <c r="A333">
        <v>1256</v>
      </c>
      <c r="B333" s="10">
        <v>36526</v>
      </c>
      <c r="C333" s="10">
        <v>40268</v>
      </c>
      <c r="D333" s="10" t="s">
        <v>538</v>
      </c>
      <c r="F333">
        <v>2467</v>
      </c>
      <c r="G333" s="10">
        <v>40875</v>
      </c>
      <c r="I333">
        <v>4772</v>
      </c>
      <c r="J333">
        <v>0</v>
      </c>
      <c r="K333">
        <v>1</v>
      </c>
      <c r="L333" s="14">
        <f t="shared" si="5"/>
        <v>0</v>
      </c>
    </row>
    <row r="334" spans="1:12" x14ac:dyDescent="0.2">
      <c r="A334">
        <v>1259</v>
      </c>
      <c r="B334" s="10">
        <v>39795</v>
      </c>
      <c r="C334" s="10">
        <v>40291</v>
      </c>
      <c r="D334" s="10" t="s">
        <v>539</v>
      </c>
      <c r="F334">
        <v>2468</v>
      </c>
      <c r="G334" s="10">
        <v>40875</v>
      </c>
      <c r="I334">
        <v>4804</v>
      </c>
      <c r="J334">
        <v>1</v>
      </c>
      <c r="K334">
        <v>1</v>
      </c>
      <c r="L334" s="14">
        <f t="shared" si="5"/>
        <v>1</v>
      </c>
    </row>
    <row r="335" spans="1:12" x14ac:dyDescent="0.2">
      <c r="A335">
        <v>1261</v>
      </c>
      <c r="B335" s="10">
        <v>36526</v>
      </c>
      <c r="C335" s="10">
        <v>40268</v>
      </c>
      <c r="D335" s="10" t="s">
        <v>538</v>
      </c>
      <c r="F335">
        <v>2469</v>
      </c>
      <c r="G335" s="10">
        <v>40875</v>
      </c>
      <c r="I335">
        <v>4864</v>
      </c>
      <c r="J335">
        <v>1</v>
      </c>
      <c r="K335">
        <v>1</v>
      </c>
      <c r="L335" s="14">
        <f t="shared" si="5"/>
        <v>1</v>
      </c>
    </row>
    <row r="336" spans="1:12" x14ac:dyDescent="0.2">
      <c r="A336">
        <v>1262</v>
      </c>
      <c r="B336" s="10">
        <v>36526</v>
      </c>
      <c r="C336" s="10">
        <v>40268</v>
      </c>
      <c r="D336" s="10" t="s">
        <v>538</v>
      </c>
      <c r="F336">
        <v>2470</v>
      </c>
      <c r="G336" s="10">
        <v>40875</v>
      </c>
      <c r="I336">
        <v>4966</v>
      </c>
      <c r="J336">
        <v>0</v>
      </c>
      <c r="K336">
        <v>1</v>
      </c>
      <c r="L336" s="14">
        <f t="shared" si="5"/>
        <v>0</v>
      </c>
    </row>
    <row r="337" spans="1:12" x14ac:dyDescent="0.2">
      <c r="A337">
        <v>1263</v>
      </c>
      <c r="B337" s="10">
        <v>39780</v>
      </c>
      <c r="C337" s="10">
        <v>40847</v>
      </c>
      <c r="D337" s="10" t="s">
        <v>538</v>
      </c>
      <c r="F337">
        <v>2475</v>
      </c>
      <c r="G337" s="10">
        <v>40875</v>
      </c>
      <c r="I337">
        <v>4967</v>
      </c>
      <c r="J337">
        <v>0</v>
      </c>
      <c r="K337">
        <v>1</v>
      </c>
      <c r="L337" s="14">
        <f t="shared" si="5"/>
        <v>0</v>
      </c>
    </row>
    <row r="338" spans="1:12" x14ac:dyDescent="0.2">
      <c r="A338">
        <v>1264</v>
      </c>
      <c r="B338" s="10">
        <v>39771</v>
      </c>
      <c r="C338" s="10">
        <v>40864</v>
      </c>
      <c r="D338" s="10" t="s">
        <v>268</v>
      </c>
      <c r="F338">
        <v>2477</v>
      </c>
      <c r="G338" s="10">
        <v>40875</v>
      </c>
      <c r="I338">
        <v>4968</v>
      </c>
      <c r="J338">
        <v>1</v>
      </c>
      <c r="K338">
        <v>1</v>
      </c>
      <c r="L338" s="14">
        <f t="shared" si="5"/>
        <v>1</v>
      </c>
    </row>
    <row r="339" spans="1:12" x14ac:dyDescent="0.2">
      <c r="A339">
        <v>1269</v>
      </c>
      <c r="B339" s="10">
        <v>36526</v>
      </c>
      <c r="C339" s="10">
        <v>40268</v>
      </c>
      <c r="D339" s="10" t="s">
        <v>538</v>
      </c>
      <c r="F339">
        <v>2480</v>
      </c>
      <c r="G339" s="10">
        <v>40875</v>
      </c>
      <c r="I339">
        <v>4991</v>
      </c>
      <c r="J339">
        <v>0</v>
      </c>
      <c r="K339">
        <v>1</v>
      </c>
      <c r="L339" s="14">
        <f t="shared" si="5"/>
        <v>0</v>
      </c>
    </row>
    <row r="340" spans="1:12" x14ac:dyDescent="0.2">
      <c r="A340">
        <v>1277</v>
      </c>
      <c r="B340" s="10">
        <v>36526</v>
      </c>
      <c r="C340" s="10">
        <v>40444</v>
      </c>
      <c r="D340" s="10" t="s">
        <v>538</v>
      </c>
      <c r="F340">
        <v>2482</v>
      </c>
      <c r="G340" s="10">
        <v>40875</v>
      </c>
      <c r="I340">
        <v>4992</v>
      </c>
      <c r="J340">
        <v>0</v>
      </c>
      <c r="K340">
        <v>1</v>
      </c>
      <c r="L340" s="14">
        <f t="shared" si="5"/>
        <v>0</v>
      </c>
    </row>
    <row r="341" spans="1:12" x14ac:dyDescent="0.2">
      <c r="A341">
        <v>1284</v>
      </c>
      <c r="B341" s="10">
        <v>36526</v>
      </c>
      <c r="C341" s="10">
        <v>40389</v>
      </c>
      <c r="D341" s="10" t="s">
        <v>271</v>
      </c>
      <c r="F341">
        <v>2484</v>
      </c>
      <c r="G341" s="10">
        <v>40875</v>
      </c>
      <c r="I341">
        <v>5053</v>
      </c>
      <c r="J341">
        <v>1</v>
      </c>
      <c r="K341">
        <v>1</v>
      </c>
      <c r="L341" s="14">
        <f t="shared" si="5"/>
        <v>1</v>
      </c>
    </row>
    <row r="342" spans="1:12" x14ac:dyDescent="0.2">
      <c r="A342">
        <v>1285</v>
      </c>
      <c r="B342" s="10">
        <v>36526</v>
      </c>
      <c r="C342" s="10">
        <v>40389</v>
      </c>
      <c r="D342" s="10" t="s">
        <v>271</v>
      </c>
      <c r="F342">
        <v>2485</v>
      </c>
      <c r="G342" s="10">
        <v>40875</v>
      </c>
      <c r="I342">
        <v>5465</v>
      </c>
      <c r="J342">
        <v>0</v>
      </c>
      <c r="K342">
        <v>1</v>
      </c>
      <c r="L342" s="14">
        <f t="shared" si="5"/>
        <v>0</v>
      </c>
    </row>
    <row r="343" spans="1:12" x14ac:dyDescent="0.2">
      <c r="A343">
        <v>1286</v>
      </c>
      <c r="B343" s="10">
        <v>36526</v>
      </c>
      <c r="C343" s="10">
        <v>40389</v>
      </c>
      <c r="D343" s="10" t="s">
        <v>271</v>
      </c>
      <c r="F343">
        <v>2486</v>
      </c>
      <c r="G343" s="10">
        <v>40875</v>
      </c>
      <c r="I343">
        <v>5479</v>
      </c>
      <c r="J343">
        <v>1</v>
      </c>
      <c r="K343">
        <v>1</v>
      </c>
      <c r="L343" s="14">
        <f t="shared" si="5"/>
        <v>1</v>
      </c>
    </row>
    <row r="344" spans="1:12" x14ac:dyDescent="0.2">
      <c r="A344">
        <v>1287</v>
      </c>
      <c r="B344" s="10">
        <v>36526</v>
      </c>
      <c r="C344" s="10">
        <v>40389</v>
      </c>
      <c r="D344" s="10" t="s">
        <v>271</v>
      </c>
      <c r="F344">
        <v>2487</v>
      </c>
      <c r="G344" s="10">
        <v>40875</v>
      </c>
      <c r="I344">
        <v>5480</v>
      </c>
      <c r="J344">
        <v>1</v>
      </c>
      <c r="K344">
        <v>1</v>
      </c>
      <c r="L344" s="14">
        <f t="shared" si="5"/>
        <v>1</v>
      </c>
    </row>
    <row r="345" spans="1:12" x14ac:dyDescent="0.2">
      <c r="A345">
        <v>1290</v>
      </c>
      <c r="B345" s="10">
        <v>36526</v>
      </c>
      <c r="C345" s="10">
        <v>40268</v>
      </c>
      <c r="D345" s="10" t="s">
        <v>538</v>
      </c>
      <c r="F345">
        <v>2488</v>
      </c>
      <c r="G345" s="10">
        <v>40875</v>
      </c>
      <c r="I345">
        <v>5496</v>
      </c>
      <c r="J345">
        <v>1</v>
      </c>
      <c r="K345">
        <v>1</v>
      </c>
      <c r="L345" s="14">
        <f t="shared" si="5"/>
        <v>1</v>
      </c>
    </row>
    <row r="346" spans="1:12" x14ac:dyDescent="0.2">
      <c r="A346">
        <v>1291</v>
      </c>
      <c r="B346" s="10">
        <v>36526</v>
      </c>
      <c r="C346" s="10">
        <v>40268</v>
      </c>
      <c r="D346" s="10" t="s">
        <v>538</v>
      </c>
      <c r="F346">
        <v>2508</v>
      </c>
      <c r="G346" s="10">
        <v>40875</v>
      </c>
      <c r="I346">
        <v>5706</v>
      </c>
      <c r="J346">
        <v>0</v>
      </c>
      <c r="K346">
        <v>1</v>
      </c>
      <c r="L346" s="14">
        <f t="shared" si="5"/>
        <v>0</v>
      </c>
    </row>
    <row r="347" spans="1:12" x14ac:dyDescent="0.2">
      <c r="A347">
        <v>1292</v>
      </c>
      <c r="B347" s="10">
        <v>36526</v>
      </c>
      <c r="C347" s="10">
        <v>40268</v>
      </c>
      <c r="D347" s="10" t="s">
        <v>538</v>
      </c>
      <c r="F347">
        <v>2509</v>
      </c>
      <c r="G347" s="10">
        <v>40875</v>
      </c>
      <c r="I347">
        <v>5715</v>
      </c>
      <c r="J347">
        <v>0</v>
      </c>
      <c r="K347">
        <v>1</v>
      </c>
      <c r="L347" s="14">
        <f t="shared" si="5"/>
        <v>0</v>
      </c>
    </row>
    <row r="348" spans="1:12" x14ac:dyDescent="0.2">
      <c r="A348">
        <v>1294</v>
      </c>
      <c r="B348" s="10">
        <v>36526</v>
      </c>
      <c r="C348" s="10">
        <v>40268</v>
      </c>
      <c r="D348" s="10" t="s">
        <v>538</v>
      </c>
      <c r="F348">
        <v>2510</v>
      </c>
      <c r="G348" s="10">
        <v>40875</v>
      </c>
      <c r="I348">
        <v>5762</v>
      </c>
      <c r="J348">
        <v>1</v>
      </c>
      <c r="K348">
        <v>1</v>
      </c>
      <c r="L348" s="14">
        <f t="shared" si="5"/>
        <v>1</v>
      </c>
    </row>
    <row r="349" spans="1:12" x14ac:dyDescent="0.2">
      <c r="A349">
        <v>1295</v>
      </c>
      <c r="B349" s="10">
        <v>38812</v>
      </c>
      <c r="C349" s="10">
        <v>40414</v>
      </c>
      <c r="D349" s="10" t="s">
        <v>270</v>
      </c>
      <c r="F349">
        <v>2511</v>
      </c>
      <c r="G349" s="10">
        <v>40875</v>
      </c>
      <c r="I349">
        <v>5809</v>
      </c>
      <c r="J349">
        <v>0</v>
      </c>
      <c r="K349">
        <v>1</v>
      </c>
      <c r="L349" s="14">
        <f t="shared" si="5"/>
        <v>0</v>
      </c>
    </row>
    <row r="350" spans="1:12" x14ac:dyDescent="0.2">
      <c r="A350">
        <v>1300</v>
      </c>
      <c r="B350" s="10">
        <v>39797</v>
      </c>
      <c r="C350" s="10">
        <v>40753</v>
      </c>
      <c r="D350" s="10" t="s">
        <v>539</v>
      </c>
      <c r="F350">
        <v>2518</v>
      </c>
      <c r="G350" s="10">
        <v>40875</v>
      </c>
      <c r="I350">
        <v>5839</v>
      </c>
      <c r="J350">
        <v>0</v>
      </c>
      <c r="K350">
        <v>1</v>
      </c>
      <c r="L350" s="14">
        <f t="shared" si="5"/>
        <v>0</v>
      </c>
    </row>
    <row r="351" spans="1:12" x14ac:dyDescent="0.2">
      <c r="A351">
        <v>1301</v>
      </c>
      <c r="B351" s="10">
        <v>36526</v>
      </c>
      <c r="C351" s="10">
        <v>40522</v>
      </c>
      <c r="D351" s="10" t="s">
        <v>538</v>
      </c>
      <c r="F351">
        <v>2519</v>
      </c>
      <c r="G351" s="10">
        <v>40875</v>
      </c>
      <c r="I351">
        <v>5921</v>
      </c>
      <c r="J351">
        <v>0</v>
      </c>
      <c r="K351">
        <v>1</v>
      </c>
      <c r="L351" s="14">
        <f t="shared" si="5"/>
        <v>0</v>
      </c>
    </row>
    <row r="352" spans="1:12" x14ac:dyDescent="0.2">
      <c r="A352">
        <v>1302</v>
      </c>
      <c r="B352" s="10">
        <v>36526</v>
      </c>
      <c r="C352" s="10">
        <v>40522</v>
      </c>
      <c r="D352" s="10" t="s">
        <v>538</v>
      </c>
      <c r="F352">
        <v>2520</v>
      </c>
      <c r="G352" s="10">
        <v>40875</v>
      </c>
      <c r="I352">
        <v>5938</v>
      </c>
      <c r="J352">
        <v>0</v>
      </c>
      <c r="K352">
        <v>1</v>
      </c>
      <c r="L352" s="14">
        <f t="shared" si="5"/>
        <v>0</v>
      </c>
    </row>
    <row r="353" spans="1:12" x14ac:dyDescent="0.2">
      <c r="A353">
        <v>1303</v>
      </c>
      <c r="B353" s="10">
        <v>39793</v>
      </c>
      <c r="C353" s="10">
        <v>40753</v>
      </c>
      <c r="D353" s="10" t="s">
        <v>539</v>
      </c>
      <c r="F353">
        <v>2521</v>
      </c>
      <c r="G353" s="10">
        <v>40875</v>
      </c>
      <c r="I353">
        <v>5995</v>
      </c>
      <c r="J353">
        <v>0</v>
      </c>
      <c r="K353">
        <v>1</v>
      </c>
      <c r="L353" s="14">
        <f t="shared" si="5"/>
        <v>0</v>
      </c>
    </row>
    <row r="354" spans="1:12" x14ac:dyDescent="0.2">
      <c r="A354">
        <v>1304</v>
      </c>
      <c r="B354" s="10">
        <v>36526</v>
      </c>
      <c r="C354" s="10">
        <v>40611</v>
      </c>
      <c r="D354" s="10" t="s">
        <v>538</v>
      </c>
      <c r="F354">
        <v>2523</v>
      </c>
      <c r="G354" s="10">
        <v>40875</v>
      </c>
      <c r="I354">
        <v>5996</v>
      </c>
      <c r="J354">
        <v>0</v>
      </c>
      <c r="K354">
        <v>1</v>
      </c>
      <c r="L354" s="14">
        <f t="shared" si="5"/>
        <v>0</v>
      </c>
    </row>
    <row r="355" spans="1:12" x14ac:dyDescent="0.2">
      <c r="A355">
        <v>1305</v>
      </c>
      <c r="B355" s="10">
        <v>36526</v>
      </c>
      <c r="C355" s="10">
        <v>40611</v>
      </c>
      <c r="D355" s="10" t="s">
        <v>538</v>
      </c>
      <c r="F355">
        <v>2524</v>
      </c>
      <c r="G355" s="10">
        <v>40875</v>
      </c>
      <c r="I355">
        <v>5997</v>
      </c>
      <c r="J355">
        <v>0</v>
      </c>
      <c r="K355">
        <v>1</v>
      </c>
      <c r="L355" s="14">
        <f t="shared" si="5"/>
        <v>0</v>
      </c>
    </row>
    <row r="356" spans="1:12" x14ac:dyDescent="0.2">
      <c r="A356">
        <v>1306</v>
      </c>
      <c r="B356" s="10">
        <v>36526</v>
      </c>
      <c r="C356" s="10">
        <v>40574</v>
      </c>
      <c r="D356" s="10" t="s">
        <v>538</v>
      </c>
      <c r="F356">
        <v>2525</v>
      </c>
      <c r="G356" s="10">
        <v>40875</v>
      </c>
      <c r="I356">
        <v>5998</v>
      </c>
      <c r="J356">
        <v>0</v>
      </c>
      <c r="K356">
        <v>1</v>
      </c>
      <c r="L356" s="14">
        <f t="shared" si="5"/>
        <v>0</v>
      </c>
    </row>
    <row r="357" spans="1:12" x14ac:dyDescent="0.2">
      <c r="A357">
        <v>1307</v>
      </c>
      <c r="B357" s="10">
        <v>36526</v>
      </c>
      <c r="C357" s="10">
        <v>40574</v>
      </c>
      <c r="D357" s="10" t="s">
        <v>538</v>
      </c>
      <c r="F357">
        <v>2526</v>
      </c>
      <c r="G357" s="10">
        <v>40875</v>
      </c>
      <c r="I357">
        <v>5999</v>
      </c>
      <c r="J357">
        <v>0</v>
      </c>
      <c r="K357">
        <v>1</v>
      </c>
      <c r="L357" s="14">
        <f t="shared" si="5"/>
        <v>0</v>
      </c>
    </row>
    <row r="358" spans="1:12" x14ac:dyDescent="0.2">
      <c r="A358">
        <v>1308</v>
      </c>
      <c r="B358" s="10">
        <v>36526</v>
      </c>
      <c r="C358" s="10">
        <v>40268</v>
      </c>
      <c r="D358" s="10" t="s">
        <v>538</v>
      </c>
      <c r="F358">
        <v>2527</v>
      </c>
      <c r="G358" s="10">
        <v>40875</v>
      </c>
      <c r="I358">
        <v>6000</v>
      </c>
      <c r="J358">
        <v>0</v>
      </c>
      <c r="K358">
        <v>1</v>
      </c>
      <c r="L358" s="14">
        <f t="shared" si="5"/>
        <v>0</v>
      </c>
    </row>
    <row r="359" spans="1:12" x14ac:dyDescent="0.2">
      <c r="A359">
        <v>1309</v>
      </c>
      <c r="B359" s="10">
        <v>36526</v>
      </c>
      <c r="C359" s="10">
        <v>40268</v>
      </c>
      <c r="D359" s="10" t="s">
        <v>538</v>
      </c>
      <c r="F359">
        <v>2529</v>
      </c>
      <c r="G359" s="10">
        <v>40875</v>
      </c>
      <c r="I359">
        <v>6001</v>
      </c>
      <c r="J359">
        <v>0</v>
      </c>
      <c r="K359">
        <v>1</v>
      </c>
      <c r="L359" s="14">
        <f t="shared" si="5"/>
        <v>0</v>
      </c>
    </row>
    <row r="360" spans="1:12" x14ac:dyDescent="0.2">
      <c r="A360">
        <v>1310</v>
      </c>
      <c r="B360" s="10">
        <v>36526</v>
      </c>
      <c r="C360" s="10">
        <v>40602</v>
      </c>
      <c r="D360" s="10" t="s">
        <v>538</v>
      </c>
      <c r="F360">
        <v>2530</v>
      </c>
      <c r="G360" s="10">
        <v>40875</v>
      </c>
      <c r="I360">
        <v>6007</v>
      </c>
      <c r="J360">
        <v>0</v>
      </c>
      <c r="K360">
        <v>1</v>
      </c>
      <c r="L360" s="14">
        <f t="shared" si="5"/>
        <v>0</v>
      </c>
    </row>
    <row r="361" spans="1:12" x14ac:dyDescent="0.2">
      <c r="A361">
        <v>1311</v>
      </c>
      <c r="B361" s="10">
        <v>36526</v>
      </c>
      <c r="C361" s="10">
        <v>40602</v>
      </c>
      <c r="D361" s="10" t="s">
        <v>538</v>
      </c>
      <c r="F361">
        <v>2533</v>
      </c>
      <c r="G361" s="10">
        <v>40875</v>
      </c>
      <c r="I361">
        <v>6017</v>
      </c>
      <c r="J361">
        <v>0</v>
      </c>
      <c r="K361">
        <v>1</v>
      </c>
      <c r="L361" s="14">
        <f t="shared" si="5"/>
        <v>0</v>
      </c>
    </row>
    <row r="362" spans="1:12" x14ac:dyDescent="0.2">
      <c r="A362">
        <v>1312</v>
      </c>
      <c r="B362" s="10">
        <v>36526</v>
      </c>
      <c r="C362" s="10">
        <v>40602</v>
      </c>
      <c r="D362" s="10" t="s">
        <v>538</v>
      </c>
      <c r="F362">
        <v>2534</v>
      </c>
      <c r="G362" s="10">
        <v>40875</v>
      </c>
      <c r="I362">
        <v>6073</v>
      </c>
      <c r="J362">
        <v>0</v>
      </c>
      <c r="K362">
        <v>1</v>
      </c>
      <c r="L362" s="14">
        <f t="shared" si="5"/>
        <v>0</v>
      </c>
    </row>
    <row r="363" spans="1:12" x14ac:dyDescent="0.2">
      <c r="A363">
        <v>1335</v>
      </c>
      <c r="B363" s="10">
        <v>36526</v>
      </c>
      <c r="C363" s="10">
        <v>40522</v>
      </c>
      <c r="D363" s="10" t="s">
        <v>538</v>
      </c>
      <c r="F363">
        <v>2535</v>
      </c>
      <c r="G363" s="10">
        <v>40875</v>
      </c>
      <c r="I363">
        <v>6093</v>
      </c>
      <c r="J363">
        <v>0</v>
      </c>
      <c r="K363">
        <v>1</v>
      </c>
      <c r="L363" s="14">
        <f t="shared" si="5"/>
        <v>0</v>
      </c>
    </row>
    <row r="364" spans="1:12" x14ac:dyDescent="0.2">
      <c r="A364">
        <v>1336</v>
      </c>
      <c r="B364" s="10">
        <v>36526</v>
      </c>
      <c r="C364" s="10">
        <v>40522</v>
      </c>
      <c r="D364" s="10" t="s">
        <v>538</v>
      </c>
      <c r="F364">
        <v>2536</v>
      </c>
      <c r="G364" s="10">
        <v>40875</v>
      </c>
      <c r="I364">
        <v>6099</v>
      </c>
      <c r="J364">
        <v>1</v>
      </c>
      <c r="K364">
        <v>1</v>
      </c>
      <c r="L364" s="14">
        <f t="shared" si="5"/>
        <v>1</v>
      </c>
    </row>
    <row r="365" spans="1:12" x14ac:dyDescent="0.2">
      <c r="A365">
        <v>1338</v>
      </c>
      <c r="B365" s="10">
        <v>36526</v>
      </c>
      <c r="C365" s="10">
        <v>40421</v>
      </c>
      <c r="D365" s="10" t="s">
        <v>539</v>
      </c>
      <c r="F365">
        <v>2537</v>
      </c>
      <c r="G365" s="10">
        <v>40875</v>
      </c>
      <c r="I365">
        <v>6134</v>
      </c>
      <c r="J365">
        <v>0</v>
      </c>
      <c r="K365">
        <v>1</v>
      </c>
      <c r="L365" s="14">
        <f t="shared" si="5"/>
        <v>0</v>
      </c>
    </row>
    <row r="366" spans="1:12" x14ac:dyDescent="0.2">
      <c r="A366">
        <v>1339</v>
      </c>
      <c r="B366" s="10">
        <v>36526</v>
      </c>
      <c r="C366" s="10">
        <v>40421</v>
      </c>
      <c r="D366" s="10" t="s">
        <v>539</v>
      </c>
      <c r="F366">
        <v>2540</v>
      </c>
      <c r="G366" s="10">
        <v>40875</v>
      </c>
      <c r="I366">
        <v>6146</v>
      </c>
      <c r="J366">
        <v>0</v>
      </c>
      <c r="K366">
        <v>1</v>
      </c>
      <c r="L366" s="14">
        <f t="shared" si="5"/>
        <v>0</v>
      </c>
    </row>
    <row r="367" spans="1:12" x14ac:dyDescent="0.2">
      <c r="A367">
        <v>1340</v>
      </c>
      <c r="B367" s="10">
        <v>36526</v>
      </c>
      <c r="C367" s="10">
        <v>40421</v>
      </c>
      <c r="D367" s="10" t="s">
        <v>539</v>
      </c>
      <c r="F367">
        <v>2541</v>
      </c>
      <c r="G367" s="10">
        <v>40875</v>
      </c>
      <c r="I367">
        <v>6147</v>
      </c>
      <c r="J367">
        <v>0</v>
      </c>
      <c r="K367">
        <v>1</v>
      </c>
      <c r="L367" s="14">
        <f t="shared" si="5"/>
        <v>0</v>
      </c>
    </row>
    <row r="368" spans="1:12" x14ac:dyDescent="0.2">
      <c r="A368">
        <v>1341</v>
      </c>
      <c r="B368" s="10">
        <v>36526</v>
      </c>
      <c r="C368" s="10">
        <v>40421</v>
      </c>
      <c r="D368" s="10" t="s">
        <v>539</v>
      </c>
      <c r="F368">
        <v>2542</v>
      </c>
      <c r="G368" s="10">
        <v>40875</v>
      </c>
      <c r="I368">
        <v>6148</v>
      </c>
      <c r="J368">
        <v>0</v>
      </c>
      <c r="K368">
        <v>1</v>
      </c>
      <c r="L368" s="14">
        <f t="shared" si="5"/>
        <v>0</v>
      </c>
    </row>
    <row r="369" spans="1:12" x14ac:dyDescent="0.2">
      <c r="A369">
        <v>1351</v>
      </c>
      <c r="B369" s="10">
        <v>38982</v>
      </c>
      <c r="C369" s="10">
        <v>40512</v>
      </c>
      <c r="D369" s="10" t="s">
        <v>539</v>
      </c>
      <c r="F369">
        <v>2543</v>
      </c>
      <c r="G369" s="10">
        <v>40875</v>
      </c>
      <c r="I369">
        <v>6167</v>
      </c>
      <c r="J369">
        <v>1</v>
      </c>
      <c r="K369">
        <v>1</v>
      </c>
      <c r="L369" s="14">
        <f t="shared" si="5"/>
        <v>1</v>
      </c>
    </row>
    <row r="370" spans="1:12" x14ac:dyDescent="0.2">
      <c r="A370">
        <v>1353</v>
      </c>
      <c r="B370" s="10">
        <v>39809</v>
      </c>
      <c r="C370" s="10">
        <v>40512</v>
      </c>
      <c r="D370" s="10" t="s">
        <v>539</v>
      </c>
      <c r="F370">
        <v>2544</v>
      </c>
      <c r="G370" s="10">
        <v>40875</v>
      </c>
      <c r="I370">
        <v>6183</v>
      </c>
      <c r="J370">
        <v>0</v>
      </c>
      <c r="K370">
        <v>1</v>
      </c>
      <c r="L370" s="14">
        <f t="shared" si="5"/>
        <v>0</v>
      </c>
    </row>
    <row r="371" spans="1:12" x14ac:dyDescent="0.2">
      <c r="A371">
        <v>1356</v>
      </c>
      <c r="B371" s="10">
        <v>39800</v>
      </c>
      <c r="C371" s="10">
        <v>40268</v>
      </c>
      <c r="D371" s="10" t="s">
        <v>539</v>
      </c>
      <c r="F371">
        <v>2545</v>
      </c>
      <c r="G371" s="10">
        <v>40875</v>
      </c>
      <c r="I371">
        <v>6184</v>
      </c>
      <c r="J371">
        <v>0</v>
      </c>
      <c r="K371">
        <v>1</v>
      </c>
      <c r="L371" s="14">
        <f t="shared" si="5"/>
        <v>0</v>
      </c>
    </row>
    <row r="372" spans="1:12" x14ac:dyDescent="0.2">
      <c r="A372">
        <v>1362</v>
      </c>
      <c r="B372" s="10">
        <v>39801</v>
      </c>
      <c r="C372" s="10">
        <v>40512</v>
      </c>
      <c r="D372" s="10" t="s">
        <v>539</v>
      </c>
      <c r="F372">
        <v>2552</v>
      </c>
      <c r="G372" s="10">
        <v>40875</v>
      </c>
      <c r="I372">
        <v>6186</v>
      </c>
      <c r="J372">
        <v>0</v>
      </c>
      <c r="K372">
        <v>1</v>
      </c>
      <c r="L372" s="14">
        <f t="shared" si="5"/>
        <v>0</v>
      </c>
    </row>
    <row r="373" spans="1:12" x14ac:dyDescent="0.2">
      <c r="A373">
        <v>1364</v>
      </c>
      <c r="B373" s="10">
        <v>39272</v>
      </c>
      <c r="C373" s="10">
        <v>40268</v>
      </c>
      <c r="D373" s="10" t="s">
        <v>271</v>
      </c>
      <c r="F373">
        <v>2553</v>
      </c>
      <c r="G373" s="10">
        <v>40875</v>
      </c>
      <c r="I373">
        <v>6277</v>
      </c>
      <c r="J373">
        <v>0</v>
      </c>
      <c r="K373">
        <v>1</v>
      </c>
      <c r="L373" s="14">
        <f t="shared" si="5"/>
        <v>0</v>
      </c>
    </row>
    <row r="374" spans="1:12" x14ac:dyDescent="0.2">
      <c r="A374">
        <v>1402</v>
      </c>
      <c r="B374" s="10">
        <v>36526</v>
      </c>
      <c r="C374" s="10">
        <v>40268</v>
      </c>
      <c r="D374" s="10" t="s">
        <v>538</v>
      </c>
      <c r="F374">
        <v>2554</v>
      </c>
      <c r="G374" s="10">
        <v>40875</v>
      </c>
      <c r="I374">
        <v>6283</v>
      </c>
      <c r="J374">
        <v>0</v>
      </c>
      <c r="K374">
        <v>1</v>
      </c>
      <c r="L374" s="14">
        <f t="shared" si="5"/>
        <v>0</v>
      </c>
    </row>
    <row r="375" spans="1:12" x14ac:dyDescent="0.2">
      <c r="A375">
        <v>1407</v>
      </c>
      <c r="B375" s="10">
        <v>39051</v>
      </c>
      <c r="C375" s="10">
        <v>40268</v>
      </c>
      <c r="D375" s="10" t="s">
        <v>539</v>
      </c>
      <c r="F375">
        <v>2555</v>
      </c>
      <c r="G375" s="10">
        <v>40875</v>
      </c>
      <c r="I375">
        <v>6288</v>
      </c>
      <c r="J375">
        <v>1</v>
      </c>
      <c r="K375">
        <v>1</v>
      </c>
      <c r="L375" s="14">
        <f t="shared" si="5"/>
        <v>1</v>
      </c>
    </row>
    <row r="376" spans="1:12" x14ac:dyDescent="0.2">
      <c r="A376">
        <v>1411</v>
      </c>
      <c r="B376" s="10">
        <v>36526</v>
      </c>
      <c r="C376" s="10">
        <v>40840</v>
      </c>
      <c r="D376" s="10" t="s">
        <v>538</v>
      </c>
      <c r="F376">
        <v>2566</v>
      </c>
      <c r="G376" s="10">
        <v>40862</v>
      </c>
      <c r="I376">
        <v>6289</v>
      </c>
      <c r="J376">
        <v>1</v>
      </c>
      <c r="K376">
        <v>1</v>
      </c>
      <c r="L376" s="14">
        <f t="shared" si="5"/>
        <v>1</v>
      </c>
    </row>
    <row r="377" spans="1:12" x14ac:dyDescent="0.2">
      <c r="A377">
        <v>1423</v>
      </c>
      <c r="B377" s="10">
        <v>39512</v>
      </c>
      <c r="C377" s="10">
        <v>40268</v>
      </c>
      <c r="D377" s="10" t="s">
        <v>271</v>
      </c>
      <c r="F377">
        <v>2569</v>
      </c>
      <c r="G377" s="10">
        <v>40875</v>
      </c>
      <c r="I377">
        <v>6304</v>
      </c>
      <c r="J377">
        <v>0</v>
      </c>
      <c r="K377">
        <v>1</v>
      </c>
      <c r="L377" s="14">
        <f t="shared" si="5"/>
        <v>0</v>
      </c>
    </row>
    <row r="378" spans="1:12" x14ac:dyDescent="0.2">
      <c r="A378">
        <v>1441</v>
      </c>
      <c r="B378" s="10">
        <v>39808</v>
      </c>
      <c r="C378" s="10">
        <v>40413</v>
      </c>
      <c r="D378" s="10" t="s">
        <v>539</v>
      </c>
      <c r="F378">
        <v>2570</v>
      </c>
      <c r="G378" s="10">
        <v>40875</v>
      </c>
      <c r="I378">
        <v>6329</v>
      </c>
      <c r="J378">
        <v>0</v>
      </c>
      <c r="K378">
        <v>1</v>
      </c>
      <c r="L378" s="14">
        <f t="shared" si="5"/>
        <v>0</v>
      </c>
    </row>
    <row r="379" spans="1:12" x14ac:dyDescent="0.2">
      <c r="A379">
        <v>1453</v>
      </c>
      <c r="B379" s="10">
        <v>36526</v>
      </c>
      <c r="C379" s="10">
        <v>40268</v>
      </c>
      <c r="D379" s="10" t="s">
        <v>538</v>
      </c>
      <c r="F379">
        <v>2573</v>
      </c>
      <c r="G379" s="10">
        <v>40875</v>
      </c>
      <c r="I379">
        <v>6335</v>
      </c>
      <c r="J379">
        <v>1</v>
      </c>
      <c r="K379">
        <v>1</v>
      </c>
      <c r="L379" s="14">
        <f t="shared" si="5"/>
        <v>1</v>
      </c>
    </row>
    <row r="380" spans="1:12" x14ac:dyDescent="0.2">
      <c r="A380">
        <v>1454</v>
      </c>
      <c r="B380" s="10">
        <v>36526</v>
      </c>
      <c r="C380" s="10">
        <v>40268</v>
      </c>
      <c r="D380" s="10" t="s">
        <v>538</v>
      </c>
      <c r="F380">
        <v>2574</v>
      </c>
      <c r="G380" s="10">
        <v>40875</v>
      </c>
      <c r="I380">
        <v>6336</v>
      </c>
      <c r="J380">
        <v>1</v>
      </c>
      <c r="K380">
        <v>1</v>
      </c>
      <c r="L380" s="14">
        <f t="shared" si="5"/>
        <v>1</v>
      </c>
    </row>
    <row r="381" spans="1:12" x14ac:dyDescent="0.2">
      <c r="A381">
        <v>1455</v>
      </c>
      <c r="B381" s="10">
        <v>36526</v>
      </c>
      <c r="C381" s="10">
        <v>40268</v>
      </c>
      <c r="D381" s="10" t="s">
        <v>538</v>
      </c>
      <c r="F381">
        <v>2575</v>
      </c>
      <c r="G381" s="10">
        <v>40875</v>
      </c>
      <c r="I381">
        <v>6352</v>
      </c>
      <c r="J381">
        <v>0</v>
      </c>
      <c r="K381">
        <v>1</v>
      </c>
      <c r="L381" s="14">
        <f t="shared" si="5"/>
        <v>0</v>
      </c>
    </row>
    <row r="382" spans="1:12" x14ac:dyDescent="0.2">
      <c r="A382">
        <v>1456</v>
      </c>
      <c r="B382" s="10">
        <v>36526</v>
      </c>
      <c r="C382" s="10">
        <v>40268</v>
      </c>
      <c r="D382" s="10" t="s">
        <v>538</v>
      </c>
      <c r="F382">
        <v>2576</v>
      </c>
      <c r="G382" s="10">
        <v>40875</v>
      </c>
    </row>
    <row r="383" spans="1:12" x14ac:dyDescent="0.2">
      <c r="A383">
        <v>1457</v>
      </c>
      <c r="B383" s="10">
        <v>36526</v>
      </c>
      <c r="C383" s="10">
        <v>40268</v>
      </c>
      <c r="D383" s="10" t="s">
        <v>538</v>
      </c>
      <c r="F383">
        <v>2577</v>
      </c>
      <c r="G383" s="10">
        <v>40875</v>
      </c>
    </row>
    <row r="384" spans="1:12" x14ac:dyDescent="0.2">
      <c r="A384">
        <v>1467</v>
      </c>
      <c r="B384" s="10">
        <v>39462</v>
      </c>
      <c r="C384" s="10">
        <v>40268</v>
      </c>
      <c r="D384" s="10" t="s">
        <v>539</v>
      </c>
      <c r="F384">
        <v>2578</v>
      </c>
      <c r="G384" s="10">
        <v>40875</v>
      </c>
    </row>
    <row r="385" spans="1:7" x14ac:dyDescent="0.2">
      <c r="A385">
        <v>1468</v>
      </c>
      <c r="B385" s="10">
        <v>39813</v>
      </c>
      <c r="C385" s="10">
        <v>40574</v>
      </c>
      <c r="D385" s="10" t="s">
        <v>539</v>
      </c>
      <c r="F385">
        <v>2579</v>
      </c>
      <c r="G385" s="10">
        <v>40875</v>
      </c>
    </row>
    <row r="386" spans="1:7" x14ac:dyDescent="0.2">
      <c r="A386">
        <v>1469</v>
      </c>
      <c r="B386" s="10">
        <v>39813</v>
      </c>
      <c r="C386" s="10">
        <v>40574</v>
      </c>
      <c r="D386" s="10" t="s">
        <v>539</v>
      </c>
      <c r="F386">
        <v>2580</v>
      </c>
      <c r="G386" s="10">
        <v>40875</v>
      </c>
    </row>
    <row r="387" spans="1:7" x14ac:dyDescent="0.2">
      <c r="A387">
        <v>1470</v>
      </c>
      <c r="B387" s="10">
        <v>39813</v>
      </c>
      <c r="C387" s="10">
        <v>40574</v>
      </c>
      <c r="D387" s="10" t="s">
        <v>539</v>
      </c>
      <c r="F387">
        <v>2581</v>
      </c>
      <c r="G387" s="10">
        <v>40875</v>
      </c>
    </row>
    <row r="388" spans="1:7" x14ac:dyDescent="0.2">
      <c r="A388">
        <v>1479</v>
      </c>
      <c r="B388" s="10">
        <v>39338</v>
      </c>
      <c r="C388" s="10">
        <v>40543</v>
      </c>
      <c r="D388" s="10" t="s">
        <v>270</v>
      </c>
      <c r="F388">
        <v>2584</v>
      </c>
      <c r="G388" s="10">
        <v>40875</v>
      </c>
    </row>
    <row r="389" spans="1:7" x14ac:dyDescent="0.2">
      <c r="A389">
        <v>1482</v>
      </c>
      <c r="B389" s="10">
        <v>39834</v>
      </c>
      <c r="C389" s="10">
        <v>40512</v>
      </c>
      <c r="D389" s="10" t="s">
        <v>539</v>
      </c>
      <c r="F389">
        <v>2585</v>
      </c>
      <c r="G389" s="10">
        <v>40875</v>
      </c>
    </row>
    <row r="390" spans="1:7" x14ac:dyDescent="0.2">
      <c r="A390">
        <v>1483</v>
      </c>
      <c r="B390" s="10">
        <v>39852</v>
      </c>
      <c r="C390" s="10">
        <v>40512</v>
      </c>
      <c r="D390" s="10" t="s">
        <v>539</v>
      </c>
      <c r="F390">
        <v>2586</v>
      </c>
      <c r="G390" s="10">
        <v>40875</v>
      </c>
    </row>
    <row r="391" spans="1:7" x14ac:dyDescent="0.2">
      <c r="A391">
        <v>1485</v>
      </c>
      <c r="B391" s="10">
        <v>39856</v>
      </c>
      <c r="C391" s="10">
        <v>40389</v>
      </c>
      <c r="D391" s="10" t="s">
        <v>269</v>
      </c>
      <c r="F391">
        <v>2587</v>
      </c>
      <c r="G391" s="10">
        <v>40875</v>
      </c>
    </row>
    <row r="392" spans="1:7" x14ac:dyDescent="0.2">
      <c r="A392">
        <v>1569</v>
      </c>
      <c r="B392" s="10">
        <v>39989</v>
      </c>
      <c r="C392" s="10">
        <v>40574</v>
      </c>
      <c r="D392" s="10" t="s">
        <v>539</v>
      </c>
      <c r="F392">
        <v>2588</v>
      </c>
      <c r="G392" s="10">
        <v>40875</v>
      </c>
    </row>
    <row r="393" spans="1:7" x14ac:dyDescent="0.2">
      <c r="A393">
        <v>1628</v>
      </c>
      <c r="B393" s="10">
        <v>39843</v>
      </c>
      <c r="C393" s="10">
        <v>40512</v>
      </c>
      <c r="D393" s="10" t="s">
        <v>539</v>
      </c>
      <c r="F393">
        <v>2589</v>
      </c>
      <c r="G393" s="10">
        <v>40875</v>
      </c>
    </row>
    <row r="394" spans="1:7" x14ac:dyDescent="0.2">
      <c r="A394">
        <v>1629</v>
      </c>
      <c r="B394" s="10">
        <v>39843</v>
      </c>
      <c r="C394" s="10">
        <v>40724</v>
      </c>
      <c r="D394" s="10" t="s">
        <v>539</v>
      </c>
      <c r="F394">
        <v>2595</v>
      </c>
      <c r="G394" s="10">
        <v>40875</v>
      </c>
    </row>
    <row r="395" spans="1:7" x14ac:dyDescent="0.2">
      <c r="A395">
        <v>1630</v>
      </c>
      <c r="B395" s="10">
        <v>39843</v>
      </c>
      <c r="C395" s="10">
        <v>40753</v>
      </c>
      <c r="D395" s="10" t="s">
        <v>539</v>
      </c>
      <c r="F395">
        <v>2596</v>
      </c>
      <c r="G395" s="10">
        <v>40875</v>
      </c>
    </row>
    <row r="396" spans="1:7" x14ac:dyDescent="0.2">
      <c r="A396">
        <v>1654</v>
      </c>
      <c r="B396" s="10">
        <v>39813</v>
      </c>
      <c r="C396" s="10">
        <v>40444</v>
      </c>
      <c r="D396" s="10" t="s">
        <v>270</v>
      </c>
      <c r="F396">
        <v>2597</v>
      </c>
      <c r="G396" s="10">
        <v>40875</v>
      </c>
    </row>
    <row r="397" spans="1:7" x14ac:dyDescent="0.2">
      <c r="A397">
        <v>1764</v>
      </c>
      <c r="B397" s="10">
        <v>36526</v>
      </c>
      <c r="C397" s="10">
        <v>40574</v>
      </c>
      <c r="D397" s="10" t="s">
        <v>205</v>
      </c>
      <c r="F397">
        <v>2605</v>
      </c>
      <c r="G397" s="10">
        <v>40875</v>
      </c>
    </row>
    <row r="398" spans="1:7" x14ac:dyDescent="0.2">
      <c r="A398">
        <v>1765</v>
      </c>
      <c r="B398" s="10">
        <v>36526</v>
      </c>
      <c r="C398" s="10">
        <v>40268</v>
      </c>
      <c r="D398" s="10" t="s">
        <v>539</v>
      </c>
      <c r="F398">
        <v>2606</v>
      </c>
      <c r="G398" s="10">
        <v>40875</v>
      </c>
    </row>
    <row r="399" spans="1:7" x14ac:dyDescent="0.2">
      <c r="A399">
        <v>1767</v>
      </c>
      <c r="B399" s="10">
        <v>36526</v>
      </c>
      <c r="C399" s="10">
        <v>40480</v>
      </c>
      <c r="D399" s="10" t="s">
        <v>538</v>
      </c>
      <c r="F399">
        <v>2607</v>
      </c>
      <c r="G399" s="10">
        <v>40875</v>
      </c>
    </row>
    <row r="400" spans="1:7" x14ac:dyDescent="0.2">
      <c r="A400">
        <v>1772</v>
      </c>
      <c r="B400" s="10">
        <v>36526</v>
      </c>
      <c r="C400" s="10">
        <v>40268</v>
      </c>
      <c r="D400" s="10" t="s">
        <v>538</v>
      </c>
      <c r="F400">
        <v>2620</v>
      </c>
      <c r="G400" s="10">
        <v>40875</v>
      </c>
    </row>
    <row r="401" spans="1:7" x14ac:dyDescent="0.2">
      <c r="A401">
        <v>1773</v>
      </c>
      <c r="B401" s="10">
        <v>36526</v>
      </c>
      <c r="C401" s="10">
        <v>40268</v>
      </c>
      <c r="D401" s="10" t="s">
        <v>538</v>
      </c>
      <c r="F401">
        <v>2621</v>
      </c>
      <c r="G401" s="10">
        <v>40875</v>
      </c>
    </row>
    <row r="402" spans="1:7" x14ac:dyDescent="0.2">
      <c r="A402">
        <v>1774</v>
      </c>
      <c r="B402" s="10">
        <v>36526</v>
      </c>
      <c r="C402" s="10">
        <v>40268</v>
      </c>
      <c r="D402" s="10" t="s">
        <v>538</v>
      </c>
      <c r="F402">
        <v>2622</v>
      </c>
      <c r="G402" s="10">
        <v>40875</v>
      </c>
    </row>
    <row r="403" spans="1:7" x14ac:dyDescent="0.2">
      <c r="A403">
        <v>1775</v>
      </c>
      <c r="B403" s="10">
        <v>36526</v>
      </c>
      <c r="C403" s="10">
        <v>40268</v>
      </c>
      <c r="D403" s="10" t="s">
        <v>538</v>
      </c>
      <c r="F403">
        <v>2625</v>
      </c>
      <c r="G403" s="10">
        <v>40875</v>
      </c>
    </row>
    <row r="404" spans="1:7" x14ac:dyDescent="0.2">
      <c r="A404">
        <v>1776</v>
      </c>
      <c r="B404" s="10">
        <v>36526</v>
      </c>
      <c r="C404" s="10">
        <v>40606</v>
      </c>
      <c r="D404" s="10" t="s">
        <v>270</v>
      </c>
      <c r="F404">
        <v>2627</v>
      </c>
      <c r="G404" s="10">
        <v>40875</v>
      </c>
    </row>
    <row r="405" spans="1:7" x14ac:dyDescent="0.2">
      <c r="A405">
        <v>1781</v>
      </c>
      <c r="B405" s="10">
        <v>36526</v>
      </c>
      <c r="C405" s="10">
        <v>40480</v>
      </c>
      <c r="D405" s="10" t="s">
        <v>538</v>
      </c>
      <c r="F405">
        <v>2638</v>
      </c>
      <c r="G405" s="10">
        <v>40875</v>
      </c>
    </row>
    <row r="406" spans="1:7" x14ac:dyDescent="0.2">
      <c r="A406">
        <v>1782</v>
      </c>
      <c r="B406" s="10">
        <v>36526</v>
      </c>
      <c r="C406" s="10">
        <v>40480</v>
      </c>
      <c r="D406" s="10" t="s">
        <v>538</v>
      </c>
      <c r="F406">
        <v>2653</v>
      </c>
      <c r="G406" s="10">
        <v>40875</v>
      </c>
    </row>
    <row r="407" spans="1:7" x14ac:dyDescent="0.2">
      <c r="A407">
        <v>1783</v>
      </c>
      <c r="B407" s="10">
        <v>36526</v>
      </c>
      <c r="C407" s="10">
        <v>40480</v>
      </c>
      <c r="D407" s="10" t="s">
        <v>538</v>
      </c>
      <c r="F407">
        <v>2654</v>
      </c>
      <c r="G407" s="10">
        <v>40875</v>
      </c>
    </row>
    <row r="408" spans="1:7" x14ac:dyDescent="0.2">
      <c r="A408">
        <v>1784</v>
      </c>
      <c r="B408" s="10">
        <v>36526</v>
      </c>
      <c r="C408" s="10">
        <v>40480</v>
      </c>
      <c r="D408" s="10" t="s">
        <v>538</v>
      </c>
      <c r="F408">
        <v>2655</v>
      </c>
      <c r="G408" s="10">
        <v>40875</v>
      </c>
    </row>
    <row r="409" spans="1:7" x14ac:dyDescent="0.2">
      <c r="A409">
        <v>1785</v>
      </c>
      <c r="B409" s="10">
        <v>36526</v>
      </c>
      <c r="C409" s="10">
        <v>40480</v>
      </c>
      <c r="D409" s="10" t="s">
        <v>538</v>
      </c>
      <c r="F409">
        <v>2656</v>
      </c>
      <c r="G409" s="10">
        <v>40875</v>
      </c>
    </row>
    <row r="410" spans="1:7" x14ac:dyDescent="0.2">
      <c r="A410">
        <v>1789</v>
      </c>
      <c r="B410" s="10">
        <v>36526</v>
      </c>
      <c r="C410" s="10">
        <v>40268</v>
      </c>
      <c r="D410" s="10" t="s">
        <v>538</v>
      </c>
      <c r="F410">
        <v>2669</v>
      </c>
      <c r="G410" s="10">
        <v>40875</v>
      </c>
    </row>
    <row r="411" spans="1:7" x14ac:dyDescent="0.2">
      <c r="A411">
        <v>1790</v>
      </c>
      <c r="B411" s="10">
        <v>36526</v>
      </c>
      <c r="C411" s="10">
        <v>40268</v>
      </c>
      <c r="D411" s="10" t="s">
        <v>538</v>
      </c>
      <c r="F411">
        <v>2670</v>
      </c>
      <c r="G411" s="10">
        <v>40875</v>
      </c>
    </row>
    <row r="412" spans="1:7" x14ac:dyDescent="0.2">
      <c r="A412">
        <v>1791</v>
      </c>
      <c r="B412" s="10">
        <v>36526</v>
      </c>
      <c r="C412" s="10">
        <v>40268</v>
      </c>
      <c r="D412" s="10" t="s">
        <v>538</v>
      </c>
      <c r="F412">
        <v>2671</v>
      </c>
      <c r="G412" s="10">
        <v>40875</v>
      </c>
    </row>
    <row r="413" spans="1:7" x14ac:dyDescent="0.2">
      <c r="A413">
        <v>1792</v>
      </c>
      <c r="B413" s="10">
        <v>36526</v>
      </c>
      <c r="C413" s="10">
        <v>40268</v>
      </c>
      <c r="D413" s="10" t="s">
        <v>538</v>
      </c>
      <c r="F413">
        <v>2679</v>
      </c>
      <c r="G413" s="10">
        <v>40875</v>
      </c>
    </row>
    <row r="414" spans="1:7" x14ac:dyDescent="0.2">
      <c r="A414">
        <v>1793</v>
      </c>
      <c r="B414" s="10">
        <v>36526</v>
      </c>
      <c r="C414" s="10">
        <v>40268</v>
      </c>
      <c r="D414" s="10" t="s">
        <v>538</v>
      </c>
      <c r="F414">
        <v>2680</v>
      </c>
      <c r="G414" s="10">
        <v>40875</v>
      </c>
    </row>
    <row r="415" spans="1:7" x14ac:dyDescent="0.2">
      <c r="A415">
        <v>1794</v>
      </c>
      <c r="B415" s="10">
        <v>39864</v>
      </c>
      <c r="C415" s="10">
        <v>40589</v>
      </c>
      <c r="D415" s="10" t="s">
        <v>539</v>
      </c>
      <c r="F415">
        <v>2681</v>
      </c>
      <c r="G415" s="10">
        <v>40875</v>
      </c>
    </row>
    <row r="416" spans="1:7" x14ac:dyDescent="0.2">
      <c r="A416">
        <v>1798</v>
      </c>
      <c r="B416" s="10">
        <v>36526</v>
      </c>
      <c r="C416" s="10">
        <v>40543</v>
      </c>
      <c r="D416" s="10" t="s">
        <v>538</v>
      </c>
      <c r="F416">
        <v>2682</v>
      </c>
      <c r="G416" s="10">
        <v>40875</v>
      </c>
    </row>
    <row r="417" spans="1:7" x14ac:dyDescent="0.2">
      <c r="A417">
        <v>1800</v>
      </c>
      <c r="B417" s="10">
        <v>39869</v>
      </c>
      <c r="C417" s="10">
        <v>40268</v>
      </c>
      <c r="D417" s="10" t="s">
        <v>539</v>
      </c>
      <c r="F417">
        <v>2686</v>
      </c>
      <c r="G417" s="10">
        <v>40875</v>
      </c>
    </row>
    <row r="418" spans="1:7" x14ac:dyDescent="0.2">
      <c r="A418">
        <v>1802</v>
      </c>
      <c r="B418" s="10">
        <v>36526</v>
      </c>
      <c r="C418" s="10">
        <v>40574</v>
      </c>
      <c r="D418" s="10" t="s">
        <v>538</v>
      </c>
      <c r="F418">
        <v>2687</v>
      </c>
      <c r="G418" s="10">
        <v>40875</v>
      </c>
    </row>
    <row r="419" spans="1:7" x14ac:dyDescent="0.2">
      <c r="A419">
        <v>1803</v>
      </c>
      <c r="B419" s="10">
        <v>36526</v>
      </c>
      <c r="C419" s="10">
        <v>40574</v>
      </c>
      <c r="D419" s="10" t="s">
        <v>538</v>
      </c>
      <c r="F419">
        <v>2689</v>
      </c>
      <c r="G419" s="10">
        <v>40875</v>
      </c>
    </row>
    <row r="420" spans="1:7" x14ac:dyDescent="0.2">
      <c r="A420">
        <v>1805</v>
      </c>
      <c r="B420" s="10">
        <v>39892</v>
      </c>
      <c r="C420" s="10">
        <v>40512</v>
      </c>
      <c r="D420" s="10" t="s">
        <v>539</v>
      </c>
      <c r="F420">
        <v>2690</v>
      </c>
      <c r="G420" s="10">
        <v>40875</v>
      </c>
    </row>
    <row r="421" spans="1:7" x14ac:dyDescent="0.2">
      <c r="A421">
        <v>1821</v>
      </c>
      <c r="B421" s="10">
        <v>219148</v>
      </c>
      <c r="C421" s="10">
        <v>40291</v>
      </c>
      <c r="D421" s="10" t="s">
        <v>273</v>
      </c>
      <c r="F421">
        <v>2691</v>
      </c>
      <c r="G421" s="10">
        <v>40875</v>
      </c>
    </row>
    <row r="422" spans="1:7" x14ac:dyDescent="0.2">
      <c r="A422">
        <v>2033</v>
      </c>
      <c r="B422" s="10">
        <v>36526</v>
      </c>
      <c r="C422" s="10">
        <v>40444</v>
      </c>
      <c r="D422" s="10" t="s">
        <v>538</v>
      </c>
      <c r="F422">
        <v>2692</v>
      </c>
      <c r="G422" s="10">
        <v>40875</v>
      </c>
    </row>
    <row r="423" spans="1:7" x14ac:dyDescent="0.2">
      <c r="A423">
        <v>2034</v>
      </c>
      <c r="B423" s="10">
        <v>39461</v>
      </c>
      <c r="C423" s="10">
        <v>40414</v>
      </c>
      <c r="D423" s="10" t="s">
        <v>270</v>
      </c>
      <c r="F423">
        <v>2707</v>
      </c>
      <c r="G423" s="10">
        <v>40875</v>
      </c>
    </row>
    <row r="424" spans="1:7" x14ac:dyDescent="0.2">
      <c r="A424">
        <v>2041</v>
      </c>
      <c r="B424" s="10">
        <v>36526</v>
      </c>
      <c r="C424" s="10">
        <v>40753</v>
      </c>
      <c r="D424" s="10" t="s">
        <v>538</v>
      </c>
      <c r="F424">
        <v>2716</v>
      </c>
      <c r="G424" s="10">
        <v>40875</v>
      </c>
    </row>
    <row r="425" spans="1:7" x14ac:dyDescent="0.2">
      <c r="A425">
        <v>2042</v>
      </c>
      <c r="B425" s="10">
        <v>36526</v>
      </c>
      <c r="C425" s="10">
        <v>40753</v>
      </c>
      <c r="D425" s="10" t="s">
        <v>538</v>
      </c>
      <c r="F425">
        <v>2728</v>
      </c>
      <c r="G425" s="10">
        <v>40875</v>
      </c>
    </row>
    <row r="426" spans="1:7" x14ac:dyDescent="0.2">
      <c r="A426">
        <v>2043</v>
      </c>
      <c r="B426" s="10">
        <v>36526</v>
      </c>
      <c r="C426" s="10">
        <v>40512</v>
      </c>
      <c r="D426" s="10" t="s">
        <v>538</v>
      </c>
      <c r="F426">
        <v>2729</v>
      </c>
      <c r="G426" s="10">
        <v>40875</v>
      </c>
    </row>
    <row r="427" spans="1:7" x14ac:dyDescent="0.2">
      <c r="A427">
        <v>2045</v>
      </c>
      <c r="B427" s="10">
        <v>39948</v>
      </c>
      <c r="C427" s="10">
        <v>40700</v>
      </c>
      <c r="D427" s="10" t="s">
        <v>539</v>
      </c>
      <c r="F427">
        <v>2730</v>
      </c>
      <c r="G427" s="10">
        <v>40875</v>
      </c>
    </row>
    <row r="428" spans="1:7" x14ac:dyDescent="0.2">
      <c r="A428">
        <v>2067</v>
      </c>
      <c r="B428" s="10">
        <v>39910</v>
      </c>
      <c r="C428" s="10">
        <v>40268</v>
      </c>
      <c r="D428" s="10" t="s">
        <v>539</v>
      </c>
      <c r="F428">
        <v>2731</v>
      </c>
      <c r="G428" s="10">
        <v>40875</v>
      </c>
    </row>
    <row r="429" spans="1:7" x14ac:dyDescent="0.2">
      <c r="A429">
        <v>2070</v>
      </c>
      <c r="B429" s="10">
        <v>39918</v>
      </c>
      <c r="C429" s="10">
        <v>40512</v>
      </c>
      <c r="D429" s="10" t="s">
        <v>539</v>
      </c>
      <c r="F429">
        <v>2733</v>
      </c>
      <c r="G429" s="10">
        <v>40702</v>
      </c>
    </row>
    <row r="430" spans="1:7" x14ac:dyDescent="0.2">
      <c r="A430">
        <v>2072</v>
      </c>
      <c r="B430" s="10">
        <v>39923</v>
      </c>
      <c r="C430" s="10">
        <v>40512</v>
      </c>
      <c r="D430" s="10" t="s">
        <v>539</v>
      </c>
      <c r="F430">
        <v>2740</v>
      </c>
      <c r="G430" s="10">
        <v>40875</v>
      </c>
    </row>
    <row r="431" spans="1:7" x14ac:dyDescent="0.2">
      <c r="A431">
        <v>2075</v>
      </c>
      <c r="B431" s="10">
        <v>36526</v>
      </c>
      <c r="C431" s="10">
        <v>40840</v>
      </c>
      <c r="D431" s="10" t="s">
        <v>538</v>
      </c>
      <c r="F431">
        <v>2751</v>
      </c>
      <c r="G431" s="10">
        <v>40875</v>
      </c>
    </row>
    <row r="432" spans="1:7" x14ac:dyDescent="0.2">
      <c r="A432">
        <v>2083</v>
      </c>
      <c r="B432" s="10">
        <v>39945</v>
      </c>
      <c r="C432" s="10">
        <v>40389</v>
      </c>
      <c r="D432" s="10" t="s">
        <v>269</v>
      </c>
      <c r="F432">
        <v>2762</v>
      </c>
      <c r="G432" s="10">
        <v>40875</v>
      </c>
    </row>
    <row r="433" spans="1:7" x14ac:dyDescent="0.2">
      <c r="A433">
        <v>2088</v>
      </c>
      <c r="B433" s="10">
        <v>36526</v>
      </c>
      <c r="C433" s="10">
        <v>40268</v>
      </c>
      <c r="D433" s="10" t="s">
        <v>538</v>
      </c>
      <c r="F433">
        <v>2765</v>
      </c>
      <c r="G433" s="10">
        <v>40875</v>
      </c>
    </row>
    <row r="434" spans="1:7" x14ac:dyDescent="0.2">
      <c r="A434">
        <v>2089</v>
      </c>
      <c r="B434" s="10">
        <v>36526</v>
      </c>
      <c r="C434" s="10">
        <v>40268</v>
      </c>
      <c r="D434" s="10" t="s">
        <v>538</v>
      </c>
      <c r="F434">
        <v>2767</v>
      </c>
      <c r="G434" s="10">
        <v>40875</v>
      </c>
    </row>
    <row r="435" spans="1:7" x14ac:dyDescent="0.2">
      <c r="A435">
        <v>2090</v>
      </c>
      <c r="B435" s="10">
        <v>36526</v>
      </c>
      <c r="C435" s="10">
        <v>40268</v>
      </c>
      <c r="D435" s="10" t="s">
        <v>538</v>
      </c>
      <c r="F435">
        <v>2778</v>
      </c>
      <c r="G435" s="10">
        <v>40875</v>
      </c>
    </row>
    <row r="436" spans="1:7" x14ac:dyDescent="0.2">
      <c r="A436">
        <v>2091</v>
      </c>
      <c r="B436" s="10">
        <v>36526</v>
      </c>
      <c r="C436" s="10">
        <v>40268</v>
      </c>
      <c r="D436" s="10" t="s">
        <v>538</v>
      </c>
      <c r="F436">
        <v>2807</v>
      </c>
      <c r="G436" s="10">
        <v>40875</v>
      </c>
    </row>
    <row r="437" spans="1:7" x14ac:dyDescent="0.2">
      <c r="A437">
        <v>2092</v>
      </c>
      <c r="B437" s="10">
        <v>36526</v>
      </c>
      <c r="C437" s="10">
        <v>40268</v>
      </c>
      <c r="D437" s="10" t="s">
        <v>538</v>
      </c>
      <c r="F437">
        <v>2837</v>
      </c>
      <c r="G437" s="10">
        <v>40875</v>
      </c>
    </row>
    <row r="438" spans="1:7" x14ac:dyDescent="0.2">
      <c r="A438">
        <v>2093</v>
      </c>
      <c r="B438" s="10">
        <v>39984</v>
      </c>
      <c r="C438" s="10">
        <v>40403</v>
      </c>
      <c r="D438" s="10" t="s">
        <v>539</v>
      </c>
      <c r="F438">
        <v>2842</v>
      </c>
      <c r="G438" s="10">
        <v>40875</v>
      </c>
    </row>
    <row r="439" spans="1:7" x14ac:dyDescent="0.2">
      <c r="A439">
        <v>2094</v>
      </c>
      <c r="B439" s="10">
        <v>36526</v>
      </c>
      <c r="C439" s="10">
        <v>40798</v>
      </c>
      <c r="D439" s="10" t="s">
        <v>538</v>
      </c>
      <c r="F439">
        <v>2843</v>
      </c>
      <c r="G439" s="10">
        <v>40875</v>
      </c>
    </row>
    <row r="440" spans="1:7" x14ac:dyDescent="0.2">
      <c r="A440">
        <v>2095</v>
      </c>
      <c r="B440" s="10">
        <v>36526</v>
      </c>
      <c r="C440" s="10">
        <v>40798</v>
      </c>
      <c r="D440" s="10" t="s">
        <v>538</v>
      </c>
      <c r="F440">
        <v>2844</v>
      </c>
      <c r="G440" s="10">
        <v>40875</v>
      </c>
    </row>
    <row r="441" spans="1:7" x14ac:dyDescent="0.2">
      <c r="A441">
        <v>2096</v>
      </c>
      <c r="B441" s="10">
        <v>36526</v>
      </c>
      <c r="C441" s="10">
        <v>40268</v>
      </c>
      <c r="D441" s="10" t="s">
        <v>538</v>
      </c>
      <c r="F441">
        <v>2845</v>
      </c>
      <c r="G441" s="10">
        <v>40875</v>
      </c>
    </row>
    <row r="442" spans="1:7" x14ac:dyDescent="0.2">
      <c r="A442">
        <v>2097</v>
      </c>
      <c r="B442" s="10">
        <v>36526</v>
      </c>
      <c r="C442" s="10">
        <v>40268</v>
      </c>
      <c r="D442" s="10" t="s">
        <v>538</v>
      </c>
      <c r="F442">
        <v>2848</v>
      </c>
      <c r="G442" s="10">
        <v>40875</v>
      </c>
    </row>
    <row r="443" spans="1:7" x14ac:dyDescent="0.2">
      <c r="A443">
        <v>2098</v>
      </c>
      <c r="B443" s="10">
        <v>39988</v>
      </c>
      <c r="C443" s="10">
        <v>40753</v>
      </c>
      <c r="D443" s="10" t="s">
        <v>539</v>
      </c>
      <c r="F443">
        <v>2852</v>
      </c>
      <c r="G443" s="10">
        <v>40875</v>
      </c>
    </row>
    <row r="444" spans="1:7" x14ac:dyDescent="0.2">
      <c r="A444">
        <v>2102</v>
      </c>
      <c r="B444" s="10">
        <v>36526</v>
      </c>
      <c r="C444" s="10">
        <v>40268</v>
      </c>
      <c r="D444" s="10" t="s">
        <v>538</v>
      </c>
      <c r="F444">
        <v>2853</v>
      </c>
      <c r="G444" s="10">
        <v>40875</v>
      </c>
    </row>
    <row r="445" spans="1:7" x14ac:dyDescent="0.2">
      <c r="A445">
        <v>2103</v>
      </c>
      <c r="B445" s="10">
        <v>36526</v>
      </c>
      <c r="C445" s="10">
        <v>40779</v>
      </c>
      <c r="D445" s="10" t="s">
        <v>538</v>
      </c>
      <c r="F445">
        <v>2862</v>
      </c>
      <c r="G445" s="10">
        <v>40875</v>
      </c>
    </row>
    <row r="446" spans="1:7" x14ac:dyDescent="0.2">
      <c r="A446">
        <v>2104</v>
      </c>
      <c r="B446" s="10">
        <v>36526</v>
      </c>
      <c r="C446" s="10">
        <v>40329</v>
      </c>
      <c r="D446" s="10" t="s">
        <v>538</v>
      </c>
      <c r="F446">
        <v>2878</v>
      </c>
      <c r="G446" s="10">
        <v>40875</v>
      </c>
    </row>
    <row r="447" spans="1:7" x14ac:dyDescent="0.2">
      <c r="A447">
        <v>2105</v>
      </c>
      <c r="B447" s="10">
        <v>36526</v>
      </c>
      <c r="C447" s="10">
        <v>40268</v>
      </c>
      <c r="D447" s="10" t="s">
        <v>538</v>
      </c>
      <c r="F447">
        <v>2879</v>
      </c>
      <c r="G447" s="10">
        <v>40875</v>
      </c>
    </row>
    <row r="448" spans="1:7" x14ac:dyDescent="0.2">
      <c r="A448">
        <v>2106</v>
      </c>
      <c r="B448" s="10">
        <v>36526</v>
      </c>
      <c r="C448" s="10">
        <v>40359</v>
      </c>
      <c r="D448" s="10" t="s">
        <v>538</v>
      </c>
      <c r="F448">
        <v>2880</v>
      </c>
      <c r="G448" s="10">
        <v>40875</v>
      </c>
    </row>
    <row r="449" spans="1:7" x14ac:dyDescent="0.2">
      <c r="A449">
        <v>2109</v>
      </c>
      <c r="B449" s="10">
        <v>39979</v>
      </c>
      <c r="C449" s="10">
        <v>40847</v>
      </c>
      <c r="D449" s="10" t="s">
        <v>539</v>
      </c>
      <c r="F449">
        <v>2881</v>
      </c>
      <c r="G449" s="10">
        <v>40875</v>
      </c>
    </row>
    <row r="450" spans="1:7" x14ac:dyDescent="0.2">
      <c r="A450">
        <v>2113</v>
      </c>
      <c r="B450" s="10">
        <v>39983</v>
      </c>
      <c r="C450" s="10">
        <v>40753</v>
      </c>
      <c r="D450" s="10" t="s">
        <v>539</v>
      </c>
      <c r="F450">
        <v>2882</v>
      </c>
      <c r="G450" s="10">
        <v>40875</v>
      </c>
    </row>
    <row r="451" spans="1:7" x14ac:dyDescent="0.2">
      <c r="A451">
        <v>2114</v>
      </c>
      <c r="B451" s="10">
        <v>39987</v>
      </c>
      <c r="C451" s="10">
        <v>40268</v>
      </c>
      <c r="D451" s="10" t="s">
        <v>539</v>
      </c>
      <c r="F451">
        <v>2883</v>
      </c>
      <c r="G451" s="10">
        <v>40875</v>
      </c>
    </row>
    <row r="452" spans="1:7" x14ac:dyDescent="0.2">
      <c r="A452">
        <v>2115</v>
      </c>
      <c r="B452" s="10">
        <v>40007</v>
      </c>
      <c r="C452" s="10">
        <v>40389</v>
      </c>
      <c r="D452" s="10" t="s">
        <v>269</v>
      </c>
      <c r="F452">
        <v>2884</v>
      </c>
      <c r="G452" s="10">
        <v>40875</v>
      </c>
    </row>
    <row r="453" spans="1:7" x14ac:dyDescent="0.2">
      <c r="A453">
        <v>2125</v>
      </c>
      <c r="B453" s="10">
        <v>40660</v>
      </c>
      <c r="C453" s="10">
        <v>40660</v>
      </c>
      <c r="D453" s="10" t="s">
        <v>273</v>
      </c>
      <c r="F453">
        <v>2885</v>
      </c>
      <c r="G453" s="10">
        <v>40875</v>
      </c>
    </row>
    <row r="454" spans="1:7" x14ac:dyDescent="0.2">
      <c r="A454">
        <v>2130</v>
      </c>
      <c r="B454" s="10">
        <v>36526</v>
      </c>
      <c r="C454" s="10">
        <v>40329</v>
      </c>
      <c r="D454" s="10" t="s">
        <v>538</v>
      </c>
      <c r="F454">
        <v>2886</v>
      </c>
      <c r="G454" s="10">
        <v>40875</v>
      </c>
    </row>
    <row r="455" spans="1:7" x14ac:dyDescent="0.2">
      <c r="A455">
        <v>2131</v>
      </c>
      <c r="B455" s="10">
        <v>36526</v>
      </c>
      <c r="C455" s="10">
        <v>40816</v>
      </c>
      <c r="D455" s="10" t="s">
        <v>538</v>
      </c>
      <c r="F455">
        <v>2930</v>
      </c>
      <c r="G455" s="10">
        <v>40875</v>
      </c>
    </row>
    <row r="456" spans="1:7" x14ac:dyDescent="0.2">
      <c r="A456">
        <v>2132</v>
      </c>
      <c r="B456" s="10">
        <v>39994</v>
      </c>
      <c r="C456" s="10">
        <v>40753</v>
      </c>
      <c r="D456" s="10" t="s">
        <v>539</v>
      </c>
      <c r="F456">
        <v>2951</v>
      </c>
      <c r="G456" s="10">
        <v>40875</v>
      </c>
    </row>
    <row r="457" spans="1:7" x14ac:dyDescent="0.2">
      <c r="A457">
        <v>2143</v>
      </c>
      <c r="B457" s="10">
        <v>36526</v>
      </c>
      <c r="C457" s="10">
        <v>40268</v>
      </c>
      <c r="D457" s="10" t="s">
        <v>538</v>
      </c>
      <c r="F457">
        <v>3008</v>
      </c>
      <c r="G457" s="10">
        <v>40875</v>
      </c>
    </row>
    <row r="458" spans="1:7" x14ac:dyDescent="0.2">
      <c r="A458">
        <v>2144</v>
      </c>
      <c r="B458" s="10">
        <v>36526</v>
      </c>
      <c r="C458" s="10">
        <v>40840</v>
      </c>
      <c r="D458" s="10" t="s">
        <v>538</v>
      </c>
      <c r="F458">
        <v>3009</v>
      </c>
      <c r="G458" s="10">
        <v>40875</v>
      </c>
    </row>
    <row r="459" spans="1:7" x14ac:dyDescent="0.2">
      <c r="A459">
        <v>2145</v>
      </c>
      <c r="B459" s="10">
        <v>36526</v>
      </c>
      <c r="C459" s="10">
        <v>40451</v>
      </c>
      <c r="D459" s="10" t="s">
        <v>538</v>
      </c>
      <c r="F459">
        <v>3010</v>
      </c>
      <c r="G459" s="10">
        <v>40875</v>
      </c>
    </row>
    <row r="460" spans="1:7" x14ac:dyDescent="0.2">
      <c r="A460">
        <v>2147</v>
      </c>
      <c r="B460" s="10">
        <v>36526</v>
      </c>
      <c r="C460" s="10">
        <v>40291</v>
      </c>
      <c r="D460" s="10" t="s">
        <v>538</v>
      </c>
      <c r="F460">
        <v>3059</v>
      </c>
      <c r="G460" s="10">
        <v>40875</v>
      </c>
    </row>
    <row r="461" spans="1:7" x14ac:dyDescent="0.2">
      <c r="A461">
        <v>2148</v>
      </c>
      <c r="B461" s="10">
        <v>40014</v>
      </c>
      <c r="C461" s="10">
        <v>40626</v>
      </c>
      <c r="D461" s="10" t="s">
        <v>539</v>
      </c>
      <c r="F461">
        <v>3060</v>
      </c>
      <c r="G461" s="10">
        <v>40875</v>
      </c>
    </row>
    <row r="462" spans="1:7" x14ac:dyDescent="0.2">
      <c r="A462">
        <v>2149</v>
      </c>
      <c r="B462" s="10">
        <v>36526</v>
      </c>
      <c r="C462" s="10">
        <v>40840</v>
      </c>
      <c r="D462" s="10" t="s">
        <v>538</v>
      </c>
      <c r="F462">
        <v>3061</v>
      </c>
      <c r="G462" s="10">
        <v>40875</v>
      </c>
    </row>
    <row r="463" spans="1:7" x14ac:dyDescent="0.2">
      <c r="A463">
        <v>2150</v>
      </c>
      <c r="B463" s="10">
        <v>36526</v>
      </c>
      <c r="C463" s="10">
        <v>40840</v>
      </c>
      <c r="D463" s="10" t="s">
        <v>538</v>
      </c>
      <c r="F463">
        <v>3120</v>
      </c>
      <c r="G463" s="10">
        <v>40875</v>
      </c>
    </row>
    <row r="464" spans="1:7" x14ac:dyDescent="0.2">
      <c r="A464">
        <v>2151</v>
      </c>
      <c r="B464" s="10">
        <v>36526</v>
      </c>
      <c r="C464" s="10">
        <v>40840</v>
      </c>
      <c r="D464" s="10" t="s">
        <v>538</v>
      </c>
      <c r="F464">
        <v>3121</v>
      </c>
      <c r="G464" s="10">
        <v>40875</v>
      </c>
    </row>
    <row r="465" spans="1:7" x14ac:dyDescent="0.2">
      <c r="A465">
        <v>2152</v>
      </c>
      <c r="B465" s="10">
        <v>36526</v>
      </c>
      <c r="C465" s="10">
        <v>40840</v>
      </c>
      <c r="D465" s="10" t="s">
        <v>538</v>
      </c>
      <c r="F465">
        <v>3122</v>
      </c>
      <c r="G465" s="10">
        <v>40875</v>
      </c>
    </row>
    <row r="466" spans="1:7" x14ac:dyDescent="0.2">
      <c r="A466">
        <v>2153</v>
      </c>
      <c r="B466" s="10">
        <v>36526</v>
      </c>
      <c r="C466" s="10">
        <v>40840</v>
      </c>
      <c r="D466" s="10" t="s">
        <v>538</v>
      </c>
      <c r="F466">
        <v>3123</v>
      </c>
      <c r="G466" s="10">
        <v>40875</v>
      </c>
    </row>
    <row r="467" spans="1:7" x14ac:dyDescent="0.2">
      <c r="A467">
        <v>2154</v>
      </c>
      <c r="B467" s="10">
        <v>36526</v>
      </c>
      <c r="C467" s="10">
        <v>40840</v>
      </c>
      <c r="D467" s="10" t="s">
        <v>538</v>
      </c>
      <c r="F467">
        <v>3147</v>
      </c>
      <c r="G467" s="10">
        <v>40875</v>
      </c>
    </row>
    <row r="468" spans="1:7" x14ac:dyDescent="0.2">
      <c r="A468">
        <v>2155</v>
      </c>
      <c r="B468" s="10">
        <v>36526</v>
      </c>
      <c r="C468" s="10">
        <v>40840</v>
      </c>
      <c r="D468" s="10" t="s">
        <v>538</v>
      </c>
      <c r="F468">
        <v>3148</v>
      </c>
      <c r="G468" s="10">
        <v>40875</v>
      </c>
    </row>
    <row r="469" spans="1:7" x14ac:dyDescent="0.2">
      <c r="A469">
        <v>2156</v>
      </c>
      <c r="B469" s="10">
        <v>36526</v>
      </c>
      <c r="C469" s="10">
        <v>40840</v>
      </c>
      <c r="D469" s="10" t="s">
        <v>538</v>
      </c>
      <c r="F469">
        <v>3282</v>
      </c>
      <c r="G469" s="10">
        <v>40875</v>
      </c>
    </row>
    <row r="470" spans="1:7" x14ac:dyDescent="0.2">
      <c r="A470">
        <v>2157</v>
      </c>
      <c r="B470" s="10">
        <v>36526</v>
      </c>
      <c r="C470" s="10">
        <v>40840</v>
      </c>
      <c r="D470" s="10" t="s">
        <v>538</v>
      </c>
      <c r="F470">
        <v>3283</v>
      </c>
      <c r="G470" s="10">
        <v>40875</v>
      </c>
    </row>
    <row r="471" spans="1:7" x14ac:dyDescent="0.2">
      <c r="A471">
        <v>2158</v>
      </c>
      <c r="B471" s="10">
        <v>40004</v>
      </c>
      <c r="C471" s="10">
        <v>40268</v>
      </c>
      <c r="D471" s="10" t="s">
        <v>539</v>
      </c>
      <c r="F471">
        <v>3387</v>
      </c>
      <c r="G471" s="10">
        <v>40875</v>
      </c>
    </row>
    <row r="472" spans="1:7" x14ac:dyDescent="0.2">
      <c r="A472">
        <v>2159</v>
      </c>
      <c r="B472" s="10">
        <v>36526</v>
      </c>
      <c r="C472" s="10">
        <v>40291</v>
      </c>
      <c r="D472" s="10" t="s">
        <v>538</v>
      </c>
      <c r="F472">
        <v>3417</v>
      </c>
      <c r="G472" s="10">
        <v>40875</v>
      </c>
    </row>
    <row r="473" spans="1:7" x14ac:dyDescent="0.2">
      <c r="A473">
        <v>2160</v>
      </c>
      <c r="B473" s="10">
        <v>36526</v>
      </c>
      <c r="C473" s="10">
        <v>40291</v>
      </c>
      <c r="D473" s="10" t="s">
        <v>538</v>
      </c>
      <c r="F473">
        <v>3418</v>
      </c>
      <c r="G473" s="10">
        <v>40875</v>
      </c>
    </row>
    <row r="474" spans="1:7" x14ac:dyDescent="0.2">
      <c r="A474">
        <v>2161</v>
      </c>
      <c r="B474" s="10">
        <v>36526</v>
      </c>
      <c r="C474" s="10">
        <v>40291</v>
      </c>
      <c r="D474" s="10" t="s">
        <v>538</v>
      </c>
      <c r="F474">
        <v>3419</v>
      </c>
      <c r="G474" s="10">
        <v>40875</v>
      </c>
    </row>
    <row r="475" spans="1:7" x14ac:dyDescent="0.2">
      <c r="A475">
        <v>2162</v>
      </c>
      <c r="B475" s="10">
        <v>40011</v>
      </c>
      <c r="C475" s="10">
        <v>40268</v>
      </c>
      <c r="D475" s="10" t="s">
        <v>539</v>
      </c>
      <c r="F475">
        <v>3441</v>
      </c>
      <c r="G475" s="10">
        <v>40875</v>
      </c>
    </row>
    <row r="476" spans="1:7" x14ac:dyDescent="0.2">
      <c r="A476">
        <v>2163</v>
      </c>
      <c r="B476" s="10">
        <v>36526</v>
      </c>
      <c r="C476" s="10">
        <v>40840</v>
      </c>
      <c r="D476" s="10" t="s">
        <v>538</v>
      </c>
      <c r="F476">
        <v>3443</v>
      </c>
      <c r="G476" s="10">
        <v>40875</v>
      </c>
    </row>
    <row r="477" spans="1:7" x14ac:dyDescent="0.2">
      <c r="A477">
        <v>2166</v>
      </c>
      <c r="B477" s="10">
        <v>40014</v>
      </c>
      <c r="C477" s="10">
        <v>40574</v>
      </c>
      <c r="D477" s="10" t="s">
        <v>539</v>
      </c>
      <c r="F477">
        <v>3444</v>
      </c>
      <c r="G477" s="10">
        <v>40875</v>
      </c>
    </row>
    <row r="478" spans="1:7" x14ac:dyDescent="0.2">
      <c r="A478">
        <v>2167</v>
      </c>
      <c r="B478" s="10">
        <v>40014</v>
      </c>
      <c r="C478" s="10">
        <v>40574</v>
      </c>
      <c r="D478" s="10" t="s">
        <v>539</v>
      </c>
      <c r="F478">
        <v>3445</v>
      </c>
      <c r="G478" s="10">
        <v>40875</v>
      </c>
    </row>
    <row r="479" spans="1:7" x14ac:dyDescent="0.2">
      <c r="A479">
        <v>2168</v>
      </c>
      <c r="B479" s="10">
        <v>40035</v>
      </c>
      <c r="C479" s="10">
        <v>40291</v>
      </c>
      <c r="D479" s="10" t="s">
        <v>274</v>
      </c>
      <c r="F479">
        <v>3446</v>
      </c>
      <c r="G479" s="10">
        <v>40875</v>
      </c>
    </row>
    <row r="480" spans="1:7" x14ac:dyDescent="0.2">
      <c r="A480">
        <v>2173</v>
      </c>
      <c r="B480" s="10">
        <v>36526</v>
      </c>
      <c r="C480" s="10">
        <v>40414</v>
      </c>
      <c r="D480" s="10" t="s">
        <v>538</v>
      </c>
      <c r="F480">
        <v>3447</v>
      </c>
      <c r="G480" s="10">
        <v>40875</v>
      </c>
    </row>
    <row r="481" spans="1:7" x14ac:dyDescent="0.2">
      <c r="A481">
        <v>2178</v>
      </c>
      <c r="B481" s="10">
        <v>36526</v>
      </c>
      <c r="C481" s="10">
        <v>40480</v>
      </c>
      <c r="D481" s="10" t="s">
        <v>538</v>
      </c>
      <c r="F481">
        <v>3448</v>
      </c>
      <c r="G481" s="10">
        <v>40875</v>
      </c>
    </row>
    <row r="482" spans="1:7" x14ac:dyDescent="0.2">
      <c r="A482">
        <v>2179</v>
      </c>
      <c r="B482" s="10">
        <v>40023</v>
      </c>
      <c r="C482" s="10">
        <v>40268</v>
      </c>
      <c r="D482" s="10" t="s">
        <v>539</v>
      </c>
      <c r="F482">
        <v>3465</v>
      </c>
      <c r="G482" s="10">
        <v>40875</v>
      </c>
    </row>
    <row r="483" spans="1:7" x14ac:dyDescent="0.2">
      <c r="A483">
        <v>2182</v>
      </c>
      <c r="B483" s="10">
        <v>40052</v>
      </c>
      <c r="C483" s="10">
        <v>40268</v>
      </c>
      <c r="D483" s="10" t="s">
        <v>539</v>
      </c>
      <c r="F483">
        <v>3466</v>
      </c>
      <c r="G483" s="10">
        <v>40875</v>
      </c>
    </row>
    <row r="484" spans="1:7" x14ac:dyDescent="0.2">
      <c r="A484">
        <v>2190</v>
      </c>
      <c r="B484" s="10">
        <v>40025</v>
      </c>
      <c r="C484" s="10">
        <v>40862</v>
      </c>
      <c r="D484" s="10" t="s">
        <v>268</v>
      </c>
      <c r="F484">
        <v>3467</v>
      </c>
      <c r="G484" s="10">
        <v>40875</v>
      </c>
    </row>
    <row r="485" spans="1:7" x14ac:dyDescent="0.2">
      <c r="A485">
        <v>2192</v>
      </c>
      <c r="B485" s="10">
        <v>40024</v>
      </c>
      <c r="C485" s="10">
        <v>40473</v>
      </c>
      <c r="D485" s="10" t="s">
        <v>539</v>
      </c>
      <c r="F485">
        <v>3475</v>
      </c>
      <c r="G485" s="10">
        <v>40875</v>
      </c>
    </row>
    <row r="486" spans="1:7" x14ac:dyDescent="0.2">
      <c r="A486">
        <v>2197</v>
      </c>
      <c r="B486" s="10">
        <v>40142</v>
      </c>
      <c r="C486" s="10">
        <v>40574</v>
      </c>
      <c r="D486" s="10" t="s">
        <v>539</v>
      </c>
      <c r="F486">
        <v>3476</v>
      </c>
      <c r="G486" s="10">
        <v>40875</v>
      </c>
    </row>
    <row r="487" spans="1:7" x14ac:dyDescent="0.2">
      <c r="A487">
        <v>2212</v>
      </c>
      <c r="B487" s="10">
        <v>219148</v>
      </c>
      <c r="C487" s="10">
        <v>40268</v>
      </c>
      <c r="D487" s="10" t="s">
        <v>271</v>
      </c>
      <c r="F487">
        <v>3477</v>
      </c>
      <c r="G487" s="10">
        <v>40875</v>
      </c>
    </row>
    <row r="488" spans="1:7" x14ac:dyDescent="0.2">
      <c r="A488">
        <v>2214</v>
      </c>
      <c r="B488" s="10">
        <v>40037</v>
      </c>
      <c r="C488" s="10">
        <v>40858</v>
      </c>
      <c r="D488" s="10" t="s">
        <v>268</v>
      </c>
      <c r="F488">
        <v>3478</v>
      </c>
      <c r="G488" s="10">
        <v>40875</v>
      </c>
    </row>
    <row r="489" spans="1:7" x14ac:dyDescent="0.2">
      <c r="A489">
        <v>2215</v>
      </c>
      <c r="B489" s="10">
        <v>36526</v>
      </c>
      <c r="C489" s="10">
        <v>40268</v>
      </c>
      <c r="D489" s="10" t="s">
        <v>538</v>
      </c>
      <c r="F489">
        <v>3479</v>
      </c>
      <c r="G489" s="10">
        <v>40875</v>
      </c>
    </row>
    <row r="490" spans="1:7" x14ac:dyDescent="0.2">
      <c r="A490">
        <v>2217</v>
      </c>
      <c r="B490" s="10">
        <v>40043</v>
      </c>
      <c r="C490" s="10">
        <v>40268</v>
      </c>
      <c r="D490" s="10" t="s">
        <v>539</v>
      </c>
      <c r="F490">
        <v>3480</v>
      </c>
      <c r="G490" s="10">
        <v>40875</v>
      </c>
    </row>
    <row r="491" spans="1:7" x14ac:dyDescent="0.2">
      <c r="A491">
        <v>2218</v>
      </c>
      <c r="B491" s="10">
        <v>40043</v>
      </c>
      <c r="C491" s="10">
        <v>40512</v>
      </c>
      <c r="D491" s="10" t="s">
        <v>539</v>
      </c>
      <c r="F491">
        <v>3481</v>
      </c>
      <c r="G491" s="10">
        <v>40875</v>
      </c>
    </row>
    <row r="492" spans="1:7" x14ac:dyDescent="0.2">
      <c r="A492">
        <v>2219</v>
      </c>
      <c r="B492" s="10">
        <v>36526</v>
      </c>
      <c r="C492" s="10">
        <v>40268</v>
      </c>
      <c r="D492" s="10" t="s">
        <v>538</v>
      </c>
      <c r="F492">
        <v>3482</v>
      </c>
      <c r="G492" s="10">
        <v>40875</v>
      </c>
    </row>
    <row r="493" spans="1:7" x14ac:dyDescent="0.2">
      <c r="A493">
        <v>2222</v>
      </c>
      <c r="B493" s="10">
        <v>40063</v>
      </c>
      <c r="C493" s="10">
        <v>40389</v>
      </c>
      <c r="D493" s="10" t="s">
        <v>269</v>
      </c>
      <c r="F493">
        <v>3488</v>
      </c>
      <c r="G493" s="10">
        <v>40875</v>
      </c>
    </row>
    <row r="494" spans="1:7" x14ac:dyDescent="0.2">
      <c r="A494">
        <v>2223</v>
      </c>
      <c r="B494" s="10">
        <v>36526</v>
      </c>
      <c r="C494" s="10">
        <v>40574</v>
      </c>
      <c r="D494" s="10" t="s">
        <v>538</v>
      </c>
      <c r="F494">
        <v>3489</v>
      </c>
      <c r="G494" s="10">
        <v>40875</v>
      </c>
    </row>
    <row r="495" spans="1:7" x14ac:dyDescent="0.2">
      <c r="A495">
        <v>2224</v>
      </c>
      <c r="B495" s="10">
        <v>36526</v>
      </c>
      <c r="C495" s="10">
        <v>40574</v>
      </c>
      <c r="D495" s="10" t="s">
        <v>538</v>
      </c>
      <c r="F495">
        <v>3495</v>
      </c>
      <c r="G495" s="10">
        <v>40875</v>
      </c>
    </row>
    <row r="496" spans="1:7" x14ac:dyDescent="0.2">
      <c r="A496">
        <v>2225</v>
      </c>
      <c r="B496" s="10">
        <v>36526</v>
      </c>
      <c r="C496" s="10">
        <v>40574</v>
      </c>
      <c r="D496" s="10" t="s">
        <v>538</v>
      </c>
      <c r="F496">
        <v>3496</v>
      </c>
      <c r="G496" s="10">
        <v>40875</v>
      </c>
    </row>
    <row r="497" spans="1:7" x14ac:dyDescent="0.2">
      <c r="A497">
        <v>2226</v>
      </c>
      <c r="B497" s="10">
        <v>36526</v>
      </c>
      <c r="C497" s="10">
        <v>40574</v>
      </c>
      <c r="D497" s="10" t="s">
        <v>538</v>
      </c>
      <c r="F497">
        <v>3497</v>
      </c>
      <c r="G497" s="10">
        <v>40875</v>
      </c>
    </row>
    <row r="498" spans="1:7" x14ac:dyDescent="0.2">
      <c r="A498">
        <v>2227</v>
      </c>
      <c r="B498" s="10">
        <v>36526</v>
      </c>
      <c r="C498" s="10">
        <v>40574</v>
      </c>
      <c r="D498" s="10" t="s">
        <v>538</v>
      </c>
      <c r="F498">
        <v>3514</v>
      </c>
      <c r="G498" s="10">
        <v>40875</v>
      </c>
    </row>
    <row r="499" spans="1:7" x14ac:dyDescent="0.2">
      <c r="A499">
        <v>2229</v>
      </c>
      <c r="B499" s="10">
        <v>36526</v>
      </c>
      <c r="C499" s="10">
        <v>40473</v>
      </c>
      <c r="D499" s="10" t="s">
        <v>538</v>
      </c>
      <c r="F499">
        <v>3519</v>
      </c>
      <c r="G499" s="10">
        <v>40875</v>
      </c>
    </row>
    <row r="500" spans="1:7" x14ac:dyDescent="0.2">
      <c r="A500">
        <v>2231</v>
      </c>
      <c r="B500" s="10">
        <v>36526</v>
      </c>
      <c r="C500" s="10">
        <v>40473</v>
      </c>
      <c r="D500" s="10" t="s">
        <v>538</v>
      </c>
      <c r="F500">
        <v>3520</v>
      </c>
      <c r="G500" s="10">
        <v>40875</v>
      </c>
    </row>
    <row r="501" spans="1:7" x14ac:dyDescent="0.2">
      <c r="A501">
        <v>2232</v>
      </c>
      <c r="B501" s="10">
        <v>36526</v>
      </c>
      <c r="C501" s="10">
        <v>40473</v>
      </c>
      <c r="D501" s="10" t="s">
        <v>538</v>
      </c>
      <c r="F501">
        <v>3521</v>
      </c>
      <c r="G501" s="10">
        <v>40875</v>
      </c>
    </row>
    <row r="502" spans="1:7" x14ac:dyDescent="0.2">
      <c r="A502">
        <v>2233</v>
      </c>
      <c r="B502" s="10">
        <v>36526</v>
      </c>
      <c r="C502" s="10">
        <v>40473</v>
      </c>
      <c r="D502" s="10" t="s">
        <v>538</v>
      </c>
      <c r="F502">
        <v>3522</v>
      </c>
      <c r="G502" s="10">
        <v>40875</v>
      </c>
    </row>
    <row r="503" spans="1:7" x14ac:dyDescent="0.2">
      <c r="A503">
        <v>2235</v>
      </c>
      <c r="B503" s="10">
        <v>40052</v>
      </c>
      <c r="C503" s="10">
        <v>40291</v>
      </c>
      <c r="D503" s="10" t="s">
        <v>539</v>
      </c>
      <c r="F503">
        <v>3523</v>
      </c>
      <c r="G503" s="10">
        <v>40875</v>
      </c>
    </row>
    <row r="504" spans="1:7" x14ac:dyDescent="0.2">
      <c r="A504">
        <v>2238</v>
      </c>
      <c r="B504" s="10">
        <v>40056</v>
      </c>
      <c r="C504" s="10">
        <v>40694</v>
      </c>
      <c r="D504" s="10" t="s">
        <v>539</v>
      </c>
      <c r="F504">
        <v>3524</v>
      </c>
      <c r="G504" s="10">
        <v>40875</v>
      </c>
    </row>
    <row r="505" spans="1:7" x14ac:dyDescent="0.2">
      <c r="A505">
        <v>2239</v>
      </c>
      <c r="B505" s="10">
        <v>36526</v>
      </c>
      <c r="C505" s="10">
        <v>40473</v>
      </c>
      <c r="D505" s="10" t="s">
        <v>538</v>
      </c>
      <c r="F505">
        <v>3525</v>
      </c>
      <c r="G505" s="10">
        <v>40875</v>
      </c>
    </row>
    <row r="506" spans="1:7" x14ac:dyDescent="0.2">
      <c r="A506">
        <v>2240</v>
      </c>
      <c r="B506" s="10">
        <v>36526</v>
      </c>
      <c r="C506" s="10">
        <v>40473</v>
      </c>
      <c r="D506" s="10" t="s">
        <v>538</v>
      </c>
      <c r="F506">
        <v>3526</v>
      </c>
      <c r="G506" s="10">
        <v>40875</v>
      </c>
    </row>
    <row r="507" spans="1:7" x14ac:dyDescent="0.2">
      <c r="A507">
        <v>2241</v>
      </c>
      <c r="B507" s="10">
        <v>36526</v>
      </c>
      <c r="C507" s="10">
        <v>40329</v>
      </c>
      <c r="D507" s="10" t="s">
        <v>538</v>
      </c>
      <c r="F507">
        <v>3554</v>
      </c>
      <c r="G507" s="10">
        <v>40875</v>
      </c>
    </row>
    <row r="508" spans="1:7" x14ac:dyDescent="0.2">
      <c r="A508">
        <v>2242</v>
      </c>
      <c r="B508" s="10">
        <v>36526</v>
      </c>
      <c r="C508" s="10">
        <v>40473</v>
      </c>
      <c r="D508" s="10" t="s">
        <v>538</v>
      </c>
      <c r="F508">
        <v>3555</v>
      </c>
      <c r="G508" s="10">
        <v>40875</v>
      </c>
    </row>
    <row r="509" spans="1:7" x14ac:dyDescent="0.2">
      <c r="A509">
        <v>2243</v>
      </c>
      <c r="B509" s="10">
        <v>36526</v>
      </c>
      <c r="C509" s="10">
        <v>40840</v>
      </c>
      <c r="D509" s="10" t="s">
        <v>538</v>
      </c>
      <c r="F509">
        <v>3565</v>
      </c>
      <c r="G509" s="10">
        <v>40875</v>
      </c>
    </row>
    <row r="510" spans="1:7" x14ac:dyDescent="0.2">
      <c r="A510">
        <v>2244</v>
      </c>
      <c r="B510" s="10">
        <v>40053</v>
      </c>
      <c r="C510" s="10">
        <v>40816</v>
      </c>
      <c r="D510" s="10" t="s">
        <v>539</v>
      </c>
      <c r="F510">
        <v>3566</v>
      </c>
      <c r="G510" s="10">
        <v>40875</v>
      </c>
    </row>
    <row r="511" spans="1:7" x14ac:dyDescent="0.2">
      <c r="A511">
        <v>2245</v>
      </c>
      <c r="B511" s="10">
        <v>40053</v>
      </c>
      <c r="C511" s="10">
        <v>40617</v>
      </c>
      <c r="D511" s="10" t="s">
        <v>539</v>
      </c>
      <c r="F511">
        <v>3568</v>
      </c>
      <c r="G511" s="10">
        <v>40875</v>
      </c>
    </row>
    <row r="512" spans="1:7" x14ac:dyDescent="0.2">
      <c r="A512">
        <v>2249</v>
      </c>
      <c r="B512" s="10">
        <v>40066</v>
      </c>
      <c r="C512" s="10">
        <v>40291</v>
      </c>
      <c r="D512" s="10" t="s">
        <v>274</v>
      </c>
      <c r="F512">
        <v>3576</v>
      </c>
      <c r="G512" s="10">
        <v>40875</v>
      </c>
    </row>
    <row r="513" spans="1:7" x14ac:dyDescent="0.2">
      <c r="A513">
        <v>2251</v>
      </c>
      <c r="B513" s="10">
        <v>36526</v>
      </c>
      <c r="C513" s="10">
        <v>40626</v>
      </c>
      <c r="D513" s="10" t="s">
        <v>538</v>
      </c>
      <c r="F513">
        <v>3577</v>
      </c>
      <c r="G513" s="10">
        <v>40875</v>
      </c>
    </row>
    <row r="514" spans="1:7" x14ac:dyDescent="0.2">
      <c r="A514">
        <v>2257</v>
      </c>
      <c r="B514" s="10">
        <v>36526</v>
      </c>
      <c r="C514" s="10">
        <v>40329</v>
      </c>
      <c r="D514" s="10" t="s">
        <v>538</v>
      </c>
      <c r="F514">
        <v>3578</v>
      </c>
      <c r="G514" s="10">
        <v>40875</v>
      </c>
    </row>
    <row r="515" spans="1:7" x14ac:dyDescent="0.2">
      <c r="A515">
        <v>2258</v>
      </c>
      <c r="B515" s="10">
        <v>36526</v>
      </c>
      <c r="C515" s="10">
        <v>40473</v>
      </c>
      <c r="D515" s="10" t="s">
        <v>538</v>
      </c>
      <c r="F515">
        <v>3579</v>
      </c>
      <c r="G515" s="10">
        <v>40875</v>
      </c>
    </row>
    <row r="516" spans="1:7" x14ac:dyDescent="0.2">
      <c r="A516">
        <v>2259</v>
      </c>
      <c r="B516" s="10">
        <v>36526</v>
      </c>
      <c r="C516" s="10">
        <v>40473</v>
      </c>
      <c r="D516" s="10" t="s">
        <v>538</v>
      </c>
      <c r="F516">
        <v>3580</v>
      </c>
      <c r="G516" s="10">
        <v>40875</v>
      </c>
    </row>
    <row r="517" spans="1:7" x14ac:dyDescent="0.2">
      <c r="A517">
        <v>2260</v>
      </c>
      <c r="B517" s="10">
        <v>36526</v>
      </c>
      <c r="C517" s="10">
        <v>40473</v>
      </c>
      <c r="D517" s="10" t="s">
        <v>538</v>
      </c>
      <c r="F517">
        <v>3581</v>
      </c>
      <c r="G517" s="10">
        <v>40875</v>
      </c>
    </row>
    <row r="518" spans="1:7" x14ac:dyDescent="0.2">
      <c r="A518">
        <v>2261</v>
      </c>
      <c r="B518" s="10">
        <v>36526</v>
      </c>
      <c r="C518" s="10">
        <v>40268</v>
      </c>
      <c r="D518" s="10" t="s">
        <v>538</v>
      </c>
      <c r="F518">
        <v>3585</v>
      </c>
      <c r="G518" s="10">
        <v>40875</v>
      </c>
    </row>
    <row r="519" spans="1:7" x14ac:dyDescent="0.2">
      <c r="A519">
        <v>2262</v>
      </c>
      <c r="B519" s="10">
        <v>36526</v>
      </c>
      <c r="C519" s="10">
        <v>40268</v>
      </c>
      <c r="D519" s="10" t="s">
        <v>538</v>
      </c>
      <c r="F519">
        <v>3586</v>
      </c>
      <c r="G519" s="10">
        <v>40875</v>
      </c>
    </row>
    <row r="520" spans="1:7" x14ac:dyDescent="0.2">
      <c r="A520">
        <v>2263</v>
      </c>
      <c r="B520" s="10">
        <v>36526</v>
      </c>
      <c r="C520" s="10">
        <v>40268</v>
      </c>
      <c r="D520" s="10" t="s">
        <v>538</v>
      </c>
      <c r="F520">
        <v>3587</v>
      </c>
      <c r="G520" s="10">
        <v>40875</v>
      </c>
    </row>
    <row r="521" spans="1:7" x14ac:dyDescent="0.2">
      <c r="A521">
        <v>2265</v>
      </c>
      <c r="B521" s="10">
        <v>36526</v>
      </c>
      <c r="C521" s="10">
        <v>40329</v>
      </c>
      <c r="D521" s="10" t="s">
        <v>538</v>
      </c>
      <c r="F521">
        <v>3591</v>
      </c>
      <c r="G521" s="10">
        <v>40875</v>
      </c>
    </row>
    <row r="522" spans="1:7" x14ac:dyDescent="0.2">
      <c r="A522">
        <v>2266</v>
      </c>
      <c r="B522" s="10">
        <v>40071</v>
      </c>
      <c r="C522" s="10">
        <v>40268</v>
      </c>
      <c r="D522" s="10" t="s">
        <v>539</v>
      </c>
      <c r="F522">
        <v>3592</v>
      </c>
      <c r="G522" s="10">
        <v>40875</v>
      </c>
    </row>
    <row r="523" spans="1:7" x14ac:dyDescent="0.2">
      <c r="A523">
        <v>2271</v>
      </c>
      <c r="B523" s="10">
        <v>40086</v>
      </c>
      <c r="C523" s="10">
        <v>40840</v>
      </c>
      <c r="D523" s="10" t="s">
        <v>539</v>
      </c>
      <c r="F523">
        <v>3593</v>
      </c>
      <c r="G523" s="10">
        <v>40875</v>
      </c>
    </row>
    <row r="524" spans="1:7" x14ac:dyDescent="0.2">
      <c r="A524">
        <v>2273</v>
      </c>
      <c r="B524" s="10">
        <v>40079</v>
      </c>
      <c r="C524" s="10">
        <v>40512</v>
      </c>
      <c r="D524" s="10" t="s">
        <v>539</v>
      </c>
      <c r="F524">
        <v>3631</v>
      </c>
      <c r="G524" s="10">
        <v>40875</v>
      </c>
    </row>
    <row r="525" spans="1:7" x14ac:dyDescent="0.2">
      <c r="A525">
        <v>2275</v>
      </c>
      <c r="B525" s="10">
        <v>36526</v>
      </c>
      <c r="C525" s="10">
        <v>40473</v>
      </c>
      <c r="D525" s="10" t="s">
        <v>538</v>
      </c>
      <c r="F525">
        <v>3632</v>
      </c>
      <c r="G525" s="10">
        <v>40875</v>
      </c>
    </row>
    <row r="526" spans="1:7" x14ac:dyDescent="0.2">
      <c r="A526">
        <v>2276</v>
      </c>
      <c r="B526" s="10">
        <v>36526</v>
      </c>
      <c r="C526" s="10">
        <v>40473</v>
      </c>
      <c r="D526" s="10" t="s">
        <v>538</v>
      </c>
      <c r="F526">
        <v>3633</v>
      </c>
      <c r="G526" s="10">
        <v>40875</v>
      </c>
    </row>
    <row r="527" spans="1:7" x14ac:dyDescent="0.2">
      <c r="A527">
        <v>2277</v>
      </c>
      <c r="B527" s="10">
        <v>36526</v>
      </c>
      <c r="C527" s="10">
        <v>40473</v>
      </c>
      <c r="D527" s="10" t="s">
        <v>538</v>
      </c>
      <c r="F527">
        <v>3675</v>
      </c>
      <c r="G527" s="10">
        <v>40716</v>
      </c>
    </row>
    <row r="528" spans="1:7" x14ac:dyDescent="0.2">
      <c r="A528">
        <v>2278</v>
      </c>
      <c r="B528" s="10">
        <v>40101</v>
      </c>
      <c r="C528" s="10">
        <v>40268</v>
      </c>
      <c r="D528" s="10" t="s">
        <v>275</v>
      </c>
      <c r="F528">
        <v>3685</v>
      </c>
      <c r="G528" s="10">
        <v>40875</v>
      </c>
    </row>
    <row r="529" spans="1:7" x14ac:dyDescent="0.2">
      <c r="A529">
        <v>2283</v>
      </c>
      <c r="B529" s="10">
        <v>40074</v>
      </c>
      <c r="C529" s="10">
        <v>40617</v>
      </c>
      <c r="D529" s="10" t="s">
        <v>539</v>
      </c>
      <c r="F529">
        <v>3771</v>
      </c>
      <c r="G529" s="10">
        <v>40875</v>
      </c>
    </row>
    <row r="530" spans="1:7" x14ac:dyDescent="0.2">
      <c r="A530">
        <v>2285</v>
      </c>
      <c r="B530" s="10">
        <v>40098</v>
      </c>
      <c r="C530" s="10">
        <v>40359</v>
      </c>
      <c r="D530" s="10" t="s">
        <v>274</v>
      </c>
      <c r="F530">
        <v>3792</v>
      </c>
      <c r="G530" s="10">
        <v>40875</v>
      </c>
    </row>
    <row r="531" spans="1:7" x14ac:dyDescent="0.2">
      <c r="A531">
        <v>2303</v>
      </c>
      <c r="B531" s="10">
        <v>219148</v>
      </c>
      <c r="C531" s="10">
        <v>40536</v>
      </c>
      <c r="D531" s="10" t="s">
        <v>273</v>
      </c>
      <c r="F531">
        <v>3793</v>
      </c>
      <c r="G531" s="10">
        <v>40875</v>
      </c>
    </row>
    <row r="532" spans="1:7" x14ac:dyDescent="0.2">
      <c r="A532">
        <v>2379</v>
      </c>
      <c r="B532" s="10">
        <v>36526</v>
      </c>
      <c r="C532" s="10">
        <v>40626</v>
      </c>
      <c r="D532" s="10" t="s">
        <v>273</v>
      </c>
      <c r="F532">
        <v>3806</v>
      </c>
      <c r="G532" s="10">
        <v>40875</v>
      </c>
    </row>
    <row r="533" spans="1:7" x14ac:dyDescent="0.2">
      <c r="A533">
        <v>2380</v>
      </c>
      <c r="B533" s="10">
        <v>36526</v>
      </c>
      <c r="C533" s="10">
        <v>40626</v>
      </c>
      <c r="D533" s="10" t="s">
        <v>273</v>
      </c>
      <c r="F533">
        <v>3807</v>
      </c>
      <c r="G533" s="10">
        <v>40875</v>
      </c>
    </row>
    <row r="534" spans="1:7" x14ac:dyDescent="0.2">
      <c r="A534">
        <v>2385</v>
      </c>
      <c r="B534" s="10">
        <v>40868</v>
      </c>
      <c r="C534" s="10">
        <v>40868</v>
      </c>
      <c r="D534" s="10" t="s">
        <v>273</v>
      </c>
      <c r="F534">
        <v>3823</v>
      </c>
      <c r="G534" s="10">
        <v>40875</v>
      </c>
    </row>
    <row r="535" spans="1:7" x14ac:dyDescent="0.2">
      <c r="A535">
        <v>2396</v>
      </c>
      <c r="B535" s="10">
        <v>40730</v>
      </c>
      <c r="C535" s="10">
        <v>40730</v>
      </c>
      <c r="D535" s="10" t="s">
        <v>273</v>
      </c>
      <c r="F535">
        <v>3824</v>
      </c>
      <c r="G535" s="10">
        <v>40875</v>
      </c>
    </row>
    <row r="536" spans="1:7" x14ac:dyDescent="0.2">
      <c r="A536">
        <v>2397</v>
      </c>
      <c r="B536" s="10">
        <v>36526</v>
      </c>
      <c r="C536" s="10">
        <v>40694</v>
      </c>
      <c r="D536" s="10" t="s">
        <v>273</v>
      </c>
      <c r="F536">
        <v>3825</v>
      </c>
      <c r="G536" s="10">
        <v>40875</v>
      </c>
    </row>
    <row r="537" spans="1:7" x14ac:dyDescent="0.2">
      <c r="A537">
        <v>2401</v>
      </c>
      <c r="B537" s="10">
        <v>36526</v>
      </c>
      <c r="C537" s="10">
        <v>40786</v>
      </c>
      <c r="D537" s="10" t="s">
        <v>273</v>
      </c>
      <c r="F537">
        <v>3826</v>
      </c>
      <c r="G537" s="10">
        <v>40875</v>
      </c>
    </row>
    <row r="538" spans="1:7" x14ac:dyDescent="0.2">
      <c r="A538">
        <v>2405</v>
      </c>
      <c r="B538" s="10">
        <v>40098</v>
      </c>
      <c r="C538" s="10">
        <v>40359</v>
      </c>
      <c r="D538" s="10" t="s">
        <v>274</v>
      </c>
      <c r="F538">
        <v>3919</v>
      </c>
      <c r="G538" s="10">
        <v>40875</v>
      </c>
    </row>
    <row r="539" spans="1:7" x14ac:dyDescent="0.2">
      <c r="A539">
        <v>2417</v>
      </c>
      <c r="B539" s="10">
        <v>40098</v>
      </c>
      <c r="C539" s="10">
        <v>40444</v>
      </c>
      <c r="D539" s="10" t="s">
        <v>274</v>
      </c>
      <c r="F539">
        <v>3920</v>
      </c>
      <c r="G539" s="10">
        <v>40875</v>
      </c>
    </row>
    <row r="540" spans="1:7" x14ac:dyDescent="0.2">
      <c r="A540">
        <v>2423</v>
      </c>
      <c r="B540" s="10">
        <v>36526</v>
      </c>
      <c r="C540" s="10">
        <v>40329</v>
      </c>
      <c r="D540" s="10" t="s">
        <v>538</v>
      </c>
      <c r="F540">
        <v>3921</v>
      </c>
      <c r="G540" s="10">
        <v>40875</v>
      </c>
    </row>
    <row r="541" spans="1:7" x14ac:dyDescent="0.2">
      <c r="A541">
        <v>2424</v>
      </c>
      <c r="B541" s="10">
        <v>36526</v>
      </c>
      <c r="C541" s="10">
        <v>40329</v>
      </c>
      <c r="D541" s="10" t="s">
        <v>538</v>
      </c>
      <c r="F541">
        <v>3922</v>
      </c>
      <c r="G541" s="10">
        <v>40875</v>
      </c>
    </row>
    <row r="542" spans="1:7" x14ac:dyDescent="0.2">
      <c r="A542">
        <v>2425</v>
      </c>
      <c r="B542" s="10">
        <v>36526</v>
      </c>
      <c r="C542" s="10">
        <v>40329</v>
      </c>
      <c r="D542" s="10" t="s">
        <v>538</v>
      </c>
      <c r="F542">
        <v>3923</v>
      </c>
      <c r="G542" s="10">
        <v>40875</v>
      </c>
    </row>
    <row r="543" spans="1:7" x14ac:dyDescent="0.2">
      <c r="A543">
        <v>2426</v>
      </c>
      <c r="B543" s="10">
        <v>36526</v>
      </c>
      <c r="C543" s="10">
        <v>40329</v>
      </c>
      <c r="D543" s="10" t="s">
        <v>538</v>
      </c>
      <c r="F543">
        <v>3924</v>
      </c>
      <c r="G543" s="10">
        <v>40875</v>
      </c>
    </row>
    <row r="544" spans="1:7" x14ac:dyDescent="0.2">
      <c r="A544">
        <v>2427</v>
      </c>
      <c r="B544" s="10">
        <v>36526</v>
      </c>
      <c r="C544" s="10">
        <v>40329</v>
      </c>
      <c r="D544" s="10" t="s">
        <v>538</v>
      </c>
      <c r="F544">
        <v>3925</v>
      </c>
      <c r="G544" s="10">
        <v>40875</v>
      </c>
    </row>
    <row r="545" spans="1:7" x14ac:dyDescent="0.2">
      <c r="A545">
        <v>2428</v>
      </c>
      <c r="B545" s="10">
        <v>36526</v>
      </c>
      <c r="C545" s="10">
        <v>40329</v>
      </c>
      <c r="D545" s="10" t="s">
        <v>538</v>
      </c>
      <c r="F545">
        <v>3926</v>
      </c>
      <c r="G545" s="10">
        <v>40875</v>
      </c>
    </row>
    <row r="546" spans="1:7" x14ac:dyDescent="0.2">
      <c r="A546">
        <v>2429</v>
      </c>
      <c r="B546" s="10">
        <v>36526</v>
      </c>
      <c r="C546" s="10">
        <v>40329</v>
      </c>
      <c r="D546" s="10" t="s">
        <v>538</v>
      </c>
      <c r="F546">
        <v>3948</v>
      </c>
      <c r="G546" s="10">
        <v>40875</v>
      </c>
    </row>
    <row r="547" spans="1:7" x14ac:dyDescent="0.2">
      <c r="A547">
        <v>2430</v>
      </c>
      <c r="B547" s="10">
        <v>36526</v>
      </c>
      <c r="C547" s="10">
        <v>40329</v>
      </c>
      <c r="D547" s="10" t="s">
        <v>538</v>
      </c>
      <c r="F547">
        <v>3949</v>
      </c>
      <c r="G547" s="10">
        <v>40875</v>
      </c>
    </row>
    <row r="548" spans="1:7" x14ac:dyDescent="0.2">
      <c r="A548">
        <v>2431</v>
      </c>
      <c r="B548" s="10">
        <v>36526</v>
      </c>
      <c r="C548" s="10">
        <v>40329</v>
      </c>
      <c r="D548" s="10" t="s">
        <v>538</v>
      </c>
      <c r="F548">
        <v>3950</v>
      </c>
      <c r="G548" s="10">
        <v>40875</v>
      </c>
    </row>
    <row r="549" spans="1:7" x14ac:dyDescent="0.2">
      <c r="A549">
        <v>2432</v>
      </c>
      <c r="B549" s="10">
        <v>36526</v>
      </c>
      <c r="C549" s="10">
        <v>40329</v>
      </c>
      <c r="D549" s="10" t="s">
        <v>538</v>
      </c>
      <c r="F549">
        <v>3951</v>
      </c>
      <c r="G549" s="10">
        <v>40875</v>
      </c>
    </row>
    <row r="550" spans="1:7" x14ac:dyDescent="0.2">
      <c r="A550">
        <v>2433</v>
      </c>
      <c r="B550" s="10">
        <v>36526</v>
      </c>
      <c r="C550" s="10">
        <v>40329</v>
      </c>
      <c r="D550" s="10" t="s">
        <v>538</v>
      </c>
      <c r="F550">
        <v>3965</v>
      </c>
      <c r="G550" s="10">
        <v>40875</v>
      </c>
    </row>
    <row r="551" spans="1:7" x14ac:dyDescent="0.2">
      <c r="A551">
        <v>2434</v>
      </c>
      <c r="B551" s="10">
        <v>36526</v>
      </c>
      <c r="C551" s="10">
        <v>40512</v>
      </c>
      <c r="D551" s="10" t="s">
        <v>538</v>
      </c>
      <c r="F551">
        <v>3966</v>
      </c>
      <c r="G551" s="10">
        <v>40875</v>
      </c>
    </row>
    <row r="552" spans="1:7" x14ac:dyDescent="0.2">
      <c r="A552">
        <v>2435</v>
      </c>
      <c r="B552" s="10">
        <v>36526</v>
      </c>
      <c r="C552" s="10">
        <v>40512</v>
      </c>
      <c r="D552" s="10" t="s">
        <v>538</v>
      </c>
      <c r="F552">
        <v>3989</v>
      </c>
      <c r="G552" s="10">
        <v>40875</v>
      </c>
    </row>
    <row r="553" spans="1:7" x14ac:dyDescent="0.2">
      <c r="A553">
        <v>2436</v>
      </c>
      <c r="B553" s="10">
        <v>36526</v>
      </c>
      <c r="C553" s="10">
        <v>40512</v>
      </c>
      <c r="D553" s="10" t="s">
        <v>538</v>
      </c>
      <c r="F553">
        <v>3990</v>
      </c>
      <c r="G553" s="10">
        <v>40875</v>
      </c>
    </row>
    <row r="554" spans="1:7" x14ac:dyDescent="0.2">
      <c r="A554">
        <v>2438</v>
      </c>
      <c r="B554" s="10">
        <v>40095</v>
      </c>
      <c r="C554" s="10">
        <v>40268</v>
      </c>
      <c r="D554" s="10" t="s">
        <v>539</v>
      </c>
      <c r="F554">
        <v>4067</v>
      </c>
      <c r="G554" s="10">
        <v>40875</v>
      </c>
    </row>
    <row r="555" spans="1:7" x14ac:dyDescent="0.2">
      <c r="A555">
        <v>2439</v>
      </c>
      <c r="B555" s="10">
        <v>36526</v>
      </c>
      <c r="C555" s="10">
        <v>40512</v>
      </c>
      <c r="D555" s="10" t="s">
        <v>538</v>
      </c>
      <c r="F555">
        <v>4068</v>
      </c>
      <c r="G555" s="10">
        <v>40875</v>
      </c>
    </row>
    <row r="556" spans="1:7" x14ac:dyDescent="0.2">
      <c r="A556">
        <v>2441</v>
      </c>
      <c r="B556" s="10">
        <v>36526</v>
      </c>
      <c r="C556" s="10">
        <v>40473</v>
      </c>
      <c r="D556" s="10" t="s">
        <v>538</v>
      </c>
      <c r="F556">
        <v>4099</v>
      </c>
      <c r="G556" s="10">
        <v>40875</v>
      </c>
    </row>
    <row r="557" spans="1:7" x14ac:dyDescent="0.2">
      <c r="A557">
        <v>2442</v>
      </c>
      <c r="B557" s="10">
        <v>36526</v>
      </c>
      <c r="C557" s="10">
        <v>40473</v>
      </c>
      <c r="D557" s="10" t="s">
        <v>538</v>
      </c>
      <c r="F557">
        <v>4100</v>
      </c>
      <c r="G557" s="10">
        <v>40875</v>
      </c>
    </row>
    <row r="558" spans="1:7" x14ac:dyDescent="0.2">
      <c r="A558">
        <v>2443</v>
      </c>
      <c r="B558" s="10">
        <v>36526</v>
      </c>
      <c r="C558" s="10">
        <v>40473</v>
      </c>
      <c r="D558" s="10" t="s">
        <v>538</v>
      </c>
      <c r="F558">
        <v>4101</v>
      </c>
      <c r="G558" s="10">
        <v>40875</v>
      </c>
    </row>
    <row r="559" spans="1:7" x14ac:dyDescent="0.2">
      <c r="A559">
        <v>2444</v>
      </c>
      <c r="B559" s="10">
        <v>36526</v>
      </c>
      <c r="C559" s="10">
        <v>40329</v>
      </c>
      <c r="D559" s="10" t="s">
        <v>538</v>
      </c>
      <c r="F559">
        <v>4102</v>
      </c>
      <c r="G559" s="10">
        <v>40875</v>
      </c>
    </row>
    <row r="560" spans="1:7" x14ac:dyDescent="0.2">
      <c r="A560">
        <v>2445</v>
      </c>
      <c r="B560" s="10">
        <v>40100</v>
      </c>
      <c r="C560" s="10">
        <v>40268</v>
      </c>
      <c r="D560" s="10" t="s">
        <v>539</v>
      </c>
      <c r="F560">
        <v>4103</v>
      </c>
      <c r="G560" s="10">
        <v>40875</v>
      </c>
    </row>
    <row r="561" spans="1:7" x14ac:dyDescent="0.2">
      <c r="A561">
        <v>2446</v>
      </c>
      <c r="B561" s="10">
        <v>36526</v>
      </c>
      <c r="C561" s="10">
        <v>40543</v>
      </c>
      <c r="D561" s="10" t="s">
        <v>538</v>
      </c>
      <c r="F561">
        <v>4107</v>
      </c>
      <c r="G561" s="10">
        <v>40875</v>
      </c>
    </row>
    <row r="562" spans="1:7" x14ac:dyDescent="0.2">
      <c r="A562">
        <v>2447</v>
      </c>
      <c r="B562" s="10">
        <v>36526</v>
      </c>
      <c r="C562" s="10">
        <v>40543</v>
      </c>
      <c r="D562" s="10" t="s">
        <v>538</v>
      </c>
      <c r="F562">
        <v>4108</v>
      </c>
      <c r="G562" s="10">
        <v>40875</v>
      </c>
    </row>
    <row r="563" spans="1:7" x14ac:dyDescent="0.2">
      <c r="A563">
        <v>2449</v>
      </c>
      <c r="B563" s="10">
        <v>36526</v>
      </c>
      <c r="C563" s="10">
        <v>40512</v>
      </c>
      <c r="D563" s="10" t="s">
        <v>538</v>
      </c>
      <c r="F563">
        <v>4109</v>
      </c>
      <c r="G563" s="10">
        <v>40875</v>
      </c>
    </row>
    <row r="564" spans="1:7" x14ac:dyDescent="0.2">
      <c r="A564">
        <v>2450</v>
      </c>
      <c r="B564" s="10">
        <v>40122</v>
      </c>
      <c r="C564" s="10">
        <v>40451</v>
      </c>
      <c r="D564" s="10" t="s">
        <v>269</v>
      </c>
      <c r="F564">
        <v>4110</v>
      </c>
      <c r="G564" s="10">
        <v>40875</v>
      </c>
    </row>
    <row r="565" spans="1:7" x14ac:dyDescent="0.2">
      <c r="A565">
        <v>2452</v>
      </c>
      <c r="B565" s="10">
        <v>39435</v>
      </c>
      <c r="C565" s="10">
        <v>40847</v>
      </c>
      <c r="D565" s="10" t="s">
        <v>538</v>
      </c>
      <c r="F565">
        <v>4111</v>
      </c>
      <c r="G565" s="10">
        <v>40875</v>
      </c>
    </row>
    <row r="566" spans="1:7" x14ac:dyDescent="0.2">
      <c r="A566">
        <v>2453</v>
      </c>
      <c r="B566" s="10">
        <v>39252</v>
      </c>
      <c r="C566" s="10">
        <v>40847</v>
      </c>
      <c r="D566" s="10" t="s">
        <v>538</v>
      </c>
      <c r="F566">
        <v>4116</v>
      </c>
      <c r="G566" s="10">
        <v>40875</v>
      </c>
    </row>
    <row r="567" spans="1:7" x14ac:dyDescent="0.2">
      <c r="A567">
        <v>2454</v>
      </c>
      <c r="B567" s="10">
        <v>39218</v>
      </c>
      <c r="C567" s="10">
        <v>40847</v>
      </c>
      <c r="D567" s="10" t="s">
        <v>538</v>
      </c>
      <c r="F567">
        <v>4117</v>
      </c>
      <c r="G567" s="10">
        <v>40875</v>
      </c>
    </row>
    <row r="568" spans="1:7" x14ac:dyDescent="0.2">
      <c r="A568">
        <v>2455</v>
      </c>
      <c r="B568" s="10">
        <v>39442</v>
      </c>
      <c r="C568" s="10">
        <v>40847</v>
      </c>
      <c r="D568" s="10" t="s">
        <v>538</v>
      </c>
      <c r="F568">
        <v>4118</v>
      </c>
      <c r="G568" s="10">
        <v>40875</v>
      </c>
    </row>
    <row r="569" spans="1:7" x14ac:dyDescent="0.2">
      <c r="A569">
        <v>2457</v>
      </c>
      <c r="B569" s="10">
        <v>36526</v>
      </c>
      <c r="C569" s="10">
        <v>40543</v>
      </c>
      <c r="D569" s="10" t="s">
        <v>538</v>
      </c>
      <c r="F569">
        <v>4119</v>
      </c>
      <c r="G569" s="10">
        <v>40875</v>
      </c>
    </row>
    <row r="570" spans="1:7" x14ac:dyDescent="0.2">
      <c r="A570">
        <v>2458</v>
      </c>
      <c r="B570" s="10">
        <v>36526</v>
      </c>
      <c r="C570" s="10">
        <v>40543</v>
      </c>
      <c r="D570" s="10" t="s">
        <v>538</v>
      </c>
      <c r="F570">
        <v>4137</v>
      </c>
      <c r="G570" s="10">
        <v>40875</v>
      </c>
    </row>
    <row r="571" spans="1:7" x14ac:dyDescent="0.2">
      <c r="A571">
        <v>2459</v>
      </c>
      <c r="B571" s="10">
        <v>36526</v>
      </c>
      <c r="C571" s="10">
        <v>40543</v>
      </c>
      <c r="D571" s="10" t="s">
        <v>538</v>
      </c>
      <c r="F571">
        <v>4138</v>
      </c>
      <c r="G571" s="10">
        <v>40875</v>
      </c>
    </row>
    <row r="572" spans="1:7" x14ac:dyDescent="0.2">
      <c r="A572">
        <v>2460</v>
      </c>
      <c r="B572" s="10">
        <v>36526</v>
      </c>
      <c r="C572" s="10">
        <v>40543</v>
      </c>
      <c r="D572" s="10" t="s">
        <v>538</v>
      </c>
      <c r="F572">
        <v>4139</v>
      </c>
      <c r="G572" s="10">
        <v>40875</v>
      </c>
    </row>
    <row r="573" spans="1:7" x14ac:dyDescent="0.2">
      <c r="A573">
        <v>2466</v>
      </c>
      <c r="B573" s="10">
        <v>36526</v>
      </c>
      <c r="C573" s="10">
        <v>40359</v>
      </c>
      <c r="D573" s="10" t="s">
        <v>538</v>
      </c>
      <c r="F573">
        <v>4140</v>
      </c>
      <c r="G573" s="10">
        <v>40875</v>
      </c>
    </row>
    <row r="574" spans="1:7" x14ac:dyDescent="0.2">
      <c r="A574">
        <v>2467</v>
      </c>
      <c r="B574" s="10">
        <v>36526</v>
      </c>
      <c r="C574" s="10">
        <v>40359</v>
      </c>
      <c r="D574" s="10" t="s">
        <v>538</v>
      </c>
      <c r="F574">
        <v>4141</v>
      </c>
      <c r="G574" s="10">
        <v>40875</v>
      </c>
    </row>
    <row r="575" spans="1:7" x14ac:dyDescent="0.2">
      <c r="A575">
        <v>2468</v>
      </c>
      <c r="B575" s="10">
        <v>36526</v>
      </c>
      <c r="C575" s="10">
        <v>40359</v>
      </c>
      <c r="D575" s="10" t="s">
        <v>538</v>
      </c>
      <c r="F575">
        <v>4152</v>
      </c>
      <c r="G575" s="10">
        <v>40875</v>
      </c>
    </row>
    <row r="576" spans="1:7" x14ac:dyDescent="0.2">
      <c r="A576">
        <v>2469</v>
      </c>
      <c r="B576" s="10">
        <v>36526</v>
      </c>
      <c r="C576" s="10">
        <v>40543</v>
      </c>
      <c r="D576" s="10" t="s">
        <v>538</v>
      </c>
      <c r="F576">
        <v>4153</v>
      </c>
      <c r="G576" s="10">
        <v>40875</v>
      </c>
    </row>
    <row r="577" spans="1:7" x14ac:dyDescent="0.2">
      <c r="A577">
        <v>2470</v>
      </c>
      <c r="B577" s="10">
        <v>36526</v>
      </c>
      <c r="C577" s="10">
        <v>40543</v>
      </c>
      <c r="D577" s="10" t="s">
        <v>538</v>
      </c>
      <c r="F577">
        <v>4154</v>
      </c>
      <c r="G577" s="10">
        <v>40875</v>
      </c>
    </row>
    <row r="578" spans="1:7" x14ac:dyDescent="0.2">
      <c r="A578">
        <v>2475</v>
      </c>
      <c r="B578" s="10">
        <v>36526</v>
      </c>
      <c r="C578" s="10">
        <v>40543</v>
      </c>
      <c r="D578" s="10" t="s">
        <v>538</v>
      </c>
      <c r="F578">
        <v>4160</v>
      </c>
      <c r="G578" s="10">
        <v>40875</v>
      </c>
    </row>
    <row r="579" spans="1:7" x14ac:dyDescent="0.2">
      <c r="A579">
        <v>2477</v>
      </c>
      <c r="B579" s="10">
        <v>36526</v>
      </c>
      <c r="C579" s="10">
        <v>40543</v>
      </c>
      <c r="D579" s="10" t="s">
        <v>538</v>
      </c>
      <c r="F579">
        <v>4161</v>
      </c>
      <c r="G579" s="10">
        <v>40875</v>
      </c>
    </row>
    <row r="580" spans="1:7" x14ac:dyDescent="0.2">
      <c r="A580">
        <v>2480</v>
      </c>
      <c r="B580" s="10">
        <v>36526</v>
      </c>
      <c r="C580" s="10">
        <v>40268</v>
      </c>
      <c r="D580" s="10" t="s">
        <v>538</v>
      </c>
      <c r="F580">
        <v>4179</v>
      </c>
      <c r="G580" s="10">
        <v>40875</v>
      </c>
    </row>
    <row r="581" spans="1:7" x14ac:dyDescent="0.2">
      <c r="A581">
        <v>2481</v>
      </c>
      <c r="B581" s="10">
        <v>40114</v>
      </c>
      <c r="C581" s="10">
        <v>40329</v>
      </c>
      <c r="D581" s="10" t="s">
        <v>539</v>
      </c>
      <c r="F581">
        <v>4197</v>
      </c>
      <c r="G581" s="10">
        <v>40875</v>
      </c>
    </row>
    <row r="582" spans="1:7" x14ac:dyDescent="0.2">
      <c r="A582">
        <v>2482</v>
      </c>
      <c r="B582" s="10">
        <v>36526</v>
      </c>
      <c r="C582" s="10">
        <v>40543</v>
      </c>
      <c r="D582" s="10" t="s">
        <v>538</v>
      </c>
      <c r="F582">
        <v>4198</v>
      </c>
      <c r="G582" s="10">
        <v>40875</v>
      </c>
    </row>
    <row r="583" spans="1:7" x14ac:dyDescent="0.2">
      <c r="A583">
        <v>2483</v>
      </c>
      <c r="B583" s="10">
        <v>36526</v>
      </c>
      <c r="C583" s="10">
        <v>40268</v>
      </c>
      <c r="D583" s="10" t="s">
        <v>538</v>
      </c>
      <c r="F583">
        <v>4199</v>
      </c>
      <c r="G583" s="10">
        <v>40875</v>
      </c>
    </row>
    <row r="584" spans="1:7" x14ac:dyDescent="0.2">
      <c r="A584">
        <v>2484</v>
      </c>
      <c r="B584" s="10">
        <v>36526</v>
      </c>
      <c r="C584" s="10">
        <v>40268</v>
      </c>
      <c r="D584" s="10" t="s">
        <v>538</v>
      </c>
      <c r="F584">
        <v>4200</v>
      </c>
      <c r="G584" s="10">
        <v>40875</v>
      </c>
    </row>
    <row r="585" spans="1:7" x14ac:dyDescent="0.2">
      <c r="A585">
        <v>2485</v>
      </c>
      <c r="B585" s="10">
        <v>36526</v>
      </c>
      <c r="C585" s="10">
        <v>40268</v>
      </c>
      <c r="D585" s="10" t="s">
        <v>538</v>
      </c>
      <c r="F585">
        <v>4201</v>
      </c>
      <c r="G585" s="10">
        <v>40875</v>
      </c>
    </row>
    <row r="586" spans="1:7" x14ac:dyDescent="0.2">
      <c r="A586">
        <v>2486</v>
      </c>
      <c r="B586" s="10">
        <v>36526</v>
      </c>
      <c r="C586" s="10">
        <v>40543</v>
      </c>
      <c r="D586" s="10" t="s">
        <v>538</v>
      </c>
      <c r="F586">
        <v>4202</v>
      </c>
      <c r="G586" s="10">
        <v>40875</v>
      </c>
    </row>
    <row r="587" spans="1:7" x14ac:dyDescent="0.2">
      <c r="A587">
        <v>2487</v>
      </c>
      <c r="B587" s="10">
        <v>36526</v>
      </c>
      <c r="C587" s="10">
        <v>40268</v>
      </c>
      <c r="D587" s="10" t="s">
        <v>538</v>
      </c>
      <c r="F587">
        <v>4212</v>
      </c>
      <c r="G587" s="10">
        <v>40875</v>
      </c>
    </row>
    <row r="588" spans="1:7" x14ac:dyDescent="0.2">
      <c r="A588">
        <v>2488</v>
      </c>
      <c r="B588" s="10">
        <v>36526</v>
      </c>
      <c r="C588" s="10">
        <v>40268</v>
      </c>
      <c r="D588" s="10" t="s">
        <v>538</v>
      </c>
      <c r="F588">
        <v>4213</v>
      </c>
      <c r="G588" s="10">
        <v>40875</v>
      </c>
    </row>
    <row r="589" spans="1:7" x14ac:dyDescent="0.2">
      <c r="A589">
        <v>2489</v>
      </c>
      <c r="B589" s="10">
        <v>40116</v>
      </c>
      <c r="C589" s="10">
        <v>40268</v>
      </c>
      <c r="D589" s="10" t="s">
        <v>539</v>
      </c>
      <c r="F589">
        <v>4214</v>
      </c>
      <c r="G589" s="10">
        <v>40875</v>
      </c>
    </row>
    <row r="590" spans="1:7" x14ac:dyDescent="0.2">
      <c r="A590">
        <v>2490</v>
      </c>
      <c r="B590" s="10">
        <v>40116</v>
      </c>
      <c r="C590" s="10">
        <v>40512</v>
      </c>
      <c r="D590" s="10" t="s">
        <v>539</v>
      </c>
      <c r="F590">
        <v>4215</v>
      </c>
      <c r="G590" s="10">
        <v>40875</v>
      </c>
    </row>
    <row r="591" spans="1:7" x14ac:dyDescent="0.2">
      <c r="A591">
        <v>2504</v>
      </c>
      <c r="B591" s="10">
        <v>40171</v>
      </c>
      <c r="C591" s="10">
        <v>40268</v>
      </c>
      <c r="D591" s="10" t="s">
        <v>539</v>
      </c>
      <c r="F591">
        <v>4238</v>
      </c>
      <c r="G591" s="10">
        <v>40875</v>
      </c>
    </row>
    <row r="592" spans="1:7" x14ac:dyDescent="0.2">
      <c r="A592">
        <v>2507</v>
      </c>
      <c r="B592" s="10">
        <v>40120</v>
      </c>
      <c r="C592" s="10">
        <v>40753</v>
      </c>
      <c r="D592" s="10" t="s">
        <v>539</v>
      </c>
      <c r="F592">
        <v>4239</v>
      </c>
      <c r="G592" s="10">
        <v>40875</v>
      </c>
    </row>
    <row r="593" spans="1:7" x14ac:dyDescent="0.2">
      <c r="A593">
        <v>2508</v>
      </c>
      <c r="B593" s="10">
        <v>219148</v>
      </c>
      <c r="C593" s="10">
        <v>40268</v>
      </c>
      <c r="D593" s="10" t="s">
        <v>272</v>
      </c>
      <c r="F593">
        <v>4240</v>
      </c>
      <c r="G593" s="10">
        <v>40875</v>
      </c>
    </row>
    <row r="594" spans="1:7" x14ac:dyDescent="0.2">
      <c r="A594">
        <v>2509</v>
      </c>
      <c r="B594" s="10">
        <v>36526</v>
      </c>
      <c r="C594" s="10">
        <v>40543</v>
      </c>
      <c r="D594" s="10" t="s">
        <v>538</v>
      </c>
      <c r="F594">
        <v>4241</v>
      </c>
      <c r="G594" s="10">
        <v>40875</v>
      </c>
    </row>
    <row r="595" spans="1:7" x14ac:dyDescent="0.2">
      <c r="A595">
        <v>2510</v>
      </c>
      <c r="B595" s="10">
        <v>36526</v>
      </c>
      <c r="C595" s="10">
        <v>40543</v>
      </c>
      <c r="D595" s="10" t="s">
        <v>538</v>
      </c>
      <c r="F595">
        <v>4242</v>
      </c>
      <c r="G595" s="10">
        <v>40875</v>
      </c>
    </row>
    <row r="596" spans="1:7" x14ac:dyDescent="0.2">
      <c r="A596">
        <v>2511</v>
      </c>
      <c r="B596" s="10">
        <v>36526</v>
      </c>
      <c r="C596" s="10">
        <v>40268</v>
      </c>
      <c r="D596" s="10" t="s">
        <v>538</v>
      </c>
      <c r="F596">
        <v>4243</v>
      </c>
      <c r="G596" s="10">
        <v>40875</v>
      </c>
    </row>
    <row r="597" spans="1:7" x14ac:dyDescent="0.2">
      <c r="A597">
        <v>2512</v>
      </c>
      <c r="B597" s="10">
        <v>36526</v>
      </c>
      <c r="C597" s="10">
        <v>40329</v>
      </c>
      <c r="D597" s="10" t="s">
        <v>206</v>
      </c>
      <c r="F597">
        <v>4251</v>
      </c>
      <c r="G597" s="10">
        <v>40875</v>
      </c>
    </row>
    <row r="598" spans="1:7" x14ac:dyDescent="0.2">
      <c r="A598">
        <v>2513</v>
      </c>
      <c r="B598" s="10">
        <v>40119</v>
      </c>
      <c r="C598" s="10">
        <v>40694</v>
      </c>
      <c r="D598" s="10" t="s">
        <v>539</v>
      </c>
      <c r="F598">
        <v>4257</v>
      </c>
      <c r="G598" s="10">
        <v>40875</v>
      </c>
    </row>
    <row r="599" spans="1:7" x14ac:dyDescent="0.2">
      <c r="A599">
        <v>2518</v>
      </c>
      <c r="B599" s="10">
        <v>36526</v>
      </c>
      <c r="C599" s="10">
        <v>40268</v>
      </c>
      <c r="D599" s="10" t="s">
        <v>538</v>
      </c>
      <c r="F599">
        <v>4258</v>
      </c>
      <c r="G599" s="10">
        <v>40875</v>
      </c>
    </row>
    <row r="600" spans="1:7" x14ac:dyDescent="0.2">
      <c r="A600">
        <v>2519</v>
      </c>
      <c r="B600" s="10">
        <v>36526</v>
      </c>
      <c r="C600" s="10">
        <v>40268</v>
      </c>
      <c r="D600" s="10" t="s">
        <v>538</v>
      </c>
      <c r="F600">
        <v>4259</v>
      </c>
      <c r="G600" s="10">
        <v>40875</v>
      </c>
    </row>
    <row r="601" spans="1:7" x14ac:dyDescent="0.2">
      <c r="A601">
        <v>2520</v>
      </c>
      <c r="B601" s="10">
        <v>36526</v>
      </c>
      <c r="C601" s="10">
        <v>40268</v>
      </c>
      <c r="D601" s="10" t="s">
        <v>538</v>
      </c>
      <c r="F601">
        <v>4261</v>
      </c>
      <c r="G601" s="10">
        <v>40875</v>
      </c>
    </row>
    <row r="602" spans="1:7" x14ac:dyDescent="0.2">
      <c r="A602">
        <v>2521</v>
      </c>
      <c r="B602" s="10">
        <v>36526</v>
      </c>
      <c r="C602" s="10">
        <v>40268</v>
      </c>
      <c r="D602" s="10" t="s">
        <v>538</v>
      </c>
      <c r="F602">
        <v>4262</v>
      </c>
      <c r="G602" s="10">
        <v>40875</v>
      </c>
    </row>
    <row r="603" spans="1:7" x14ac:dyDescent="0.2">
      <c r="A603">
        <v>2523</v>
      </c>
      <c r="B603" s="10">
        <v>36526</v>
      </c>
      <c r="C603" s="10">
        <v>40543</v>
      </c>
      <c r="D603" s="10" t="s">
        <v>538</v>
      </c>
      <c r="F603">
        <v>4263</v>
      </c>
      <c r="G603" s="10">
        <v>40875</v>
      </c>
    </row>
    <row r="604" spans="1:7" x14ac:dyDescent="0.2">
      <c r="A604">
        <v>2524</v>
      </c>
      <c r="B604" s="10">
        <v>36526</v>
      </c>
      <c r="C604" s="10">
        <v>40543</v>
      </c>
      <c r="D604" s="10" t="s">
        <v>538</v>
      </c>
      <c r="F604">
        <v>4264</v>
      </c>
      <c r="G604" s="10">
        <v>40875</v>
      </c>
    </row>
    <row r="605" spans="1:7" x14ac:dyDescent="0.2">
      <c r="A605">
        <v>2525</v>
      </c>
      <c r="B605" s="10">
        <v>36526</v>
      </c>
      <c r="C605" s="10">
        <v>40268</v>
      </c>
      <c r="D605" s="10" t="s">
        <v>538</v>
      </c>
      <c r="F605">
        <v>4303</v>
      </c>
      <c r="G605" s="10">
        <v>40875</v>
      </c>
    </row>
    <row r="606" spans="1:7" x14ac:dyDescent="0.2">
      <c r="A606">
        <v>2526</v>
      </c>
      <c r="B606" s="10">
        <v>36526</v>
      </c>
      <c r="C606" s="10">
        <v>40543</v>
      </c>
      <c r="D606" s="10" t="s">
        <v>538</v>
      </c>
      <c r="F606">
        <v>4304</v>
      </c>
      <c r="G606" s="10">
        <v>40875</v>
      </c>
    </row>
    <row r="607" spans="1:7" x14ac:dyDescent="0.2">
      <c r="A607">
        <v>2527</v>
      </c>
      <c r="B607" s="10">
        <v>36526</v>
      </c>
      <c r="C607" s="10">
        <v>40268</v>
      </c>
      <c r="D607" s="10" t="s">
        <v>538</v>
      </c>
      <c r="F607">
        <v>4305</v>
      </c>
      <c r="G607" s="10">
        <v>40875</v>
      </c>
    </row>
    <row r="608" spans="1:7" x14ac:dyDescent="0.2">
      <c r="A608">
        <v>2528</v>
      </c>
      <c r="B608" s="10">
        <v>40129</v>
      </c>
      <c r="C608" s="10">
        <v>40473</v>
      </c>
      <c r="D608" s="10" t="s">
        <v>539</v>
      </c>
      <c r="F608">
        <v>4391</v>
      </c>
      <c r="G608" s="10">
        <v>40820</v>
      </c>
    </row>
    <row r="609" spans="1:7" x14ac:dyDescent="0.2">
      <c r="A609">
        <v>2529</v>
      </c>
      <c r="B609" s="10">
        <v>36526</v>
      </c>
      <c r="C609" s="10">
        <v>40268</v>
      </c>
      <c r="D609" s="10" t="s">
        <v>538</v>
      </c>
      <c r="F609">
        <v>4422</v>
      </c>
      <c r="G609" s="10">
        <v>40875</v>
      </c>
    </row>
    <row r="610" spans="1:7" x14ac:dyDescent="0.2">
      <c r="A610">
        <v>2530</v>
      </c>
      <c r="B610" s="10">
        <v>36526</v>
      </c>
      <c r="C610" s="10">
        <v>40268</v>
      </c>
      <c r="D610" s="10" t="s">
        <v>538</v>
      </c>
      <c r="F610">
        <v>4425</v>
      </c>
      <c r="G610" s="10">
        <v>40875</v>
      </c>
    </row>
    <row r="611" spans="1:7" x14ac:dyDescent="0.2">
      <c r="A611">
        <v>2531</v>
      </c>
      <c r="B611" s="10">
        <v>40130</v>
      </c>
      <c r="C611" s="10">
        <v>40268</v>
      </c>
      <c r="D611" s="10" t="s">
        <v>539</v>
      </c>
      <c r="F611">
        <v>4426</v>
      </c>
      <c r="G611" s="10">
        <v>40875</v>
      </c>
    </row>
    <row r="612" spans="1:7" x14ac:dyDescent="0.2">
      <c r="A612">
        <v>2533</v>
      </c>
      <c r="B612" s="10">
        <v>36526</v>
      </c>
      <c r="C612" s="10">
        <v>40268</v>
      </c>
      <c r="D612" s="10" t="s">
        <v>538</v>
      </c>
      <c r="F612">
        <v>4427</v>
      </c>
      <c r="G612" s="10">
        <v>40875</v>
      </c>
    </row>
    <row r="613" spans="1:7" x14ac:dyDescent="0.2">
      <c r="A613">
        <v>2534</v>
      </c>
      <c r="B613" s="10">
        <v>36526</v>
      </c>
      <c r="C613" s="10">
        <v>40268</v>
      </c>
      <c r="D613" s="10" t="s">
        <v>538</v>
      </c>
      <c r="F613">
        <v>4485</v>
      </c>
      <c r="G613" s="10">
        <v>40875</v>
      </c>
    </row>
    <row r="614" spans="1:7" x14ac:dyDescent="0.2">
      <c r="A614">
        <v>2535</v>
      </c>
      <c r="B614" s="10">
        <v>36526</v>
      </c>
      <c r="C614" s="10">
        <v>40543</v>
      </c>
      <c r="D614" s="10" t="s">
        <v>538</v>
      </c>
      <c r="F614">
        <v>4486</v>
      </c>
      <c r="G614" s="10">
        <v>40875</v>
      </c>
    </row>
    <row r="615" spans="1:7" x14ac:dyDescent="0.2">
      <c r="A615">
        <v>2536</v>
      </c>
      <c r="B615" s="10">
        <v>36526</v>
      </c>
      <c r="C615" s="10">
        <v>40268</v>
      </c>
      <c r="D615" s="10" t="s">
        <v>538</v>
      </c>
      <c r="F615">
        <v>4487</v>
      </c>
      <c r="G615" s="10">
        <v>40875</v>
      </c>
    </row>
    <row r="616" spans="1:7" x14ac:dyDescent="0.2">
      <c r="A616">
        <v>2537</v>
      </c>
      <c r="B616" s="10">
        <v>36526</v>
      </c>
      <c r="C616" s="10">
        <v>40543</v>
      </c>
      <c r="D616" s="10" t="s">
        <v>538</v>
      </c>
      <c r="F616">
        <v>4573</v>
      </c>
      <c r="G616" s="10">
        <v>40875</v>
      </c>
    </row>
    <row r="617" spans="1:7" x14ac:dyDescent="0.2">
      <c r="A617">
        <v>2538</v>
      </c>
      <c r="B617" s="10">
        <v>40135</v>
      </c>
      <c r="C617" s="10">
        <v>40694</v>
      </c>
      <c r="D617" s="10" t="s">
        <v>539</v>
      </c>
      <c r="F617">
        <v>4574</v>
      </c>
      <c r="G617" s="10">
        <v>40875</v>
      </c>
    </row>
    <row r="618" spans="1:7" x14ac:dyDescent="0.2">
      <c r="A618">
        <v>2539</v>
      </c>
      <c r="B618" s="10">
        <v>40135</v>
      </c>
      <c r="C618" s="10">
        <v>40694</v>
      </c>
      <c r="D618" s="10" t="s">
        <v>539</v>
      </c>
      <c r="F618">
        <v>4575</v>
      </c>
      <c r="G618" s="10">
        <v>40875</v>
      </c>
    </row>
    <row r="619" spans="1:7" x14ac:dyDescent="0.2">
      <c r="A619">
        <v>2540</v>
      </c>
      <c r="B619" s="10">
        <v>36526</v>
      </c>
      <c r="C619" s="10">
        <v>40543</v>
      </c>
      <c r="D619" s="10" t="s">
        <v>538</v>
      </c>
      <c r="F619">
        <v>4576</v>
      </c>
      <c r="G619" s="10">
        <v>40875</v>
      </c>
    </row>
    <row r="620" spans="1:7" x14ac:dyDescent="0.2">
      <c r="A620">
        <v>2541</v>
      </c>
      <c r="B620" s="10">
        <v>36526</v>
      </c>
      <c r="C620" s="10">
        <v>40543</v>
      </c>
      <c r="D620" s="10" t="s">
        <v>538</v>
      </c>
      <c r="F620">
        <v>4577</v>
      </c>
      <c r="G620" s="10">
        <v>40875</v>
      </c>
    </row>
    <row r="621" spans="1:7" x14ac:dyDescent="0.2">
      <c r="A621">
        <v>2542</v>
      </c>
      <c r="B621" s="10">
        <v>36526</v>
      </c>
      <c r="C621" s="10">
        <v>40543</v>
      </c>
      <c r="D621" s="10" t="s">
        <v>538</v>
      </c>
      <c r="F621">
        <v>4578</v>
      </c>
      <c r="G621" s="10">
        <v>40875</v>
      </c>
    </row>
    <row r="622" spans="1:7" x14ac:dyDescent="0.2">
      <c r="A622">
        <v>2543</v>
      </c>
      <c r="B622" s="10">
        <v>36526</v>
      </c>
      <c r="C622" s="10">
        <v>40268</v>
      </c>
      <c r="D622" s="10" t="s">
        <v>538</v>
      </c>
      <c r="F622">
        <v>4581</v>
      </c>
      <c r="G622" s="10">
        <v>40875</v>
      </c>
    </row>
    <row r="623" spans="1:7" x14ac:dyDescent="0.2">
      <c r="A623">
        <v>2544</v>
      </c>
      <c r="B623" s="10">
        <v>36526</v>
      </c>
      <c r="C623" s="10">
        <v>40543</v>
      </c>
      <c r="D623" s="10" t="s">
        <v>538</v>
      </c>
      <c r="F623">
        <v>4582</v>
      </c>
      <c r="G623" s="10">
        <v>40875</v>
      </c>
    </row>
    <row r="624" spans="1:7" x14ac:dyDescent="0.2">
      <c r="A624">
        <v>2545</v>
      </c>
      <c r="B624" s="10">
        <v>36526</v>
      </c>
      <c r="C624" s="10">
        <v>40268</v>
      </c>
      <c r="D624" s="10" t="s">
        <v>538</v>
      </c>
      <c r="F624">
        <v>4583</v>
      </c>
      <c r="G624" s="10">
        <v>40875</v>
      </c>
    </row>
    <row r="625" spans="1:7" x14ac:dyDescent="0.2">
      <c r="A625">
        <v>2546</v>
      </c>
      <c r="B625" s="10">
        <v>40141</v>
      </c>
      <c r="C625" s="10">
        <v>40291</v>
      </c>
      <c r="D625" s="10" t="s">
        <v>539</v>
      </c>
      <c r="F625">
        <v>4626</v>
      </c>
      <c r="G625" s="10">
        <v>40771</v>
      </c>
    </row>
    <row r="626" spans="1:7" x14ac:dyDescent="0.2">
      <c r="A626">
        <v>2547</v>
      </c>
      <c r="B626" s="10">
        <v>40142</v>
      </c>
      <c r="C626" s="10">
        <v>40816</v>
      </c>
      <c r="D626" s="10" t="s">
        <v>539</v>
      </c>
      <c r="F626">
        <v>4627</v>
      </c>
      <c r="G626" s="10">
        <v>40771</v>
      </c>
    </row>
    <row r="627" spans="1:7" x14ac:dyDescent="0.2">
      <c r="A627">
        <v>2550</v>
      </c>
      <c r="B627" s="10">
        <v>36526</v>
      </c>
      <c r="C627" s="10">
        <v>40473</v>
      </c>
      <c r="D627" s="10" t="s">
        <v>269</v>
      </c>
      <c r="F627">
        <v>4636</v>
      </c>
      <c r="G627" s="10">
        <v>40875</v>
      </c>
    </row>
    <row r="628" spans="1:7" x14ac:dyDescent="0.2">
      <c r="A628">
        <v>2552</v>
      </c>
      <c r="B628" s="10">
        <v>36526</v>
      </c>
      <c r="C628" s="10">
        <v>40359</v>
      </c>
      <c r="D628" s="10" t="s">
        <v>538</v>
      </c>
      <c r="F628">
        <v>4651</v>
      </c>
      <c r="G628" s="10">
        <v>40794</v>
      </c>
    </row>
    <row r="629" spans="1:7" x14ac:dyDescent="0.2">
      <c r="A629">
        <v>2553</v>
      </c>
      <c r="B629" s="10">
        <v>36526</v>
      </c>
      <c r="C629" s="10">
        <v>40268</v>
      </c>
      <c r="D629" s="10" t="s">
        <v>538</v>
      </c>
      <c r="F629">
        <v>4694</v>
      </c>
      <c r="G629" s="10">
        <v>40875</v>
      </c>
    </row>
    <row r="630" spans="1:7" x14ac:dyDescent="0.2">
      <c r="A630">
        <v>2554</v>
      </c>
      <c r="B630" s="10">
        <v>36526</v>
      </c>
      <c r="C630" s="10">
        <v>40543</v>
      </c>
      <c r="D630" s="10" t="s">
        <v>538</v>
      </c>
      <c r="F630">
        <v>4695</v>
      </c>
      <c r="G630" s="10">
        <v>40875</v>
      </c>
    </row>
    <row r="631" spans="1:7" x14ac:dyDescent="0.2">
      <c r="A631">
        <v>2555</v>
      </c>
      <c r="B631" s="10">
        <v>36526</v>
      </c>
      <c r="C631" s="10">
        <v>40543</v>
      </c>
      <c r="D631" s="10" t="s">
        <v>538</v>
      </c>
      <c r="F631">
        <v>4696</v>
      </c>
      <c r="G631" s="10">
        <v>40875</v>
      </c>
    </row>
    <row r="632" spans="1:7" x14ac:dyDescent="0.2">
      <c r="A632">
        <v>2562</v>
      </c>
      <c r="B632" s="10">
        <v>40158</v>
      </c>
      <c r="C632" s="10">
        <v>40444</v>
      </c>
      <c r="D632" s="10" t="s">
        <v>539</v>
      </c>
      <c r="F632">
        <v>4697</v>
      </c>
      <c r="G632" s="10">
        <v>40875</v>
      </c>
    </row>
    <row r="633" spans="1:7" x14ac:dyDescent="0.2">
      <c r="A633">
        <v>2563</v>
      </c>
      <c r="B633" s="10">
        <v>40165</v>
      </c>
      <c r="C633" s="10">
        <v>40344</v>
      </c>
      <c r="D633" s="10" t="s">
        <v>539</v>
      </c>
      <c r="F633">
        <v>4698</v>
      </c>
      <c r="G633" s="10">
        <v>40875</v>
      </c>
    </row>
    <row r="634" spans="1:7" x14ac:dyDescent="0.2">
      <c r="A634">
        <v>2564</v>
      </c>
      <c r="B634" s="10">
        <v>40148</v>
      </c>
      <c r="C634" s="10">
        <v>40724</v>
      </c>
      <c r="D634" s="10" t="s">
        <v>539</v>
      </c>
      <c r="F634">
        <v>4699</v>
      </c>
      <c r="G634" s="10">
        <v>40875</v>
      </c>
    </row>
    <row r="635" spans="1:7" x14ac:dyDescent="0.2">
      <c r="A635">
        <v>2566</v>
      </c>
      <c r="B635" s="10">
        <v>40148</v>
      </c>
      <c r="C635" s="10">
        <v>40862</v>
      </c>
      <c r="D635" s="10" t="s">
        <v>268</v>
      </c>
      <c r="F635">
        <v>4732</v>
      </c>
      <c r="G635" s="10">
        <v>40875</v>
      </c>
    </row>
    <row r="636" spans="1:7" x14ac:dyDescent="0.2">
      <c r="A636">
        <v>2568</v>
      </c>
      <c r="B636" s="10">
        <v>40162</v>
      </c>
      <c r="C636" s="10">
        <v>40512</v>
      </c>
      <c r="D636" s="10" t="s">
        <v>539</v>
      </c>
      <c r="F636">
        <v>4733</v>
      </c>
      <c r="G636" s="10">
        <v>40875</v>
      </c>
    </row>
    <row r="637" spans="1:7" x14ac:dyDescent="0.2">
      <c r="A637">
        <v>2569</v>
      </c>
      <c r="B637" s="10">
        <v>36526</v>
      </c>
      <c r="C637" s="10">
        <v>40268</v>
      </c>
      <c r="D637" s="10" t="s">
        <v>538</v>
      </c>
      <c r="F637">
        <v>4909</v>
      </c>
      <c r="G637" s="10">
        <v>40709</v>
      </c>
    </row>
    <row r="638" spans="1:7" x14ac:dyDescent="0.2">
      <c r="A638">
        <v>2570</v>
      </c>
      <c r="B638" s="10">
        <v>36526</v>
      </c>
      <c r="C638" s="10">
        <v>40268</v>
      </c>
      <c r="D638" s="10" t="s">
        <v>538</v>
      </c>
      <c r="F638">
        <v>4964</v>
      </c>
      <c r="G638" s="10">
        <v>40875</v>
      </c>
    </row>
    <row r="639" spans="1:7" x14ac:dyDescent="0.2">
      <c r="A639">
        <v>2573</v>
      </c>
      <c r="B639" s="10">
        <v>36526</v>
      </c>
      <c r="C639" s="10">
        <v>40543</v>
      </c>
      <c r="D639" s="10" t="s">
        <v>538</v>
      </c>
      <c r="F639">
        <v>5018</v>
      </c>
      <c r="G639" s="10">
        <v>40875</v>
      </c>
    </row>
    <row r="640" spans="1:7" x14ac:dyDescent="0.2">
      <c r="A640">
        <v>2574</v>
      </c>
      <c r="B640" s="10">
        <v>36526</v>
      </c>
      <c r="C640" s="10">
        <v>40543</v>
      </c>
      <c r="D640" s="10" t="s">
        <v>538</v>
      </c>
      <c r="F640">
        <v>5019</v>
      </c>
      <c r="G640" s="10">
        <v>40875</v>
      </c>
    </row>
    <row r="641" spans="1:7" x14ac:dyDescent="0.2">
      <c r="A641">
        <v>2575</v>
      </c>
      <c r="B641" s="10">
        <v>36526</v>
      </c>
      <c r="C641" s="10">
        <v>40543</v>
      </c>
      <c r="D641" s="10" t="s">
        <v>538</v>
      </c>
      <c r="F641">
        <v>5020</v>
      </c>
      <c r="G641" s="10">
        <v>40875</v>
      </c>
    </row>
    <row r="642" spans="1:7" x14ac:dyDescent="0.2">
      <c r="A642">
        <v>2576</v>
      </c>
      <c r="B642" s="10">
        <v>36526</v>
      </c>
      <c r="C642" s="10">
        <v>40543</v>
      </c>
      <c r="D642" s="10" t="s">
        <v>538</v>
      </c>
      <c r="F642">
        <v>5021</v>
      </c>
      <c r="G642" s="10">
        <v>40875</v>
      </c>
    </row>
    <row r="643" spans="1:7" x14ac:dyDescent="0.2">
      <c r="A643">
        <v>2577</v>
      </c>
      <c r="B643" s="10">
        <v>36526</v>
      </c>
      <c r="C643" s="10">
        <v>40543</v>
      </c>
      <c r="D643" s="10" t="s">
        <v>538</v>
      </c>
      <c r="F643">
        <v>5053</v>
      </c>
      <c r="G643" s="10">
        <v>40875</v>
      </c>
    </row>
    <row r="644" spans="1:7" x14ac:dyDescent="0.2">
      <c r="A644">
        <v>2578</v>
      </c>
      <c r="B644" s="10">
        <v>36526</v>
      </c>
      <c r="C644" s="10">
        <v>40268</v>
      </c>
      <c r="D644" s="10" t="s">
        <v>538</v>
      </c>
      <c r="F644">
        <v>5105</v>
      </c>
      <c r="G644" s="10">
        <v>40875</v>
      </c>
    </row>
    <row r="645" spans="1:7" x14ac:dyDescent="0.2">
      <c r="A645">
        <v>2579</v>
      </c>
      <c r="B645" s="10">
        <v>36526</v>
      </c>
      <c r="C645" s="10">
        <v>40268</v>
      </c>
      <c r="D645" s="10" t="s">
        <v>538</v>
      </c>
      <c r="F645">
        <v>5184</v>
      </c>
      <c r="G645" s="10">
        <v>40841</v>
      </c>
    </row>
    <row r="646" spans="1:7" x14ac:dyDescent="0.2">
      <c r="A646">
        <v>2580</v>
      </c>
      <c r="B646" s="10">
        <v>36526</v>
      </c>
      <c r="C646" s="10">
        <v>40268</v>
      </c>
      <c r="D646" s="10" t="s">
        <v>538</v>
      </c>
      <c r="F646">
        <v>5322</v>
      </c>
      <c r="G646" s="10">
        <v>40714</v>
      </c>
    </row>
    <row r="647" spans="1:7" x14ac:dyDescent="0.2">
      <c r="A647">
        <v>2581</v>
      </c>
      <c r="B647" s="10">
        <v>36526</v>
      </c>
      <c r="C647" s="10">
        <v>40268</v>
      </c>
      <c r="D647" s="10" t="s">
        <v>538</v>
      </c>
      <c r="F647">
        <v>5380</v>
      </c>
      <c r="G647" s="10">
        <v>40875</v>
      </c>
    </row>
    <row r="648" spans="1:7" x14ac:dyDescent="0.2">
      <c r="A648">
        <v>2582</v>
      </c>
      <c r="B648" s="10">
        <v>40155</v>
      </c>
      <c r="C648" s="10">
        <v>40512</v>
      </c>
      <c r="D648" s="10" t="s">
        <v>539</v>
      </c>
      <c r="F648">
        <v>5381</v>
      </c>
      <c r="G648" s="10">
        <v>40875</v>
      </c>
    </row>
    <row r="649" spans="1:7" x14ac:dyDescent="0.2">
      <c r="A649">
        <v>2584</v>
      </c>
      <c r="B649" s="10">
        <v>36526</v>
      </c>
      <c r="C649" s="10">
        <v>40729</v>
      </c>
      <c r="D649" s="10" t="s">
        <v>538</v>
      </c>
      <c r="F649">
        <v>5382</v>
      </c>
      <c r="G649" s="10">
        <v>40875</v>
      </c>
    </row>
    <row r="650" spans="1:7" x14ac:dyDescent="0.2">
      <c r="A650">
        <v>2585</v>
      </c>
      <c r="B650" s="10">
        <v>36526</v>
      </c>
      <c r="C650" s="10">
        <v>40756</v>
      </c>
      <c r="D650" s="10" t="s">
        <v>538</v>
      </c>
      <c r="F650">
        <v>5383</v>
      </c>
      <c r="G650" s="10">
        <v>40875</v>
      </c>
    </row>
    <row r="651" spans="1:7" x14ac:dyDescent="0.2">
      <c r="A651">
        <v>2586</v>
      </c>
      <c r="B651" s="10">
        <v>36526</v>
      </c>
      <c r="C651" s="10">
        <v>40268</v>
      </c>
      <c r="D651" s="10" t="s">
        <v>538</v>
      </c>
      <c r="F651">
        <v>5384</v>
      </c>
      <c r="G651" s="10">
        <v>40875</v>
      </c>
    </row>
    <row r="652" spans="1:7" x14ac:dyDescent="0.2">
      <c r="A652">
        <v>2587</v>
      </c>
      <c r="B652" s="10">
        <v>36526</v>
      </c>
      <c r="C652" s="10">
        <v>40543</v>
      </c>
      <c r="D652" s="10" t="s">
        <v>538</v>
      </c>
      <c r="F652">
        <v>5385</v>
      </c>
      <c r="G652" s="10">
        <v>40875</v>
      </c>
    </row>
    <row r="653" spans="1:7" x14ac:dyDescent="0.2">
      <c r="A653">
        <v>2588</v>
      </c>
      <c r="B653" s="10">
        <v>36526</v>
      </c>
      <c r="C653" s="10">
        <v>40268</v>
      </c>
      <c r="D653" s="10" t="s">
        <v>538</v>
      </c>
      <c r="F653">
        <v>5399</v>
      </c>
      <c r="G653" s="10">
        <v>40875</v>
      </c>
    </row>
    <row r="654" spans="1:7" x14ac:dyDescent="0.2">
      <c r="A654">
        <v>2589</v>
      </c>
      <c r="B654" s="10">
        <v>36526</v>
      </c>
      <c r="C654" s="10">
        <v>40268</v>
      </c>
      <c r="D654" s="10" t="s">
        <v>538</v>
      </c>
      <c r="F654">
        <v>5479</v>
      </c>
      <c r="G654" s="10">
        <v>40875</v>
      </c>
    </row>
    <row r="655" spans="1:7" x14ac:dyDescent="0.2">
      <c r="A655">
        <v>2590</v>
      </c>
      <c r="B655" s="10">
        <v>40161</v>
      </c>
      <c r="C655" s="10">
        <v>40543</v>
      </c>
      <c r="D655" s="10" t="s">
        <v>539</v>
      </c>
      <c r="F655">
        <v>5480</v>
      </c>
      <c r="G655" s="10">
        <v>40875</v>
      </c>
    </row>
    <row r="656" spans="1:7" x14ac:dyDescent="0.2">
      <c r="A656">
        <v>2592</v>
      </c>
      <c r="B656" s="10">
        <v>40183</v>
      </c>
      <c r="C656" s="10">
        <v>40291</v>
      </c>
      <c r="D656" s="10" t="s">
        <v>539</v>
      </c>
      <c r="F656">
        <v>5491</v>
      </c>
      <c r="G656" s="10">
        <v>40875</v>
      </c>
    </row>
    <row r="657" spans="1:7" x14ac:dyDescent="0.2">
      <c r="A657">
        <v>2594</v>
      </c>
      <c r="B657" s="10">
        <v>36526</v>
      </c>
      <c r="C657" s="10">
        <v>40473</v>
      </c>
      <c r="D657" s="10" t="s">
        <v>538</v>
      </c>
      <c r="F657">
        <v>5492</v>
      </c>
      <c r="G657" s="10">
        <v>40875</v>
      </c>
    </row>
    <row r="658" spans="1:7" x14ac:dyDescent="0.2">
      <c r="A658">
        <v>2595</v>
      </c>
      <c r="B658" s="10">
        <v>36526</v>
      </c>
      <c r="C658" s="10">
        <v>40268</v>
      </c>
      <c r="D658" s="10" t="s">
        <v>538</v>
      </c>
      <c r="F658">
        <v>5493</v>
      </c>
      <c r="G658" s="10">
        <v>40875</v>
      </c>
    </row>
    <row r="659" spans="1:7" x14ac:dyDescent="0.2">
      <c r="A659">
        <v>2596</v>
      </c>
      <c r="B659" s="10">
        <v>36526</v>
      </c>
      <c r="C659" s="10">
        <v>40268</v>
      </c>
      <c r="D659" s="10" t="s">
        <v>538</v>
      </c>
      <c r="F659">
        <v>5494</v>
      </c>
      <c r="G659" s="10">
        <v>40875</v>
      </c>
    </row>
    <row r="660" spans="1:7" x14ac:dyDescent="0.2">
      <c r="A660">
        <v>2597</v>
      </c>
      <c r="B660" s="10">
        <v>36526</v>
      </c>
      <c r="C660" s="10">
        <v>40268</v>
      </c>
      <c r="D660" s="10" t="s">
        <v>538</v>
      </c>
      <c r="F660">
        <v>5495</v>
      </c>
      <c r="G660" s="10">
        <v>40875</v>
      </c>
    </row>
    <row r="661" spans="1:7" x14ac:dyDescent="0.2">
      <c r="A661">
        <v>2599</v>
      </c>
      <c r="B661" s="10">
        <v>40165</v>
      </c>
      <c r="C661" s="10">
        <v>40512</v>
      </c>
      <c r="D661" s="10" t="s">
        <v>539</v>
      </c>
      <c r="F661">
        <v>5496</v>
      </c>
      <c r="G661" s="10">
        <v>40875</v>
      </c>
    </row>
    <row r="662" spans="1:7" x14ac:dyDescent="0.2">
      <c r="A662">
        <v>2600</v>
      </c>
      <c r="B662" s="10">
        <v>40165</v>
      </c>
      <c r="C662" s="10">
        <v>40512</v>
      </c>
      <c r="D662" s="10" t="s">
        <v>539</v>
      </c>
      <c r="F662">
        <v>5497</v>
      </c>
      <c r="G662" s="10">
        <v>40875</v>
      </c>
    </row>
    <row r="663" spans="1:7" x14ac:dyDescent="0.2">
      <c r="A663">
        <v>2601</v>
      </c>
      <c r="B663" s="10">
        <v>40165</v>
      </c>
      <c r="C663" s="10">
        <v>40512</v>
      </c>
      <c r="D663" s="10" t="s">
        <v>539</v>
      </c>
      <c r="F663">
        <v>5515</v>
      </c>
      <c r="G663" s="10">
        <v>40875</v>
      </c>
    </row>
    <row r="664" spans="1:7" x14ac:dyDescent="0.2">
      <c r="A664">
        <v>2602</v>
      </c>
      <c r="B664" s="10">
        <v>40164</v>
      </c>
      <c r="C664" s="10">
        <v>40574</v>
      </c>
      <c r="D664" s="10" t="s">
        <v>539</v>
      </c>
      <c r="F664">
        <v>5516</v>
      </c>
      <c r="G664" s="10">
        <v>40875</v>
      </c>
    </row>
    <row r="665" spans="1:7" x14ac:dyDescent="0.2">
      <c r="A665">
        <v>2603</v>
      </c>
      <c r="B665" s="10">
        <v>40157</v>
      </c>
      <c r="C665" s="10">
        <v>40473</v>
      </c>
      <c r="D665" s="10" t="s">
        <v>274</v>
      </c>
      <c r="F665">
        <v>5517</v>
      </c>
      <c r="G665" s="10">
        <v>40875</v>
      </c>
    </row>
    <row r="666" spans="1:7" x14ac:dyDescent="0.2">
      <c r="A666">
        <v>2605</v>
      </c>
      <c r="B666" s="10">
        <v>36526</v>
      </c>
      <c r="C666" s="10">
        <v>40268</v>
      </c>
      <c r="D666" s="10" t="s">
        <v>538</v>
      </c>
      <c r="F666">
        <v>5518</v>
      </c>
      <c r="G666" s="10">
        <v>40875</v>
      </c>
    </row>
    <row r="667" spans="1:7" x14ac:dyDescent="0.2">
      <c r="A667">
        <v>2606</v>
      </c>
      <c r="B667" s="10">
        <v>36526</v>
      </c>
      <c r="C667" s="10">
        <v>40268</v>
      </c>
      <c r="D667" s="10" t="s">
        <v>538</v>
      </c>
      <c r="F667">
        <v>5519</v>
      </c>
      <c r="G667" s="10">
        <v>40875</v>
      </c>
    </row>
    <row r="668" spans="1:7" x14ac:dyDescent="0.2">
      <c r="A668">
        <v>2607</v>
      </c>
      <c r="B668" s="10">
        <v>36526</v>
      </c>
      <c r="C668" s="10">
        <v>40729</v>
      </c>
      <c r="D668" s="10" t="s">
        <v>538</v>
      </c>
      <c r="F668">
        <v>5562</v>
      </c>
      <c r="G668" s="10">
        <v>40875</v>
      </c>
    </row>
    <row r="669" spans="1:7" x14ac:dyDescent="0.2">
      <c r="A669">
        <v>2609</v>
      </c>
      <c r="B669" s="10">
        <v>40169</v>
      </c>
      <c r="C669" s="10">
        <v>40480</v>
      </c>
      <c r="D669" s="10" t="s">
        <v>274</v>
      </c>
      <c r="F669">
        <v>5563</v>
      </c>
      <c r="G669" s="10">
        <v>40875</v>
      </c>
    </row>
    <row r="670" spans="1:7" x14ac:dyDescent="0.2">
      <c r="A670">
        <v>2610</v>
      </c>
      <c r="B670" s="10">
        <v>40172</v>
      </c>
      <c r="C670" s="10">
        <v>40389</v>
      </c>
      <c r="D670" s="10" t="s">
        <v>539</v>
      </c>
      <c r="F670">
        <v>5564</v>
      </c>
      <c r="G670" s="10">
        <v>40875</v>
      </c>
    </row>
    <row r="671" spans="1:7" x14ac:dyDescent="0.2">
      <c r="A671">
        <v>2611</v>
      </c>
      <c r="B671" s="10">
        <v>40177</v>
      </c>
      <c r="C671" s="10">
        <v>40512</v>
      </c>
      <c r="D671" s="10" t="s">
        <v>539</v>
      </c>
      <c r="F671">
        <v>5593</v>
      </c>
      <c r="G671" s="10">
        <v>40875</v>
      </c>
    </row>
    <row r="672" spans="1:7" x14ac:dyDescent="0.2">
      <c r="A672">
        <v>2618</v>
      </c>
      <c r="B672" s="10">
        <v>40172</v>
      </c>
      <c r="C672" s="10">
        <v>40694</v>
      </c>
      <c r="D672" s="10" t="s">
        <v>539</v>
      </c>
      <c r="F672">
        <v>5632</v>
      </c>
      <c r="G672" s="10">
        <v>40875</v>
      </c>
    </row>
    <row r="673" spans="1:7" x14ac:dyDescent="0.2">
      <c r="A673">
        <v>2620</v>
      </c>
      <c r="B673" s="10">
        <v>36526</v>
      </c>
      <c r="C673" s="10">
        <v>40444</v>
      </c>
      <c r="D673" s="10" t="s">
        <v>538</v>
      </c>
      <c r="F673">
        <v>5651</v>
      </c>
      <c r="G673" s="10">
        <v>40875</v>
      </c>
    </row>
    <row r="674" spans="1:7" x14ac:dyDescent="0.2">
      <c r="A674">
        <v>2621</v>
      </c>
      <c r="B674" s="10">
        <v>36526</v>
      </c>
      <c r="C674" s="10">
        <v>40444</v>
      </c>
      <c r="D674" s="10" t="s">
        <v>538</v>
      </c>
      <c r="F674">
        <v>5652</v>
      </c>
      <c r="G674" s="10">
        <v>40875</v>
      </c>
    </row>
    <row r="675" spans="1:7" x14ac:dyDescent="0.2">
      <c r="A675">
        <v>2622</v>
      </c>
      <c r="B675" s="10">
        <v>36526</v>
      </c>
      <c r="C675" s="10">
        <v>40753</v>
      </c>
      <c r="D675" s="10" t="s">
        <v>538</v>
      </c>
      <c r="F675">
        <v>5653</v>
      </c>
      <c r="G675" s="10">
        <v>40875</v>
      </c>
    </row>
    <row r="676" spans="1:7" x14ac:dyDescent="0.2">
      <c r="A676">
        <v>2625</v>
      </c>
      <c r="B676" s="10">
        <v>36526</v>
      </c>
      <c r="C676" s="10">
        <v>40816</v>
      </c>
      <c r="D676" s="10" t="s">
        <v>276</v>
      </c>
      <c r="F676">
        <v>5863</v>
      </c>
      <c r="G676" s="10">
        <v>40875</v>
      </c>
    </row>
    <row r="677" spans="1:7" x14ac:dyDescent="0.2">
      <c r="A677">
        <v>2626</v>
      </c>
      <c r="B677" s="10">
        <v>40176</v>
      </c>
      <c r="C677" s="10">
        <v>40389</v>
      </c>
      <c r="D677" s="10" t="s">
        <v>539</v>
      </c>
      <c r="F677">
        <v>5887</v>
      </c>
      <c r="G677" s="10">
        <v>40875</v>
      </c>
    </row>
    <row r="678" spans="1:7" x14ac:dyDescent="0.2">
      <c r="A678">
        <v>2627</v>
      </c>
      <c r="B678" s="10">
        <v>36526</v>
      </c>
      <c r="C678" s="10">
        <v>40473</v>
      </c>
      <c r="D678" s="10" t="s">
        <v>538</v>
      </c>
      <c r="F678">
        <v>5888</v>
      </c>
      <c r="G678" s="10">
        <v>40875</v>
      </c>
    </row>
    <row r="679" spans="1:7" x14ac:dyDescent="0.2">
      <c r="A679">
        <v>2628</v>
      </c>
      <c r="B679" s="10">
        <v>40177</v>
      </c>
      <c r="C679" s="10">
        <v>40512</v>
      </c>
      <c r="D679" s="10" t="s">
        <v>539</v>
      </c>
      <c r="F679">
        <v>5977</v>
      </c>
      <c r="G679" s="10">
        <v>40875</v>
      </c>
    </row>
    <row r="680" spans="1:7" x14ac:dyDescent="0.2">
      <c r="A680">
        <v>2629</v>
      </c>
      <c r="B680" s="10">
        <v>40177</v>
      </c>
      <c r="C680" s="10">
        <v>40268</v>
      </c>
      <c r="D680" s="10" t="s">
        <v>539</v>
      </c>
      <c r="F680">
        <v>6030</v>
      </c>
      <c r="G680" s="10">
        <v>40820</v>
      </c>
    </row>
    <row r="681" spans="1:7" x14ac:dyDescent="0.2">
      <c r="A681">
        <v>2631</v>
      </c>
      <c r="B681" s="10">
        <v>40177</v>
      </c>
      <c r="C681" s="10">
        <v>40512</v>
      </c>
      <c r="D681" s="10" t="s">
        <v>539</v>
      </c>
      <c r="F681">
        <v>6066</v>
      </c>
      <c r="G681" s="10">
        <v>40875</v>
      </c>
    </row>
    <row r="682" spans="1:7" x14ac:dyDescent="0.2">
      <c r="A682">
        <v>2632</v>
      </c>
      <c r="B682" s="10">
        <v>40177</v>
      </c>
      <c r="C682" s="10">
        <v>40268</v>
      </c>
      <c r="D682" s="10" t="s">
        <v>539</v>
      </c>
      <c r="F682">
        <v>6107</v>
      </c>
      <c r="G682" s="10">
        <v>40875</v>
      </c>
    </row>
    <row r="683" spans="1:7" x14ac:dyDescent="0.2">
      <c r="A683">
        <v>2633</v>
      </c>
      <c r="B683" s="10">
        <v>40178</v>
      </c>
      <c r="C683" s="10">
        <v>40512</v>
      </c>
      <c r="D683" s="10" t="s">
        <v>539</v>
      </c>
      <c r="F683">
        <v>6160</v>
      </c>
      <c r="G683" s="10">
        <v>40834</v>
      </c>
    </row>
    <row r="684" spans="1:7" x14ac:dyDescent="0.2">
      <c r="A684">
        <v>2637</v>
      </c>
      <c r="B684" s="10">
        <v>36526</v>
      </c>
      <c r="C684" s="10">
        <v>40444</v>
      </c>
      <c r="D684" s="10" t="s">
        <v>270</v>
      </c>
      <c r="F684">
        <v>6167</v>
      </c>
      <c r="G684" s="10">
        <v>40875</v>
      </c>
    </row>
    <row r="685" spans="1:7" x14ac:dyDescent="0.2">
      <c r="A685">
        <v>2638</v>
      </c>
      <c r="B685" s="10">
        <v>36526</v>
      </c>
      <c r="C685" s="10">
        <v>40753</v>
      </c>
      <c r="D685" s="10" t="s">
        <v>538</v>
      </c>
      <c r="F685">
        <v>6262</v>
      </c>
      <c r="G685" s="10">
        <v>40863</v>
      </c>
    </row>
    <row r="686" spans="1:7" x14ac:dyDescent="0.2">
      <c r="A686">
        <v>2642</v>
      </c>
      <c r="B686" s="10">
        <v>40863</v>
      </c>
      <c r="C686" s="10">
        <v>40863</v>
      </c>
      <c r="D686" s="10" t="s">
        <v>273</v>
      </c>
      <c r="F686">
        <v>6333</v>
      </c>
      <c r="G686" s="10">
        <v>40875</v>
      </c>
    </row>
    <row r="687" spans="1:7" x14ac:dyDescent="0.2">
      <c r="A687">
        <v>2643</v>
      </c>
      <c r="B687" s="10">
        <v>40198</v>
      </c>
      <c r="C687" s="10">
        <v>40512</v>
      </c>
      <c r="D687" s="10" t="s">
        <v>539</v>
      </c>
      <c r="F687">
        <v>6335</v>
      </c>
      <c r="G687" s="10">
        <v>40875</v>
      </c>
    </row>
    <row r="688" spans="1:7" x14ac:dyDescent="0.2">
      <c r="A688">
        <v>2652</v>
      </c>
      <c r="B688" s="10">
        <v>40200</v>
      </c>
      <c r="C688" s="10">
        <v>40268</v>
      </c>
      <c r="D688" s="10" t="s">
        <v>539</v>
      </c>
      <c r="F688">
        <v>6336</v>
      </c>
      <c r="G688" s="10">
        <v>40875</v>
      </c>
    </row>
    <row r="689" spans="1:7" x14ac:dyDescent="0.2">
      <c r="A689">
        <v>2653</v>
      </c>
      <c r="B689" s="10">
        <v>36526</v>
      </c>
      <c r="C689" s="10">
        <v>40268</v>
      </c>
      <c r="D689" s="10" t="s">
        <v>538</v>
      </c>
      <c r="F689">
        <v>6348</v>
      </c>
      <c r="G689" s="10">
        <v>40875</v>
      </c>
    </row>
    <row r="690" spans="1:7" x14ac:dyDescent="0.2">
      <c r="A690">
        <v>2654</v>
      </c>
      <c r="B690" s="10">
        <v>36526</v>
      </c>
      <c r="C690" s="10">
        <v>40268</v>
      </c>
      <c r="D690" s="10" t="s">
        <v>538</v>
      </c>
      <c r="F690">
        <v>6349</v>
      </c>
      <c r="G690" s="10">
        <v>40875</v>
      </c>
    </row>
    <row r="691" spans="1:7" x14ac:dyDescent="0.2">
      <c r="A691">
        <v>2655</v>
      </c>
      <c r="B691" s="10">
        <v>36526</v>
      </c>
      <c r="C691" s="10">
        <v>40268</v>
      </c>
      <c r="D691" s="10" t="s">
        <v>538</v>
      </c>
      <c r="F691">
        <v>6350</v>
      </c>
      <c r="G691" s="10">
        <v>40875</v>
      </c>
    </row>
    <row r="692" spans="1:7" x14ac:dyDescent="0.2">
      <c r="A692">
        <v>2656</v>
      </c>
      <c r="B692" s="10">
        <v>36526</v>
      </c>
      <c r="C692" s="10">
        <v>40268</v>
      </c>
      <c r="D692" s="10" t="s">
        <v>538</v>
      </c>
    </row>
    <row r="693" spans="1:7" x14ac:dyDescent="0.2">
      <c r="A693">
        <v>2657</v>
      </c>
      <c r="B693" s="10">
        <v>40203</v>
      </c>
      <c r="C693" s="10">
        <v>40268</v>
      </c>
      <c r="D693" s="10" t="s">
        <v>539</v>
      </c>
    </row>
    <row r="694" spans="1:7" x14ac:dyDescent="0.2">
      <c r="A694">
        <v>2667</v>
      </c>
      <c r="B694" s="10">
        <v>40213</v>
      </c>
      <c r="C694" s="10">
        <v>40414</v>
      </c>
      <c r="D694" s="10" t="s">
        <v>204</v>
      </c>
    </row>
    <row r="695" spans="1:7" x14ac:dyDescent="0.2">
      <c r="A695">
        <v>2669</v>
      </c>
      <c r="B695" s="10">
        <v>36526</v>
      </c>
      <c r="C695" s="10">
        <v>40268</v>
      </c>
      <c r="D695" s="10" t="s">
        <v>538</v>
      </c>
    </row>
    <row r="696" spans="1:7" x14ac:dyDescent="0.2">
      <c r="A696">
        <v>2670</v>
      </c>
      <c r="B696" s="10">
        <v>36526</v>
      </c>
      <c r="C696" s="10">
        <v>40268</v>
      </c>
      <c r="D696" s="10" t="s">
        <v>538</v>
      </c>
    </row>
    <row r="697" spans="1:7" x14ac:dyDescent="0.2">
      <c r="A697">
        <v>2671</v>
      </c>
      <c r="B697" s="10">
        <v>36526</v>
      </c>
      <c r="C697" s="10">
        <v>40268</v>
      </c>
      <c r="D697" s="10" t="s">
        <v>538</v>
      </c>
    </row>
    <row r="698" spans="1:7" x14ac:dyDescent="0.2">
      <c r="A698">
        <v>2674</v>
      </c>
      <c r="B698" s="10">
        <v>40233</v>
      </c>
      <c r="C698" s="10">
        <v>40543</v>
      </c>
      <c r="D698" s="10" t="s">
        <v>277</v>
      </c>
    </row>
    <row r="699" spans="1:7" x14ac:dyDescent="0.2">
      <c r="A699">
        <v>2679</v>
      </c>
      <c r="B699" s="10">
        <v>36526</v>
      </c>
      <c r="C699" s="10">
        <v>40268</v>
      </c>
      <c r="D699" s="10" t="s">
        <v>538</v>
      </c>
    </row>
    <row r="700" spans="1:7" x14ac:dyDescent="0.2">
      <c r="A700">
        <v>2680</v>
      </c>
      <c r="B700" s="10">
        <v>36526</v>
      </c>
      <c r="C700" s="10">
        <v>40268</v>
      </c>
      <c r="D700" s="10" t="s">
        <v>538</v>
      </c>
    </row>
    <row r="701" spans="1:7" x14ac:dyDescent="0.2">
      <c r="A701">
        <v>2681</v>
      </c>
      <c r="B701" s="10">
        <v>36526</v>
      </c>
      <c r="C701" s="10">
        <v>40268</v>
      </c>
      <c r="D701" s="10" t="s">
        <v>538</v>
      </c>
    </row>
    <row r="702" spans="1:7" x14ac:dyDescent="0.2">
      <c r="A702">
        <v>2682</v>
      </c>
      <c r="B702" s="10">
        <v>36526</v>
      </c>
      <c r="C702" s="10">
        <v>40268</v>
      </c>
      <c r="D702" s="10" t="s">
        <v>538</v>
      </c>
    </row>
    <row r="703" spans="1:7" x14ac:dyDescent="0.2">
      <c r="A703">
        <v>2686</v>
      </c>
      <c r="B703" s="10">
        <v>36526</v>
      </c>
      <c r="C703" s="10">
        <v>40543</v>
      </c>
      <c r="D703" s="10" t="s">
        <v>538</v>
      </c>
    </row>
    <row r="704" spans="1:7" x14ac:dyDescent="0.2">
      <c r="A704">
        <v>2687</v>
      </c>
      <c r="B704" s="10">
        <v>36526</v>
      </c>
      <c r="C704" s="10">
        <v>40359</v>
      </c>
      <c r="D704" s="10" t="s">
        <v>538</v>
      </c>
    </row>
    <row r="705" spans="1:4" x14ac:dyDescent="0.2">
      <c r="A705">
        <v>2688</v>
      </c>
      <c r="B705" s="10">
        <v>36526</v>
      </c>
      <c r="C705" s="10">
        <v>40268</v>
      </c>
      <c r="D705" s="10" t="s">
        <v>538</v>
      </c>
    </row>
    <row r="706" spans="1:4" x14ac:dyDescent="0.2">
      <c r="A706">
        <v>2689</v>
      </c>
      <c r="B706" s="10">
        <v>36526</v>
      </c>
      <c r="C706" s="10">
        <v>40480</v>
      </c>
      <c r="D706" s="10" t="s">
        <v>538</v>
      </c>
    </row>
    <row r="707" spans="1:4" x14ac:dyDescent="0.2">
      <c r="A707">
        <v>2690</v>
      </c>
      <c r="B707" s="10">
        <v>36526</v>
      </c>
      <c r="C707" s="10">
        <v>40359</v>
      </c>
      <c r="D707" s="10" t="s">
        <v>538</v>
      </c>
    </row>
    <row r="708" spans="1:4" x14ac:dyDescent="0.2">
      <c r="A708">
        <v>2691</v>
      </c>
      <c r="B708" s="10">
        <v>36526</v>
      </c>
      <c r="C708" s="10">
        <v>40512</v>
      </c>
      <c r="D708" s="10" t="s">
        <v>538</v>
      </c>
    </row>
    <row r="709" spans="1:4" x14ac:dyDescent="0.2">
      <c r="A709">
        <v>2692</v>
      </c>
      <c r="B709" s="10">
        <v>36526</v>
      </c>
      <c r="C709" s="10">
        <v>40840</v>
      </c>
      <c r="D709" s="10" t="s">
        <v>538</v>
      </c>
    </row>
    <row r="710" spans="1:4" x14ac:dyDescent="0.2">
      <c r="A710">
        <v>2704</v>
      </c>
      <c r="B710" s="10">
        <v>36526</v>
      </c>
      <c r="C710" s="10">
        <v>40359</v>
      </c>
      <c r="D710" s="10" t="s">
        <v>271</v>
      </c>
    </row>
    <row r="711" spans="1:4" x14ac:dyDescent="0.2">
      <c r="A711">
        <v>2705</v>
      </c>
      <c r="B711" s="10">
        <v>36526</v>
      </c>
      <c r="C711" s="10">
        <v>40359</v>
      </c>
      <c r="D711" s="10" t="s">
        <v>271</v>
      </c>
    </row>
    <row r="712" spans="1:4" x14ac:dyDescent="0.2">
      <c r="A712">
        <v>2707</v>
      </c>
      <c r="B712" s="10">
        <v>40217</v>
      </c>
      <c r="C712" s="10">
        <v>40694</v>
      </c>
      <c r="D712" s="10" t="s">
        <v>539</v>
      </c>
    </row>
    <row r="713" spans="1:4" x14ac:dyDescent="0.2">
      <c r="A713">
        <v>2709</v>
      </c>
      <c r="B713" s="10">
        <v>40219</v>
      </c>
      <c r="C713" s="10">
        <v>40617</v>
      </c>
      <c r="D713" s="10" t="s">
        <v>539</v>
      </c>
    </row>
    <row r="714" spans="1:4" x14ac:dyDescent="0.2">
      <c r="A714">
        <v>2711</v>
      </c>
      <c r="B714" s="10">
        <v>40220</v>
      </c>
      <c r="C714" s="10">
        <v>40802</v>
      </c>
      <c r="D714" s="10" t="s">
        <v>539</v>
      </c>
    </row>
    <row r="715" spans="1:4" x14ac:dyDescent="0.2">
      <c r="A715">
        <v>2712</v>
      </c>
      <c r="B715" s="10">
        <v>40224</v>
      </c>
      <c r="C715" s="10">
        <v>40268</v>
      </c>
      <c r="D715" s="10" t="s">
        <v>539</v>
      </c>
    </row>
    <row r="716" spans="1:4" x14ac:dyDescent="0.2">
      <c r="A716">
        <v>2713</v>
      </c>
      <c r="B716" s="10">
        <v>36526</v>
      </c>
      <c r="C716" s="10">
        <v>40389</v>
      </c>
      <c r="D716" s="10" t="s">
        <v>205</v>
      </c>
    </row>
    <row r="717" spans="1:4" x14ac:dyDescent="0.2">
      <c r="A717">
        <v>2714</v>
      </c>
      <c r="B717" s="10">
        <v>40225</v>
      </c>
      <c r="C717" s="10">
        <v>40268</v>
      </c>
      <c r="D717" s="10" t="s">
        <v>539</v>
      </c>
    </row>
    <row r="718" spans="1:4" x14ac:dyDescent="0.2">
      <c r="A718">
        <v>2715</v>
      </c>
      <c r="B718" s="10">
        <v>40590</v>
      </c>
      <c r="C718" s="10">
        <v>40344</v>
      </c>
      <c r="D718" s="10" t="s">
        <v>539</v>
      </c>
    </row>
    <row r="719" spans="1:4" x14ac:dyDescent="0.2">
      <c r="A719">
        <v>2716</v>
      </c>
      <c r="B719" s="10">
        <v>36526</v>
      </c>
      <c r="C719" s="10">
        <v>40268</v>
      </c>
      <c r="D719" s="10" t="s">
        <v>538</v>
      </c>
    </row>
    <row r="720" spans="1:4" x14ac:dyDescent="0.2">
      <c r="A720">
        <v>2718</v>
      </c>
      <c r="B720" s="10">
        <v>36526</v>
      </c>
      <c r="C720" s="10">
        <v>40444</v>
      </c>
      <c r="D720" s="10" t="s">
        <v>538</v>
      </c>
    </row>
    <row r="721" spans="1:4" x14ac:dyDescent="0.2">
      <c r="A721">
        <v>2722</v>
      </c>
      <c r="B721" s="10">
        <v>40228</v>
      </c>
      <c r="C721" s="10">
        <v>40512</v>
      </c>
      <c r="D721" s="10" t="s">
        <v>539</v>
      </c>
    </row>
    <row r="722" spans="1:4" x14ac:dyDescent="0.2">
      <c r="A722">
        <v>2727</v>
      </c>
      <c r="B722" s="10">
        <v>36526</v>
      </c>
      <c r="C722" s="10">
        <v>40633</v>
      </c>
      <c r="D722" s="10" t="s">
        <v>538</v>
      </c>
    </row>
    <row r="723" spans="1:4" x14ac:dyDescent="0.2">
      <c r="A723">
        <v>2728</v>
      </c>
      <c r="B723" s="10">
        <v>36526</v>
      </c>
      <c r="C723" s="10">
        <v>40473</v>
      </c>
      <c r="D723" s="10" t="s">
        <v>538</v>
      </c>
    </row>
    <row r="724" spans="1:4" x14ac:dyDescent="0.2">
      <c r="A724">
        <v>2729</v>
      </c>
      <c r="B724" s="10">
        <v>36526</v>
      </c>
      <c r="C724" s="10">
        <v>40473</v>
      </c>
      <c r="D724" s="10" t="s">
        <v>538</v>
      </c>
    </row>
    <row r="725" spans="1:4" x14ac:dyDescent="0.2">
      <c r="A725">
        <v>2730</v>
      </c>
      <c r="B725" s="10">
        <v>36526</v>
      </c>
      <c r="C725" s="10">
        <v>40473</v>
      </c>
      <c r="D725" s="10" t="s">
        <v>538</v>
      </c>
    </row>
    <row r="726" spans="1:4" x14ac:dyDescent="0.2">
      <c r="A726">
        <v>2731</v>
      </c>
      <c r="B726" s="10">
        <v>40344</v>
      </c>
      <c r="C726" s="10">
        <v>40633</v>
      </c>
      <c r="D726" s="10" t="s">
        <v>539</v>
      </c>
    </row>
    <row r="727" spans="1:4" x14ac:dyDescent="0.2">
      <c r="A727">
        <v>2733</v>
      </c>
      <c r="B727" s="10">
        <v>40233</v>
      </c>
      <c r="C727" s="10">
        <v>40786</v>
      </c>
      <c r="D727" s="10" t="s">
        <v>539</v>
      </c>
    </row>
    <row r="728" spans="1:4" x14ac:dyDescent="0.2">
      <c r="A728">
        <v>2740</v>
      </c>
      <c r="B728" s="10">
        <v>36526</v>
      </c>
      <c r="C728" s="10">
        <v>40724</v>
      </c>
      <c r="D728" s="10" t="s">
        <v>538</v>
      </c>
    </row>
    <row r="729" spans="1:4" x14ac:dyDescent="0.2">
      <c r="A729">
        <v>2741</v>
      </c>
      <c r="B729" s="10">
        <v>40241</v>
      </c>
      <c r="C729" s="10">
        <v>40414</v>
      </c>
      <c r="D729" s="10" t="s">
        <v>204</v>
      </c>
    </row>
    <row r="730" spans="1:4" x14ac:dyDescent="0.2">
      <c r="A730">
        <v>2743</v>
      </c>
      <c r="B730" s="10">
        <v>36526</v>
      </c>
      <c r="C730" s="10">
        <v>40291</v>
      </c>
      <c r="D730" s="10" t="s">
        <v>266</v>
      </c>
    </row>
    <row r="731" spans="1:4" x14ac:dyDescent="0.2">
      <c r="A731">
        <v>2751</v>
      </c>
      <c r="B731" s="10">
        <v>36526</v>
      </c>
      <c r="C731" s="10">
        <v>40268</v>
      </c>
      <c r="D731" s="10" t="s">
        <v>538</v>
      </c>
    </row>
    <row r="732" spans="1:4" x14ac:dyDescent="0.2">
      <c r="A732">
        <v>2752</v>
      </c>
      <c r="B732" s="10">
        <v>36526</v>
      </c>
      <c r="C732" s="10">
        <v>40268</v>
      </c>
      <c r="D732" s="10" t="s">
        <v>271</v>
      </c>
    </row>
    <row r="733" spans="1:4" x14ac:dyDescent="0.2">
      <c r="A733">
        <v>2753</v>
      </c>
      <c r="B733" s="10">
        <v>40252</v>
      </c>
      <c r="C733" s="10">
        <v>40268</v>
      </c>
      <c r="D733" s="10" t="s">
        <v>539</v>
      </c>
    </row>
    <row r="734" spans="1:4" x14ac:dyDescent="0.2">
      <c r="A734">
        <v>2756</v>
      </c>
      <c r="B734" s="10">
        <v>219148</v>
      </c>
      <c r="C734" s="10">
        <v>40268</v>
      </c>
      <c r="D734" s="10" t="s">
        <v>271</v>
      </c>
    </row>
    <row r="735" spans="1:4" x14ac:dyDescent="0.2">
      <c r="A735">
        <v>2757</v>
      </c>
      <c r="B735" s="10">
        <v>219148</v>
      </c>
      <c r="C735" s="10">
        <v>40268</v>
      </c>
      <c r="D735" s="10" t="s">
        <v>271</v>
      </c>
    </row>
    <row r="736" spans="1:4" x14ac:dyDescent="0.2">
      <c r="A736">
        <v>2762</v>
      </c>
      <c r="B736" s="10">
        <v>36526</v>
      </c>
      <c r="C736" s="10">
        <v>40528</v>
      </c>
      <c r="D736" s="10" t="s">
        <v>538</v>
      </c>
    </row>
    <row r="737" spans="1:4" x14ac:dyDescent="0.2">
      <c r="A737">
        <v>2764</v>
      </c>
      <c r="B737" s="10">
        <v>40256</v>
      </c>
      <c r="C737" s="10">
        <v>40268</v>
      </c>
      <c r="D737" s="10" t="s">
        <v>539</v>
      </c>
    </row>
    <row r="738" spans="1:4" x14ac:dyDescent="0.2">
      <c r="A738">
        <v>2765</v>
      </c>
      <c r="B738" s="10">
        <v>36526</v>
      </c>
      <c r="C738" s="10">
        <v>40268</v>
      </c>
      <c r="D738" s="10" t="s">
        <v>538</v>
      </c>
    </row>
    <row r="739" spans="1:4" x14ac:dyDescent="0.2">
      <c r="A739">
        <v>2767</v>
      </c>
      <c r="B739" s="10">
        <v>36526</v>
      </c>
      <c r="C739" s="10">
        <v>40753</v>
      </c>
      <c r="D739" s="10" t="s">
        <v>538</v>
      </c>
    </row>
    <row r="740" spans="1:4" x14ac:dyDescent="0.2">
      <c r="A740">
        <v>2772</v>
      </c>
      <c r="B740" s="10">
        <v>40260</v>
      </c>
      <c r="C740" s="10">
        <v>40512</v>
      </c>
      <c r="D740" s="10" t="s">
        <v>539</v>
      </c>
    </row>
    <row r="741" spans="1:4" x14ac:dyDescent="0.2">
      <c r="A741">
        <v>2778</v>
      </c>
      <c r="B741" s="10">
        <v>36526</v>
      </c>
      <c r="C741" s="10">
        <v>40528</v>
      </c>
      <c r="D741" s="10" t="s">
        <v>538</v>
      </c>
    </row>
    <row r="742" spans="1:4" x14ac:dyDescent="0.2">
      <c r="A742">
        <v>2780</v>
      </c>
      <c r="B742" s="10">
        <v>219148</v>
      </c>
      <c r="C742" s="10">
        <v>40268</v>
      </c>
      <c r="D742" s="10" t="s">
        <v>271</v>
      </c>
    </row>
    <row r="743" spans="1:4" x14ac:dyDescent="0.2">
      <c r="A743">
        <v>2783</v>
      </c>
      <c r="B743" s="10">
        <v>40267</v>
      </c>
      <c r="C743" s="10">
        <v>40779</v>
      </c>
      <c r="D743" s="10" t="s">
        <v>539</v>
      </c>
    </row>
    <row r="744" spans="1:4" x14ac:dyDescent="0.2">
      <c r="A744">
        <v>2788</v>
      </c>
      <c r="B744" s="10">
        <v>219148</v>
      </c>
      <c r="C744" s="10">
        <v>40268</v>
      </c>
      <c r="D744" s="10" t="s">
        <v>271</v>
      </c>
    </row>
    <row r="745" spans="1:4" x14ac:dyDescent="0.2">
      <c r="A745">
        <v>2789</v>
      </c>
      <c r="B745" s="10">
        <v>40283</v>
      </c>
      <c r="C745" s="10">
        <v>40602</v>
      </c>
      <c r="D745" s="10" t="s">
        <v>275</v>
      </c>
    </row>
    <row r="746" spans="1:4" x14ac:dyDescent="0.2">
      <c r="A746">
        <v>2790</v>
      </c>
      <c r="B746" s="10">
        <v>219148</v>
      </c>
      <c r="C746" s="10">
        <v>40268</v>
      </c>
      <c r="D746" s="10" t="s">
        <v>271</v>
      </c>
    </row>
    <row r="747" spans="1:4" x14ac:dyDescent="0.2">
      <c r="A747">
        <v>2791</v>
      </c>
      <c r="B747" s="10">
        <v>40298</v>
      </c>
      <c r="C747" s="10">
        <v>40268</v>
      </c>
      <c r="D747" s="10" t="s">
        <v>539</v>
      </c>
    </row>
    <row r="748" spans="1:4" x14ac:dyDescent="0.2">
      <c r="A748">
        <v>2792</v>
      </c>
      <c r="B748" s="10">
        <v>40298</v>
      </c>
      <c r="C748" s="10">
        <v>40268</v>
      </c>
      <c r="D748" s="10" t="s">
        <v>539</v>
      </c>
    </row>
    <row r="749" spans="1:4" x14ac:dyDescent="0.2">
      <c r="A749">
        <v>2793</v>
      </c>
      <c r="B749" s="10">
        <v>40298</v>
      </c>
      <c r="C749" s="10">
        <v>40268</v>
      </c>
      <c r="D749" s="10" t="s">
        <v>539</v>
      </c>
    </row>
    <row r="750" spans="1:4" x14ac:dyDescent="0.2">
      <c r="A750">
        <v>2794</v>
      </c>
      <c r="B750" s="10">
        <v>40293</v>
      </c>
      <c r="C750" s="10">
        <v>40268</v>
      </c>
      <c r="D750" s="10" t="s">
        <v>539</v>
      </c>
    </row>
    <row r="751" spans="1:4" x14ac:dyDescent="0.2">
      <c r="A751">
        <v>2796</v>
      </c>
      <c r="B751" s="10">
        <v>36526</v>
      </c>
      <c r="C751" s="10">
        <v>40291</v>
      </c>
      <c r="D751" s="10" t="s">
        <v>271</v>
      </c>
    </row>
    <row r="752" spans="1:4" x14ac:dyDescent="0.2">
      <c r="A752">
        <v>2797</v>
      </c>
      <c r="B752" s="10">
        <v>40293</v>
      </c>
      <c r="C752" s="10">
        <v>40268</v>
      </c>
      <c r="D752" s="10" t="s">
        <v>539</v>
      </c>
    </row>
    <row r="753" spans="1:4" x14ac:dyDescent="0.2">
      <c r="A753">
        <v>2798</v>
      </c>
      <c r="B753" s="10">
        <v>40293</v>
      </c>
      <c r="C753" s="10">
        <v>40329</v>
      </c>
      <c r="D753" s="10" t="s">
        <v>539</v>
      </c>
    </row>
    <row r="754" spans="1:4" x14ac:dyDescent="0.2">
      <c r="A754">
        <v>2799</v>
      </c>
      <c r="B754" s="10">
        <v>40293</v>
      </c>
      <c r="C754" s="10">
        <v>40268</v>
      </c>
      <c r="D754" s="10" t="s">
        <v>539</v>
      </c>
    </row>
    <row r="755" spans="1:4" x14ac:dyDescent="0.2">
      <c r="A755">
        <v>2801</v>
      </c>
      <c r="B755" s="10">
        <v>40280</v>
      </c>
      <c r="C755" s="10">
        <v>40543</v>
      </c>
      <c r="D755" s="10" t="s">
        <v>274</v>
      </c>
    </row>
    <row r="756" spans="1:4" x14ac:dyDescent="0.2">
      <c r="A756">
        <v>2805</v>
      </c>
      <c r="B756" s="10">
        <v>40293</v>
      </c>
      <c r="C756" s="10">
        <v>40268</v>
      </c>
      <c r="D756" s="10" t="s">
        <v>539</v>
      </c>
    </row>
    <row r="757" spans="1:4" x14ac:dyDescent="0.2">
      <c r="A757">
        <v>2807</v>
      </c>
      <c r="B757" s="10">
        <v>36526</v>
      </c>
      <c r="C757" s="10">
        <v>40528</v>
      </c>
      <c r="D757" s="10" t="s">
        <v>538</v>
      </c>
    </row>
    <row r="758" spans="1:4" x14ac:dyDescent="0.2">
      <c r="A758">
        <v>2808</v>
      </c>
      <c r="B758" s="10">
        <v>219148</v>
      </c>
      <c r="C758" s="10">
        <v>40268</v>
      </c>
      <c r="D758" s="10" t="s">
        <v>271</v>
      </c>
    </row>
    <row r="759" spans="1:4" x14ac:dyDescent="0.2">
      <c r="A759">
        <v>2809</v>
      </c>
      <c r="B759" s="10">
        <v>219148</v>
      </c>
      <c r="C759" s="10">
        <v>40268</v>
      </c>
      <c r="D759" s="10" t="s">
        <v>271</v>
      </c>
    </row>
    <row r="760" spans="1:4" x14ac:dyDescent="0.2">
      <c r="A760">
        <v>2810</v>
      </c>
      <c r="B760" s="10">
        <v>219148</v>
      </c>
      <c r="C760" s="10">
        <v>40268</v>
      </c>
      <c r="D760" s="10" t="s">
        <v>271</v>
      </c>
    </row>
    <row r="761" spans="1:4" x14ac:dyDescent="0.2">
      <c r="A761">
        <v>2811</v>
      </c>
      <c r="B761" s="10">
        <v>40295</v>
      </c>
      <c r="C761" s="10">
        <v>40444</v>
      </c>
      <c r="D761" s="10" t="s">
        <v>539</v>
      </c>
    </row>
    <row r="762" spans="1:4" x14ac:dyDescent="0.2">
      <c r="A762">
        <v>2820</v>
      </c>
      <c r="B762" s="10">
        <v>36526</v>
      </c>
      <c r="C762" s="10">
        <v>40389</v>
      </c>
      <c r="D762" s="10" t="s">
        <v>276</v>
      </c>
    </row>
    <row r="763" spans="1:4" x14ac:dyDescent="0.2">
      <c r="A763">
        <v>2823</v>
      </c>
      <c r="B763" s="10">
        <v>219148</v>
      </c>
      <c r="C763" s="10">
        <v>40268</v>
      </c>
      <c r="D763" s="10" t="s">
        <v>271</v>
      </c>
    </row>
    <row r="764" spans="1:4" x14ac:dyDescent="0.2">
      <c r="A764">
        <v>2824</v>
      </c>
      <c r="B764" s="10">
        <v>219148</v>
      </c>
      <c r="C764" s="10">
        <v>40268</v>
      </c>
      <c r="D764" s="10" t="s">
        <v>271</v>
      </c>
    </row>
    <row r="765" spans="1:4" x14ac:dyDescent="0.2">
      <c r="A765">
        <v>2825</v>
      </c>
      <c r="B765" s="10">
        <v>219148</v>
      </c>
      <c r="C765" s="10">
        <v>40268</v>
      </c>
      <c r="D765" s="10" t="s">
        <v>271</v>
      </c>
    </row>
    <row r="766" spans="1:4" x14ac:dyDescent="0.2">
      <c r="A766">
        <v>2826</v>
      </c>
      <c r="B766" s="10">
        <v>219148</v>
      </c>
      <c r="C766" s="10">
        <v>40268</v>
      </c>
      <c r="D766" s="10" t="s">
        <v>271</v>
      </c>
    </row>
    <row r="767" spans="1:4" x14ac:dyDescent="0.2">
      <c r="A767">
        <v>2827</v>
      </c>
      <c r="B767" s="10">
        <v>219148</v>
      </c>
      <c r="C767" s="10">
        <v>40268</v>
      </c>
      <c r="D767" s="10" t="s">
        <v>271</v>
      </c>
    </row>
    <row r="768" spans="1:4" x14ac:dyDescent="0.2">
      <c r="A768">
        <v>2828</v>
      </c>
      <c r="B768" s="10">
        <v>219148</v>
      </c>
      <c r="C768" s="10">
        <v>40268</v>
      </c>
      <c r="D768" s="10" t="s">
        <v>271</v>
      </c>
    </row>
    <row r="769" spans="1:4" x14ac:dyDescent="0.2">
      <c r="A769">
        <v>2829</v>
      </c>
      <c r="B769" s="10">
        <v>219148</v>
      </c>
      <c r="C769" s="10">
        <v>40268</v>
      </c>
      <c r="D769" s="10" t="s">
        <v>271</v>
      </c>
    </row>
    <row r="770" spans="1:4" x14ac:dyDescent="0.2">
      <c r="A770">
        <v>2830</v>
      </c>
      <c r="B770" s="10">
        <v>219148</v>
      </c>
      <c r="C770" s="10">
        <v>40268</v>
      </c>
      <c r="D770" s="10" t="s">
        <v>271</v>
      </c>
    </row>
    <row r="771" spans="1:4" x14ac:dyDescent="0.2">
      <c r="A771">
        <v>2831</v>
      </c>
      <c r="B771" s="10">
        <v>219148</v>
      </c>
      <c r="C771" s="10">
        <v>40268</v>
      </c>
      <c r="D771" s="10" t="s">
        <v>271</v>
      </c>
    </row>
    <row r="772" spans="1:4" x14ac:dyDescent="0.2">
      <c r="A772">
        <v>2832</v>
      </c>
      <c r="B772" s="10">
        <v>219148</v>
      </c>
      <c r="C772" s="10">
        <v>40268</v>
      </c>
      <c r="D772" s="10" t="s">
        <v>271</v>
      </c>
    </row>
    <row r="773" spans="1:4" x14ac:dyDescent="0.2">
      <c r="A773">
        <v>2833</v>
      </c>
      <c r="B773" s="10">
        <v>36526</v>
      </c>
      <c r="C773" s="10">
        <v>40268</v>
      </c>
      <c r="D773" s="10" t="s">
        <v>271</v>
      </c>
    </row>
    <row r="774" spans="1:4" x14ac:dyDescent="0.2">
      <c r="A774">
        <v>2834</v>
      </c>
      <c r="B774" s="10">
        <v>36526</v>
      </c>
      <c r="C774" s="10">
        <v>40268</v>
      </c>
      <c r="D774" s="10" t="s">
        <v>538</v>
      </c>
    </row>
    <row r="775" spans="1:4" x14ac:dyDescent="0.2">
      <c r="A775">
        <v>2835</v>
      </c>
      <c r="B775" s="10">
        <v>36526</v>
      </c>
      <c r="C775" s="10">
        <v>40268</v>
      </c>
      <c r="D775" s="10" t="s">
        <v>538</v>
      </c>
    </row>
    <row r="776" spans="1:4" x14ac:dyDescent="0.2">
      <c r="A776">
        <v>2836</v>
      </c>
      <c r="B776" s="10">
        <v>36526</v>
      </c>
      <c r="C776" s="10">
        <v>40268</v>
      </c>
      <c r="D776" s="10" t="s">
        <v>538</v>
      </c>
    </row>
    <row r="777" spans="1:4" x14ac:dyDescent="0.2">
      <c r="A777">
        <v>2837</v>
      </c>
      <c r="B777" s="10">
        <v>219148</v>
      </c>
      <c r="C777" s="10">
        <v>40329</v>
      </c>
      <c r="D777" s="10" t="s">
        <v>278</v>
      </c>
    </row>
    <row r="778" spans="1:4" x14ac:dyDescent="0.2">
      <c r="A778">
        <v>2838</v>
      </c>
      <c r="B778" s="10">
        <v>36526</v>
      </c>
      <c r="C778" s="10">
        <v>40268</v>
      </c>
      <c r="D778" s="10" t="s">
        <v>276</v>
      </c>
    </row>
    <row r="779" spans="1:4" x14ac:dyDescent="0.2">
      <c r="A779">
        <v>2841</v>
      </c>
      <c r="B779" s="10">
        <v>40293</v>
      </c>
      <c r="C779" s="10">
        <v>40512</v>
      </c>
      <c r="D779" s="10" t="s">
        <v>539</v>
      </c>
    </row>
    <row r="780" spans="1:4" x14ac:dyDescent="0.2">
      <c r="A780">
        <v>2842</v>
      </c>
      <c r="B780" s="10">
        <v>36526</v>
      </c>
      <c r="C780" s="10">
        <v>40786</v>
      </c>
      <c r="D780" s="10" t="s">
        <v>538</v>
      </c>
    </row>
    <row r="781" spans="1:4" x14ac:dyDescent="0.2">
      <c r="A781">
        <v>2843</v>
      </c>
      <c r="B781" s="10">
        <v>36526</v>
      </c>
      <c r="C781" s="10">
        <v>40786</v>
      </c>
      <c r="D781" s="10" t="s">
        <v>538</v>
      </c>
    </row>
    <row r="782" spans="1:4" x14ac:dyDescent="0.2">
      <c r="A782">
        <v>2844</v>
      </c>
      <c r="B782" s="10">
        <v>36526</v>
      </c>
      <c r="C782" s="10">
        <v>40786</v>
      </c>
      <c r="D782" s="10" t="s">
        <v>538</v>
      </c>
    </row>
    <row r="783" spans="1:4" x14ac:dyDescent="0.2">
      <c r="A783">
        <v>2845</v>
      </c>
      <c r="B783" s="10">
        <v>36526</v>
      </c>
      <c r="C783" s="10">
        <v>40786</v>
      </c>
      <c r="D783" s="10" t="s">
        <v>538</v>
      </c>
    </row>
    <row r="784" spans="1:4" x14ac:dyDescent="0.2">
      <c r="A784">
        <v>2846</v>
      </c>
      <c r="B784" s="10">
        <v>36526</v>
      </c>
      <c r="C784" s="10">
        <v>40291</v>
      </c>
      <c r="D784" s="10" t="s">
        <v>271</v>
      </c>
    </row>
    <row r="785" spans="1:4" x14ac:dyDescent="0.2">
      <c r="A785">
        <v>2847</v>
      </c>
      <c r="B785" s="10">
        <v>36526</v>
      </c>
      <c r="C785" s="10">
        <v>40291</v>
      </c>
      <c r="D785" s="10" t="s">
        <v>271</v>
      </c>
    </row>
    <row r="786" spans="1:4" x14ac:dyDescent="0.2">
      <c r="A786">
        <v>2848</v>
      </c>
      <c r="B786" s="10">
        <v>36526</v>
      </c>
      <c r="C786" s="10">
        <v>40528</v>
      </c>
      <c r="D786" s="10" t="s">
        <v>538</v>
      </c>
    </row>
    <row r="787" spans="1:4" x14ac:dyDescent="0.2">
      <c r="A787">
        <v>2849</v>
      </c>
      <c r="B787" s="10">
        <v>40276</v>
      </c>
      <c r="C787" s="10">
        <v>40753</v>
      </c>
      <c r="D787" s="10" t="s">
        <v>539</v>
      </c>
    </row>
    <row r="788" spans="1:4" x14ac:dyDescent="0.2">
      <c r="A788">
        <v>2852</v>
      </c>
      <c r="B788" s="10">
        <v>36526</v>
      </c>
      <c r="C788" s="10">
        <v>40786</v>
      </c>
      <c r="D788" s="10" t="s">
        <v>538</v>
      </c>
    </row>
    <row r="789" spans="1:4" x14ac:dyDescent="0.2">
      <c r="A789">
        <v>2853</v>
      </c>
      <c r="B789" s="10">
        <v>36526</v>
      </c>
      <c r="C789" s="10">
        <v>40786</v>
      </c>
      <c r="D789" s="10" t="s">
        <v>538</v>
      </c>
    </row>
    <row r="790" spans="1:4" x14ac:dyDescent="0.2">
      <c r="A790">
        <v>2862</v>
      </c>
      <c r="B790" s="10">
        <v>36526</v>
      </c>
      <c r="C790" s="10">
        <v>40528</v>
      </c>
      <c r="D790" s="10" t="s">
        <v>538</v>
      </c>
    </row>
    <row r="791" spans="1:4" x14ac:dyDescent="0.2">
      <c r="A791">
        <v>2863</v>
      </c>
      <c r="B791" s="10">
        <v>40284</v>
      </c>
      <c r="C791" s="10">
        <v>40329</v>
      </c>
      <c r="D791" s="10" t="s">
        <v>539</v>
      </c>
    </row>
    <row r="792" spans="1:4" x14ac:dyDescent="0.2">
      <c r="A792">
        <v>2864</v>
      </c>
      <c r="B792" s="10">
        <v>36526</v>
      </c>
      <c r="C792" s="10">
        <v>40291</v>
      </c>
      <c r="D792" s="10" t="s">
        <v>271</v>
      </c>
    </row>
    <row r="793" spans="1:4" x14ac:dyDescent="0.2">
      <c r="A793">
        <v>2865</v>
      </c>
      <c r="B793" s="10">
        <v>40287</v>
      </c>
      <c r="C793" s="10">
        <v>40291</v>
      </c>
      <c r="D793" s="10" t="s">
        <v>539</v>
      </c>
    </row>
    <row r="794" spans="1:4" x14ac:dyDescent="0.2">
      <c r="A794">
        <v>2866</v>
      </c>
      <c r="B794" s="10">
        <v>40294</v>
      </c>
      <c r="C794" s="10">
        <v>40574</v>
      </c>
      <c r="D794" s="10" t="s">
        <v>539</v>
      </c>
    </row>
    <row r="795" spans="1:4" x14ac:dyDescent="0.2">
      <c r="A795">
        <v>2867</v>
      </c>
      <c r="B795" s="10">
        <v>219148</v>
      </c>
      <c r="C795" s="10">
        <v>40290</v>
      </c>
      <c r="D795" s="10" t="s">
        <v>271</v>
      </c>
    </row>
    <row r="796" spans="1:4" x14ac:dyDescent="0.2">
      <c r="A796">
        <v>2868</v>
      </c>
      <c r="B796" s="10">
        <v>219148</v>
      </c>
      <c r="C796" s="10">
        <v>40290</v>
      </c>
      <c r="D796" s="10" t="s">
        <v>271</v>
      </c>
    </row>
    <row r="797" spans="1:4" x14ac:dyDescent="0.2">
      <c r="A797">
        <v>2869</v>
      </c>
      <c r="B797" s="10">
        <v>219148</v>
      </c>
      <c r="C797" s="10">
        <v>40290</v>
      </c>
      <c r="D797" s="10" t="s">
        <v>271</v>
      </c>
    </row>
    <row r="798" spans="1:4" x14ac:dyDescent="0.2">
      <c r="A798">
        <v>2870</v>
      </c>
      <c r="B798" s="10">
        <v>219148</v>
      </c>
      <c r="C798" s="10">
        <v>40290</v>
      </c>
      <c r="D798" s="10" t="s">
        <v>271</v>
      </c>
    </row>
    <row r="799" spans="1:4" x14ac:dyDescent="0.2">
      <c r="A799">
        <v>2871</v>
      </c>
      <c r="B799" s="10">
        <v>219148</v>
      </c>
      <c r="C799" s="10">
        <v>40290</v>
      </c>
      <c r="D799" s="10" t="s">
        <v>271</v>
      </c>
    </row>
    <row r="800" spans="1:4" x14ac:dyDescent="0.2">
      <c r="A800">
        <v>2872</v>
      </c>
      <c r="B800" s="10">
        <v>219148</v>
      </c>
      <c r="C800" s="10">
        <v>40290</v>
      </c>
      <c r="D800" s="10" t="s">
        <v>271</v>
      </c>
    </row>
    <row r="801" spans="1:4" x14ac:dyDescent="0.2">
      <c r="A801">
        <v>2873</v>
      </c>
      <c r="B801" s="10">
        <v>219148</v>
      </c>
      <c r="C801" s="10">
        <v>40290</v>
      </c>
      <c r="D801" s="10" t="s">
        <v>271</v>
      </c>
    </row>
    <row r="802" spans="1:4" x14ac:dyDescent="0.2">
      <c r="A802">
        <v>2874</v>
      </c>
      <c r="B802" s="10">
        <v>219148</v>
      </c>
      <c r="C802" s="10">
        <v>40290</v>
      </c>
      <c r="D802" s="10" t="s">
        <v>271</v>
      </c>
    </row>
    <row r="803" spans="1:4" x14ac:dyDescent="0.2">
      <c r="A803">
        <v>2875</v>
      </c>
      <c r="B803" s="10">
        <v>40290</v>
      </c>
      <c r="C803" s="10">
        <v>40291</v>
      </c>
      <c r="D803" s="10" t="s">
        <v>539</v>
      </c>
    </row>
    <row r="804" spans="1:4" x14ac:dyDescent="0.2">
      <c r="A804">
        <v>2877</v>
      </c>
      <c r="B804" s="10">
        <v>43941</v>
      </c>
      <c r="C804" s="10">
        <v>40512</v>
      </c>
      <c r="D804" s="10" t="s">
        <v>539</v>
      </c>
    </row>
    <row r="805" spans="1:4" x14ac:dyDescent="0.2">
      <c r="A805">
        <v>2878</v>
      </c>
      <c r="B805" s="10">
        <v>36526</v>
      </c>
      <c r="C805" s="10">
        <v>40329</v>
      </c>
      <c r="D805" s="10" t="s">
        <v>538</v>
      </c>
    </row>
    <row r="806" spans="1:4" x14ac:dyDescent="0.2">
      <c r="A806">
        <v>2879</v>
      </c>
      <c r="B806" s="10">
        <v>36526</v>
      </c>
      <c r="C806" s="10">
        <v>40329</v>
      </c>
      <c r="D806" s="10" t="s">
        <v>538</v>
      </c>
    </row>
    <row r="807" spans="1:4" x14ac:dyDescent="0.2">
      <c r="A807">
        <v>2880</v>
      </c>
      <c r="B807" s="10">
        <v>36526</v>
      </c>
      <c r="C807" s="10">
        <v>40329</v>
      </c>
      <c r="D807" s="10" t="s">
        <v>538</v>
      </c>
    </row>
    <row r="808" spans="1:4" x14ac:dyDescent="0.2">
      <c r="A808">
        <v>2881</v>
      </c>
      <c r="B808" s="10">
        <v>36526</v>
      </c>
      <c r="C808" s="10">
        <v>40329</v>
      </c>
      <c r="D808" s="10" t="s">
        <v>538</v>
      </c>
    </row>
    <row r="809" spans="1:4" x14ac:dyDescent="0.2">
      <c r="A809">
        <v>2882</v>
      </c>
      <c r="B809" s="10">
        <v>36526</v>
      </c>
      <c r="C809" s="10">
        <v>40329</v>
      </c>
      <c r="D809" s="10" t="s">
        <v>538</v>
      </c>
    </row>
    <row r="810" spans="1:4" x14ac:dyDescent="0.2">
      <c r="A810">
        <v>2883</v>
      </c>
      <c r="B810" s="10">
        <v>36526</v>
      </c>
      <c r="C810" s="10">
        <v>40329</v>
      </c>
      <c r="D810" s="10" t="s">
        <v>538</v>
      </c>
    </row>
    <row r="811" spans="1:4" x14ac:dyDescent="0.2">
      <c r="A811">
        <v>2884</v>
      </c>
      <c r="B811" s="10">
        <v>36526</v>
      </c>
      <c r="C811" s="10">
        <v>40329</v>
      </c>
      <c r="D811" s="10" t="s">
        <v>538</v>
      </c>
    </row>
    <row r="812" spans="1:4" x14ac:dyDescent="0.2">
      <c r="A812">
        <v>2885</v>
      </c>
      <c r="B812" s="10">
        <v>36526</v>
      </c>
      <c r="C812" s="10">
        <v>40329</v>
      </c>
      <c r="D812" s="10" t="s">
        <v>538</v>
      </c>
    </row>
    <row r="813" spans="1:4" x14ac:dyDescent="0.2">
      <c r="A813">
        <v>2886</v>
      </c>
      <c r="B813" s="10">
        <v>36526</v>
      </c>
      <c r="C813" s="10">
        <v>40329</v>
      </c>
      <c r="D813" s="10" t="s">
        <v>538</v>
      </c>
    </row>
    <row r="814" spans="1:4" x14ac:dyDescent="0.2">
      <c r="A814">
        <v>2888</v>
      </c>
      <c r="B814" s="10">
        <v>219148</v>
      </c>
      <c r="C814" s="10">
        <v>40291</v>
      </c>
      <c r="D814" s="10" t="s">
        <v>271</v>
      </c>
    </row>
    <row r="815" spans="1:4" x14ac:dyDescent="0.2">
      <c r="A815">
        <v>2889</v>
      </c>
      <c r="B815" s="10">
        <v>219148</v>
      </c>
      <c r="C815" s="10">
        <v>40291</v>
      </c>
      <c r="D815" s="10" t="s">
        <v>271</v>
      </c>
    </row>
    <row r="816" spans="1:4" x14ac:dyDescent="0.2">
      <c r="A816">
        <v>2890</v>
      </c>
      <c r="B816" s="10">
        <v>219148</v>
      </c>
      <c r="C816" s="10">
        <v>40291</v>
      </c>
      <c r="D816" s="10" t="s">
        <v>271</v>
      </c>
    </row>
    <row r="817" spans="1:4" x14ac:dyDescent="0.2">
      <c r="A817">
        <v>2891</v>
      </c>
      <c r="B817" s="10">
        <v>219148</v>
      </c>
      <c r="C817" s="10">
        <v>40291</v>
      </c>
      <c r="D817" s="10" t="s">
        <v>271</v>
      </c>
    </row>
    <row r="818" spans="1:4" x14ac:dyDescent="0.2">
      <c r="A818">
        <v>2892</v>
      </c>
      <c r="B818" s="10">
        <v>219148</v>
      </c>
      <c r="C818" s="10">
        <v>40291</v>
      </c>
      <c r="D818" s="10" t="s">
        <v>271</v>
      </c>
    </row>
    <row r="819" spans="1:4" x14ac:dyDescent="0.2">
      <c r="A819">
        <v>2893</v>
      </c>
      <c r="B819" s="10">
        <v>219148</v>
      </c>
      <c r="C819" s="10">
        <v>40291</v>
      </c>
      <c r="D819" s="10" t="s">
        <v>271</v>
      </c>
    </row>
    <row r="820" spans="1:4" x14ac:dyDescent="0.2">
      <c r="A820">
        <v>2895</v>
      </c>
      <c r="B820" s="10">
        <v>219148</v>
      </c>
      <c r="C820" s="10">
        <v>40291</v>
      </c>
      <c r="D820" s="10" t="s">
        <v>271</v>
      </c>
    </row>
    <row r="821" spans="1:4" x14ac:dyDescent="0.2">
      <c r="A821">
        <v>2896</v>
      </c>
      <c r="B821" s="10">
        <v>219148</v>
      </c>
      <c r="C821" s="10">
        <v>40291</v>
      </c>
      <c r="D821" s="10" t="s">
        <v>271</v>
      </c>
    </row>
    <row r="822" spans="1:4" x14ac:dyDescent="0.2">
      <c r="A822">
        <v>2900</v>
      </c>
      <c r="B822" s="10">
        <v>219148</v>
      </c>
      <c r="C822" s="10">
        <v>40291</v>
      </c>
      <c r="D822" s="10" t="s">
        <v>271</v>
      </c>
    </row>
    <row r="823" spans="1:4" x14ac:dyDescent="0.2">
      <c r="A823">
        <v>2901</v>
      </c>
      <c r="B823" s="10">
        <v>219148</v>
      </c>
      <c r="C823" s="10">
        <v>40291</v>
      </c>
      <c r="D823" s="10" t="s">
        <v>271</v>
      </c>
    </row>
    <row r="824" spans="1:4" x14ac:dyDescent="0.2">
      <c r="A824">
        <v>2928</v>
      </c>
      <c r="B824" s="10">
        <v>40323</v>
      </c>
      <c r="C824" s="10">
        <v>40329</v>
      </c>
      <c r="D824" s="10" t="s">
        <v>539</v>
      </c>
    </row>
    <row r="825" spans="1:4" x14ac:dyDescent="0.2">
      <c r="A825">
        <v>2930</v>
      </c>
      <c r="B825" s="10">
        <v>36526</v>
      </c>
      <c r="C825" s="10">
        <v>40329</v>
      </c>
      <c r="D825" s="10" t="s">
        <v>538</v>
      </c>
    </row>
    <row r="826" spans="1:4" x14ac:dyDescent="0.2">
      <c r="A826">
        <v>2946</v>
      </c>
      <c r="B826" s="10">
        <v>40323</v>
      </c>
      <c r="C826" s="10">
        <v>40329</v>
      </c>
      <c r="D826" s="10" t="s">
        <v>539</v>
      </c>
    </row>
    <row r="827" spans="1:4" x14ac:dyDescent="0.2">
      <c r="A827">
        <v>2947</v>
      </c>
      <c r="B827" s="10">
        <v>40297</v>
      </c>
      <c r="C827" s="10">
        <v>40574</v>
      </c>
      <c r="D827" s="10" t="s">
        <v>539</v>
      </c>
    </row>
    <row r="828" spans="1:4" x14ac:dyDescent="0.2">
      <c r="A828">
        <v>2948</v>
      </c>
      <c r="B828" s="10">
        <v>40297</v>
      </c>
      <c r="C828" s="10">
        <v>40602</v>
      </c>
      <c r="D828" s="10" t="s">
        <v>539</v>
      </c>
    </row>
    <row r="829" spans="1:4" x14ac:dyDescent="0.2">
      <c r="A829">
        <v>2949</v>
      </c>
      <c r="B829" s="10">
        <v>40298</v>
      </c>
      <c r="C829" s="10">
        <v>40816</v>
      </c>
      <c r="D829" s="10" t="s">
        <v>539</v>
      </c>
    </row>
    <row r="830" spans="1:4" x14ac:dyDescent="0.2">
      <c r="A830">
        <v>2950</v>
      </c>
      <c r="B830" s="10">
        <v>40298</v>
      </c>
      <c r="C830" s="10">
        <v>40512</v>
      </c>
      <c r="D830" s="10" t="s">
        <v>539</v>
      </c>
    </row>
    <row r="831" spans="1:4" x14ac:dyDescent="0.2">
      <c r="A831">
        <v>2951</v>
      </c>
      <c r="B831" s="10">
        <v>36526</v>
      </c>
      <c r="C831" s="10">
        <v>40543</v>
      </c>
      <c r="D831" s="10" t="s">
        <v>538</v>
      </c>
    </row>
    <row r="832" spans="1:4" x14ac:dyDescent="0.2">
      <c r="A832">
        <v>2961</v>
      </c>
      <c r="B832" s="10">
        <v>40309</v>
      </c>
      <c r="C832" s="10">
        <v>40359</v>
      </c>
      <c r="D832" s="10" t="s">
        <v>274</v>
      </c>
    </row>
    <row r="833" spans="1:4" x14ac:dyDescent="0.2">
      <c r="A833">
        <v>2968</v>
      </c>
      <c r="B833" s="10">
        <v>40302</v>
      </c>
      <c r="C833" s="10">
        <v>40512</v>
      </c>
      <c r="D833" s="10" t="s">
        <v>539</v>
      </c>
    </row>
    <row r="834" spans="1:4" x14ac:dyDescent="0.2">
      <c r="A834">
        <v>2980</v>
      </c>
      <c r="B834" s="10">
        <v>219148</v>
      </c>
      <c r="C834" s="10">
        <v>40329</v>
      </c>
      <c r="D834" s="10" t="s">
        <v>271</v>
      </c>
    </row>
    <row r="835" spans="1:4" x14ac:dyDescent="0.2">
      <c r="A835">
        <v>2999</v>
      </c>
      <c r="B835" s="10">
        <v>40311</v>
      </c>
      <c r="C835" s="10">
        <v>40543</v>
      </c>
      <c r="D835" s="10" t="s">
        <v>539</v>
      </c>
    </row>
    <row r="836" spans="1:4" x14ac:dyDescent="0.2">
      <c r="A836">
        <v>3007</v>
      </c>
      <c r="B836" s="10">
        <v>40312</v>
      </c>
      <c r="C836" s="10">
        <v>40329</v>
      </c>
      <c r="D836" s="10" t="s">
        <v>539</v>
      </c>
    </row>
    <row r="837" spans="1:4" x14ac:dyDescent="0.2">
      <c r="A837">
        <v>3008</v>
      </c>
      <c r="B837" s="10">
        <v>36526</v>
      </c>
      <c r="C837" s="10">
        <v>40697</v>
      </c>
      <c r="D837" s="10" t="s">
        <v>538</v>
      </c>
    </row>
    <row r="838" spans="1:4" x14ac:dyDescent="0.2">
      <c r="A838">
        <v>3009</v>
      </c>
      <c r="B838" s="10">
        <v>36526</v>
      </c>
      <c r="C838" s="10">
        <v>40697</v>
      </c>
      <c r="D838" s="10" t="s">
        <v>538</v>
      </c>
    </row>
    <row r="839" spans="1:4" x14ac:dyDescent="0.2">
      <c r="A839">
        <v>3010</v>
      </c>
      <c r="B839" s="10">
        <v>36526</v>
      </c>
      <c r="C839" s="10">
        <v>40697</v>
      </c>
      <c r="D839" s="10" t="s">
        <v>538</v>
      </c>
    </row>
    <row r="840" spans="1:4" x14ac:dyDescent="0.2">
      <c r="A840">
        <v>3021</v>
      </c>
      <c r="B840" s="10">
        <v>40318</v>
      </c>
      <c r="C840" s="10">
        <v>40512</v>
      </c>
      <c r="D840" s="10" t="s">
        <v>539</v>
      </c>
    </row>
    <row r="841" spans="1:4" x14ac:dyDescent="0.2">
      <c r="A841">
        <v>3031</v>
      </c>
      <c r="B841" s="10">
        <v>40315</v>
      </c>
      <c r="C841" s="10">
        <v>40626</v>
      </c>
      <c r="D841" s="10" t="s">
        <v>539</v>
      </c>
    </row>
    <row r="842" spans="1:4" x14ac:dyDescent="0.2">
      <c r="A842">
        <v>3044</v>
      </c>
      <c r="B842" s="10">
        <v>219148</v>
      </c>
      <c r="C842" s="10">
        <v>40329</v>
      </c>
      <c r="D842" s="10" t="s">
        <v>271</v>
      </c>
    </row>
    <row r="843" spans="1:4" x14ac:dyDescent="0.2">
      <c r="A843">
        <v>3058</v>
      </c>
      <c r="B843" s="10">
        <v>40329</v>
      </c>
      <c r="C843" s="10">
        <v>40329</v>
      </c>
      <c r="D843" s="10" t="s">
        <v>539</v>
      </c>
    </row>
    <row r="844" spans="1:4" x14ac:dyDescent="0.2">
      <c r="A844">
        <v>3059</v>
      </c>
      <c r="B844" s="10">
        <v>36526</v>
      </c>
      <c r="C844" s="10">
        <v>40574</v>
      </c>
      <c r="D844" s="10" t="s">
        <v>538</v>
      </c>
    </row>
    <row r="845" spans="1:4" x14ac:dyDescent="0.2">
      <c r="A845">
        <v>3060</v>
      </c>
      <c r="B845" s="10">
        <v>36526</v>
      </c>
      <c r="C845" s="10">
        <v>40574</v>
      </c>
      <c r="D845" s="10" t="s">
        <v>538</v>
      </c>
    </row>
    <row r="846" spans="1:4" x14ac:dyDescent="0.2">
      <c r="A846">
        <v>3061</v>
      </c>
      <c r="B846" s="10">
        <v>36526</v>
      </c>
      <c r="C846" s="10">
        <v>40574</v>
      </c>
      <c r="D846" s="10" t="s">
        <v>538</v>
      </c>
    </row>
    <row r="847" spans="1:4" x14ac:dyDescent="0.2">
      <c r="A847">
        <v>3077</v>
      </c>
      <c r="B847" s="10">
        <v>40318</v>
      </c>
      <c r="C847" s="10">
        <v>40662</v>
      </c>
      <c r="D847" s="10" t="s">
        <v>539</v>
      </c>
    </row>
    <row r="848" spans="1:4" x14ac:dyDescent="0.2">
      <c r="A848">
        <v>3120</v>
      </c>
      <c r="B848" s="10">
        <v>36526</v>
      </c>
      <c r="C848" s="10">
        <v>40574</v>
      </c>
      <c r="D848" s="10" t="s">
        <v>538</v>
      </c>
    </row>
    <row r="849" spans="1:4" x14ac:dyDescent="0.2">
      <c r="A849">
        <v>3121</v>
      </c>
      <c r="B849" s="10">
        <v>36526</v>
      </c>
      <c r="C849" s="10">
        <v>40574</v>
      </c>
      <c r="D849" s="10" t="s">
        <v>538</v>
      </c>
    </row>
    <row r="850" spans="1:4" x14ac:dyDescent="0.2">
      <c r="A850">
        <v>3122</v>
      </c>
      <c r="B850" s="10">
        <v>36526</v>
      </c>
      <c r="C850" s="10">
        <v>40574</v>
      </c>
      <c r="D850" s="10" t="s">
        <v>538</v>
      </c>
    </row>
    <row r="851" spans="1:4" x14ac:dyDescent="0.2">
      <c r="A851">
        <v>3123</v>
      </c>
      <c r="B851" s="10">
        <v>36526</v>
      </c>
      <c r="C851" s="10">
        <v>40574</v>
      </c>
      <c r="D851" s="10" t="s">
        <v>538</v>
      </c>
    </row>
    <row r="852" spans="1:4" x14ac:dyDescent="0.2">
      <c r="A852">
        <v>3126</v>
      </c>
      <c r="B852" s="10">
        <v>219148</v>
      </c>
      <c r="C852" s="10">
        <v>40329</v>
      </c>
      <c r="D852" s="10" t="s">
        <v>271</v>
      </c>
    </row>
    <row r="853" spans="1:4" x14ac:dyDescent="0.2">
      <c r="A853">
        <v>3147</v>
      </c>
      <c r="B853" s="10">
        <v>36526</v>
      </c>
      <c r="C853" s="10">
        <v>40574</v>
      </c>
      <c r="D853" s="10" t="s">
        <v>538</v>
      </c>
    </row>
    <row r="854" spans="1:4" x14ac:dyDescent="0.2">
      <c r="A854">
        <v>3148</v>
      </c>
      <c r="B854" s="10">
        <v>36526</v>
      </c>
      <c r="C854" s="10">
        <v>40574</v>
      </c>
      <c r="D854" s="10" t="s">
        <v>538</v>
      </c>
    </row>
    <row r="855" spans="1:4" x14ac:dyDescent="0.2">
      <c r="A855">
        <v>3153</v>
      </c>
      <c r="B855" s="10">
        <v>36526</v>
      </c>
      <c r="C855" s="10">
        <v>40329</v>
      </c>
      <c r="D855" s="10" t="s">
        <v>271</v>
      </c>
    </row>
    <row r="856" spans="1:4" x14ac:dyDescent="0.2">
      <c r="A856">
        <v>3173</v>
      </c>
      <c r="B856" s="10">
        <v>40356</v>
      </c>
      <c r="C856" s="10">
        <v>40444</v>
      </c>
      <c r="D856" s="10" t="s">
        <v>539</v>
      </c>
    </row>
    <row r="857" spans="1:4" x14ac:dyDescent="0.2">
      <c r="A857">
        <v>3175</v>
      </c>
      <c r="B857" s="10">
        <v>36526</v>
      </c>
      <c r="C857" s="10">
        <v>40816</v>
      </c>
      <c r="D857" s="10" t="s">
        <v>539</v>
      </c>
    </row>
    <row r="858" spans="1:4" x14ac:dyDescent="0.2">
      <c r="A858">
        <v>3217</v>
      </c>
      <c r="B858" s="10">
        <v>40326</v>
      </c>
      <c r="C858" s="10">
        <v>40694</v>
      </c>
      <c r="D858" s="10" t="s">
        <v>539</v>
      </c>
    </row>
    <row r="859" spans="1:4" x14ac:dyDescent="0.2">
      <c r="A859">
        <v>3219</v>
      </c>
      <c r="B859" s="10">
        <v>219148</v>
      </c>
      <c r="C859" s="10">
        <v>40329</v>
      </c>
      <c r="D859" s="10" t="s">
        <v>271</v>
      </c>
    </row>
    <row r="860" spans="1:4" x14ac:dyDescent="0.2">
      <c r="A860">
        <v>3282</v>
      </c>
      <c r="B860" s="10">
        <v>36526</v>
      </c>
      <c r="C860" s="10">
        <v>40389</v>
      </c>
      <c r="D860" s="10" t="s">
        <v>538</v>
      </c>
    </row>
    <row r="861" spans="1:4" x14ac:dyDescent="0.2">
      <c r="A861">
        <v>3283</v>
      </c>
      <c r="B861" s="10">
        <v>36526</v>
      </c>
      <c r="C861" s="10">
        <v>40389</v>
      </c>
      <c r="D861" s="10" t="s">
        <v>538</v>
      </c>
    </row>
    <row r="862" spans="1:4" x14ac:dyDescent="0.2">
      <c r="A862">
        <v>3308</v>
      </c>
      <c r="B862" s="10">
        <v>36526</v>
      </c>
      <c r="C862" s="10">
        <v>40359</v>
      </c>
      <c r="D862" s="10" t="s">
        <v>271</v>
      </c>
    </row>
    <row r="863" spans="1:4" x14ac:dyDescent="0.2">
      <c r="A863">
        <v>3335</v>
      </c>
      <c r="B863" s="10">
        <v>40336</v>
      </c>
      <c r="C863" s="10">
        <v>40724</v>
      </c>
      <c r="D863" s="10" t="s">
        <v>539</v>
      </c>
    </row>
    <row r="864" spans="1:4" x14ac:dyDescent="0.2">
      <c r="A864">
        <v>3363</v>
      </c>
      <c r="B864" s="10">
        <v>40337</v>
      </c>
      <c r="C864" s="10">
        <v>40512</v>
      </c>
      <c r="D864" s="10" t="s">
        <v>539</v>
      </c>
    </row>
    <row r="865" spans="1:4" x14ac:dyDescent="0.2">
      <c r="A865">
        <v>3387</v>
      </c>
      <c r="B865" s="10">
        <v>36526</v>
      </c>
      <c r="C865" s="10">
        <v>40359</v>
      </c>
      <c r="D865" s="10" t="s">
        <v>538</v>
      </c>
    </row>
    <row r="866" spans="1:4" x14ac:dyDescent="0.2">
      <c r="A866">
        <v>3415</v>
      </c>
      <c r="B866" s="10">
        <v>36526</v>
      </c>
      <c r="C866" s="10">
        <v>40359</v>
      </c>
      <c r="D866" s="10" t="s">
        <v>271</v>
      </c>
    </row>
    <row r="867" spans="1:4" x14ac:dyDescent="0.2">
      <c r="A867">
        <v>3416</v>
      </c>
      <c r="B867" s="10">
        <v>40339</v>
      </c>
      <c r="C867" s="10">
        <v>40359</v>
      </c>
      <c r="D867" s="10" t="s">
        <v>539</v>
      </c>
    </row>
    <row r="868" spans="1:4" x14ac:dyDescent="0.2">
      <c r="A868">
        <v>3417</v>
      </c>
      <c r="B868" s="10">
        <v>36526</v>
      </c>
      <c r="C868" s="10">
        <v>40574</v>
      </c>
      <c r="D868" s="10" t="s">
        <v>538</v>
      </c>
    </row>
    <row r="869" spans="1:4" x14ac:dyDescent="0.2">
      <c r="A869">
        <v>3418</v>
      </c>
      <c r="B869" s="10">
        <v>36526</v>
      </c>
      <c r="C869" s="10">
        <v>40574</v>
      </c>
      <c r="D869" s="10" t="s">
        <v>538</v>
      </c>
    </row>
    <row r="870" spans="1:4" x14ac:dyDescent="0.2">
      <c r="A870">
        <v>3419</v>
      </c>
      <c r="B870" s="10">
        <v>36526</v>
      </c>
      <c r="C870" s="10">
        <v>40574</v>
      </c>
      <c r="D870" s="10" t="s">
        <v>538</v>
      </c>
    </row>
    <row r="871" spans="1:4" x14ac:dyDescent="0.2">
      <c r="A871">
        <v>3441</v>
      </c>
      <c r="B871" s="10">
        <v>36526</v>
      </c>
      <c r="C871" s="10">
        <v>40753</v>
      </c>
      <c r="D871" s="10" t="s">
        <v>538</v>
      </c>
    </row>
    <row r="872" spans="1:4" x14ac:dyDescent="0.2">
      <c r="A872">
        <v>3442</v>
      </c>
      <c r="B872" s="10">
        <v>40340</v>
      </c>
      <c r="C872" s="10">
        <v>40512</v>
      </c>
      <c r="D872" s="10" t="s">
        <v>539</v>
      </c>
    </row>
    <row r="873" spans="1:4" x14ac:dyDescent="0.2">
      <c r="A873">
        <v>3443</v>
      </c>
      <c r="B873" s="10">
        <v>36526</v>
      </c>
      <c r="C873" s="10">
        <v>40753</v>
      </c>
      <c r="D873" s="10" t="s">
        <v>538</v>
      </c>
    </row>
    <row r="874" spans="1:4" x14ac:dyDescent="0.2">
      <c r="A874">
        <v>3444</v>
      </c>
      <c r="B874" s="10">
        <v>36526</v>
      </c>
      <c r="C874" s="10">
        <v>40340</v>
      </c>
      <c r="D874" s="10" t="s">
        <v>538</v>
      </c>
    </row>
    <row r="875" spans="1:4" x14ac:dyDescent="0.2">
      <c r="A875">
        <v>3445</v>
      </c>
      <c r="B875" s="10">
        <v>36526</v>
      </c>
      <c r="C875" s="10">
        <v>40753</v>
      </c>
      <c r="D875" s="10" t="s">
        <v>538</v>
      </c>
    </row>
    <row r="876" spans="1:4" x14ac:dyDescent="0.2">
      <c r="A876">
        <v>3446</v>
      </c>
      <c r="B876" s="10">
        <v>36526</v>
      </c>
      <c r="C876" s="10">
        <v>40340</v>
      </c>
      <c r="D876" s="10" t="s">
        <v>538</v>
      </c>
    </row>
    <row r="877" spans="1:4" x14ac:dyDescent="0.2">
      <c r="A877">
        <v>3447</v>
      </c>
      <c r="B877" s="10">
        <v>36526</v>
      </c>
      <c r="C877" s="10">
        <v>40574</v>
      </c>
      <c r="D877" s="10" t="s">
        <v>538</v>
      </c>
    </row>
    <row r="878" spans="1:4" x14ac:dyDescent="0.2">
      <c r="A878">
        <v>3448</v>
      </c>
      <c r="B878" s="10">
        <v>36526</v>
      </c>
      <c r="C878" s="10">
        <v>40574</v>
      </c>
      <c r="D878" s="10" t="s">
        <v>538</v>
      </c>
    </row>
    <row r="879" spans="1:4" x14ac:dyDescent="0.2">
      <c r="A879">
        <v>3459</v>
      </c>
      <c r="B879" s="10">
        <v>40344</v>
      </c>
      <c r="C879" s="10">
        <v>40543</v>
      </c>
      <c r="D879" s="10" t="s">
        <v>539</v>
      </c>
    </row>
    <row r="880" spans="1:4" x14ac:dyDescent="0.2">
      <c r="A880">
        <v>3460</v>
      </c>
      <c r="B880" s="10">
        <v>40344</v>
      </c>
      <c r="C880" s="10">
        <v>40359</v>
      </c>
      <c r="D880" s="10" t="s">
        <v>539</v>
      </c>
    </row>
    <row r="881" spans="1:4" x14ac:dyDescent="0.2">
      <c r="A881">
        <v>3464</v>
      </c>
      <c r="B881" s="10">
        <v>40354</v>
      </c>
      <c r="C881" s="10">
        <v>40753</v>
      </c>
      <c r="D881" s="10" t="s">
        <v>539</v>
      </c>
    </row>
    <row r="882" spans="1:4" x14ac:dyDescent="0.2">
      <c r="A882">
        <v>3465</v>
      </c>
      <c r="B882" s="10">
        <v>36526</v>
      </c>
      <c r="C882" s="10">
        <v>40574</v>
      </c>
      <c r="D882" s="10" t="s">
        <v>538</v>
      </c>
    </row>
    <row r="883" spans="1:4" x14ac:dyDescent="0.2">
      <c r="A883">
        <v>3466</v>
      </c>
      <c r="B883" s="10">
        <v>36526</v>
      </c>
      <c r="C883" s="10">
        <v>40574</v>
      </c>
      <c r="D883" s="10" t="s">
        <v>538</v>
      </c>
    </row>
    <row r="884" spans="1:4" x14ac:dyDescent="0.2">
      <c r="A884">
        <v>3467</v>
      </c>
      <c r="B884" s="10">
        <v>36526</v>
      </c>
      <c r="C884" s="10">
        <v>40574</v>
      </c>
      <c r="D884" s="10" t="s">
        <v>538</v>
      </c>
    </row>
    <row r="885" spans="1:4" x14ac:dyDescent="0.2">
      <c r="A885">
        <v>3473</v>
      </c>
      <c r="B885" s="10">
        <v>40359</v>
      </c>
      <c r="C885" s="10">
        <v>40444</v>
      </c>
      <c r="D885" s="10" t="s">
        <v>539</v>
      </c>
    </row>
    <row r="886" spans="1:4" x14ac:dyDescent="0.2">
      <c r="A886">
        <v>3474</v>
      </c>
      <c r="B886" s="10">
        <v>40359</v>
      </c>
      <c r="C886" s="10">
        <v>40444</v>
      </c>
      <c r="D886" s="10" t="s">
        <v>539</v>
      </c>
    </row>
    <row r="887" spans="1:4" x14ac:dyDescent="0.2">
      <c r="A887">
        <v>3475</v>
      </c>
      <c r="B887" s="10">
        <v>36526</v>
      </c>
      <c r="C887" s="10">
        <v>40359</v>
      </c>
      <c r="D887" s="10" t="s">
        <v>538</v>
      </c>
    </row>
    <row r="888" spans="1:4" x14ac:dyDescent="0.2">
      <c r="A888">
        <v>3476</v>
      </c>
      <c r="B888" s="10">
        <v>36526</v>
      </c>
      <c r="C888" s="10">
        <v>40359</v>
      </c>
      <c r="D888" s="10" t="s">
        <v>538</v>
      </c>
    </row>
    <row r="889" spans="1:4" x14ac:dyDescent="0.2">
      <c r="A889">
        <v>3477</v>
      </c>
      <c r="B889" s="10">
        <v>36526</v>
      </c>
      <c r="C889" s="10">
        <v>40574</v>
      </c>
      <c r="D889" s="10" t="s">
        <v>538</v>
      </c>
    </row>
    <row r="890" spans="1:4" x14ac:dyDescent="0.2">
      <c r="A890">
        <v>3478</v>
      </c>
      <c r="B890" s="10">
        <v>36526</v>
      </c>
      <c r="C890" s="10">
        <v>40574</v>
      </c>
      <c r="D890" s="10" t="s">
        <v>538</v>
      </c>
    </row>
    <row r="891" spans="1:4" x14ac:dyDescent="0.2">
      <c r="A891">
        <v>3479</v>
      </c>
      <c r="B891" s="10">
        <v>36526</v>
      </c>
      <c r="C891" s="10">
        <v>40574</v>
      </c>
      <c r="D891" s="10" t="s">
        <v>538</v>
      </c>
    </row>
    <row r="892" spans="1:4" x14ac:dyDescent="0.2">
      <c r="A892">
        <v>3480</v>
      </c>
      <c r="B892" s="10">
        <v>36526</v>
      </c>
      <c r="C892" s="10">
        <v>40574</v>
      </c>
      <c r="D892" s="10" t="s">
        <v>538</v>
      </c>
    </row>
    <row r="893" spans="1:4" x14ac:dyDescent="0.2">
      <c r="A893">
        <v>3481</v>
      </c>
      <c r="B893" s="10">
        <v>36526</v>
      </c>
      <c r="C893" s="10">
        <v>40574</v>
      </c>
      <c r="D893" s="10" t="s">
        <v>538</v>
      </c>
    </row>
    <row r="894" spans="1:4" x14ac:dyDescent="0.2">
      <c r="A894">
        <v>3482</v>
      </c>
      <c r="B894" s="10">
        <v>36526</v>
      </c>
      <c r="C894" s="10">
        <v>40574</v>
      </c>
      <c r="D894" s="10" t="s">
        <v>538</v>
      </c>
    </row>
    <row r="895" spans="1:4" x14ac:dyDescent="0.2">
      <c r="A895">
        <v>3485</v>
      </c>
      <c r="B895" s="10">
        <v>36526</v>
      </c>
      <c r="C895" s="10">
        <v>40359</v>
      </c>
      <c r="D895" s="10" t="s">
        <v>271</v>
      </c>
    </row>
    <row r="896" spans="1:4" x14ac:dyDescent="0.2">
      <c r="A896">
        <v>3487</v>
      </c>
      <c r="B896" s="10">
        <v>40371</v>
      </c>
      <c r="C896" s="10">
        <v>40389</v>
      </c>
      <c r="D896" s="10" t="s">
        <v>274</v>
      </c>
    </row>
    <row r="897" spans="1:4" x14ac:dyDescent="0.2">
      <c r="A897">
        <v>3488</v>
      </c>
      <c r="B897" s="10">
        <v>36526</v>
      </c>
      <c r="C897" s="10">
        <v>40359</v>
      </c>
      <c r="D897" s="10" t="s">
        <v>538</v>
      </c>
    </row>
    <row r="898" spans="1:4" x14ac:dyDescent="0.2">
      <c r="A898">
        <v>3489</v>
      </c>
      <c r="B898" s="10">
        <v>36526</v>
      </c>
      <c r="C898" s="10">
        <v>40574</v>
      </c>
      <c r="D898" s="10" t="s">
        <v>538</v>
      </c>
    </row>
    <row r="899" spans="1:4" x14ac:dyDescent="0.2">
      <c r="A899">
        <v>3491</v>
      </c>
      <c r="B899" s="10">
        <v>36526</v>
      </c>
      <c r="C899" s="10">
        <v>40359</v>
      </c>
      <c r="D899" s="10" t="s">
        <v>271</v>
      </c>
    </row>
    <row r="900" spans="1:4" x14ac:dyDescent="0.2">
      <c r="A900">
        <v>3492</v>
      </c>
      <c r="B900" s="10">
        <v>36526</v>
      </c>
      <c r="C900" s="10">
        <v>40359</v>
      </c>
      <c r="D900" s="10" t="s">
        <v>271</v>
      </c>
    </row>
    <row r="901" spans="1:4" x14ac:dyDescent="0.2">
      <c r="A901">
        <v>3494</v>
      </c>
      <c r="B901" s="10">
        <v>36526</v>
      </c>
      <c r="C901" s="10">
        <v>40359</v>
      </c>
      <c r="D901" s="10" t="s">
        <v>271</v>
      </c>
    </row>
    <row r="902" spans="1:4" x14ac:dyDescent="0.2">
      <c r="A902">
        <v>3495</v>
      </c>
      <c r="B902" s="10">
        <v>36526</v>
      </c>
      <c r="C902" s="10">
        <v>40753</v>
      </c>
      <c r="D902" s="10" t="s">
        <v>538</v>
      </c>
    </row>
    <row r="903" spans="1:4" x14ac:dyDescent="0.2">
      <c r="A903">
        <v>3496</v>
      </c>
      <c r="B903" s="10">
        <v>36526</v>
      </c>
      <c r="C903" s="10">
        <v>40753</v>
      </c>
      <c r="D903" s="10" t="s">
        <v>538</v>
      </c>
    </row>
    <row r="904" spans="1:4" x14ac:dyDescent="0.2">
      <c r="A904">
        <v>3497</v>
      </c>
      <c r="B904" s="10">
        <v>36526</v>
      </c>
      <c r="C904" s="10">
        <v>40753</v>
      </c>
      <c r="D904" s="10" t="s">
        <v>538</v>
      </c>
    </row>
    <row r="905" spans="1:4" x14ac:dyDescent="0.2">
      <c r="A905">
        <v>3500</v>
      </c>
      <c r="B905" s="10">
        <v>36526</v>
      </c>
      <c r="C905" s="10">
        <v>40359</v>
      </c>
      <c r="D905" s="10" t="s">
        <v>271</v>
      </c>
    </row>
    <row r="906" spans="1:4" x14ac:dyDescent="0.2">
      <c r="A906">
        <v>3502</v>
      </c>
      <c r="B906" s="10">
        <v>36526</v>
      </c>
      <c r="C906" s="10">
        <v>40662</v>
      </c>
      <c r="D906" s="10" t="s">
        <v>206</v>
      </c>
    </row>
    <row r="907" spans="1:4" x14ac:dyDescent="0.2">
      <c r="A907">
        <v>3503</v>
      </c>
      <c r="B907" s="10">
        <v>219148</v>
      </c>
      <c r="C907" s="10">
        <v>40359</v>
      </c>
      <c r="D907" s="10" t="s">
        <v>271</v>
      </c>
    </row>
    <row r="908" spans="1:4" x14ac:dyDescent="0.2">
      <c r="A908">
        <v>3504</v>
      </c>
      <c r="B908" s="10">
        <v>40374</v>
      </c>
      <c r="C908" s="10">
        <v>40512</v>
      </c>
      <c r="D908" s="10" t="s">
        <v>275</v>
      </c>
    </row>
    <row r="909" spans="1:4" x14ac:dyDescent="0.2">
      <c r="A909">
        <v>3505</v>
      </c>
      <c r="B909" s="10">
        <v>40374</v>
      </c>
      <c r="C909" s="10">
        <v>40662</v>
      </c>
      <c r="D909" s="10" t="s">
        <v>275</v>
      </c>
    </row>
    <row r="910" spans="1:4" x14ac:dyDescent="0.2">
      <c r="A910">
        <v>3506</v>
      </c>
      <c r="B910" s="10">
        <v>219148</v>
      </c>
      <c r="C910" s="10">
        <v>40359</v>
      </c>
      <c r="D910" s="10" t="s">
        <v>271</v>
      </c>
    </row>
    <row r="911" spans="1:4" x14ac:dyDescent="0.2">
      <c r="A911">
        <v>3507</v>
      </c>
      <c r="B911" s="10">
        <v>36526</v>
      </c>
      <c r="C911" s="10">
        <v>40359</v>
      </c>
      <c r="D911" s="10" t="s">
        <v>271</v>
      </c>
    </row>
    <row r="912" spans="1:4" x14ac:dyDescent="0.2">
      <c r="A912">
        <v>3508</v>
      </c>
      <c r="B912" s="10">
        <v>40406</v>
      </c>
      <c r="C912" s="10">
        <v>40512</v>
      </c>
      <c r="D912" s="10" t="s">
        <v>275</v>
      </c>
    </row>
    <row r="913" spans="1:4" x14ac:dyDescent="0.2">
      <c r="A913">
        <v>3511</v>
      </c>
      <c r="B913" s="10">
        <v>40371</v>
      </c>
      <c r="C913" s="10">
        <v>40753</v>
      </c>
      <c r="D913" s="10" t="s">
        <v>539</v>
      </c>
    </row>
    <row r="914" spans="1:4" x14ac:dyDescent="0.2">
      <c r="A914">
        <v>3514</v>
      </c>
      <c r="B914" s="10">
        <v>36526</v>
      </c>
      <c r="C914" s="10">
        <v>40574</v>
      </c>
      <c r="D914" s="10" t="s">
        <v>538</v>
      </c>
    </row>
    <row r="915" spans="1:4" x14ac:dyDescent="0.2">
      <c r="A915">
        <v>3517</v>
      </c>
      <c r="B915" s="10">
        <v>40379</v>
      </c>
      <c r="C915" s="10">
        <v>40512</v>
      </c>
      <c r="D915" s="10" t="s">
        <v>539</v>
      </c>
    </row>
    <row r="916" spans="1:4" x14ac:dyDescent="0.2">
      <c r="A916">
        <v>3519</v>
      </c>
      <c r="B916" s="10">
        <v>36526</v>
      </c>
      <c r="C916" s="10">
        <v>40574</v>
      </c>
      <c r="D916" s="10" t="s">
        <v>538</v>
      </c>
    </row>
    <row r="917" spans="1:4" x14ac:dyDescent="0.2">
      <c r="A917">
        <v>3520</v>
      </c>
      <c r="B917" s="10">
        <v>36526</v>
      </c>
      <c r="C917" s="10">
        <v>40574</v>
      </c>
      <c r="D917" s="10" t="s">
        <v>538</v>
      </c>
    </row>
    <row r="918" spans="1:4" x14ac:dyDescent="0.2">
      <c r="A918">
        <v>3521</v>
      </c>
      <c r="B918" s="10">
        <v>36526</v>
      </c>
      <c r="C918" s="10">
        <v>40574</v>
      </c>
      <c r="D918" s="10" t="s">
        <v>538</v>
      </c>
    </row>
    <row r="919" spans="1:4" x14ac:dyDescent="0.2">
      <c r="A919">
        <v>3522</v>
      </c>
      <c r="B919" s="10">
        <v>36526</v>
      </c>
      <c r="C919" s="10">
        <v>40574</v>
      </c>
      <c r="D919" s="10" t="s">
        <v>538</v>
      </c>
    </row>
    <row r="920" spans="1:4" x14ac:dyDescent="0.2">
      <c r="A920">
        <v>3523</v>
      </c>
      <c r="B920" s="10">
        <v>36526</v>
      </c>
      <c r="C920" s="10">
        <v>40753</v>
      </c>
      <c r="D920" s="10" t="s">
        <v>538</v>
      </c>
    </row>
    <row r="921" spans="1:4" x14ac:dyDescent="0.2">
      <c r="A921">
        <v>3524</v>
      </c>
      <c r="B921" s="10">
        <v>36526</v>
      </c>
      <c r="C921" s="10">
        <v>40753</v>
      </c>
      <c r="D921" s="10" t="s">
        <v>538</v>
      </c>
    </row>
    <row r="922" spans="1:4" x14ac:dyDescent="0.2">
      <c r="A922">
        <v>3525</v>
      </c>
      <c r="B922" s="10">
        <v>36526</v>
      </c>
      <c r="C922" s="10">
        <v>40753</v>
      </c>
      <c r="D922" s="10" t="s">
        <v>538</v>
      </c>
    </row>
    <row r="923" spans="1:4" x14ac:dyDescent="0.2">
      <c r="A923">
        <v>3526</v>
      </c>
      <c r="B923" s="10">
        <v>36526</v>
      </c>
      <c r="C923" s="10">
        <v>40753</v>
      </c>
      <c r="D923" s="10" t="s">
        <v>538</v>
      </c>
    </row>
    <row r="924" spans="1:4" x14ac:dyDescent="0.2">
      <c r="A924">
        <v>3527</v>
      </c>
      <c r="B924" s="10">
        <v>219148</v>
      </c>
      <c r="C924" s="10">
        <v>40359</v>
      </c>
      <c r="D924" s="10" t="s">
        <v>271</v>
      </c>
    </row>
    <row r="925" spans="1:4" x14ac:dyDescent="0.2">
      <c r="A925">
        <v>3528</v>
      </c>
      <c r="B925" s="10">
        <v>219148</v>
      </c>
      <c r="C925" s="10">
        <v>40359</v>
      </c>
      <c r="D925" s="10" t="s">
        <v>271</v>
      </c>
    </row>
    <row r="926" spans="1:4" x14ac:dyDescent="0.2">
      <c r="A926">
        <v>3530</v>
      </c>
      <c r="B926" s="10">
        <v>219148</v>
      </c>
      <c r="C926" s="10">
        <v>40359</v>
      </c>
      <c r="D926" s="10" t="s">
        <v>271</v>
      </c>
    </row>
    <row r="927" spans="1:4" x14ac:dyDescent="0.2">
      <c r="A927">
        <v>3533</v>
      </c>
      <c r="B927" s="10">
        <v>40359</v>
      </c>
      <c r="C927" s="10">
        <v>40694</v>
      </c>
      <c r="D927" s="10" t="s">
        <v>539</v>
      </c>
    </row>
    <row r="928" spans="1:4" x14ac:dyDescent="0.2">
      <c r="A928">
        <v>3536</v>
      </c>
      <c r="B928" s="10">
        <v>40359</v>
      </c>
      <c r="C928" s="10">
        <v>40512</v>
      </c>
      <c r="D928" s="10" t="s">
        <v>539</v>
      </c>
    </row>
    <row r="929" spans="1:4" x14ac:dyDescent="0.2">
      <c r="A929">
        <v>3543</v>
      </c>
      <c r="B929" s="10">
        <v>219148</v>
      </c>
      <c r="C929" s="10">
        <v>40359</v>
      </c>
      <c r="D929" s="10" t="s">
        <v>271</v>
      </c>
    </row>
    <row r="930" spans="1:4" x14ac:dyDescent="0.2">
      <c r="A930">
        <v>3544</v>
      </c>
      <c r="B930" s="10">
        <v>219148</v>
      </c>
      <c r="C930" s="10">
        <v>40359</v>
      </c>
      <c r="D930" s="10" t="s">
        <v>271</v>
      </c>
    </row>
    <row r="931" spans="1:4" x14ac:dyDescent="0.2">
      <c r="A931">
        <v>3545</v>
      </c>
      <c r="B931" s="10">
        <v>219148</v>
      </c>
      <c r="C931" s="10">
        <v>40359</v>
      </c>
      <c r="D931" s="10" t="s">
        <v>271</v>
      </c>
    </row>
    <row r="932" spans="1:4" x14ac:dyDescent="0.2">
      <c r="A932">
        <v>3554</v>
      </c>
      <c r="B932" s="10">
        <v>36526</v>
      </c>
      <c r="C932" s="10">
        <v>40753</v>
      </c>
      <c r="D932" s="10" t="s">
        <v>538</v>
      </c>
    </row>
    <row r="933" spans="1:4" x14ac:dyDescent="0.2">
      <c r="A933">
        <v>3555</v>
      </c>
      <c r="B933" s="10">
        <v>36526</v>
      </c>
      <c r="C933" s="10">
        <v>40753</v>
      </c>
      <c r="D933" s="10" t="s">
        <v>538</v>
      </c>
    </row>
    <row r="934" spans="1:4" x14ac:dyDescent="0.2">
      <c r="A934">
        <v>3560</v>
      </c>
      <c r="B934" s="10">
        <v>219148</v>
      </c>
      <c r="C934" s="10">
        <v>40451</v>
      </c>
      <c r="D934" s="10" t="s">
        <v>270</v>
      </c>
    </row>
    <row r="935" spans="1:4" x14ac:dyDescent="0.2">
      <c r="A935">
        <v>3561</v>
      </c>
      <c r="B935" s="10">
        <v>36526</v>
      </c>
      <c r="C935" s="10">
        <v>40381</v>
      </c>
      <c r="D935" s="10" t="s">
        <v>271</v>
      </c>
    </row>
    <row r="936" spans="1:4" x14ac:dyDescent="0.2">
      <c r="A936">
        <v>3562</v>
      </c>
      <c r="B936" s="10">
        <v>36526</v>
      </c>
      <c r="C936" s="10">
        <v>40381</v>
      </c>
      <c r="D936" s="10" t="s">
        <v>271</v>
      </c>
    </row>
    <row r="937" spans="1:4" x14ac:dyDescent="0.2">
      <c r="A937">
        <v>3565</v>
      </c>
      <c r="B937" s="10">
        <v>36526</v>
      </c>
      <c r="C937" s="10">
        <v>40611</v>
      </c>
      <c r="D937" s="10" t="s">
        <v>538</v>
      </c>
    </row>
    <row r="938" spans="1:4" x14ac:dyDescent="0.2">
      <c r="A938">
        <v>3566</v>
      </c>
      <c r="B938" s="10">
        <v>36526</v>
      </c>
      <c r="C938" s="10">
        <v>40611</v>
      </c>
      <c r="D938" s="10" t="s">
        <v>538</v>
      </c>
    </row>
    <row r="939" spans="1:4" x14ac:dyDescent="0.2">
      <c r="A939">
        <v>3568</v>
      </c>
      <c r="B939" s="10">
        <v>36526</v>
      </c>
      <c r="C939" s="10">
        <v>40753</v>
      </c>
      <c r="D939" s="10" t="s">
        <v>538</v>
      </c>
    </row>
    <row r="940" spans="1:4" x14ac:dyDescent="0.2">
      <c r="A940">
        <v>3569</v>
      </c>
      <c r="B940" s="10">
        <v>36526</v>
      </c>
      <c r="C940" s="10">
        <v>40421</v>
      </c>
      <c r="D940" s="10" t="s">
        <v>270</v>
      </c>
    </row>
    <row r="941" spans="1:4" x14ac:dyDescent="0.2">
      <c r="A941">
        <v>3576</v>
      </c>
      <c r="B941" s="10">
        <v>36526</v>
      </c>
      <c r="C941" s="10">
        <v>40611</v>
      </c>
      <c r="D941" s="10" t="s">
        <v>538</v>
      </c>
    </row>
    <row r="942" spans="1:4" x14ac:dyDescent="0.2">
      <c r="A942">
        <v>3577</v>
      </c>
      <c r="B942" s="10">
        <v>36526</v>
      </c>
      <c r="C942" s="10">
        <v>40611</v>
      </c>
      <c r="D942" s="10" t="s">
        <v>538</v>
      </c>
    </row>
    <row r="943" spans="1:4" x14ac:dyDescent="0.2">
      <c r="A943">
        <v>3578</v>
      </c>
      <c r="B943" s="10">
        <v>36526</v>
      </c>
      <c r="C943" s="10">
        <v>40611</v>
      </c>
      <c r="D943" s="10" t="s">
        <v>538</v>
      </c>
    </row>
    <row r="944" spans="1:4" x14ac:dyDescent="0.2">
      <c r="A944">
        <v>3579</v>
      </c>
      <c r="B944" s="10">
        <v>36526</v>
      </c>
      <c r="C944" s="10">
        <v>40753</v>
      </c>
      <c r="D944" s="10" t="s">
        <v>538</v>
      </c>
    </row>
    <row r="945" spans="1:4" x14ac:dyDescent="0.2">
      <c r="A945">
        <v>3580</v>
      </c>
      <c r="B945" s="10">
        <v>36526</v>
      </c>
      <c r="C945" s="10">
        <v>40753</v>
      </c>
      <c r="D945" s="10" t="s">
        <v>538</v>
      </c>
    </row>
    <row r="946" spans="1:4" x14ac:dyDescent="0.2">
      <c r="A946">
        <v>3581</v>
      </c>
      <c r="B946" s="10">
        <v>36526</v>
      </c>
      <c r="C946" s="10">
        <v>40753</v>
      </c>
      <c r="D946" s="10" t="s">
        <v>538</v>
      </c>
    </row>
    <row r="947" spans="1:4" x14ac:dyDescent="0.2">
      <c r="A947">
        <v>3585</v>
      </c>
      <c r="B947" s="10">
        <v>36526</v>
      </c>
      <c r="C947" s="10">
        <v>40574</v>
      </c>
      <c r="D947" s="10" t="s">
        <v>538</v>
      </c>
    </row>
    <row r="948" spans="1:4" x14ac:dyDescent="0.2">
      <c r="A948">
        <v>3586</v>
      </c>
      <c r="B948" s="10">
        <v>36526</v>
      </c>
      <c r="C948" s="10">
        <v>40574</v>
      </c>
      <c r="D948" s="10" t="s">
        <v>538</v>
      </c>
    </row>
    <row r="949" spans="1:4" x14ac:dyDescent="0.2">
      <c r="A949">
        <v>3587</v>
      </c>
      <c r="B949" s="10">
        <v>36526</v>
      </c>
      <c r="C949" s="10">
        <v>40574</v>
      </c>
      <c r="D949" s="10" t="s">
        <v>538</v>
      </c>
    </row>
    <row r="950" spans="1:4" x14ac:dyDescent="0.2">
      <c r="A950">
        <v>3591</v>
      </c>
      <c r="B950" s="10">
        <v>36526</v>
      </c>
      <c r="C950" s="10">
        <v>40753</v>
      </c>
      <c r="D950" s="10" t="s">
        <v>538</v>
      </c>
    </row>
    <row r="951" spans="1:4" x14ac:dyDescent="0.2">
      <c r="A951">
        <v>3592</v>
      </c>
      <c r="B951" s="10">
        <v>36526</v>
      </c>
      <c r="C951" s="10">
        <v>40753</v>
      </c>
      <c r="D951" s="10" t="s">
        <v>538</v>
      </c>
    </row>
    <row r="952" spans="1:4" x14ac:dyDescent="0.2">
      <c r="A952">
        <v>3593</v>
      </c>
      <c r="B952" s="10">
        <v>36526</v>
      </c>
      <c r="C952" s="10">
        <v>40753</v>
      </c>
      <c r="D952" s="10" t="s">
        <v>538</v>
      </c>
    </row>
    <row r="953" spans="1:4" x14ac:dyDescent="0.2">
      <c r="A953">
        <v>3595</v>
      </c>
      <c r="B953" s="10">
        <v>219148</v>
      </c>
      <c r="C953" s="10">
        <v>40389</v>
      </c>
      <c r="D953" s="10" t="s">
        <v>271</v>
      </c>
    </row>
    <row r="954" spans="1:4" x14ac:dyDescent="0.2">
      <c r="A954">
        <v>3604</v>
      </c>
      <c r="B954" s="10">
        <v>219148</v>
      </c>
      <c r="C954" s="10">
        <v>40389</v>
      </c>
      <c r="D954" s="10" t="s">
        <v>271</v>
      </c>
    </row>
    <row r="955" spans="1:4" x14ac:dyDescent="0.2">
      <c r="A955">
        <v>3605</v>
      </c>
      <c r="B955" s="10">
        <v>40446</v>
      </c>
      <c r="C955" s="10">
        <v>40512</v>
      </c>
      <c r="D955" s="10" t="s">
        <v>539</v>
      </c>
    </row>
    <row r="956" spans="1:4" x14ac:dyDescent="0.2">
      <c r="A956">
        <v>3606</v>
      </c>
      <c r="B956" s="10">
        <v>219148</v>
      </c>
      <c r="C956" s="10">
        <v>40375</v>
      </c>
      <c r="D956" s="10" t="s">
        <v>271</v>
      </c>
    </row>
    <row r="957" spans="1:4" x14ac:dyDescent="0.2">
      <c r="A957">
        <v>3607</v>
      </c>
      <c r="B957" s="10">
        <v>40375</v>
      </c>
      <c r="C957" s="10">
        <v>40816</v>
      </c>
      <c r="D957" s="10" t="s">
        <v>539</v>
      </c>
    </row>
    <row r="958" spans="1:4" x14ac:dyDescent="0.2">
      <c r="A958">
        <v>3608</v>
      </c>
      <c r="B958" s="10">
        <v>219148</v>
      </c>
      <c r="C958" s="10">
        <v>40375</v>
      </c>
      <c r="D958" s="10" t="s">
        <v>271</v>
      </c>
    </row>
    <row r="959" spans="1:4" x14ac:dyDescent="0.2">
      <c r="A959">
        <v>3609</v>
      </c>
      <c r="B959" s="10">
        <v>219148</v>
      </c>
      <c r="C959" s="10">
        <v>40375</v>
      </c>
      <c r="D959" s="10" t="s">
        <v>271</v>
      </c>
    </row>
    <row r="960" spans="1:4" x14ac:dyDescent="0.2">
      <c r="A960">
        <v>3610</v>
      </c>
      <c r="B960" s="10">
        <v>219148</v>
      </c>
      <c r="C960" s="10">
        <v>40375</v>
      </c>
      <c r="D960" s="10" t="s">
        <v>271</v>
      </c>
    </row>
    <row r="961" spans="1:4" x14ac:dyDescent="0.2">
      <c r="A961">
        <v>3611</v>
      </c>
      <c r="B961" s="10">
        <v>40378</v>
      </c>
      <c r="C961" s="10">
        <v>40512</v>
      </c>
      <c r="D961" s="10" t="s">
        <v>539</v>
      </c>
    </row>
    <row r="962" spans="1:4" x14ac:dyDescent="0.2">
      <c r="A962">
        <v>3614</v>
      </c>
      <c r="B962" s="10">
        <v>40378</v>
      </c>
      <c r="C962" s="10">
        <v>40633</v>
      </c>
      <c r="D962" s="10" t="s">
        <v>539</v>
      </c>
    </row>
    <row r="963" spans="1:4" x14ac:dyDescent="0.2">
      <c r="A963">
        <v>3615</v>
      </c>
      <c r="B963" s="10">
        <v>36526</v>
      </c>
      <c r="C963" s="10">
        <v>40400</v>
      </c>
      <c r="D963" s="10" t="s">
        <v>271</v>
      </c>
    </row>
    <row r="964" spans="1:4" x14ac:dyDescent="0.2">
      <c r="A964">
        <v>3616</v>
      </c>
      <c r="B964" s="10">
        <v>36526</v>
      </c>
      <c r="C964" s="10">
        <v>40400</v>
      </c>
      <c r="D964" s="10" t="s">
        <v>271</v>
      </c>
    </row>
    <row r="965" spans="1:4" x14ac:dyDescent="0.2">
      <c r="A965">
        <v>3617</v>
      </c>
      <c r="B965" s="10">
        <v>36526</v>
      </c>
      <c r="C965" s="10">
        <v>40400</v>
      </c>
      <c r="D965" s="10" t="s">
        <v>271</v>
      </c>
    </row>
    <row r="966" spans="1:4" x14ac:dyDescent="0.2">
      <c r="A966">
        <v>3618</v>
      </c>
      <c r="B966" s="10">
        <v>36526</v>
      </c>
      <c r="C966" s="10">
        <v>40400</v>
      </c>
      <c r="D966" s="10" t="s">
        <v>271</v>
      </c>
    </row>
    <row r="967" spans="1:4" x14ac:dyDescent="0.2">
      <c r="A967">
        <v>3619</v>
      </c>
      <c r="B967" s="10">
        <v>36526</v>
      </c>
      <c r="C967" s="10">
        <v>40400</v>
      </c>
      <c r="D967" s="10" t="s">
        <v>271</v>
      </c>
    </row>
    <row r="968" spans="1:4" x14ac:dyDescent="0.2">
      <c r="A968">
        <v>3620</v>
      </c>
      <c r="B968" s="10">
        <v>36526</v>
      </c>
      <c r="C968" s="10">
        <v>40400</v>
      </c>
      <c r="D968" s="10" t="s">
        <v>271</v>
      </c>
    </row>
    <row r="969" spans="1:4" x14ac:dyDescent="0.2">
      <c r="A969">
        <v>3621</v>
      </c>
      <c r="B969" s="10">
        <v>36526</v>
      </c>
      <c r="C969" s="10">
        <v>40400</v>
      </c>
      <c r="D969" s="10" t="s">
        <v>271</v>
      </c>
    </row>
    <row r="970" spans="1:4" x14ac:dyDescent="0.2">
      <c r="A970">
        <v>3622</v>
      </c>
      <c r="B970" s="10">
        <v>36526</v>
      </c>
      <c r="C970" s="10">
        <v>40400</v>
      </c>
      <c r="D970" s="10" t="s">
        <v>271</v>
      </c>
    </row>
    <row r="971" spans="1:4" x14ac:dyDescent="0.2">
      <c r="A971">
        <v>3626</v>
      </c>
      <c r="B971" s="10">
        <v>219148</v>
      </c>
      <c r="C971" s="10">
        <v>40380</v>
      </c>
      <c r="D971" s="10" t="s">
        <v>271</v>
      </c>
    </row>
    <row r="972" spans="1:4" x14ac:dyDescent="0.2">
      <c r="A972">
        <v>3627</v>
      </c>
      <c r="B972" s="10">
        <v>40381</v>
      </c>
      <c r="C972" s="10">
        <v>40389</v>
      </c>
      <c r="D972" s="10" t="s">
        <v>539</v>
      </c>
    </row>
    <row r="973" spans="1:4" x14ac:dyDescent="0.2">
      <c r="A973">
        <v>3628</v>
      </c>
      <c r="B973" s="10">
        <v>219148</v>
      </c>
      <c r="C973" s="10">
        <v>40381</v>
      </c>
      <c r="D973" s="10" t="s">
        <v>271</v>
      </c>
    </row>
    <row r="974" spans="1:4" x14ac:dyDescent="0.2">
      <c r="A974">
        <v>3629</v>
      </c>
      <c r="B974" s="10">
        <v>219148</v>
      </c>
      <c r="C974" s="10">
        <v>40382</v>
      </c>
      <c r="D974" s="10" t="s">
        <v>271</v>
      </c>
    </row>
    <row r="975" spans="1:4" x14ac:dyDescent="0.2">
      <c r="A975">
        <v>3631</v>
      </c>
      <c r="B975" s="10">
        <v>36526</v>
      </c>
      <c r="C975" s="10">
        <v>40753</v>
      </c>
      <c r="D975" s="10" t="s">
        <v>538</v>
      </c>
    </row>
    <row r="976" spans="1:4" x14ac:dyDescent="0.2">
      <c r="A976">
        <v>3632</v>
      </c>
      <c r="B976" s="10">
        <v>36526</v>
      </c>
      <c r="C976" s="10">
        <v>40753</v>
      </c>
      <c r="D976" s="10" t="s">
        <v>538</v>
      </c>
    </row>
    <row r="977" spans="1:4" x14ac:dyDescent="0.2">
      <c r="A977">
        <v>3633</v>
      </c>
      <c r="B977" s="10">
        <v>36526</v>
      </c>
      <c r="C977" s="10">
        <v>40753</v>
      </c>
      <c r="D977" s="10" t="s">
        <v>538</v>
      </c>
    </row>
    <row r="978" spans="1:4" x14ac:dyDescent="0.2">
      <c r="A978">
        <v>3639</v>
      </c>
      <c r="B978" s="10">
        <v>40387</v>
      </c>
      <c r="C978" s="10">
        <v>40753</v>
      </c>
      <c r="D978" s="10" t="s">
        <v>539</v>
      </c>
    </row>
    <row r="979" spans="1:4" x14ac:dyDescent="0.2">
      <c r="A979">
        <v>3640</v>
      </c>
      <c r="B979" s="10">
        <v>40387</v>
      </c>
      <c r="C979" s="10">
        <v>40512</v>
      </c>
      <c r="D979" s="10" t="s">
        <v>539</v>
      </c>
    </row>
    <row r="980" spans="1:4" x14ac:dyDescent="0.2">
      <c r="A980">
        <v>3644</v>
      </c>
      <c r="B980" s="10">
        <v>40386</v>
      </c>
      <c r="C980" s="10">
        <v>40724</v>
      </c>
      <c r="D980" s="10" t="s">
        <v>539</v>
      </c>
    </row>
    <row r="981" spans="1:4" x14ac:dyDescent="0.2">
      <c r="A981">
        <v>3645</v>
      </c>
      <c r="B981" s="10">
        <v>219148</v>
      </c>
      <c r="C981" s="10">
        <v>40386</v>
      </c>
      <c r="D981" s="10" t="s">
        <v>271</v>
      </c>
    </row>
    <row r="982" spans="1:4" x14ac:dyDescent="0.2">
      <c r="A982">
        <v>3646</v>
      </c>
      <c r="B982" s="10">
        <v>219148</v>
      </c>
      <c r="C982" s="10">
        <v>40387</v>
      </c>
      <c r="D982" s="10" t="s">
        <v>271</v>
      </c>
    </row>
    <row r="983" spans="1:4" x14ac:dyDescent="0.2">
      <c r="A983">
        <v>3648</v>
      </c>
      <c r="B983" s="10">
        <v>219148</v>
      </c>
      <c r="C983" s="10">
        <v>40389</v>
      </c>
      <c r="D983" s="10" t="s">
        <v>271</v>
      </c>
    </row>
    <row r="984" spans="1:4" x14ac:dyDescent="0.2">
      <c r="A984">
        <v>3649</v>
      </c>
      <c r="B984" s="10">
        <v>219148</v>
      </c>
      <c r="C984" s="10">
        <v>40389</v>
      </c>
      <c r="D984" s="10" t="s">
        <v>271</v>
      </c>
    </row>
    <row r="985" spans="1:4" x14ac:dyDescent="0.2">
      <c r="A985">
        <v>3650</v>
      </c>
      <c r="B985" s="10">
        <v>40387</v>
      </c>
      <c r="C985" s="10">
        <v>40512</v>
      </c>
      <c r="D985" s="10" t="s">
        <v>539</v>
      </c>
    </row>
    <row r="986" spans="1:4" x14ac:dyDescent="0.2">
      <c r="A986">
        <v>3651</v>
      </c>
      <c r="B986" s="10">
        <v>219148</v>
      </c>
      <c r="C986" s="10">
        <v>40389</v>
      </c>
      <c r="D986" s="10" t="s">
        <v>271</v>
      </c>
    </row>
    <row r="987" spans="1:4" x14ac:dyDescent="0.2">
      <c r="A987">
        <v>3652</v>
      </c>
      <c r="B987" s="10">
        <v>36526</v>
      </c>
      <c r="C987" s="10">
        <v>40409</v>
      </c>
      <c r="D987" s="10" t="s">
        <v>271</v>
      </c>
    </row>
    <row r="988" spans="1:4" x14ac:dyDescent="0.2">
      <c r="A988">
        <v>3653</v>
      </c>
      <c r="B988" s="10">
        <v>36526</v>
      </c>
      <c r="C988" s="10">
        <v>40409</v>
      </c>
      <c r="D988" s="10" t="s">
        <v>271</v>
      </c>
    </row>
    <row r="989" spans="1:4" x14ac:dyDescent="0.2">
      <c r="A989">
        <v>3656</v>
      </c>
      <c r="B989" s="10">
        <v>219148</v>
      </c>
      <c r="C989" s="10">
        <v>40389</v>
      </c>
      <c r="D989" s="10" t="s">
        <v>271</v>
      </c>
    </row>
    <row r="990" spans="1:4" x14ac:dyDescent="0.2">
      <c r="A990">
        <v>3661</v>
      </c>
      <c r="B990" s="10">
        <v>40392</v>
      </c>
      <c r="C990" s="10">
        <v>40512</v>
      </c>
      <c r="D990" s="10" t="s">
        <v>539</v>
      </c>
    </row>
    <row r="991" spans="1:4" x14ac:dyDescent="0.2">
      <c r="A991">
        <v>3663</v>
      </c>
      <c r="B991" s="10">
        <v>40392</v>
      </c>
      <c r="C991" s="10">
        <v>40816</v>
      </c>
      <c r="D991" s="10" t="s">
        <v>539</v>
      </c>
    </row>
    <row r="992" spans="1:4" x14ac:dyDescent="0.2">
      <c r="A992">
        <v>3664</v>
      </c>
      <c r="B992" s="10">
        <v>219148</v>
      </c>
      <c r="C992" s="10">
        <v>40392</v>
      </c>
      <c r="D992" s="10" t="s">
        <v>271</v>
      </c>
    </row>
    <row r="993" spans="1:4" x14ac:dyDescent="0.2">
      <c r="A993">
        <v>3667</v>
      </c>
      <c r="B993" s="10">
        <v>219148</v>
      </c>
      <c r="C993" s="10">
        <v>40394</v>
      </c>
      <c r="D993" s="10" t="s">
        <v>271</v>
      </c>
    </row>
    <row r="994" spans="1:4" x14ac:dyDescent="0.2">
      <c r="A994">
        <v>3668</v>
      </c>
      <c r="B994" s="10">
        <v>219148</v>
      </c>
      <c r="C994" s="10">
        <v>40394</v>
      </c>
      <c r="D994" s="10" t="s">
        <v>271</v>
      </c>
    </row>
    <row r="995" spans="1:4" x14ac:dyDescent="0.2">
      <c r="A995">
        <v>3671</v>
      </c>
      <c r="B995" s="10">
        <v>36526</v>
      </c>
      <c r="C995" s="10">
        <v>40396</v>
      </c>
      <c r="D995" s="10" t="s">
        <v>271</v>
      </c>
    </row>
    <row r="996" spans="1:4" x14ac:dyDescent="0.2">
      <c r="A996">
        <v>3675</v>
      </c>
      <c r="B996" s="10">
        <v>40395</v>
      </c>
      <c r="C996" s="10">
        <v>40724</v>
      </c>
      <c r="D996" s="10" t="s">
        <v>539</v>
      </c>
    </row>
    <row r="997" spans="1:4" x14ac:dyDescent="0.2">
      <c r="A997">
        <v>3678</v>
      </c>
      <c r="B997" s="10">
        <v>219148</v>
      </c>
      <c r="C997" s="10">
        <v>40396</v>
      </c>
      <c r="D997" s="10" t="s">
        <v>271</v>
      </c>
    </row>
    <row r="998" spans="1:4" x14ac:dyDescent="0.2">
      <c r="A998">
        <v>3679</v>
      </c>
      <c r="B998" s="10">
        <v>219148</v>
      </c>
      <c r="C998" s="10">
        <v>40396</v>
      </c>
      <c r="D998" s="10" t="s">
        <v>271</v>
      </c>
    </row>
    <row r="999" spans="1:4" x14ac:dyDescent="0.2">
      <c r="A999">
        <v>3680</v>
      </c>
      <c r="B999" s="10">
        <v>219148</v>
      </c>
      <c r="C999" s="10">
        <v>40396</v>
      </c>
      <c r="D999" s="10" t="s">
        <v>271</v>
      </c>
    </row>
    <row r="1000" spans="1:4" x14ac:dyDescent="0.2">
      <c r="A1000">
        <v>3681</v>
      </c>
      <c r="B1000" s="10">
        <v>219148</v>
      </c>
      <c r="C1000" s="10">
        <v>40396</v>
      </c>
      <c r="D1000" s="10" t="s">
        <v>271</v>
      </c>
    </row>
    <row r="1001" spans="1:4" x14ac:dyDescent="0.2">
      <c r="A1001">
        <v>3682</v>
      </c>
      <c r="B1001" s="10">
        <v>219148</v>
      </c>
      <c r="C1001" s="10">
        <v>40396</v>
      </c>
      <c r="D1001" s="10" t="s">
        <v>271</v>
      </c>
    </row>
    <row r="1002" spans="1:4" x14ac:dyDescent="0.2">
      <c r="A1002">
        <v>3685</v>
      </c>
      <c r="B1002" s="10">
        <v>36526</v>
      </c>
      <c r="C1002" s="10">
        <v>40399</v>
      </c>
      <c r="D1002" s="10" t="s">
        <v>538</v>
      </c>
    </row>
    <row r="1003" spans="1:4" x14ac:dyDescent="0.2">
      <c r="A1003">
        <v>3686</v>
      </c>
      <c r="B1003" s="10">
        <v>219148</v>
      </c>
      <c r="C1003" s="10">
        <v>40399</v>
      </c>
      <c r="D1003" s="10" t="s">
        <v>271</v>
      </c>
    </row>
    <row r="1004" spans="1:4" x14ac:dyDescent="0.2">
      <c r="A1004">
        <v>3688</v>
      </c>
      <c r="B1004" s="10">
        <v>219148</v>
      </c>
      <c r="C1004" s="10">
        <v>40400</v>
      </c>
      <c r="D1004" s="10" t="s">
        <v>271</v>
      </c>
    </row>
    <row r="1005" spans="1:4" x14ac:dyDescent="0.2">
      <c r="A1005">
        <v>3689</v>
      </c>
      <c r="B1005" s="10">
        <v>36526</v>
      </c>
      <c r="C1005" s="10">
        <v>40408</v>
      </c>
      <c r="D1005" s="10" t="s">
        <v>271</v>
      </c>
    </row>
    <row r="1006" spans="1:4" x14ac:dyDescent="0.2">
      <c r="A1006">
        <v>3690</v>
      </c>
      <c r="B1006" s="10">
        <v>36526</v>
      </c>
      <c r="C1006" s="10">
        <v>40408</v>
      </c>
      <c r="D1006" s="10" t="s">
        <v>271</v>
      </c>
    </row>
    <row r="1007" spans="1:4" x14ac:dyDescent="0.2">
      <c r="A1007">
        <v>3691</v>
      </c>
      <c r="B1007" s="10">
        <v>36526</v>
      </c>
      <c r="C1007" s="10">
        <v>40408</v>
      </c>
      <c r="D1007" s="10" t="s">
        <v>271</v>
      </c>
    </row>
    <row r="1008" spans="1:4" x14ac:dyDescent="0.2">
      <c r="A1008">
        <v>3692</v>
      </c>
      <c r="B1008" s="10">
        <v>36526</v>
      </c>
      <c r="C1008" s="10">
        <v>40408</v>
      </c>
      <c r="D1008" s="10" t="s">
        <v>271</v>
      </c>
    </row>
    <row r="1009" spans="1:4" x14ac:dyDescent="0.2">
      <c r="A1009">
        <v>3693</v>
      </c>
      <c r="B1009" s="10">
        <v>36526</v>
      </c>
      <c r="C1009" s="10">
        <v>40408</v>
      </c>
      <c r="D1009" s="10" t="s">
        <v>271</v>
      </c>
    </row>
    <row r="1010" spans="1:4" x14ac:dyDescent="0.2">
      <c r="A1010">
        <v>3694</v>
      </c>
      <c r="B1010" s="10">
        <v>36526</v>
      </c>
      <c r="C1010" s="10">
        <v>40408</v>
      </c>
      <c r="D1010" s="10" t="s">
        <v>271</v>
      </c>
    </row>
    <row r="1011" spans="1:4" x14ac:dyDescent="0.2">
      <c r="A1011">
        <v>3695</v>
      </c>
      <c r="B1011" s="10">
        <v>219148</v>
      </c>
      <c r="C1011" s="10">
        <v>40401</v>
      </c>
      <c r="D1011" s="10" t="s">
        <v>271</v>
      </c>
    </row>
    <row r="1012" spans="1:4" x14ac:dyDescent="0.2">
      <c r="A1012">
        <v>3696</v>
      </c>
      <c r="B1012" s="10">
        <v>40402</v>
      </c>
      <c r="C1012" s="10">
        <v>40724</v>
      </c>
      <c r="D1012" s="10" t="s">
        <v>539</v>
      </c>
    </row>
    <row r="1013" spans="1:4" x14ac:dyDescent="0.2">
      <c r="A1013">
        <v>3698</v>
      </c>
      <c r="B1013" s="10">
        <v>219148</v>
      </c>
      <c r="C1013" s="10">
        <v>40402</v>
      </c>
      <c r="D1013" s="10" t="s">
        <v>271</v>
      </c>
    </row>
    <row r="1014" spans="1:4" x14ac:dyDescent="0.2">
      <c r="A1014">
        <v>3699</v>
      </c>
      <c r="B1014" s="10">
        <v>219148</v>
      </c>
      <c r="C1014" s="10">
        <v>40403</v>
      </c>
      <c r="D1014" s="10" t="s">
        <v>271</v>
      </c>
    </row>
    <row r="1015" spans="1:4" x14ac:dyDescent="0.2">
      <c r="A1015">
        <v>3700</v>
      </c>
      <c r="B1015" s="10">
        <v>40403</v>
      </c>
      <c r="C1015" s="10">
        <v>40779</v>
      </c>
      <c r="D1015" s="10" t="s">
        <v>539</v>
      </c>
    </row>
    <row r="1016" spans="1:4" x14ac:dyDescent="0.2">
      <c r="A1016">
        <v>3701</v>
      </c>
      <c r="B1016" s="10">
        <v>40403</v>
      </c>
      <c r="C1016" s="10">
        <v>40779</v>
      </c>
      <c r="D1016" s="10" t="s">
        <v>539</v>
      </c>
    </row>
    <row r="1017" spans="1:4" x14ac:dyDescent="0.2">
      <c r="A1017">
        <v>3702</v>
      </c>
      <c r="B1017" s="10">
        <v>40403</v>
      </c>
      <c r="C1017" s="10">
        <v>40753</v>
      </c>
      <c r="D1017" s="10" t="s">
        <v>539</v>
      </c>
    </row>
    <row r="1018" spans="1:4" x14ac:dyDescent="0.2">
      <c r="A1018">
        <v>3703</v>
      </c>
      <c r="B1018" s="10">
        <v>219148</v>
      </c>
      <c r="C1018" s="10">
        <v>40403</v>
      </c>
      <c r="D1018" s="10" t="s">
        <v>271</v>
      </c>
    </row>
    <row r="1019" spans="1:4" x14ac:dyDescent="0.2">
      <c r="A1019">
        <v>3704</v>
      </c>
      <c r="B1019" s="10">
        <v>219148</v>
      </c>
      <c r="C1019" s="10">
        <v>40406</v>
      </c>
      <c r="D1019" s="10" t="s">
        <v>271</v>
      </c>
    </row>
    <row r="1020" spans="1:4" x14ac:dyDescent="0.2">
      <c r="A1020">
        <v>3705</v>
      </c>
      <c r="B1020" s="10">
        <v>219148</v>
      </c>
      <c r="C1020" s="10">
        <v>40407</v>
      </c>
      <c r="D1020" s="10" t="s">
        <v>271</v>
      </c>
    </row>
    <row r="1021" spans="1:4" x14ac:dyDescent="0.2">
      <c r="A1021">
        <v>3706</v>
      </c>
      <c r="B1021" s="10">
        <v>219148</v>
      </c>
      <c r="C1021" s="10">
        <v>40408</v>
      </c>
      <c r="D1021" s="10" t="s">
        <v>271</v>
      </c>
    </row>
    <row r="1022" spans="1:4" x14ac:dyDescent="0.2">
      <c r="A1022">
        <v>3707</v>
      </c>
      <c r="B1022" s="10">
        <v>219148</v>
      </c>
      <c r="C1022" s="10">
        <v>40408</v>
      </c>
      <c r="D1022" s="10" t="s">
        <v>271</v>
      </c>
    </row>
    <row r="1023" spans="1:4" x14ac:dyDescent="0.2">
      <c r="A1023">
        <v>3708</v>
      </c>
      <c r="B1023" s="10">
        <v>219148</v>
      </c>
      <c r="C1023" s="10">
        <v>40409</v>
      </c>
      <c r="D1023" s="10" t="s">
        <v>271</v>
      </c>
    </row>
    <row r="1024" spans="1:4" x14ac:dyDescent="0.2">
      <c r="A1024">
        <v>3709</v>
      </c>
      <c r="B1024" s="10">
        <v>40409</v>
      </c>
      <c r="C1024" s="10">
        <v>40512</v>
      </c>
      <c r="D1024" s="10" t="s">
        <v>539</v>
      </c>
    </row>
    <row r="1025" spans="1:4" x14ac:dyDescent="0.2">
      <c r="A1025">
        <v>3710</v>
      </c>
      <c r="B1025" s="10">
        <v>219148</v>
      </c>
      <c r="C1025" s="10">
        <v>40409</v>
      </c>
      <c r="D1025" s="10" t="s">
        <v>271</v>
      </c>
    </row>
    <row r="1026" spans="1:4" x14ac:dyDescent="0.2">
      <c r="A1026">
        <v>3712</v>
      </c>
      <c r="B1026" s="10">
        <v>36526</v>
      </c>
      <c r="C1026" s="10">
        <v>40724</v>
      </c>
      <c r="D1026" s="10" t="s">
        <v>539</v>
      </c>
    </row>
    <row r="1027" spans="1:4" x14ac:dyDescent="0.2">
      <c r="A1027">
        <v>3713</v>
      </c>
      <c r="B1027" s="10">
        <v>219148</v>
      </c>
      <c r="C1027" s="10">
        <v>40410</v>
      </c>
      <c r="D1027" s="10" t="s">
        <v>270</v>
      </c>
    </row>
    <row r="1028" spans="1:4" x14ac:dyDescent="0.2">
      <c r="A1028">
        <v>3714</v>
      </c>
      <c r="B1028" s="10">
        <v>219148</v>
      </c>
      <c r="C1028" s="10">
        <v>40410</v>
      </c>
      <c r="D1028" s="10" t="s">
        <v>270</v>
      </c>
    </row>
    <row r="1029" spans="1:4" x14ac:dyDescent="0.2">
      <c r="A1029">
        <v>3715</v>
      </c>
      <c r="B1029" s="10">
        <v>219148</v>
      </c>
      <c r="C1029" s="10">
        <v>40410</v>
      </c>
      <c r="D1029" s="10" t="s">
        <v>270</v>
      </c>
    </row>
    <row r="1030" spans="1:4" x14ac:dyDescent="0.2">
      <c r="A1030">
        <v>3716</v>
      </c>
      <c r="B1030" s="10">
        <v>36526</v>
      </c>
      <c r="C1030" s="10">
        <v>40410</v>
      </c>
      <c r="D1030" s="10" t="s">
        <v>270</v>
      </c>
    </row>
    <row r="1031" spans="1:4" x14ac:dyDescent="0.2">
      <c r="A1031">
        <v>3717</v>
      </c>
      <c r="B1031" s="10">
        <v>36526</v>
      </c>
      <c r="C1031" s="10">
        <v>40410</v>
      </c>
      <c r="D1031" s="10" t="s">
        <v>270</v>
      </c>
    </row>
    <row r="1032" spans="1:4" x14ac:dyDescent="0.2">
      <c r="A1032">
        <v>3718</v>
      </c>
      <c r="B1032" s="10">
        <v>219148</v>
      </c>
      <c r="C1032" s="10">
        <v>40410</v>
      </c>
      <c r="D1032" s="10" t="s">
        <v>270</v>
      </c>
    </row>
    <row r="1033" spans="1:4" x14ac:dyDescent="0.2">
      <c r="A1033">
        <v>3719</v>
      </c>
      <c r="B1033" s="10">
        <v>219148</v>
      </c>
      <c r="C1033" s="10">
        <v>40410</v>
      </c>
      <c r="D1033" s="10" t="s">
        <v>270</v>
      </c>
    </row>
    <row r="1034" spans="1:4" x14ac:dyDescent="0.2">
      <c r="A1034">
        <v>3720</v>
      </c>
      <c r="B1034" s="10">
        <v>36526</v>
      </c>
      <c r="C1034" s="10">
        <v>40410</v>
      </c>
      <c r="D1034" s="10" t="s">
        <v>270</v>
      </c>
    </row>
    <row r="1035" spans="1:4" x14ac:dyDescent="0.2">
      <c r="A1035">
        <v>3721</v>
      </c>
      <c r="B1035" s="10">
        <v>219148</v>
      </c>
      <c r="C1035" s="10">
        <v>40413</v>
      </c>
      <c r="D1035" s="10" t="s">
        <v>270</v>
      </c>
    </row>
    <row r="1036" spans="1:4" x14ac:dyDescent="0.2">
      <c r="A1036">
        <v>3722</v>
      </c>
      <c r="B1036" s="10">
        <v>219148</v>
      </c>
      <c r="C1036" s="10">
        <v>40413</v>
      </c>
      <c r="D1036" s="10" t="s">
        <v>270</v>
      </c>
    </row>
    <row r="1037" spans="1:4" x14ac:dyDescent="0.2">
      <c r="A1037">
        <v>3723</v>
      </c>
      <c r="B1037" s="10">
        <v>219148</v>
      </c>
      <c r="C1037" s="10">
        <v>40413</v>
      </c>
      <c r="D1037" s="10" t="s">
        <v>270</v>
      </c>
    </row>
    <row r="1038" spans="1:4" x14ac:dyDescent="0.2">
      <c r="A1038">
        <v>3724</v>
      </c>
      <c r="B1038" s="10">
        <v>36526</v>
      </c>
      <c r="C1038" s="10">
        <v>40753</v>
      </c>
      <c r="D1038" s="10" t="s">
        <v>539</v>
      </c>
    </row>
    <row r="1039" spans="1:4" x14ac:dyDescent="0.2">
      <c r="A1039">
        <v>3725</v>
      </c>
      <c r="B1039" s="10">
        <v>219148</v>
      </c>
      <c r="C1039" s="10">
        <v>40414</v>
      </c>
      <c r="D1039" s="10" t="s">
        <v>270</v>
      </c>
    </row>
    <row r="1040" spans="1:4" x14ac:dyDescent="0.2">
      <c r="A1040">
        <v>3726</v>
      </c>
      <c r="B1040" s="10">
        <v>36526</v>
      </c>
      <c r="C1040" s="10">
        <v>40414</v>
      </c>
      <c r="D1040" s="10" t="s">
        <v>270</v>
      </c>
    </row>
    <row r="1041" spans="1:4" x14ac:dyDescent="0.2">
      <c r="A1041">
        <v>3727</v>
      </c>
      <c r="B1041" s="10">
        <v>219148</v>
      </c>
      <c r="C1041" s="10">
        <v>40414</v>
      </c>
      <c r="D1041" s="10" t="s">
        <v>270</v>
      </c>
    </row>
    <row r="1042" spans="1:4" x14ac:dyDescent="0.2">
      <c r="A1042">
        <v>3728</v>
      </c>
      <c r="B1042" s="10">
        <v>219148</v>
      </c>
      <c r="C1042" s="10">
        <v>40414</v>
      </c>
      <c r="D1042" s="10" t="s">
        <v>270</v>
      </c>
    </row>
    <row r="1043" spans="1:4" x14ac:dyDescent="0.2">
      <c r="A1043">
        <v>3729</v>
      </c>
      <c r="B1043" s="10">
        <v>219148</v>
      </c>
      <c r="C1043" s="10">
        <v>40414</v>
      </c>
      <c r="D1043" s="10" t="s">
        <v>270</v>
      </c>
    </row>
    <row r="1044" spans="1:4" x14ac:dyDescent="0.2">
      <c r="A1044">
        <v>3730</v>
      </c>
      <c r="B1044" s="10">
        <v>40415</v>
      </c>
      <c r="C1044" s="10">
        <v>40421</v>
      </c>
      <c r="D1044" s="10" t="s">
        <v>539</v>
      </c>
    </row>
    <row r="1045" spans="1:4" x14ac:dyDescent="0.2">
      <c r="A1045">
        <v>3732</v>
      </c>
      <c r="B1045" s="10">
        <v>40415</v>
      </c>
      <c r="C1045" s="10">
        <v>40421</v>
      </c>
      <c r="D1045" s="10" t="s">
        <v>270</v>
      </c>
    </row>
    <row r="1046" spans="1:4" x14ac:dyDescent="0.2">
      <c r="A1046">
        <v>3733</v>
      </c>
      <c r="B1046" s="10">
        <v>219148</v>
      </c>
      <c r="C1046" s="10">
        <v>40415</v>
      </c>
      <c r="D1046" s="10" t="s">
        <v>270</v>
      </c>
    </row>
    <row r="1047" spans="1:4" x14ac:dyDescent="0.2">
      <c r="A1047">
        <v>3734</v>
      </c>
      <c r="B1047" s="10">
        <v>36526</v>
      </c>
      <c r="C1047" s="10">
        <v>40421</v>
      </c>
      <c r="D1047" s="10" t="s">
        <v>270</v>
      </c>
    </row>
    <row r="1048" spans="1:4" x14ac:dyDescent="0.2">
      <c r="A1048">
        <v>3737</v>
      </c>
      <c r="B1048" s="10">
        <v>40417</v>
      </c>
      <c r="C1048" s="10">
        <v>40444</v>
      </c>
      <c r="D1048" s="10" t="s">
        <v>539</v>
      </c>
    </row>
    <row r="1049" spans="1:4" x14ac:dyDescent="0.2">
      <c r="A1049">
        <v>3740</v>
      </c>
      <c r="B1049" s="10">
        <v>219148</v>
      </c>
      <c r="C1049" s="10">
        <v>40421</v>
      </c>
      <c r="D1049" s="10" t="s">
        <v>270</v>
      </c>
    </row>
    <row r="1050" spans="1:4" x14ac:dyDescent="0.2">
      <c r="A1050">
        <v>3742</v>
      </c>
      <c r="B1050" s="10">
        <v>40417</v>
      </c>
      <c r="C1050" s="10">
        <v>40421</v>
      </c>
      <c r="D1050" s="10" t="s">
        <v>539</v>
      </c>
    </row>
    <row r="1051" spans="1:4" x14ac:dyDescent="0.2">
      <c r="A1051">
        <v>3753</v>
      </c>
      <c r="B1051" s="10">
        <v>40421</v>
      </c>
      <c r="C1051" s="10">
        <v>40779</v>
      </c>
      <c r="D1051" s="10" t="s">
        <v>539</v>
      </c>
    </row>
    <row r="1052" spans="1:4" x14ac:dyDescent="0.2">
      <c r="A1052">
        <v>3757</v>
      </c>
      <c r="B1052" s="10">
        <v>219148</v>
      </c>
      <c r="C1052" s="10">
        <v>40421</v>
      </c>
      <c r="D1052" s="10" t="s">
        <v>270</v>
      </c>
    </row>
    <row r="1053" spans="1:4" x14ac:dyDescent="0.2">
      <c r="A1053">
        <v>3761</v>
      </c>
      <c r="B1053" s="10">
        <v>36526</v>
      </c>
      <c r="C1053" s="10">
        <v>40423</v>
      </c>
      <c r="D1053" s="10" t="s">
        <v>270</v>
      </c>
    </row>
    <row r="1054" spans="1:4" x14ac:dyDescent="0.2">
      <c r="A1054">
        <v>3762</v>
      </c>
      <c r="B1054" s="10">
        <v>36526</v>
      </c>
      <c r="C1054" s="10">
        <v>40724</v>
      </c>
      <c r="D1054" s="10" t="s">
        <v>539</v>
      </c>
    </row>
    <row r="1055" spans="1:4" x14ac:dyDescent="0.2">
      <c r="A1055">
        <v>3763</v>
      </c>
      <c r="B1055" s="10">
        <v>40424</v>
      </c>
      <c r="C1055" s="10">
        <v>40444</v>
      </c>
      <c r="D1055" s="10" t="s">
        <v>539</v>
      </c>
    </row>
    <row r="1056" spans="1:4" x14ac:dyDescent="0.2">
      <c r="A1056">
        <v>3764</v>
      </c>
      <c r="B1056" s="10">
        <v>40452</v>
      </c>
      <c r="C1056" s="10">
        <v>40694</v>
      </c>
      <c r="D1056" s="10" t="s">
        <v>539</v>
      </c>
    </row>
    <row r="1057" spans="1:4" x14ac:dyDescent="0.2">
      <c r="A1057">
        <v>3766</v>
      </c>
      <c r="B1057" s="10">
        <v>40427</v>
      </c>
      <c r="C1057" s="10">
        <v>40444</v>
      </c>
      <c r="D1057" s="10" t="s">
        <v>204</v>
      </c>
    </row>
    <row r="1058" spans="1:4" x14ac:dyDescent="0.2">
      <c r="A1058">
        <v>3767</v>
      </c>
      <c r="B1058" s="10">
        <v>36526</v>
      </c>
      <c r="C1058" s="10">
        <v>40444</v>
      </c>
      <c r="D1058" s="10" t="s">
        <v>270</v>
      </c>
    </row>
    <row r="1059" spans="1:4" x14ac:dyDescent="0.2">
      <c r="A1059">
        <v>3771</v>
      </c>
      <c r="B1059" s="10">
        <v>36526</v>
      </c>
      <c r="C1059" s="10">
        <v>40473</v>
      </c>
      <c r="D1059" s="10" t="s">
        <v>538</v>
      </c>
    </row>
    <row r="1060" spans="1:4" x14ac:dyDescent="0.2">
      <c r="A1060">
        <v>3774</v>
      </c>
      <c r="B1060" s="10">
        <v>36526</v>
      </c>
      <c r="C1060" s="10">
        <v>40444</v>
      </c>
      <c r="D1060" s="10" t="s">
        <v>270</v>
      </c>
    </row>
    <row r="1061" spans="1:4" x14ac:dyDescent="0.2">
      <c r="A1061">
        <v>3792</v>
      </c>
      <c r="B1061" s="10">
        <v>36526</v>
      </c>
      <c r="C1061" s="10">
        <v>40473</v>
      </c>
      <c r="D1061" s="10" t="s">
        <v>270</v>
      </c>
    </row>
    <row r="1062" spans="1:4" x14ac:dyDescent="0.2">
      <c r="A1062">
        <v>3793</v>
      </c>
      <c r="B1062" s="10">
        <v>36526</v>
      </c>
      <c r="C1062" s="10">
        <v>40473</v>
      </c>
      <c r="D1062" s="10" t="s">
        <v>270</v>
      </c>
    </row>
    <row r="1063" spans="1:4" x14ac:dyDescent="0.2">
      <c r="A1063">
        <v>3798</v>
      </c>
      <c r="B1063" s="10">
        <v>219148</v>
      </c>
      <c r="C1063" s="10">
        <v>40444</v>
      </c>
      <c r="D1063" s="10" t="s">
        <v>270</v>
      </c>
    </row>
    <row r="1064" spans="1:4" x14ac:dyDescent="0.2">
      <c r="A1064">
        <v>3802</v>
      </c>
      <c r="B1064" s="10">
        <v>36526</v>
      </c>
      <c r="C1064" s="10">
        <v>40444</v>
      </c>
      <c r="D1064" s="10" t="s">
        <v>270</v>
      </c>
    </row>
    <row r="1065" spans="1:4" x14ac:dyDescent="0.2">
      <c r="A1065">
        <v>3804</v>
      </c>
      <c r="B1065" s="10">
        <v>36526</v>
      </c>
      <c r="C1065" s="10">
        <v>40444</v>
      </c>
      <c r="D1065" s="10" t="s">
        <v>270</v>
      </c>
    </row>
    <row r="1066" spans="1:4" x14ac:dyDescent="0.2">
      <c r="A1066">
        <v>3805</v>
      </c>
      <c r="B1066" s="10">
        <v>36526</v>
      </c>
      <c r="C1066" s="10">
        <v>40444</v>
      </c>
      <c r="D1066" s="10" t="s">
        <v>270</v>
      </c>
    </row>
    <row r="1067" spans="1:4" x14ac:dyDescent="0.2">
      <c r="A1067">
        <v>3806</v>
      </c>
      <c r="B1067" s="10">
        <v>36526</v>
      </c>
      <c r="C1067" s="10">
        <v>40444</v>
      </c>
      <c r="D1067" s="10" t="s">
        <v>538</v>
      </c>
    </row>
    <row r="1068" spans="1:4" x14ac:dyDescent="0.2">
      <c r="A1068">
        <v>3807</v>
      </c>
      <c r="B1068" s="10">
        <v>36526</v>
      </c>
      <c r="C1068" s="10">
        <v>40444</v>
      </c>
      <c r="D1068" s="10" t="s">
        <v>538</v>
      </c>
    </row>
    <row r="1069" spans="1:4" x14ac:dyDescent="0.2">
      <c r="A1069">
        <v>3812</v>
      </c>
      <c r="B1069" s="10">
        <v>40438</v>
      </c>
      <c r="C1069" s="10">
        <v>40753</v>
      </c>
      <c r="D1069" s="10" t="s">
        <v>539</v>
      </c>
    </row>
    <row r="1070" spans="1:4" x14ac:dyDescent="0.2">
      <c r="A1070">
        <v>3814</v>
      </c>
      <c r="B1070" s="10">
        <v>219148</v>
      </c>
      <c r="C1070" s="10">
        <v>40444</v>
      </c>
      <c r="D1070" s="10" t="s">
        <v>270</v>
      </c>
    </row>
    <row r="1071" spans="1:4" x14ac:dyDescent="0.2">
      <c r="A1071">
        <v>3818</v>
      </c>
      <c r="B1071" s="10">
        <v>219148</v>
      </c>
      <c r="C1071" s="10">
        <v>40444</v>
      </c>
      <c r="D1071" s="10" t="s">
        <v>270</v>
      </c>
    </row>
    <row r="1072" spans="1:4" x14ac:dyDescent="0.2">
      <c r="A1072">
        <v>3823</v>
      </c>
      <c r="B1072" s="10">
        <v>36526</v>
      </c>
      <c r="C1072" s="10">
        <v>40444</v>
      </c>
      <c r="D1072" s="10" t="s">
        <v>538</v>
      </c>
    </row>
    <row r="1073" spans="1:4" x14ac:dyDescent="0.2">
      <c r="A1073">
        <v>3824</v>
      </c>
      <c r="B1073" s="10">
        <v>36526</v>
      </c>
      <c r="C1073" s="10">
        <v>40444</v>
      </c>
      <c r="D1073" s="10" t="s">
        <v>538</v>
      </c>
    </row>
    <row r="1074" spans="1:4" x14ac:dyDescent="0.2">
      <c r="A1074">
        <v>3825</v>
      </c>
      <c r="B1074" s="10">
        <v>36526</v>
      </c>
      <c r="C1074" s="10">
        <v>40451</v>
      </c>
      <c r="D1074" s="10" t="s">
        <v>538</v>
      </c>
    </row>
    <row r="1075" spans="1:4" x14ac:dyDescent="0.2">
      <c r="A1075">
        <v>3826</v>
      </c>
      <c r="B1075" s="10">
        <v>36526</v>
      </c>
      <c r="C1075" s="10">
        <v>40444</v>
      </c>
      <c r="D1075" s="10" t="s">
        <v>538</v>
      </c>
    </row>
    <row r="1076" spans="1:4" x14ac:dyDescent="0.2">
      <c r="A1076">
        <v>3827</v>
      </c>
      <c r="B1076" s="10">
        <v>40466</v>
      </c>
      <c r="C1076" s="10">
        <v>40602</v>
      </c>
      <c r="D1076" s="10" t="s">
        <v>275</v>
      </c>
    </row>
    <row r="1077" spans="1:4" x14ac:dyDescent="0.2">
      <c r="A1077">
        <v>3828</v>
      </c>
      <c r="B1077" s="10">
        <v>40442</v>
      </c>
      <c r="C1077" s="10">
        <v>40512</v>
      </c>
      <c r="D1077" s="10" t="s">
        <v>539</v>
      </c>
    </row>
    <row r="1078" spans="1:4" x14ac:dyDescent="0.2">
      <c r="A1078">
        <v>3835</v>
      </c>
      <c r="B1078" s="10">
        <v>40443</v>
      </c>
      <c r="C1078" s="10">
        <v>40816</v>
      </c>
      <c r="D1078" s="10" t="s">
        <v>539</v>
      </c>
    </row>
    <row r="1079" spans="1:4" x14ac:dyDescent="0.2">
      <c r="A1079">
        <v>3839</v>
      </c>
      <c r="B1079" s="10">
        <v>40444</v>
      </c>
      <c r="C1079" s="10">
        <v>40816</v>
      </c>
      <c r="D1079" s="10" t="s">
        <v>539</v>
      </c>
    </row>
    <row r="1080" spans="1:4" x14ac:dyDescent="0.2">
      <c r="A1080">
        <v>3840</v>
      </c>
      <c r="B1080" s="10">
        <v>36526</v>
      </c>
      <c r="C1080" s="10">
        <v>40444</v>
      </c>
      <c r="D1080" s="10" t="s">
        <v>270</v>
      </c>
    </row>
    <row r="1081" spans="1:4" x14ac:dyDescent="0.2">
      <c r="A1081">
        <v>3842</v>
      </c>
      <c r="B1081" s="10">
        <v>219148</v>
      </c>
      <c r="C1081" s="10">
        <v>40444</v>
      </c>
      <c r="D1081" s="10" t="s">
        <v>270</v>
      </c>
    </row>
    <row r="1082" spans="1:4" x14ac:dyDescent="0.2">
      <c r="A1082">
        <v>3846</v>
      </c>
      <c r="B1082" s="10">
        <v>40532</v>
      </c>
      <c r="C1082" s="10">
        <v>40753</v>
      </c>
      <c r="D1082" s="10" t="s">
        <v>539</v>
      </c>
    </row>
    <row r="1083" spans="1:4" x14ac:dyDescent="0.2">
      <c r="A1083">
        <v>3847</v>
      </c>
      <c r="B1083" s="10">
        <v>40485</v>
      </c>
      <c r="C1083" s="10">
        <v>40753</v>
      </c>
      <c r="D1083" s="10" t="s">
        <v>539</v>
      </c>
    </row>
    <row r="1084" spans="1:4" x14ac:dyDescent="0.2">
      <c r="A1084">
        <v>3852</v>
      </c>
      <c r="B1084" s="10">
        <v>40466</v>
      </c>
      <c r="C1084" s="10">
        <v>40602</v>
      </c>
      <c r="D1084" s="10" t="s">
        <v>275</v>
      </c>
    </row>
    <row r="1085" spans="1:4" x14ac:dyDescent="0.2">
      <c r="A1085">
        <v>3854</v>
      </c>
      <c r="B1085" s="10">
        <v>40448</v>
      </c>
      <c r="C1085" s="10">
        <v>40786</v>
      </c>
      <c r="D1085" s="10" t="s">
        <v>539</v>
      </c>
    </row>
    <row r="1086" spans="1:4" x14ac:dyDescent="0.2">
      <c r="A1086">
        <v>3859</v>
      </c>
      <c r="B1086" s="10">
        <v>36526</v>
      </c>
      <c r="C1086" s="10">
        <v>40451</v>
      </c>
      <c r="D1086" s="10" t="s">
        <v>270</v>
      </c>
    </row>
    <row r="1087" spans="1:4" x14ac:dyDescent="0.2">
      <c r="A1087">
        <v>3860</v>
      </c>
      <c r="B1087" s="10">
        <v>36526</v>
      </c>
      <c r="C1087" s="10">
        <v>40473</v>
      </c>
      <c r="D1087" s="10" t="s">
        <v>270</v>
      </c>
    </row>
    <row r="1088" spans="1:4" x14ac:dyDescent="0.2">
      <c r="A1088">
        <v>3863</v>
      </c>
      <c r="B1088" s="10">
        <v>36526</v>
      </c>
      <c r="C1088" s="10">
        <v>40451</v>
      </c>
      <c r="D1088" s="10" t="s">
        <v>270</v>
      </c>
    </row>
    <row r="1089" spans="1:4" x14ac:dyDescent="0.2">
      <c r="A1089">
        <v>3869</v>
      </c>
      <c r="B1089" s="10">
        <v>40479</v>
      </c>
      <c r="C1089" s="10">
        <v>40753</v>
      </c>
      <c r="D1089" s="10" t="s">
        <v>539</v>
      </c>
    </row>
    <row r="1090" spans="1:4" x14ac:dyDescent="0.2">
      <c r="A1090">
        <v>3870</v>
      </c>
      <c r="B1090" s="10">
        <v>40469</v>
      </c>
      <c r="C1090" s="10">
        <v>40753</v>
      </c>
      <c r="D1090" s="10" t="s">
        <v>539</v>
      </c>
    </row>
    <row r="1091" spans="1:4" x14ac:dyDescent="0.2">
      <c r="A1091">
        <v>3871</v>
      </c>
      <c r="B1091" s="10">
        <v>40469</v>
      </c>
      <c r="C1091" s="10">
        <v>40753</v>
      </c>
      <c r="D1091" s="10" t="s">
        <v>539</v>
      </c>
    </row>
    <row r="1092" spans="1:4" x14ac:dyDescent="0.2">
      <c r="A1092">
        <v>3873</v>
      </c>
      <c r="B1092" s="10">
        <v>40466</v>
      </c>
      <c r="C1092" s="10">
        <v>40602</v>
      </c>
      <c r="D1092" s="10" t="s">
        <v>275</v>
      </c>
    </row>
    <row r="1093" spans="1:4" x14ac:dyDescent="0.2">
      <c r="A1093">
        <v>3875</v>
      </c>
      <c r="B1093" s="10">
        <v>40455</v>
      </c>
      <c r="C1093" s="10">
        <v>40512</v>
      </c>
      <c r="D1093" s="10" t="s">
        <v>539</v>
      </c>
    </row>
    <row r="1094" spans="1:4" x14ac:dyDescent="0.2">
      <c r="A1094">
        <v>3876</v>
      </c>
      <c r="B1094" s="10">
        <v>36526</v>
      </c>
      <c r="C1094" s="10">
        <v>40743</v>
      </c>
      <c r="D1094" s="10" t="s">
        <v>539</v>
      </c>
    </row>
    <row r="1095" spans="1:4" x14ac:dyDescent="0.2">
      <c r="A1095">
        <v>3896</v>
      </c>
      <c r="B1095" s="10">
        <v>219148</v>
      </c>
      <c r="C1095" s="10">
        <v>40451</v>
      </c>
      <c r="D1095" s="10" t="s">
        <v>270</v>
      </c>
    </row>
    <row r="1096" spans="1:4" x14ac:dyDescent="0.2">
      <c r="A1096">
        <v>3901</v>
      </c>
      <c r="B1096" s="10">
        <v>36526</v>
      </c>
      <c r="C1096" s="10">
        <v>40451</v>
      </c>
      <c r="D1096" s="10" t="s">
        <v>270</v>
      </c>
    </row>
    <row r="1097" spans="1:4" x14ac:dyDescent="0.2">
      <c r="A1097">
        <v>3902</v>
      </c>
      <c r="B1097" s="10">
        <v>36526</v>
      </c>
      <c r="C1097" s="10">
        <v>40451</v>
      </c>
      <c r="D1097" s="10" t="s">
        <v>270</v>
      </c>
    </row>
    <row r="1098" spans="1:4" x14ac:dyDescent="0.2">
      <c r="A1098">
        <v>3903</v>
      </c>
      <c r="B1098" s="10">
        <v>36526</v>
      </c>
      <c r="C1098" s="10">
        <v>40451</v>
      </c>
      <c r="D1098" s="10" t="s">
        <v>270</v>
      </c>
    </row>
    <row r="1099" spans="1:4" x14ac:dyDescent="0.2">
      <c r="A1099">
        <v>3904</v>
      </c>
      <c r="B1099" s="10">
        <v>36526</v>
      </c>
      <c r="C1099" s="10">
        <v>40444</v>
      </c>
      <c r="D1099" s="10" t="s">
        <v>270</v>
      </c>
    </row>
    <row r="1100" spans="1:4" x14ac:dyDescent="0.2">
      <c r="A1100">
        <v>3905</v>
      </c>
      <c r="B1100" s="10">
        <v>36526</v>
      </c>
      <c r="C1100" s="10">
        <v>40451</v>
      </c>
      <c r="D1100" s="10" t="s">
        <v>270</v>
      </c>
    </row>
    <row r="1101" spans="1:4" x14ac:dyDescent="0.2">
      <c r="A1101">
        <v>3906</v>
      </c>
      <c r="B1101" s="10">
        <v>36526</v>
      </c>
      <c r="C1101" s="10">
        <v>40451</v>
      </c>
      <c r="D1101" s="10" t="s">
        <v>270</v>
      </c>
    </row>
    <row r="1102" spans="1:4" x14ac:dyDescent="0.2">
      <c r="A1102">
        <v>3907</v>
      </c>
      <c r="B1102" s="10">
        <v>36526</v>
      </c>
      <c r="C1102" s="10">
        <v>40451</v>
      </c>
      <c r="D1102" s="10" t="s">
        <v>270</v>
      </c>
    </row>
    <row r="1103" spans="1:4" x14ac:dyDescent="0.2">
      <c r="A1103">
        <v>3913</v>
      </c>
      <c r="B1103" s="10">
        <v>36526</v>
      </c>
      <c r="C1103" s="10">
        <v>40473</v>
      </c>
      <c r="D1103" s="10" t="s">
        <v>270</v>
      </c>
    </row>
    <row r="1104" spans="1:4" x14ac:dyDescent="0.2">
      <c r="A1104">
        <v>3919</v>
      </c>
      <c r="B1104" s="10">
        <v>36526</v>
      </c>
      <c r="C1104" s="10">
        <v>40473</v>
      </c>
      <c r="D1104" s="10" t="s">
        <v>538</v>
      </c>
    </row>
    <row r="1105" spans="1:4" x14ac:dyDescent="0.2">
      <c r="A1105">
        <v>3920</v>
      </c>
      <c r="B1105" s="10">
        <v>36526</v>
      </c>
      <c r="C1105" s="10">
        <v>40473</v>
      </c>
      <c r="D1105" s="10" t="s">
        <v>538</v>
      </c>
    </row>
    <row r="1106" spans="1:4" x14ac:dyDescent="0.2">
      <c r="A1106">
        <v>3921</v>
      </c>
      <c r="B1106" s="10">
        <v>36526</v>
      </c>
      <c r="C1106" s="10">
        <v>40473</v>
      </c>
      <c r="D1106" s="10" t="s">
        <v>538</v>
      </c>
    </row>
    <row r="1107" spans="1:4" x14ac:dyDescent="0.2">
      <c r="A1107">
        <v>3922</v>
      </c>
      <c r="B1107" s="10">
        <v>36526</v>
      </c>
      <c r="C1107" s="10">
        <v>40473</v>
      </c>
      <c r="D1107" s="10" t="s">
        <v>538</v>
      </c>
    </row>
    <row r="1108" spans="1:4" x14ac:dyDescent="0.2">
      <c r="A1108">
        <v>3923</v>
      </c>
      <c r="B1108" s="10">
        <v>36526</v>
      </c>
      <c r="C1108" s="10">
        <v>40473</v>
      </c>
      <c r="D1108" s="10" t="s">
        <v>538</v>
      </c>
    </row>
    <row r="1109" spans="1:4" x14ac:dyDescent="0.2">
      <c r="A1109">
        <v>3924</v>
      </c>
      <c r="B1109" s="10">
        <v>36526</v>
      </c>
      <c r="C1109" s="10">
        <v>40816</v>
      </c>
      <c r="D1109" s="10" t="s">
        <v>538</v>
      </c>
    </row>
    <row r="1110" spans="1:4" x14ac:dyDescent="0.2">
      <c r="A1110">
        <v>3925</v>
      </c>
      <c r="B1110" s="10">
        <v>36526</v>
      </c>
      <c r="C1110" s="10">
        <v>40816</v>
      </c>
      <c r="D1110" s="10" t="s">
        <v>538</v>
      </c>
    </row>
    <row r="1111" spans="1:4" x14ac:dyDescent="0.2">
      <c r="A1111">
        <v>3926</v>
      </c>
      <c r="B1111" s="10">
        <v>36526</v>
      </c>
      <c r="C1111" s="10">
        <v>40816</v>
      </c>
      <c r="D1111" s="10" t="s">
        <v>538</v>
      </c>
    </row>
    <row r="1112" spans="1:4" x14ac:dyDescent="0.2">
      <c r="A1112">
        <v>3929</v>
      </c>
      <c r="B1112" s="10">
        <v>40464</v>
      </c>
      <c r="C1112" s="10">
        <v>40473</v>
      </c>
      <c r="D1112" s="10" t="s">
        <v>270</v>
      </c>
    </row>
    <row r="1113" spans="1:4" x14ac:dyDescent="0.2">
      <c r="A1113">
        <v>3933</v>
      </c>
      <c r="B1113" s="10">
        <v>219148</v>
      </c>
      <c r="C1113" s="10">
        <v>40473</v>
      </c>
      <c r="D1113" s="10" t="s">
        <v>270</v>
      </c>
    </row>
    <row r="1114" spans="1:4" x14ac:dyDescent="0.2">
      <c r="A1114">
        <v>3945</v>
      </c>
      <c r="B1114" s="10">
        <v>40464</v>
      </c>
      <c r="C1114" s="10">
        <v>40473</v>
      </c>
      <c r="D1114" s="10" t="s">
        <v>204</v>
      </c>
    </row>
    <row r="1115" spans="1:4" x14ac:dyDescent="0.2">
      <c r="A1115">
        <v>3946</v>
      </c>
      <c r="B1115" s="10">
        <v>40465</v>
      </c>
      <c r="C1115" s="10">
        <v>40473</v>
      </c>
      <c r="D1115" s="10" t="s">
        <v>270</v>
      </c>
    </row>
    <row r="1116" spans="1:4" x14ac:dyDescent="0.2">
      <c r="A1116">
        <v>3948</v>
      </c>
      <c r="B1116" s="10">
        <v>36526</v>
      </c>
      <c r="C1116" s="10">
        <v>40473</v>
      </c>
      <c r="D1116" s="10" t="s">
        <v>538</v>
      </c>
    </row>
    <row r="1117" spans="1:4" x14ac:dyDescent="0.2">
      <c r="A1117">
        <v>3949</v>
      </c>
      <c r="B1117" s="10">
        <v>36526</v>
      </c>
      <c r="C1117" s="10">
        <v>40473</v>
      </c>
      <c r="D1117" s="10" t="s">
        <v>538</v>
      </c>
    </row>
    <row r="1118" spans="1:4" x14ac:dyDescent="0.2">
      <c r="A1118">
        <v>3950</v>
      </c>
      <c r="B1118" s="10">
        <v>36526</v>
      </c>
      <c r="C1118" s="10">
        <v>40473</v>
      </c>
      <c r="D1118" s="10" t="s">
        <v>538</v>
      </c>
    </row>
    <row r="1119" spans="1:4" x14ac:dyDescent="0.2">
      <c r="A1119">
        <v>3951</v>
      </c>
      <c r="B1119" s="10">
        <v>36526</v>
      </c>
      <c r="C1119" s="10">
        <v>40473</v>
      </c>
      <c r="D1119" s="10" t="s">
        <v>538</v>
      </c>
    </row>
    <row r="1120" spans="1:4" x14ac:dyDescent="0.2">
      <c r="A1120">
        <v>3957</v>
      </c>
      <c r="B1120" s="10">
        <v>219148</v>
      </c>
      <c r="C1120" s="10">
        <v>40484</v>
      </c>
      <c r="D1120" s="10" t="s">
        <v>270</v>
      </c>
    </row>
    <row r="1121" spans="1:4" x14ac:dyDescent="0.2">
      <c r="A1121">
        <v>3965</v>
      </c>
      <c r="B1121" s="10">
        <v>36526</v>
      </c>
      <c r="C1121" s="10">
        <v>40779</v>
      </c>
      <c r="D1121" s="10" t="s">
        <v>538</v>
      </c>
    </row>
    <row r="1122" spans="1:4" x14ac:dyDescent="0.2">
      <c r="A1122">
        <v>3966</v>
      </c>
      <c r="B1122" s="10">
        <v>36526</v>
      </c>
      <c r="C1122" s="10">
        <v>40779</v>
      </c>
      <c r="D1122" s="10" t="s">
        <v>538</v>
      </c>
    </row>
    <row r="1123" spans="1:4" x14ac:dyDescent="0.2">
      <c r="A1123">
        <v>3967</v>
      </c>
      <c r="B1123" s="10">
        <v>40469</v>
      </c>
      <c r="C1123" s="10">
        <v>40753</v>
      </c>
      <c r="D1123" s="10" t="s">
        <v>539</v>
      </c>
    </row>
    <row r="1124" spans="1:4" x14ac:dyDescent="0.2">
      <c r="A1124">
        <v>3968</v>
      </c>
      <c r="B1124" s="10">
        <v>40471</v>
      </c>
      <c r="C1124" s="10">
        <v>40512</v>
      </c>
      <c r="D1124" s="10" t="s">
        <v>539</v>
      </c>
    </row>
    <row r="1125" spans="1:4" x14ac:dyDescent="0.2">
      <c r="A1125">
        <v>3981</v>
      </c>
      <c r="B1125" s="10">
        <v>40471</v>
      </c>
      <c r="C1125" s="10">
        <v>40724</v>
      </c>
      <c r="D1125" s="10" t="s">
        <v>539</v>
      </c>
    </row>
    <row r="1126" spans="1:4" x14ac:dyDescent="0.2">
      <c r="A1126">
        <v>3982</v>
      </c>
      <c r="B1126" s="10">
        <v>36526</v>
      </c>
      <c r="C1126" s="10">
        <v>40485</v>
      </c>
      <c r="D1126" s="10" t="s">
        <v>270</v>
      </c>
    </row>
    <row r="1127" spans="1:4" x14ac:dyDescent="0.2">
      <c r="A1127">
        <v>3989</v>
      </c>
      <c r="B1127" s="10">
        <v>36526</v>
      </c>
      <c r="C1127" s="10">
        <v>40512</v>
      </c>
      <c r="D1127" s="10" t="s">
        <v>538</v>
      </c>
    </row>
    <row r="1128" spans="1:4" x14ac:dyDescent="0.2">
      <c r="A1128">
        <v>3990</v>
      </c>
      <c r="B1128" s="10">
        <v>36526</v>
      </c>
      <c r="C1128" s="10">
        <v>40473</v>
      </c>
      <c r="D1128" s="10" t="s">
        <v>538</v>
      </c>
    </row>
    <row r="1129" spans="1:4" x14ac:dyDescent="0.2">
      <c r="A1129">
        <v>4001</v>
      </c>
      <c r="B1129" s="10">
        <v>40477</v>
      </c>
      <c r="C1129" s="10">
        <v>40512</v>
      </c>
      <c r="D1129" s="10" t="s">
        <v>539</v>
      </c>
    </row>
    <row r="1130" spans="1:4" x14ac:dyDescent="0.2">
      <c r="A1130">
        <v>4004</v>
      </c>
      <c r="B1130" s="10">
        <v>219148</v>
      </c>
      <c r="C1130" s="10">
        <v>40480</v>
      </c>
      <c r="D1130" s="10" t="s">
        <v>270</v>
      </c>
    </row>
    <row r="1131" spans="1:4" x14ac:dyDescent="0.2">
      <c r="A1131">
        <v>4005</v>
      </c>
      <c r="B1131" s="10">
        <v>36526</v>
      </c>
      <c r="C1131" s="10">
        <v>40484</v>
      </c>
      <c r="D1131" s="10" t="s">
        <v>270</v>
      </c>
    </row>
    <row r="1132" spans="1:4" x14ac:dyDescent="0.2">
      <c r="A1132">
        <v>4015</v>
      </c>
      <c r="B1132" s="10">
        <v>40480</v>
      </c>
      <c r="C1132" s="10">
        <v>40779</v>
      </c>
      <c r="D1132" s="10" t="s">
        <v>539</v>
      </c>
    </row>
    <row r="1133" spans="1:4" x14ac:dyDescent="0.2">
      <c r="A1133">
        <v>4017</v>
      </c>
      <c r="B1133" s="10">
        <v>40498</v>
      </c>
      <c r="C1133" s="10">
        <v>40753</v>
      </c>
      <c r="D1133" s="10" t="s">
        <v>539</v>
      </c>
    </row>
    <row r="1134" spans="1:4" x14ac:dyDescent="0.2">
      <c r="A1134">
        <v>4018</v>
      </c>
      <c r="B1134" s="10">
        <v>40498</v>
      </c>
      <c r="C1134" s="10">
        <v>40753</v>
      </c>
      <c r="D1134" s="10" t="s">
        <v>539</v>
      </c>
    </row>
    <row r="1135" spans="1:4" x14ac:dyDescent="0.2">
      <c r="A1135">
        <v>4019</v>
      </c>
      <c r="B1135" s="10">
        <v>36526</v>
      </c>
      <c r="C1135" s="10">
        <v>40779</v>
      </c>
      <c r="D1135" s="10" t="s">
        <v>539</v>
      </c>
    </row>
    <row r="1136" spans="1:4" x14ac:dyDescent="0.2">
      <c r="A1136">
        <v>4020</v>
      </c>
      <c r="B1136" s="10">
        <v>219148</v>
      </c>
      <c r="C1136" s="10">
        <v>40480</v>
      </c>
      <c r="D1136" s="10" t="s">
        <v>270</v>
      </c>
    </row>
    <row r="1137" spans="1:4" x14ac:dyDescent="0.2">
      <c r="A1137">
        <v>4023</v>
      </c>
      <c r="B1137" s="10">
        <v>219148</v>
      </c>
      <c r="C1137" s="10">
        <v>40480</v>
      </c>
      <c r="D1137" s="10" t="s">
        <v>270</v>
      </c>
    </row>
    <row r="1138" spans="1:4" x14ac:dyDescent="0.2">
      <c r="A1138">
        <v>4024</v>
      </c>
      <c r="B1138" s="10">
        <v>36526</v>
      </c>
      <c r="C1138" s="10">
        <v>40504</v>
      </c>
      <c r="D1138" s="10" t="s">
        <v>270</v>
      </c>
    </row>
    <row r="1139" spans="1:4" x14ac:dyDescent="0.2">
      <c r="A1139">
        <v>4028</v>
      </c>
      <c r="B1139" s="10">
        <v>36526</v>
      </c>
      <c r="C1139" s="10">
        <v>40480</v>
      </c>
      <c r="D1139" s="10" t="s">
        <v>270</v>
      </c>
    </row>
    <row r="1140" spans="1:4" x14ac:dyDescent="0.2">
      <c r="A1140">
        <v>4029</v>
      </c>
      <c r="B1140" s="10">
        <v>36526</v>
      </c>
      <c r="C1140" s="10">
        <v>40480</v>
      </c>
      <c r="D1140" s="10" t="s">
        <v>270</v>
      </c>
    </row>
    <row r="1141" spans="1:4" x14ac:dyDescent="0.2">
      <c r="A1141">
        <v>4030</v>
      </c>
      <c r="B1141" s="10">
        <v>36526</v>
      </c>
      <c r="C1141" s="10">
        <v>40480</v>
      </c>
      <c r="D1141" s="10" t="s">
        <v>270</v>
      </c>
    </row>
    <row r="1142" spans="1:4" x14ac:dyDescent="0.2">
      <c r="A1142">
        <v>4031</v>
      </c>
      <c r="B1142" s="10">
        <v>36526</v>
      </c>
      <c r="C1142" s="10">
        <v>40480</v>
      </c>
      <c r="D1142" s="10" t="s">
        <v>270</v>
      </c>
    </row>
    <row r="1143" spans="1:4" x14ac:dyDescent="0.2">
      <c r="A1143">
        <v>4032</v>
      </c>
      <c r="B1143" s="10">
        <v>36526</v>
      </c>
      <c r="C1143" s="10">
        <v>40480</v>
      </c>
      <c r="D1143" s="10" t="s">
        <v>270</v>
      </c>
    </row>
    <row r="1144" spans="1:4" x14ac:dyDescent="0.2">
      <c r="A1144">
        <v>4033</v>
      </c>
      <c r="B1144" s="10">
        <v>36526</v>
      </c>
      <c r="C1144" s="10">
        <v>40480</v>
      </c>
      <c r="D1144" s="10" t="s">
        <v>270</v>
      </c>
    </row>
    <row r="1145" spans="1:4" x14ac:dyDescent="0.2">
      <c r="A1145">
        <v>4034</v>
      </c>
      <c r="B1145" s="10">
        <v>36526</v>
      </c>
      <c r="C1145" s="10">
        <v>40480</v>
      </c>
      <c r="D1145" s="10" t="s">
        <v>270</v>
      </c>
    </row>
    <row r="1146" spans="1:4" x14ac:dyDescent="0.2">
      <c r="A1146">
        <v>4035</v>
      </c>
      <c r="B1146" s="10">
        <v>36526</v>
      </c>
      <c r="C1146" s="10">
        <v>40480</v>
      </c>
      <c r="D1146" s="10" t="s">
        <v>270</v>
      </c>
    </row>
    <row r="1147" spans="1:4" x14ac:dyDescent="0.2">
      <c r="A1147">
        <v>4036</v>
      </c>
      <c r="B1147" s="10">
        <v>36526</v>
      </c>
      <c r="C1147" s="10">
        <v>40480</v>
      </c>
      <c r="D1147" s="10" t="s">
        <v>270</v>
      </c>
    </row>
    <row r="1148" spans="1:4" x14ac:dyDescent="0.2">
      <c r="A1148">
        <v>4037</v>
      </c>
      <c r="B1148" s="10">
        <v>36526</v>
      </c>
      <c r="C1148" s="10">
        <v>40473</v>
      </c>
      <c r="D1148" s="10" t="s">
        <v>270</v>
      </c>
    </row>
    <row r="1149" spans="1:4" x14ac:dyDescent="0.2">
      <c r="A1149">
        <v>4038</v>
      </c>
      <c r="B1149" s="10">
        <v>36526</v>
      </c>
      <c r="C1149" s="10">
        <v>40480</v>
      </c>
      <c r="D1149" s="10" t="s">
        <v>270</v>
      </c>
    </row>
    <row r="1150" spans="1:4" x14ac:dyDescent="0.2">
      <c r="A1150">
        <v>4039</v>
      </c>
      <c r="B1150" s="10">
        <v>36526</v>
      </c>
      <c r="C1150" s="10">
        <v>40480</v>
      </c>
      <c r="D1150" s="10" t="s">
        <v>270</v>
      </c>
    </row>
    <row r="1151" spans="1:4" x14ac:dyDescent="0.2">
      <c r="A1151">
        <v>4040</v>
      </c>
      <c r="B1151" s="10">
        <v>36526</v>
      </c>
      <c r="C1151" s="10">
        <v>40480</v>
      </c>
      <c r="D1151" s="10" t="s">
        <v>270</v>
      </c>
    </row>
    <row r="1152" spans="1:4" x14ac:dyDescent="0.2">
      <c r="A1152">
        <v>4041</v>
      </c>
      <c r="B1152" s="10">
        <v>36526</v>
      </c>
      <c r="C1152" s="10">
        <v>40480</v>
      </c>
      <c r="D1152" s="10" t="s">
        <v>270</v>
      </c>
    </row>
    <row r="1153" spans="1:4" x14ac:dyDescent="0.2">
      <c r="A1153">
        <v>4042</v>
      </c>
      <c r="B1153" s="10">
        <v>36526</v>
      </c>
      <c r="C1153" s="10">
        <v>40480</v>
      </c>
      <c r="D1153" s="10" t="s">
        <v>270</v>
      </c>
    </row>
    <row r="1154" spans="1:4" x14ac:dyDescent="0.2">
      <c r="A1154">
        <v>4043</v>
      </c>
      <c r="B1154" s="10">
        <v>36526</v>
      </c>
      <c r="C1154" s="10">
        <v>40480</v>
      </c>
      <c r="D1154" s="10" t="s">
        <v>270</v>
      </c>
    </row>
    <row r="1155" spans="1:4" x14ac:dyDescent="0.2">
      <c r="A1155">
        <v>4044</v>
      </c>
      <c r="B1155" s="10">
        <v>36526</v>
      </c>
      <c r="C1155" s="10">
        <v>40480</v>
      </c>
      <c r="D1155" s="10" t="s">
        <v>270</v>
      </c>
    </row>
    <row r="1156" spans="1:4" x14ac:dyDescent="0.2">
      <c r="A1156">
        <v>4045</v>
      </c>
      <c r="B1156" s="10">
        <v>36526</v>
      </c>
      <c r="C1156" s="10">
        <v>40480</v>
      </c>
      <c r="D1156" s="10" t="s">
        <v>270</v>
      </c>
    </row>
    <row r="1157" spans="1:4" x14ac:dyDescent="0.2">
      <c r="A1157">
        <v>4046</v>
      </c>
      <c r="B1157" s="10">
        <v>36526</v>
      </c>
      <c r="C1157" s="10">
        <v>40480</v>
      </c>
      <c r="D1157" s="10" t="s">
        <v>270</v>
      </c>
    </row>
    <row r="1158" spans="1:4" x14ac:dyDescent="0.2">
      <c r="A1158">
        <v>4047</v>
      </c>
      <c r="B1158" s="10">
        <v>36526</v>
      </c>
      <c r="C1158" s="10">
        <v>40480</v>
      </c>
      <c r="D1158" s="10" t="s">
        <v>270</v>
      </c>
    </row>
    <row r="1159" spans="1:4" x14ac:dyDescent="0.2">
      <c r="A1159">
        <v>4048</v>
      </c>
      <c r="B1159" s="10">
        <v>36526</v>
      </c>
      <c r="C1159" s="10">
        <v>40480</v>
      </c>
      <c r="D1159" s="10" t="s">
        <v>270</v>
      </c>
    </row>
    <row r="1160" spans="1:4" x14ac:dyDescent="0.2">
      <c r="A1160">
        <v>4049</v>
      </c>
      <c r="B1160" s="10">
        <v>36526</v>
      </c>
      <c r="C1160" s="10">
        <v>40480</v>
      </c>
      <c r="D1160" s="10" t="s">
        <v>270</v>
      </c>
    </row>
    <row r="1161" spans="1:4" x14ac:dyDescent="0.2">
      <c r="A1161">
        <v>4050</v>
      </c>
      <c r="B1161" s="10">
        <v>36526</v>
      </c>
      <c r="C1161" s="10">
        <v>40480</v>
      </c>
      <c r="D1161" s="10" t="s">
        <v>270</v>
      </c>
    </row>
    <row r="1162" spans="1:4" x14ac:dyDescent="0.2">
      <c r="A1162">
        <v>4051</v>
      </c>
      <c r="B1162" s="10">
        <v>36526</v>
      </c>
      <c r="C1162" s="10">
        <v>40480</v>
      </c>
      <c r="D1162" s="10" t="s">
        <v>270</v>
      </c>
    </row>
    <row r="1163" spans="1:4" x14ac:dyDescent="0.2">
      <c r="A1163">
        <v>4052</v>
      </c>
      <c r="B1163" s="10">
        <v>36526</v>
      </c>
      <c r="C1163" s="10">
        <v>40480</v>
      </c>
      <c r="D1163" s="10" t="s">
        <v>270</v>
      </c>
    </row>
    <row r="1164" spans="1:4" x14ac:dyDescent="0.2">
      <c r="A1164">
        <v>4053</v>
      </c>
      <c r="B1164" s="10">
        <v>36526</v>
      </c>
      <c r="C1164" s="10">
        <v>40480</v>
      </c>
      <c r="D1164" s="10" t="s">
        <v>270</v>
      </c>
    </row>
    <row r="1165" spans="1:4" x14ac:dyDescent="0.2">
      <c r="A1165">
        <v>4054</v>
      </c>
      <c r="B1165" s="10">
        <v>36526</v>
      </c>
      <c r="C1165" s="10">
        <v>40480</v>
      </c>
      <c r="D1165" s="10" t="s">
        <v>270</v>
      </c>
    </row>
    <row r="1166" spans="1:4" x14ac:dyDescent="0.2">
      <c r="A1166">
        <v>4055</v>
      </c>
      <c r="B1166" s="10">
        <v>36526</v>
      </c>
      <c r="C1166" s="10">
        <v>40480</v>
      </c>
      <c r="D1166" s="10" t="s">
        <v>270</v>
      </c>
    </row>
    <row r="1167" spans="1:4" x14ac:dyDescent="0.2">
      <c r="A1167">
        <v>4056</v>
      </c>
      <c r="B1167" s="10">
        <v>36526</v>
      </c>
      <c r="C1167" s="10">
        <v>40480</v>
      </c>
      <c r="D1167" s="10" t="s">
        <v>270</v>
      </c>
    </row>
    <row r="1168" spans="1:4" x14ac:dyDescent="0.2">
      <c r="A1168">
        <v>4057</v>
      </c>
      <c r="B1168" s="10">
        <v>36526</v>
      </c>
      <c r="C1168" s="10">
        <v>40480</v>
      </c>
      <c r="D1168" s="10" t="s">
        <v>270</v>
      </c>
    </row>
    <row r="1169" spans="1:4" x14ac:dyDescent="0.2">
      <c r="A1169">
        <v>4058</v>
      </c>
      <c r="B1169" s="10">
        <v>36526</v>
      </c>
      <c r="C1169" s="10">
        <v>40480</v>
      </c>
      <c r="D1169" s="10" t="s">
        <v>270</v>
      </c>
    </row>
    <row r="1170" spans="1:4" x14ac:dyDescent="0.2">
      <c r="A1170">
        <v>4059</v>
      </c>
      <c r="B1170" s="10">
        <v>36526</v>
      </c>
      <c r="C1170" s="10">
        <v>40480</v>
      </c>
      <c r="D1170" s="10" t="s">
        <v>270</v>
      </c>
    </row>
    <row r="1171" spans="1:4" x14ac:dyDescent="0.2">
      <c r="A1171">
        <v>4060</v>
      </c>
      <c r="B1171" s="10">
        <v>36526</v>
      </c>
      <c r="C1171" s="10">
        <v>40480</v>
      </c>
      <c r="D1171" s="10" t="s">
        <v>270</v>
      </c>
    </row>
    <row r="1172" spans="1:4" x14ac:dyDescent="0.2">
      <c r="A1172">
        <v>4061</v>
      </c>
      <c r="B1172" s="10">
        <v>219148</v>
      </c>
      <c r="C1172" s="10">
        <v>40483</v>
      </c>
      <c r="D1172" s="10" t="s">
        <v>270</v>
      </c>
    </row>
    <row r="1173" spans="1:4" x14ac:dyDescent="0.2">
      <c r="A1173">
        <v>4067</v>
      </c>
      <c r="B1173" s="10">
        <v>36526</v>
      </c>
      <c r="C1173" s="10">
        <v>40512</v>
      </c>
      <c r="D1173" s="10" t="s">
        <v>538</v>
      </c>
    </row>
    <row r="1174" spans="1:4" x14ac:dyDescent="0.2">
      <c r="A1174">
        <v>4068</v>
      </c>
      <c r="B1174" s="10">
        <v>36526</v>
      </c>
      <c r="C1174" s="10">
        <v>40512</v>
      </c>
      <c r="D1174" s="10" t="s">
        <v>538</v>
      </c>
    </row>
    <row r="1175" spans="1:4" x14ac:dyDescent="0.2">
      <c r="A1175">
        <v>4078</v>
      </c>
      <c r="B1175" s="10">
        <v>36526</v>
      </c>
      <c r="C1175" s="10">
        <v>40512</v>
      </c>
      <c r="D1175" s="10" t="s">
        <v>270</v>
      </c>
    </row>
    <row r="1176" spans="1:4" x14ac:dyDescent="0.2">
      <c r="A1176">
        <v>4079</v>
      </c>
      <c r="B1176" s="10">
        <v>40512</v>
      </c>
      <c r="C1176" s="10">
        <v>40668</v>
      </c>
      <c r="D1176" s="10" t="s">
        <v>539</v>
      </c>
    </row>
    <row r="1177" spans="1:4" x14ac:dyDescent="0.2">
      <c r="A1177">
        <v>4080</v>
      </c>
      <c r="B1177" s="10">
        <v>40527</v>
      </c>
      <c r="C1177" s="10">
        <v>40512</v>
      </c>
      <c r="D1177" s="10" t="s">
        <v>539</v>
      </c>
    </row>
    <row r="1178" spans="1:4" x14ac:dyDescent="0.2">
      <c r="A1178">
        <v>4091</v>
      </c>
      <c r="B1178" s="10">
        <v>219148</v>
      </c>
      <c r="C1178" s="10">
        <v>40491</v>
      </c>
      <c r="D1178" s="10" t="s">
        <v>270</v>
      </c>
    </row>
    <row r="1179" spans="1:4" x14ac:dyDescent="0.2">
      <c r="A1179">
        <v>4096</v>
      </c>
      <c r="B1179" s="10">
        <v>40492</v>
      </c>
      <c r="C1179" s="10">
        <v>40786</v>
      </c>
      <c r="D1179" s="10" t="s">
        <v>539</v>
      </c>
    </row>
    <row r="1180" spans="1:4" x14ac:dyDescent="0.2">
      <c r="A1180">
        <v>4097</v>
      </c>
      <c r="B1180" s="10">
        <v>219148</v>
      </c>
      <c r="C1180" s="10">
        <v>40499</v>
      </c>
      <c r="D1180" s="10" t="s">
        <v>270</v>
      </c>
    </row>
    <row r="1181" spans="1:4" x14ac:dyDescent="0.2">
      <c r="A1181">
        <v>4098</v>
      </c>
      <c r="B1181" s="10">
        <v>219148</v>
      </c>
      <c r="C1181" s="10">
        <v>40492</v>
      </c>
      <c r="D1181" s="10" t="s">
        <v>270</v>
      </c>
    </row>
    <row r="1182" spans="1:4" x14ac:dyDescent="0.2">
      <c r="A1182">
        <v>4099</v>
      </c>
      <c r="B1182" s="10">
        <v>36526</v>
      </c>
      <c r="C1182" s="10">
        <v>40492</v>
      </c>
      <c r="D1182" s="10" t="s">
        <v>538</v>
      </c>
    </row>
    <row r="1183" spans="1:4" x14ac:dyDescent="0.2">
      <c r="A1183">
        <v>4100</v>
      </c>
      <c r="B1183" s="10">
        <v>36526</v>
      </c>
      <c r="C1183" s="10">
        <v>40492</v>
      </c>
      <c r="D1183" s="10" t="s">
        <v>538</v>
      </c>
    </row>
    <row r="1184" spans="1:4" x14ac:dyDescent="0.2">
      <c r="A1184">
        <v>4101</v>
      </c>
      <c r="B1184" s="10">
        <v>36526</v>
      </c>
      <c r="C1184" s="10">
        <v>40492</v>
      </c>
      <c r="D1184" s="10" t="s">
        <v>538</v>
      </c>
    </row>
    <row r="1185" spans="1:4" x14ac:dyDescent="0.2">
      <c r="A1185">
        <v>4102</v>
      </c>
      <c r="B1185" s="10">
        <v>36526</v>
      </c>
      <c r="C1185" s="10">
        <v>40492</v>
      </c>
      <c r="D1185" s="10" t="s">
        <v>538</v>
      </c>
    </row>
    <row r="1186" spans="1:4" x14ac:dyDescent="0.2">
      <c r="A1186">
        <v>4103</v>
      </c>
      <c r="B1186" s="10">
        <v>36526</v>
      </c>
      <c r="C1186" s="10">
        <v>40492</v>
      </c>
      <c r="D1186" s="10" t="s">
        <v>538</v>
      </c>
    </row>
    <row r="1187" spans="1:4" x14ac:dyDescent="0.2">
      <c r="A1187">
        <v>4104</v>
      </c>
      <c r="B1187" s="10">
        <v>36526</v>
      </c>
      <c r="C1187" s="10">
        <v>40494</v>
      </c>
      <c r="D1187" s="10" t="s">
        <v>270</v>
      </c>
    </row>
    <row r="1188" spans="1:4" x14ac:dyDescent="0.2">
      <c r="A1188">
        <v>4107</v>
      </c>
      <c r="B1188" s="10">
        <v>36526</v>
      </c>
      <c r="C1188" s="10">
        <v>40512</v>
      </c>
      <c r="D1188" s="10" t="s">
        <v>538</v>
      </c>
    </row>
    <row r="1189" spans="1:4" x14ac:dyDescent="0.2">
      <c r="A1189">
        <v>4108</v>
      </c>
      <c r="B1189" s="10">
        <v>36526</v>
      </c>
      <c r="C1189" s="10">
        <v>40512</v>
      </c>
      <c r="D1189" s="10" t="s">
        <v>538</v>
      </c>
    </row>
    <row r="1190" spans="1:4" x14ac:dyDescent="0.2">
      <c r="A1190">
        <v>4109</v>
      </c>
      <c r="B1190" s="10">
        <v>36526</v>
      </c>
      <c r="C1190" s="10">
        <v>40512</v>
      </c>
      <c r="D1190" s="10" t="s">
        <v>538</v>
      </c>
    </row>
    <row r="1191" spans="1:4" x14ac:dyDescent="0.2">
      <c r="A1191">
        <v>4110</v>
      </c>
      <c r="B1191" s="10">
        <v>36526</v>
      </c>
      <c r="C1191" s="10">
        <v>40512</v>
      </c>
      <c r="D1191" s="10" t="s">
        <v>538</v>
      </c>
    </row>
    <row r="1192" spans="1:4" x14ac:dyDescent="0.2">
      <c r="A1192">
        <v>4111</v>
      </c>
      <c r="B1192" s="10">
        <v>36526</v>
      </c>
      <c r="C1192" s="10">
        <v>40512</v>
      </c>
      <c r="D1192" s="10" t="s">
        <v>538</v>
      </c>
    </row>
    <row r="1193" spans="1:4" x14ac:dyDescent="0.2">
      <c r="A1193">
        <v>4112</v>
      </c>
      <c r="B1193" s="10">
        <v>40493</v>
      </c>
      <c r="C1193" s="10">
        <v>40512</v>
      </c>
      <c r="D1193" s="10" t="s">
        <v>539</v>
      </c>
    </row>
    <row r="1194" spans="1:4" x14ac:dyDescent="0.2">
      <c r="A1194">
        <v>4114</v>
      </c>
      <c r="B1194" s="10">
        <v>219148</v>
      </c>
      <c r="C1194" s="10">
        <v>40494</v>
      </c>
      <c r="D1194" s="10" t="s">
        <v>270</v>
      </c>
    </row>
    <row r="1195" spans="1:4" x14ac:dyDescent="0.2">
      <c r="A1195">
        <v>4116</v>
      </c>
      <c r="B1195" s="10">
        <v>36526</v>
      </c>
      <c r="C1195" s="10">
        <v>40512</v>
      </c>
      <c r="D1195" s="10" t="s">
        <v>538</v>
      </c>
    </row>
    <row r="1196" spans="1:4" x14ac:dyDescent="0.2">
      <c r="A1196">
        <v>4117</v>
      </c>
      <c r="B1196" s="10">
        <v>36526</v>
      </c>
      <c r="C1196" s="10">
        <v>40512</v>
      </c>
      <c r="D1196" s="10" t="s">
        <v>538</v>
      </c>
    </row>
    <row r="1197" spans="1:4" x14ac:dyDescent="0.2">
      <c r="A1197">
        <v>4118</v>
      </c>
      <c r="B1197" s="10">
        <v>36526</v>
      </c>
      <c r="C1197" s="10">
        <v>40494</v>
      </c>
      <c r="D1197" s="10" t="s">
        <v>538</v>
      </c>
    </row>
    <row r="1198" spans="1:4" x14ac:dyDescent="0.2">
      <c r="A1198">
        <v>4119</v>
      </c>
      <c r="B1198" s="10">
        <v>36526</v>
      </c>
      <c r="C1198" s="10">
        <v>40494</v>
      </c>
      <c r="D1198" s="10" t="s">
        <v>538</v>
      </c>
    </row>
    <row r="1199" spans="1:4" x14ac:dyDescent="0.2">
      <c r="A1199">
        <v>4125</v>
      </c>
      <c r="B1199" s="10">
        <v>40537</v>
      </c>
      <c r="C1199" s="10">
        <v>40753</v>
      </c>
      <c r="D1199" s="10" t="s">
        <v>539</v>
      </c>
    </row>
    <row r="1200" spans="1:4" x14ac:dyDescent="0.2">
      <c r="A1200">
        <v>4126</v>
      </c>
      <c r="B1200" s="10">
        <v>219148</v>
      </c>
      <c r="C1200" s="10">
        <v>40497</v>
      </c>
      <c r="D1200" s="10" t="s">
        <v>270</v>
      </c>
    </row>
    <row r="1201" spans="1:4" x14ac:dyDescent="0.2">
      <c r="A1201">
        <v>4130</v>
      </c>
      <c r="B1201" s="10">
        <v>219148</v>
      </c>
      <c r="C1201" s="10">
        <v>40497</v>
      </c>
      <c r="D1201" s="10" t="s">
        <v>270</v>
      </c>
    </row>
    <row r="1202" spans="1:4" x14ac:dyDescent="0.2">
      <c r="A1202">
        <v>4134</v>
      </c>
      <c r="B1202" s="10">
        <v>36526</v>
      </c>
      <c r="C1202" s="10">
        <v>40498</v>
      </c>
      <c r="D1202" s="10" t="s">
        <v>270</v>
      </c>
    </row>
    <row r="1203" spans="1:4" x14ac:dyDescent="0.2">
      <c r="A1203">
        <v>4135</v>
      </c>
      <c r="B1203" s="10">
        <v>219148</v>
      </c>
      <c r="C1203" s="10">
        <v>40498</v>
      </c>
      <c r="D1203" s="10" t="s">
        <v>270</v>
      </c>
    </row>
    <row r="1204" spans="1:4" x14ac:dyDescent="0.2">
      <c r="A1204">
        <v>4136</v>
      </c>
      <c r="B1204" s="10">
        <v>36526</v>
      </c>
      <c r="C1204" s="10">
        <v>40518</v>
      </c>
      <c r="D1204" s="10" t="s">
        <v>270</v>
      </c>
    </row>
    <row r="1205" spans="1:4" x14ac:dyDescent="0.2">
      <c r="A1205">
        <v>4137</v>
      </c>
      <c r="B1205" s="10">
        <v>36526</v>
      </c>
      <c r="C1205" s="10">
        <v>40498</v>
      </c>
      <c r="D1205" s="10" t="s">
        <v>538</v>
      </c>
    </row>
    <row r="1206" spans="1:4" x14ac:dyDescent="0.2">
      <c r="A1206">
        <v>4138</v>
      </c>
      <c r="B1206" s="10">
        <v>36526</v>
      </c>
      <c r="C1206" s="10">
        <v>40498</v>
      </c>
      <c r="D1206" s="10" t="s">
        <v>538</v>
      </c>
    </row>
    <row r="1207" spans="1:4" x14ac:dyDescent="0.2">
      <c r="A1207">
        <v>4139</v>
      </c>
      <c r="B1207" s="10">
        <v>36526</v>
      </c>
      <c r="C1207" s="10">
        <v>40498</v>
      </c>
      <c r="D1207" s="10" t="s">
        <v>538</v>
      </c>
    </row>
    <row r="1208" spans="1:4" x14ac:dyDescent="0.2">
      <c r="A1208">
        <v>4140</v>
      </c>
      <c r="B1208" s="10">
        <v>36526</v>
      </c>
      <c r="C1208" s="10">
        <v>40498</v>
      </c>
      <c r="D1208" s="10" t="s">
        <v>538</v>
      </c>
    </row>
    <row r="1209" spans="1:4" x14ac:dyDescent="0.2">
      <c r="A1209">
        <v>4141</v>
      </c>
      <c r="B1209" s="10">
        <v>36526</v>
      </c>
      <c r="C1209" s="10">
        <v>40498</v>
      </c>
      <c r="D1209" s="10" t="s">
        <v>538</v>
      </c>
    </row>
    <row r="1210" spans="1:4" x14ac:dyDescent="0.2">
      <c r="A1210">
        <v>4142</v>
      </c>
      <c r="B1210" s="10">
        <v>40528</v>
      </c>
      <c r="C1210" s="10">
        <v>40753</v>
      </c>
      <c r="D1210" s="10" t="s">
        <v>539</v>
      </c>
    </row>
    <row r="1211" spans="1:4" x14ac:dyDescent="0.2">
      <c r="A1211">
        <v>4143</v>
      </c>
      <c r="B1211" s="10">
        <v>40528</v>
      </c>
      <c r="C1211" s="10">
        <v>40753</v>
      </c>
      <c r="D1211" s="10" t="s">
        <v>539</v>
      </c>
    </row>
    <row r="1212" spans="1:4" x14ac:dyDescent="0.2">
      <c r="A1212">
        <v>4144</v>
      </c>
      <c r="B1212" s="10">
        <v>219148</v>
      </c>
      <c r="C1212" s="10">
        <v>40499</v>
      </c>
      <c r="D1212" s="10" t="s">
        <v>270</v>
      </c>
    </row>
    <row r="1213" spans="1:4" x14ac:dyDescent="0.2">
      <c r="A1213">
        <v>4145</v>
      </c>
      <c r="B1213" s="10">
        <v>36526</v>
      </c>
      <c r="C1213" s="10">
        <v>40499</v>
      </c>
      <c r="D1213" s="10" t="s">
        <v>270</v>
      </c>
    </row>
    <row r="1214" spans="1:4" x14ac:dyDescent="0.2">
      <c r="A1214">
        <v>4152</v>
      </c>
      <c r="B1214" s="10">
        <v>36526</v>
      </c>
      <c r="C1214" s="10">
        <v>40500</v>
      </c>
      <c r="D1214" s="10" t="s">
        <v>538</v>
      </c>
    </row>
    <row r="1215" spans="1:4" x14ac:dyDescent="0.2">
      <c r="A1215">
        <v>4153</v>
      </c>
      <c r="B1215" s="10">
        <v>36526</v>
      </c>
      <c r="C1215" s="10">
        <v>40500</v>
      </c>
      <c r="D1215" s="10" t="s">
        <v>538</v>
      </c>
    </row>
    <row r="1216" spans="1:4" x14ac:dyDescent="0.2">
      <c r="A1216">
        <v>4154</v>
      </c>
      <c r="B1216" s="10">
        <v>36526</v>
      </c>
      <c r="C1216" s="10">
        <v>40500</v>
      </c>
      <c r="D1216" s="10" t="s">
        <v>538</v>
      </c>
    </row>
    <row r="1217" spans="1:4" x14ac:dyDescent="0.2">
      <c r="A1217">
        <v>4156</v>
      </c>
      <c r="B1217" s="10">
        <v>39616</v>
      </c>
      <c r="C1217" s="10">
        <v>40617</v>
      </c>
      <c r="D1217" s="10" t="s">
        <v>539</v>
      </c>
    </row>
    <row r="1218" spans="1:4" x14ac:dyDescent="0.2">
      <c r="A1218">
        <v>4157</v>
      </c>
      <c r="B1218" s="10">
        <v>40021</v>
      </c>
      <c r="C1218" s="10">
        <v>40617</v>
      </c>
      <c r="D1218" s="10" t="s">
        <v>539</v>
      </c>
    </row>
    <row r="1219" spans="1:4" x14ac:dyDescent="0.2">
      <c r="A1219">
        <v>4158</v>
      </c>
      <c r="B1219" s="10">
        <v>39568</v>
      </c>
      <c r="C1219" s="10">
        <v>40617</v>
      </c>
      <c r="D1219" s="10" t="s">
        <v>539</v>
      </c>
    </row>
    <row r="1220" spans="1:4" x14ac:dyDescent="0.2">
      <c r="A1220">
        <v>4159</v>
      </c>
      <c r="B1220" s="10">
        <v>39384</v>
      </c>
      <c r="C1220" s="10">
        <v>40617</v>
      </c>
      <c r="D1220" s="10" t="s">
        <v>539</v>
      </c>
    </row>
    <row r="1221" spans="1:4" x14ac:dyDescent="0.2">
      <c r="A1221">
        <v>4160</v>
      </c>
      <c r="B1221" s="10">
        <v>36526</v>
      </c>
      <c r="C1221" s="10">
        <v>40501</v>
      </c>
      <c r="D1221" s="10" t="s">
        <v>538</v>
      </c>
    </row>
    <row r="1222" spans="1:4" x14ac:dyDescent="0.2">
      <c r="A1222">
        <v>4161</v>
      </c>
      <c r="B1222" s="10">
        <v>36526</v>
      </c>
      <c r="C1222" s="10">
        <v>40501</v>
      </c>
      <c r="D1222" s="10" t="s">
        <v>538</v>
      </c>
    </row>
    <row r="1223" spans="1:4" x14ac:dyDescent="0.2">
      <c r="A1223">
        <v>4167</v>
      </c>
      <c r="B1223" s="10">
        <v>219148</v>
      </c>
      <c r="C1223" s="10">
        <v>40504</v>
      </c>
      <c r="D1223" s="10" t="s">
        <v>270</v>
      </c>
    </row>
    <row r="1224" spans="1:4" x14ac:dyDescent="0.2">
      <c r="A1224">
        <v>4171</v>
      </c>
      <c r="B1224" s="10">
        <v>219148</v>
      </c>
      <c r="C1224" s="10">
        <v>40505</v>
      </c>
      <c r="D1224" s="10" t="s">
        <v>270</v>
      </c>
    </row>
    <row r="1225" spans="1:4" x14ac:dyDescent="0.2">
      <c r="A1225">
        <v>4172</v>
      </c>
      <c r="B1225" s="10">
        <v>40567</v>
      </c>
      <c r="C1225" s="10">
        <v>40512</v>
      </c>
      <c r="D1225" s="10" t="s">
        <v>539</v>
      </c>
    </row>
    <row r="1226" spans="1:4" x14ac:dyDescent="0.2">
      <c r="A1226">
        <v>4173</v>
      </c>
      <c r="B1226" s="10">
        <v>40527</v>
      </c>
      <c r="C1226" s="10">
        <v>40602</v>
      </c>
      <c r="D1226" s="10" t="s">
        <v>269</v>
      </c>
    </row>
    <row r="1227" spans="1:4" x14ac:dyDescent="0.2">
      <c r="A1227">
        <v>4179</v>
      </c>
      <c r="B1227" s="10">
        <v>36526</v>
      </c>
      <c r="C1227" s="10">
        <v>40506</v>
      </c>
      <c r="D1227" s="10" t="s">
        <v>538</v>
      </c>
    </row>
    <row r="1228" spans="1:4" x14ac:dyDescent="0.2">
      <c r="A1228">
        <v>4183</v>
      </c>
      <c r="B1228" s="10">
        <v>40506</v>
      </c>
      <c r="C1228" s="10">
        <v>40543</v>
      </c>
      <c r="D1228" s="10" t="s">
        <v>539</v>
      </c>
    </row>
    <row r="1229" spans="1:4" x14ac:dyDescent="0.2">
      <c r="A1229">
        <v>4195</v>
      </c>
      <c r="B1229" s="10">
        <v>40528</v>
      </c>
      <c r="C1229" s="10">
        <v>40753</v>
      </c>
      <c r="D1229" s="10" t="s">
        <v>539</v>
      </c>
    </row>
    <row r="1230" spans="1:4" x14ac:dyDescent="0.2">
      <c r="A1230">
        <v>4196</v>
      </c>
      <c r="B1230" s="10">
        <v>40528</v>
      </c>
      <c r="C1230" s="10">
        <v>40753</v>
      </c>
      <c r="D1230" s="10" t="s">
        <v>539</v>
      </c>
    </row>
    <row r="1231" spans="1:4" x14ac:dyDescent="0.2">
      <c r="A1231">
        <v>4197</v>
      </c>
      <c r="B1231" s="10">
        <v>36526</v>
      </c>
      <c r="C1231" s="10">
        <v>40508</v>
      </c>
      <c r="D1231" s="10" t="s">
        <v>538</v>
      </c>
    </row>
    <row r="1232" spans="1:4" x14ac:dyDescent="0.2">
      <c r="A1232">
        <v>4198</v>
      </c>
      <c r="B1232" s="10">
        <v>36526</v>
      </c>
      <c r="C1232" s="10">
        <v>40779</v>
      </c>
      <c r="D1232" s="10" t="s">
        <v>538</v>
      </c>
    </row>
    <row r="1233" spans="1:4" x14ac:dyDescent="0.2">
      <c r="A1233">
        <v>4199</v>
      </c>
      <c r="B1233" s="10">
        <v>36526</v>
      </c>
      <c r="C1233" s="10">
        <v>40561</v>
      </c>
      <c r="D1233" s="10" t="s">
        <v>538</v>
      </c>
    </row>
    <row r="1234" spans="1:4" x14ac:dyDescent="0.2">
      <c r="A1234">
        <v>4200</v>
      </c>
      <c r="B1234" s="10">
        <v>36526</v>
      </c>
      <c r="C1234" s="10">
        <v>40508</v>
      </c>
      <c r="D1234" s="10" t="s">
        <v>538</v>
      </c>
    </row>
    <row r="1235" spans="1:4" x14ac:dyDescent="0.2">
      <c r="A1235">
        <v>4201</v>
      </c>
      <c r="B1235" s="10">
        <v>36526</v>
      </c>
      <c r="C1235" s="10">
        <v>40508</v>
      </c>
      <c r="D1235" s="10" t="s">
        <v>538</v>
      </c>
    </row>
    <row r="1236" spans="1:4" x14ac:dyDescent="0.2">
      <c r="A1236">
        <v>4202</v>
      </c>
      <c r="B1236" s="10">
        <v>36526</v>
      </c>
      <c r="C1236" s="10">
        <v>40508</v>
      </c>
      <c r="D1236" s="10" t="s">
        <v>538</v>
      </c>
    </row>
    <row r="1237" spans="1:4" x14ac:dyDescent="0.2">
      <c r="A1237">
        <v>4203</v>
      </c>
      <c r="B1237" s="10">
        <v>219148</v>
      </c>
      <c r="C1237" s="10">
        <v>40508</v>
      </c>
      <c r="D1237" s="10" t="s">
        <v>270</v>
      </c>
    </row>
    <row r="1238" spans="1:4" x14ac:dyDescent="0.2">
      <c r="A1238">
        <v>4209</v>
      </c>
      <c r="B1238" s="10">
        <v>40511</v>
      </c>
      <c r="C1238" s="10">
        <v>40816</v>
      </c>
      <c r="D1238" s="10" t="s">
        <v>539</v>
      </c>
    </row>
    <row r="1239" spans="1:4" x14ac:dyDescent="0.2">
      <c r="A1239">
        <v>4212</v>
      </c>
      <c r="B1239" s="10">
        <v>36526</v>
      </c>
      <c r="C1239" s="10">
        <v>40511</v>
      </c>
      <c r="D1239" s="10" t="s">
        <v>538</v>
      </c>
    </row>
    <row r="1240" spans="1:4" x14ac:dyDescent="0.2">
      <c r="A1240">
        <v>4213</v>
      </c>
      <c r="B1240" s="10">
        <v>36526</v>
      </c>
      <c r="C1240" s="10">
        <v>40511</v>
      </c>
      <c r="D1240" s="10" t="s">
        <v>538</v>
      </c>
    </row>
    <row r="1241" spans="1:4" x14ac:dyDescent="0.2">
      <c r="A1241">
        <v>4214</v>
      </c>
      <c r="B1241" s="10">
        <v>36526</v>
      </c>
      <c r="C1241" s="10">
        <v>40511</v>
      </c>
      <c r="D1241" s="10" t="s">
        <v>538</v>
      </c>
    </row>
    <row r="1242" spans="1:4" x14ac:dyDescent="0.2">
      <c r="A1242">
        <v>4215</v>
      </c>
      <c r="B1242" s="10">
        <v>36526</v>
      </c>
      <c r="C1242" s="10">
        <v>40511</v>
      </c>
      <c r="D1242" s="10" t="s">
        <v>538</v>
      </c>
    </row>
    <row r="1243" spans="1:4" x14ac:dyDescent="0.2">
      <c r="A1243">
        <v>4216</v>
      </c>
      <c r="B1243" s="10">
        <v>36526</v>
      </c>
      <c r="C1243" s="10">
        <v>40519</v>
      </c>
      <c r="D1243" s="10" t="s">
        <v>270</v>
      </c>
    </row>
    <row r="1244" spans="1:4" x14ac:dyDescent="0.2">
      <c r="A1244">
        <v>4217</v>
      </c>
      <c r="B1244" s="10">
        <v>219148</v>
      </c>
      <c r="C1244" s="10">
        <v>40512</v>
      </c>
      <c r="D1244" s="10" t="s">
        <v>270</v>
      </c>
    </row>
    <row r="1245" spans="1:4" x14ac:dyDescent="0.2">
      <c r="A1245">
        <v>4227</v>
      </c>
      <c r="B1245" s="10">
        <v>36526</v>
      </c>
      <c r="C1245" s="10">
        <v>40512</v>
      </c>
      <c r="D1245" s="10" t="s">
        <v>270</v>
      </c>
    </row>
    <row r="1246" spans="1:4" x14ac:dyDescent="0.2">
      <c r="A1246">
        <v>4230</v>
      </c>
      <c r="B1246" s="10">
        <v>36526</v>
      </c>
      <c r="C1246" s="10">
        <v>40527</v>
      </c>
      <c r="D1246" s="10" t="s">
        <v>270</v>
      </c>
    </row>
    <row r="1247" spans="1:4" x14ac:dyDescent="0.2">
      <c r="A1247">
        <v>4232</v>
      </c>
      <c r="B1247" s="10">
        <v>36526</v>
      </c>
      <c r="C1247" s="10">
        <v>40512</v>
      </c>
      <c r="D1247" s="10" t="s">
        <v>270</v>
      </c>
    </row>
    <row r="1248" spans="1:4" x14ac:dyDescent="0.2">
      <c r="A1248">
        <v>4233</v>
      </c>
      <c r="B1248" s="10">
        <v>36526</v>
      </c>
      <c r="C1248" s="10">
        <v>40512</v>
      </c>
      <c r="D1248" s="10" t="s">
        <v>270</v>
      </c>
    </row>
    <row r="1249" spans="1:4" x14ac:dyDescent="0.2">
      <c r="A1249">
        <v>4234</v>
      </c>
      <c r="B1249" s="10">
        <v>36526</v>
      </c>
      <c r="C1249" s="10">
        <v>40512</v>
      </c>
      <c r="D1249" s="10" t="s">
        <v>270</v>
      </c>
    </row>
    <row r="1250" spans="1:4" x14ac:dyDescent="0.2">
      <c r="A1250">
        <v>4236</v>
      </c>
      <c r="B1250" s="10">
        <v>40514</v>
      </c>
      <c r="C1250" s="10">
        <v>40724</v>
      </c>
      <c r="D1250" s="10" t="s">
        <v>539</v>
      </c>
    </row>
    <row r="1251" spans="1:4" x14ac:dyDescent="0.2">
      <c r="A1251">
        <v>4238</v>
      </c>
      <c r="B1251" s="10">
        <v>36526</v>
      </c>
      <c r="C1251" s="10">
        <v>40514</v>
      </c>
      <c r="D1251" s="10" t="s">
        <v>538</v>
      </c>
    </row>
    <row r="1252" spans="1:4" x14ac:dyDescent="0.2">
      <c r="A1252">
        <v>4239</v>
      </c>
      <c r="B1252" s="10">
        <v>36526</v>
      </c>
      <c r="C1252" s="10">
        <v>40514</v>
      </c>
      <c r="D1252" s="10" t="s">
        <v>538</v>
      </c>
    </row>
    <row r="1253" spans="1:4" x14ac:dyDescent="0.2">
      <c r="A1253">
        <v>4240</v>
      </c>
      <c r="B1253" s="10">
        <v>36526</v>
      </c>
      <c r="C1253" s="10">
        <v>40514</v>
      </c>
      <c r="D1253" s="10" t="s">
        <v>538</v>
      </c>
    </row>
    <row r="1254" spans="1:4" x14ac:dyDescent="0.2">
      <c r="A1254">
        <v>4241</v>
      </c>
      <c r="B1254" s="10">
        <v>36526</v>
      </c>
      <c r="C1254" s="10">
        <v>40543</v>
      </c>
      <c r="D1254" s="10" t="s">
        <v>538</v>
      </c>
    </row>
    <row r="1255" spans="1:4" x14ac:dyDescent="0.2">
      <c r="A1255">
        <v>4242</v>
      </c>
      <c r="B1255" s="10">
        <v>36526</v>
      </c>
      <c r="C1255" s="10">
        <v>40515</v>
      </c>
      <c r="D1255" s="10" t="s">
        <v>538</v>
      </c>
    </row>
    <row r="1256" spans="1:4" x14ac:dyDescent="0.2">
      <c r="A1256">
        <v>4243</v>
      </c>
      <c r="B1256" s="10">
        <v>36526</v>
      </c>
      <c r="C1256" s="10">
        <v>40543</v>
      </c>
      <c r="D1256" s="10" t="s">
        <v>538</v>
      </c>
    </row>
    <row r="1257" spans="1:4" x14ac:dyDescent="0.2">
      <c r="A1257">
        <v>4247</v>
      </c>
      <c r="B1257" s="10">
        <v>40540</v>
      </c>
      <c r="C1257" s="10">
        <v>40543</v>
      </c>
      <c r="D1257" s="10" t="s">
        <v>539</v>
      </c>
    </row>
    <row r="1258" spans="1:4" x14ac:dyDescent="0.2">
      <c r="A1258">
        <v>4251</v>
      </c>
      <c r="B1258" s="10">
        <v>36526</v>
      </c>
      <c r="C1258" s="10">
        <v>40519</v>
      </c>
      <c r="D1258" s="10" t="s">
        <v>538</v>
      </c>
    </row>
    <row r="1259" spans="1:4" x14ac:dyDescent="0.2">
      <c r="A1259">
        <v>4253</v>
      </c>
      <c r="B1259" s="10">
        <v>36526</v>
      </c>
      <c r="C1259" s="10">
        <v>40522</v>
      </c>
      <c r="D1259" s="10" t="s">
        <v>270</v>
      </c>
    </row>
    <row r="1260" spans="1:4" x14ac:dyDescent="0.2">
      <c r="A1260">
        <v>4254</v>
      </c>
      <c r="B1260" s="10">
        <v>219148</v>
      </c>
      <c r="C1260" s="10">
        <v>40519</v>
      </c>
      <c r="D1260" s="10" t="s">
        <v>270</v>
      </c>
    </row>
    <row r="1261" spans="1:4" x14ac:dyDescent="0.2">
      <c r="A1261">
        <v>4257</v>
      </c>
      <c r="B1261" s="10">
        <v>36526</v>
      </c>
      <c r="C1261" s="10">
        <v>40520</v>
      </c>
      <c r="D1261" s="10" t="s">
        <v>538</v>
      </c>
    </row>
    <row r="1262" spans="1:4" x14ac:dyDescent="0.2">
      <c r="A1262">
        <v>4258</v>
      </c>
      <c r="B1262" s="10">
        <v>36526</v>
      </c>
      <c r="C1262" s="10">
        <v>40520</v>
      </c>
      <c r="D1262" s="10" t="s">
        <v>538</v>
      </c>
    </row>
    <row r="1263" spans="1:4" x14ac:dyDescent="0.2">
      <c r="A1263">
        <v>4259</v>
      </c>
      <c r="B1263" s="10">
        <v>36526</v>
      </c>
      <c r="C1263" s="10">
        <v>40520</v>
      </c>
      <c r="D1263" s="10" t="s">
        <v>538</v>
      </c>
    </row>
    <row r="1264" spans="1:4" x14ac:dyDescent="0.2">
      <c r="A1264">
        <v>4261</v>
      </c>
      <c r="B1264" s="10">
        <v>36526</v>
      </c>
      <c r="C1264" s="10">
        <v>40520</v>
      </c>
      <c r="D1264" s="10" t="s">
        <v>538</v>
      </c>
    </row>
    <row r="1265" spans="1:4" x14ac:dyDescent="0.2">
      <c r="A1265">
        <v>4262</v>
      </c>
      <c r="B1265" s="10">
        <v>36526</v>
      </c>
      <c r="C1265" s="10">
        <v>40520</v>
      </c>
      <c r="D1265" s="10" t="s">
        <v>538</v>
      </c>
    </row>
    <row r="1266" spans="1:4" x14ac:dyDescent="0.2">
      <c r="A1266">
        <v>4263</v>
      </c>
      <c r="B1266" s="10">
        <v>36526</v>
      </c>
      <c r="C1266" s="10">
        <v>40520</v>
      </c>
      <c r="D1266" s="10" t="s">
        <v>538</v>
      </c>
    </row>
    <row r="1267" spans="1:4" x14ac:dyDescent="0.2">
      <c r="A1267">
        <v>4264</v>
      </c>
      <c r="B1267" s="10">
        <v>36526</v>
      </c>
      <c r="C1267" s="10">
        <v>40520</v>
      </c>
      <c r="D1267" s="10" t="s">
        <v>538</v>
      </c>
    </row>
    <row r="1268" spans="1:4" x14ac:dyDescent="0.2">
      <c r="A1268">
        <v>4276</v>
      </c>
      <c r="B1268" s="10">
        <v>36526</v>
      </c>
      <c r="C1268" s="10">
        <v>40525</v>
      </c>
      <c r="D1268" s="10" t="s">
        <v>270</v>
      </c>
    </row>
    <row r="1269" spans="1:4" x14ac:dyDescent="0.2">
      <c r="A1269">
        <v>4277</v>
      </c>
      <c r="B1269" s="10">
        <v>36526</v>
      </c>
      <c r="C1269" s="10">
        <v>40525</v>
      </c>
      <c r="D1269" s="10" t="s">
        <v>270</v>
      </c>
    </row>
    <row r="1270" spans="1:4" x14ac:dyDescent="0.2">
      <c r="A1270">
        <v>4278</v>
      </c>
      <c r="B1270" s="10">
        <v>36526</v>
      </c>
      <c r="C1270" s="10">
        <v>40529</v>
      </c>
      <c r="D1270" s="10" t="s">
        <v>270</v>
      </c>
    </row>
    <row r="1271" spans="1:4" x14ac:dyDescent="0.2">
      <c r="A1271">
        <v>4279</v>
      </c>
      <c r="B1271" s="10">
        <v>219148</v>
      </c>
      <c r="C1271" s="10">
        <v>40522</v>
      </c>
      <c r="D1271" s="10" t="s">
        <v>270</v>
      </c>
    </row>
    <row r="1272" spans="1:4" x14ac:dyDescent="0.2">
      <c r="A1272">
        <v>4286</v>
      </c>
      <c r="B1272" s="10">
        <v>219148</v>
      </c>
      <c r="C1272" s="10">
        <v>40525</v>
      </c>
      <c r="D1272" s="10" t="s">
        <v>270</v>
      </c>
    </row>
    <row r="1273" spans="1:4" x14ac:dyDescent="0.2">
      <c r="A1273">
        <v>4294</v>
      </c>
      <c r="B1273" s="10">
        <v>40526</v>
      </c>
      <c r="C1273" s="10">
        <v>40816</v>
      </c>
      <c r="D1273" s="10" t="s">
        <v>539</v>
      </c>
    </row>
    <row r="1274" spans="1:4" x14ac:dyDescent="0.2">
      <c r="A1274">
        <v>4299</v>
      </c>
      <c r="B1274" s="10">
        <v>40587</v>
      </c>
      <c r="C1274" s="10">
        <v>40543</v>
      </c>
      <c r="D1274" s="10" t="s">
        <v>539</v>
      </c>
    </row>
    <row r="1275" spans="1:4" x14ac:dyDescent="0.2">
      <c r="A1275">
        <v>4303</v>
      </c>
      <c r="B1275" s="10">
        <v>36526</v>
      </c>
      <c r="C1275" s="10">
        <v>40527</v>
      </c>
      <c r="D1275" s="10" t="s">
        <v>538</v>
      </c>
    </row>
    <row r="1276" spans="1:4" x14ac:dyDescent="0.2">
      <c r="A1276">
        <v>4304</v>
      </c>
      <c r="B1276" s="10">
        <v>36526</v>
      </c>
      <c r="C1276" s="10">
        <v>40527</v>
      </c>
      <c r="D1276" s="10" t="s">
        <v>538</v>
      </c>
    </row>
    <row r="1277" spans="1:4" x14ac:dyDescent="0.2">
      <c r="A1277">
        <v>4305</v>
      </c>
      <c r="B1277" s="10">
        <v>36526</v>
      </c>
      <c r="C1277" s="10">
        <v>40527</v>
      </c>
      <c r="D1277" s="10" t="s">
        <v>538</v>
      </c>
    </row>
    <row r="1278" spans="1:4" x14ac:dyDescent="0.2">
      <c r="A1278">
        <v>4309</v>
      </c>
      <c r="B1278" s="10">
        <v>36526</v>
      </c>
      <c r="C1278" s="10">
        <v>40532</v>
      </c>
      <c r="D1278" s="10" t="s">
        <v>270</v>
      </c>
    </row>
    <row r="1279" spans="1:4" x14ac:dyDescent="0.2">
      <c r="A1279">
        <v>4310</v>
      </c>
      <c r="B1279" s="10">
        <v>36526</v>
      </c>
      <c r="C1279" s="10">
        <v>40532</v>
      </c>
      <c r="D1279" s="10" t="s">
        <v>270</v>
      </c>
    </row>
    <row r="1280" spans="1:4" x14ac:dyDescent="0.2">
      <c r="A1280">
        <v>4314</v>
      </c>
      <c r="B1280" s="10">
        <v>40529</v>
      </c>
      <c r="C1280" s="10">
        <v>40543</v>
      </c>
      <c r="D1280" s="10" t="s">
        <v>539</v>
      </c>
    </row>
    <row r="1281" spans="1:4" x14ac:dyDescent="0.2">
      <c r="A1281">
        <v>4320</v>
      </c>
      <c r="B1281" s="10">
        <v>219148</v>
      </c>
      <c r="C1281" s="10">
        <v>40533</v>
      </c>
      <c r="D1281" s="10" t="s">
        <v>270</v>
      </c>
    </row>
    <row r="1282" spans="1:4" x14ac:dyDescent="0.2">
      <c r="A1282">
        <v>4322</v>
      </c>
      <c r="B1282" s="10">
        <v>219148</v>
      </c>
      <c r="C1282" s="10">
        <v>40533</v>
      </c>
      <c r="D1282" s="10" t="s">
        <v>270</v>
      </c>
    </row>
    <row r="1283" spans="1:4" x14ac:dyDescent="0.2">
      <c r="A1283">
        <v>4323</v>
      </c>
      <c r="B1283" s="10">
        <v>219148</v>
      </c>
      <c r="C1283" s="10">
        <v>40533</v>
      </c>
      <c r="D1283" s="10" t="s">
        <v>270</v>
      </c>
    </row>
    <row r="1284" spans="1:4" x14ac:dyDescent="0.2">
      <c r="A1284">
        <v>4331</v>
      </c>
      <c r="B1284" s="10">
        <v>40594</v>
      </c>
      <c r="C1284" s="10">
        <v>40543</v>
      </c>
      <c r="D1284" s="10" t="s">
        <v>539</v>
      </c>
    </row>
    <row r="1285" spans="1:4" x14ac:dyDescent="0.2">
      <c r="A1285">
        <v>4332</v>
      </c>
      <c r="B1285" s="10">
        <v>40565</v>
      </c>
      <c r="C1285" s="10">
        <v>40543</v>
      </c>
      <c r="D1285" s="10" t="s">
        <v>539</v>
      </c>
    </row>
    <row r="1286" spans="1:4" x14ac:dyDescent="0.2">
      <c r="A1286">
        <v>4337</v>
      </c>
      <c r="B1286" s="10">
        <v>219148</v>
      </c>
      <c r="C1286" s="10">
        <v>40535</v>
      </c>
      <c r="D1286" s="10" t="s">
        <v>270</v>
      </c>
    </row>
    <row r="1287" spans="1:4" x14ac:dyDescent="0.2">
      <c r="A1287">
        <v>4347</v>
      </c>
      <c r="B1287" s="10">
        <v>40536</v>
      </c>
      <c r="C1287" s="10">
        <v>40869</v>
      </c>
      <c r="D1287" s="10" t="s">
        <v>268</v>
      </c>
    </row>
    <row r="1288" spans="1:4" x14ac:dyDescent="0.2">
      <c r="A1288">
        <v>4351</v>
      </c>
      <c r="B1288" s="10">
        <v>219148</v>
      </c>
      <c r="C1288" s="10">
        <v>40539</v>
      </c>
      <c r="D1288" s="10" t="s">
        <v>270</v>
      </c>
    </row>
    <row r="1289" spans="1:4" x14ac:dyDescent="0.2">
      <c r="A1289">
        <v>4353</v>
      </c>
      <c r="B1289" s="10">
        <v>40539</v>
      </c>
      <c r="C1289" s="10">
        <v>40871</v>
      </c>
      <c r="D1289" s="10" t="s">
        <v>268</v>
      </c>
    </row>
    <row r="1290" spans="1:4" x14ac:dyDescent="0.2">
      <c r="A1290">
        <v>4354</v>
      </c>
      <c r="B1290" s="10">
        <v>219148</v>
      </c>
      <c r="C1290" s="10">
        <v>40539</v>
      </c>
      <c r="D1290" s="10" t="s">
        <v>270</v>
      </c>
    </row>
    <row r="1291" spans="1:4" x14ac:dyDescent="0.2">
      <c r="A1291">
        <v>4358</v>
      </c>
      <c r="B1291" s="10">
        <v>219148</v>
      </c>
      <c r="C1291" s="10">
        <v>40540</v>
      </c>
      <c r="D1291" s="10" t="s">
        <v>270</v>
      </c>
    </row>
    <row r="1292" spans="1:4" x14ac:dyDescent="0.2">
      <c r="A1292">
        <v>4359</v>
      </c>
      <c r="B1292" s="10">
        <v>219148</v>
      </c>
      <c r="C1292" s="10">
        <v>40540</v>
      </c>
      <c r="D1292" s="10" t="s">
        <v>270</v>
      </c>
    </row>
    <row r="1293" spans="1:4" x14ac:dyDescent="0.2">
      <c r="A1293">
        <v>4364</v>
      </c>
      <c r="B1293" s="10">
        <v>219148</v>
      </c>
      <c r="C1293" s="10">
        <v>40541</v>
      </c>
      <c r="D1293" s="10" t="s">
        <v>270</v>
      </c>
    </row>
    <row r="1294" spans="1:4" x14ac:dyDescent="0.2">
      <c r="A1294">
        <v>4366</v>
      </c>
      <c r="B1294" s="10">
        <v>219148</v>
      </c>
      <c r="C1294" s="10">
        <v>40541</v>
      </c>
      <c r="D1294" s="10" t="s">
        <v>270</v>
      </c>
    </row>
    <row r="1295" spans="1:4" x14ac:dyDescent="0.2">
      <c r="A1295">
        <v>4368</v>
      </c>
      <c r="B1295" s="10">
        <v>36526</v>
      </c>
      <c r="C1295" s="10">
        <v>40753</v>
      </c>
      <c r="D1295" s="10" t="s">
        <v>539</v>
      </c>
    </row>
    <row r="1296" spans="1:4" x14ac:dyDescent="0.2">
      <c r="A1296">
        <v>4369</v>
      </c>
      <c r="B1296" s="10">
        <v>219148</v>
      </c>
      <c r="C1296" s="10">
        <v>40541</v>
      </c>
      <c r="D1296" s="10" t="s">
        <v>270</v>
      </c>
    </row>
    <row r="1297" spans="1:4" x14ac:dyDescent="0.2">
      <c r="A1297">
        <v>4373</v>
      </c>
      <c r="B1297" s="10">
        <v>219148</v>
      </c>
      <c r="C1297" s="10">
        <v>40543</v>
      </c>
      <c r="D1297" s="10" t="s">
        <v>270</v>
      </c>
    </row>
    <row r="1298" spans="1:4" x14ac:dyDescent="0.2">
      <c r="A1298">
        <v>4374</v>
      </c>
      <c r="B1298" s="10">
        <v>219148</v>
      </c>
      <c r="C1298" s="10">
        <v>40543</v>
      </c>
      <c r="D1298" s="10" t="s">
        <v>270</v>
      </c>
    </row>
    <row r="1299" spans="1:4" x14ac:dyDescent="0.2">
      <c r="A1299">
        <v>4377</v>
      </c>
      <c r="B1299" s="10">
        <v>219148</v>
      </c>
      <c r="C1299" s="10">
        <v>40543</v>
      </c>
      <c r="D1299" s="10" t="s">
        <v>270</v>
      </c>
    </row>
    <row r="1300" spans="1:4" x14ac:dyDescent="0.2">
      <c r="A1300">
        <v>4383</v>
      </c>
      <c r="B1300" s="10">
        <v>219148</v>
      </c>
      <c r="C1300" s="10">
        <v>40543</v>
      </c>
      <c r="D1300" s="10" t="s">
        <v>270</v>
      </c>
    </row>
    <row r="1301" spans="1:4" x14ac:dyDescent="0.2">
      <c r="A1301">
        <v>4384</v>
      </c>
      <c r="B1301" s="10">
        <v>40543</v>
      </c>
      <c r="C1301" s="10">
        <v>40543</v>
      </c>
      <c r="D1301" s="10" t="s">
        <v>539</v>
      </c>
    </row>
    <row r="1302" spans="1:4" x14ac:dyDescent="0.2">
      <c r="A1302">
        <v>4387</v>
      </c>
      <c r="B1302" s="10">
        <v>219148</v>
      </c>
      <c r="C1302" s="10">
        <v>40555</v>
      </c>
      <c r="D1302" s="10" t="s">
        <v>270</v>
      </c>
    </row>
    <row r="1303" spans="1:4" x14ac:dyDescent="0.2">
      <c r="A1303">
        <v>4391</v>
      </c>
      <c r="B1303" s="10">
        <v>40555</v>
      </c>
      <c r="C1303" s="10">
        <v>40840</v>
      </c>
      <c r="D1303" s="10" t="s">
        <v>539</v>
      </c>
    </row>
    <row r="1304" spans="1:4" x14ac:dyDescent="0.2">
      <c r="A1304">
        <v>4395</v>
      </c>
      <c r="B1304" s="10">
        <v>219148</v>
      </c>
      <c r="C1304" s="10">
        <v>40557</v>
      </c>
      <c r="D1304" s="10" t="s">
        <v>270</v>
      </c>
    </row>
    <row r="1305" spans="1:4" x14ac:dyDescent="0.2">
      <c r="A1305">
        <v>4396</v>
      </c>
      <c r="B1305" s="10">
        <v>40573</v>
      </c>
      <c r="C1305" s="10">
        <v>40662</v>
      </c>
      <c r="D1305" s="10" t="s">
        <v>539</v>
      </c>
    </row>
    <row r="1306" spans="1:4" x14ac:dyDescent="0.2">
      <c r="A1306">
        <v>4397</v>
      </c>
      <c r="B1306" s="10">
        <v>219148</v>
      </c>
      <c r="C1306" s="10">
        <v>40560</v>
      </c>
      <c r="D1306" s="10" t="s">
        <v>270</v>
      </c>
    </row>
    <row r="1307" spans="1:4" x14ac:dyDescent="0.2">
      <c r="A1307">
        <v>4401</v>
      </c>
      <c r="B1307" s="10">
        <v>219148</v>
      </c>
      <c r="C1307" s="10">
        <v>40561</v>
      </c>
      <c r="D1307" s="10" t="s">
        <v>270</v>
      </c>
    </row>
    <row r="1308" spans="1:4" x14ac:dyDescent="0.2">
      <c r="A1308">
        <v>4402</v>
      </c>
      <c r="B1308" s="10">
        <v>219148</v>
      </c>
      <c r="C1308" s="10">
        <v>40561</v>
      </c>
      <c r="D1308" s="10" t="s">
        <v>270</v>
      </c>
    </row>
    <row r="1309" spans="1:4" x14ac:dyDescent="0.2">
      <c r="A1309">
        <v>4403</v>
      </c>
      <c r="B1309" s="10">
        <v>219148</v>
      </c>
      <c r="C1309" s="10">
        <v>40562</v>
      </c>
      <c r="D1309" s="10" t="s">
        <v>270</v>
      </c>
    </row>
    <row r="1310" spans="1:4" x14ac:dyDescent="0.2">
      <c r="A1310">
        <v>4405</v>
      </c>
      <c r="B1310" s="10">
        <v>219148</v>
      </c>
      <c r="C1310" s="10">
        <v>40562</v>
      </c>
      <c r="D1310" s="10" t="s">
        <v>270</v>
      </c>
    </row>
    <row r="1311" spans="1:4" x14ac:dyDescent="0.2">
      <c r="A1311">
        <v>4409</v>
      </c>
      <c r="B1311" s="10">
        <v>219148</v>
      </c>
      <c r="C1311" s="10">
        <v>40563</v>
      </c>
      <c r="D1311" s="10" t="s">
        <v>270</v>
      </c>
    </row>
    <row r="1312" spans="1:4" x14ac:dyDescent="0.2">
      <c r="A1312">
        <v>4411</v>
      </c>
      <c r="B1312" s="10">
        <v>219148</v>
      </c>
      <c r="C1312" s="10">
        <v>40563</v>
      </c>
      <c r="D1312" s="10" t="s">
        <v>270</v>
      </c>
    </row>
    <row r="1313" spans="1:4" x14ac:dyDescent="0.2">
      <c r="A1313">
        <v>4412</v>
      </c>
      <c r="B1313" s="10">
        <v>219148</v>
      </c>
      <c r="C1313" s="10">
        <v>40564</v>
      </c>
      <c r="D1313" s="10" t="s">
        <v>270</v>
      </c>
    </row>
    <row r="1314" spans="1:4" x14ac:dyDescent="0.2">
      <c r="A1314">
        <v>4414</v>
      </c>
      <c r="B1314" s="10">
        <v>219148</v>
      </c>
      <c r="C1314" s="10">
        <v>40564</v>
      </c>
      <c r="D1314" s="10" t="s">
        <v>270</v>
      </c>
    </row>
    <row r="1315" spans="1:4" x14ac:dyDescent="0.2">
      <c r="A1315">
        <v>4418</v>
      </c>
      <c r="B1315" s="10">
        <v>40627</v>
      </c>
      <c r="C1315" s="10">
        <v>40753</v>
      </c>
      <c r="D1315" s="10" t="s">
        <v>539</v>
      </c>
    </row>
    <row r="1316" spans="1:4" x14ac:dyDescent="0.2">
      <c r="A1316">
        <v>4419</v>
      </c>
      <c r="B1316" s="10">
        <v>219148</v>
      </c>
      <c r="C1316" s="10">
        <v>40567</v>
      </c>
      <c r="D1316" s="10" t="s">
        <v>270</v>
      </c>
    </row>
    <row r="1317" spans="1:4" x14ac:dyDescent="0.2">
      <c r="A1317">
        <v>4420</v>
      </c>
      <c r="B1317" s="10">
        <v>40598</v>
      </c>
      <c r="C1317" s="10">
        <v>40574</v>
      </c>
      <c r="D1317" s="10" t="s">
        <v>539</v>
      </c>
    </row>
    <row r="1318" spans="1:4" x14ac:dyDescent="0.2">
      <c r="A1318">
        <v>4421</v>
      </c>
      <c r="B1318" s="10">
        <v>40627</v>
      </c>
      <c r="C1318" s="10">
        <v>40574</v>
      </c>
      <c r="D1318" s="10" t="s">
        <v>539</v>
      </c>
    </row>
    <row r="1319" spans="1:4" x14ac:dyDescent="0.2">
      <c r="A1319">
        <v>4422</v>
      </c>
      <c r="B1319" s="10">
        <v>36526</v>
      </c>
      <c r="C1319" s="10">
        <v>40840</v>
      </c>
      <c r="D1319" s="10" t="s">
        <v>538</v>
      </c>
    </row>
    <row r="1320" spans="1:4" x14ac:dyDescent="0.2">
      <c r="A1320">
        <v>4424</v>
      </c>
      <c r="B1320" s="10">
        <v>219148</v>
      </c>
      <c r="C1320" s="10">
        <v>40567</v>
      </c>
      <c r="D1320" s="10" t="s">
        <v>270</v>
      </c>
    </row>
    <row r="1321" spans="1:4" x14ac:dyDescent="0.2">
      <c r="A1321">
        <v>4425</v>
      </c>
      <c r="B1321" s="10">
        <v>36526</v>
      </c>
      <c r="C1321" s="10">
        <v>40567</v>
      </c>
      <c r="D1321" s="10" t="s">
        <v>538</v>
      </c>
    </row>
    <row r="1322" spans="1:4" x14ac:dyDescent="0.2">
      <c r="A1322">
        <v>4426</v>
      </c>
      <c r="B1322" s="10">
        <v>36526</v>
      </c>
      <c r="C1322" s="10">
        <v>40779</v>
      </c>
      <c r="D1322" s="10" t="s">
        <v>538</v>
      </c>
    </row>
    <row r="1323" spans="1:4" x14ac:dyDescent="0.2">
      <c r="A1323">
        <v>4427</v>
      </c>
      <c r="B1323" s="10">
        <v>36526</v>
      </c>
      <c r="C1323" s="10">
        <v>40779</v>
      </c>
      <c r="D1323" s="10" t="s">
        <v>538</v>
      </c>
    </row>
    <row r="1324" spans="1:4" x14ac:dyDescent="0.2">
      <c r="A1324">
        <v>4431</v>
      </c>
      <c r="B1324" s="10">
        <v>40878</v>
      </c>
      <c r="C1324" s="10">
        <v>40786</v>
      </c>
      <c r="D1324" s="10" t="s">
        <v>273</v>
      </c>
    </row>
    <row r="1325" spans="1:4" x14ac:dyDescent="0.2">
      <c r="A1325">
        <v>4436</v>
      </c>
      <c r="B1325" s="10">
        <v>219148</v>
      </c>
      <c r="C1325" s="10">
        <v>40569</v>
      </c>
      <c r="D1325" s="10" t="s">
        <v>270</v>
      </c>
    </row>
    <row r="1326" spans="1:4" x14ac:dyDescent="0.2">
      <c r="A1326">
        <v>4438</v>
      </c>
      <c r="B1326" s="10">
        <v>219148</v>
      </c>
      <c r="C1326" s="10">
        <v>40570</v>
      </c>
      <c r="D1326" s="10" t="s">
        <v>270</v>
      </c>
    </row>
    <row r="1327" spans="1:4" x14ac:dyDescent="0.2">
      <c r="A1327">
        <v>4445</v>
      </c>
      <c r="B1327" s="10">
        <v>219148</v>
      </c>
      <c r="C1327" s="10">
        <v>40574</v>
      </c>
      <c r="D1327" s="10" t="s">
        <v>270</v>
      </c>
    </row>
    <row r="1328" spans="1:4" x14ac:dyDescent="0.2">
      <c r="A1328">
        <v>4446</v>
      </c>
      <c r="B1328" s="10">
        <v>219148</v>
      </c>
      <c r="C1328" s="10">
        <v>40574</v>
      </c>
      <c r="D1328" s="10" t="s">
        <v>270</v>
      </c>
    </row>
    <row r="1329" spans="1:4" x14ac:dyDescent="0.2">
      <c r="A1329">
        <v>4447</v>
      </c>
      <c r="B1329" s="10">
        <v>219148</v>
      </c>
      <c r="C1329" s="10">
        <v>40574</v>
      </c>
      <c r="D1329" s="10" t="s">
        <v>270</v>
      </c>
    </row>
    <row r="1330" spans="1:4" x14ac:dyDescent="0.2">
      <c r="A1330">
        <v>4449</v>
      </c>
      <c r="B1330" s="10">
        <v>40574</v>
      </c>
      <c r="C1330" s="10">
        <v>40840</v>
      </c>
      <c r="D1330" s="10" t="s">
        <v>539</v>
      </c>
    </row>
    <row r="1331" spans="1:4" x14ac:dyDescent="0.2">
      <c r="A1331">
        <v>4450</v>
      </c>
      <c r="B1331" s="10">
        <v>40268</v>
      </c>
      <c r="C1331" s="10">
        <v>40626</v>
      </c>
      <c r="D1331" s="10" t="s">
        <v>270</v>
      </c>
    </row>
    <row r="1332" spans="1:4" x14ac:dyDescent="0.2">
      <c r="A1332">
        <v>4451</v>
      </c>
      <c r="B1332" s="10">
        <v>40268</v>
      </c>
      <c r="C1332" s="10">
        <v>40626</v>
      </c>
      <c r="D1332" s="10" t="s">
        <v>270</v>
      </c>
    </row>
    <row r="1333" spans="1:4" x14ac:dyDescent="0.2">
      <c r="A1333">
        <v>4452</v>
      </c>
      <c r="B1333" s="10">
        <v>40428</v>
      </c>
      <c r="C1333" s="10">
        <v>40626</v>
      </c>
      <c r="D1333" s="10" t="s">
        <v>270</v>
      </c>
    </row>
    <row r="1334" spans="1:4" x14ac:dyDescent="0.2">
      <c r="A1334">
        <v>4453</v>
      </c>
      <c r="B1334" s="10">
        <v>40515</v>
      </c>
      <c r="C1334" s="10">
        <v>40626</v>
      </c>
      <c r="D1334" s="10" t="s">
        <v>270</v>
      </c>
    </row>
    <row r="1335" spans="1:4" x14ac:dyDescent="0.2">
      <c r="A1335">
        <v>4454</v>
      </c>
      <c r="B1335" s="10">
        <v>40515</v>
      </c>
      <c r="C1335" s="10">
        <v>40626</v>
      </c>
      <c r="D1335" s="10" t="s">
        <v>270</v>
      </c>
    </row>
    <row r="1336" spans="1:4" x14ac:dyDescent="0.2">
      <c r="A1336">
        <v>4455</v>
      </c>
      <c r="B1336" s="10">
        <v>40268</v>
      </c>
      <c r="C1336" s="10">
        <v>40626</v>
      </c>
      <c r="D1336" s="10" t="s">
        <v>270</v>
      </c>
    </row>
    <row r="1337" spans="1:4" x14ac:dyDescent="0.2">
      <c r="A1337">
        <v>4456</v>
      </c>
      <c r="B1337" s="10">
        <v>40268</v>
      </c>
      <c r="C1337" s="10">
        <v>40626</v>
      </c>
      <c r="D1337" s="10" t="s">
        <v>270</v>
      </c>
    </row>
    <row r="1338" spans="1:4" x14ac:dyDescent="0.2">
      <c r="A1338">
        <v>4457</v>
      </c>
      <c r="B1338" s="10">
        <v>40268</v>
      </c>
      <c r="C1338" s="10">
        <v>40626</v>
      </c>
      <c r="D1338" s="10" t="s">
        <v>270</v>
      </c>
    </row>
    <row r="1339" spans="1:4" x14ac:dyDescent="0.2">
      <c r="A1339">
        <v>4458</v>
      </c>
      <c r="B1339" s="10">
        <v>40515</v>
      </c>
      <c r="C1339" s="10">
        <v>40626</v>
      </c>
      <c r="D1339" s="10" t="s">
        <v>270</v>
      </c>
    </row>
    <row r="1340" spans="1:4" x14ac:dyDescent="0.2">
      <c r="A1340">
        <v>4459</v>
      </c>
      <c r="B1340" s="10">
        <v>40515</v>
      </c>
      <c r="C1340" s="10">
        <v>40626</v>
      </c>
      <c r="D1340" s="10" t="s">
        <v>270</v>
      </c>
    </row>
    <row r="1341" spans="1:4" x14ac:dyDescent="0.2">
      <c r="A1341">
        <v>4461</v>
      </c>
      <c r="B1341" s="10">
        <v>36526</v>
      </c>
      <c r="C1341" s="10">
        <v>40592</v>
      </c>
      <c r="D1341" s="10" t="s">
        <v>270</v>
      </c>
    </row>
    <row r="1342" spans="1:4" x14ac:dyDescent="0.2">
      <c r="A1342">
        <v>4464</v>
      </c>
      <c r="B1342" s="10">
        <v>36526</v>
      </c>
      <c r="C1342" s="10">
        <v>40575</v>
      </c>
      <c r="D1342" s="10" t="s">
        <v>270</v>
      </c>
    </row>
    <row r="1343" spans="1:4" x14ac:dyDescent="0.2">
      <c r="A1343">
        <v>4465</v>
      </c>
      <c r="B1343" s="10">
        <v>36526</v>
      </c>
      <c r="C1343" s="10">
        <v>40575</v>
      </c>
      <c r="D1343" s="10" t="s">
        <v>270</v>
      </c>
    </row>
    <row r="1344" spans="1:4" x14ac:dyDescent="0.2">
      <c r="A1344">
        <v>4467</v>
      </c>
      <c r="B1344" s="10">
        <v>36526</v>
      </c>
      <c r="C1344" s="10">
        <v>40575</v>
      </c>
      <c r="D1344" s="10" t="s">
        <v>270</v>
      </c>
    </row>
    <row r="1345" spans="1:4" x14ac:dyDescent="0.2">
      <c r="A1345">
        <v>4468</v>
      </c>
      <c r="B1345" s="10">
        <v>36526</v>
      </c>
      <c r="C1345" s="10">
        <v>40575</v>
      </c>
      <c r="D1345" s="10" t="s">
        <v>270</v>
      </c>
    </row>
    <row r="1346" spans="1:4" x14ac:dyDescent="0.2">
      <c r="A1346">
        <v>4469</v>
      </c>
      <c r="B1346" s="10">
        <v>36526</v>
      </c>
      <c r="C1346" s="10">
        <v>40575</v>
      </c>
      <c r="D1346" s="10" t="s">
        <v>270</v>
      </c>
    </row>
    <row r="1347" spans="1:4" x14ac:dyDescent="0.2">
      <c r="A1347">
        <v>4472</v>
      </c>
      <c r="B1347" s="10">
        <v>40606</v>
      </c>
      <c r="C1347" s="10">
        <v>40602</v>
      </c>
      <c r="D1347" s="10" t="s">
        <v>539</v>
      </c>
    </row>
    <row r="1348" spans="1:4" x14ac:dyDescent="0.2">
      <c r="A1348">
        <v>4474</v>
      </c>
      <c r="B1348" s="10">
        <v>40575</v>
      </c>
      <c r="C1348" s="10">
        <v>40602</v>
      </c>
      <c r="D1348" s="10" t="s">
        <v>539</v>
      </c>
    </row>
    <row r="1349" spans="1:4" x14ac:dyDescent="0.2">
      <c r="A1349">
        <v>4475</v>
      </c>
      <c r="B1349" s="10">
        <v>219148</v>
      </c>
      <c r="C1349" s="10">
        <v>40591</v>
      </c>
      <c r="D1349" s="10" t="s">
        <v>270</v>
      </c>
    </row>
    <row r="1350" spans="1:4" x14ac:dyDescent="0.2">
      <c r="A1350">
        <v>4481</v>
      </c>
      <c r="B1350" s="10">
        <v>36526</v>
      </c>
      <c r="C1350" s="10">
        <v>40694</v>
      </c>
      <c r="D1350" s="10" t="s">
        <v>273</v>
      </c>
    </row>
    <row r="1351" spans="1:4" x14ac:dyDescent="0.2">
      <c r="A1351">
        <v>4485</v>
      </c>
      <c r="B1351" s="10">
        <v>36526</v>
      </c>
      <c r="C1351" s="10">
        <v>40581</v>
      </c>
      <c r="D1351" s="10" t="s">
        <v>538</v>
      </c>
    </row>
    <row r="1352" spans="1:4" x14ac:dyDescent="0.2">
      <c r="A1352">
        <v>4486</v>
      </c>
      <c r="B1352" s="10">
        <v>36526</v>
      </c>
      <c r="C1352" s="10">
        <v>40581</v>
      </c>
      <c r="D1352" s="10" t="s">
        <v>538</v>
      </c>
    </row>
    <row r="1353" spans="1:4" x14ac:dyDescent="0.2">
      <c r="A1353">
        <v>4487</v>
      </c>
      <c r="B1353" s="10">
        <v>36526</v>
      </c>
      <c r="C1353" s="10">
        <v>40840</v>
      </c>
      <c r="D1353" s="10" t="s">
        <v>538</v>
      </c>
    </row>
    <row r="1354" spans="1:4" x14ac:dyDescent="0.2">
      <c r="A1354">
        <v>4491</v>
      </c>
      <c r="B1354" s="10">
        <v>219148</v>
      </c>
      <c r="C1354" s="10">
        <v>40582</v>
      </c>
      <c r="D1354" s="10" t="s">
        <v>270</v>
      </c>
    </row>
    <row r="1355" spans="1:4" x14ac:dyDescent="0.2">
      <c r="A1355">
        <v>4492</v>
      </c>
      <c r="B1355" s="10">
        <v>219148</v>
      </c>
      <c r="C1355" s="10">
        <v>40602</v>
      </c>
      <c r="D1355" s="10" t="s">
        <v>270</v>
      </c>
    </row>
    <row r="1356" spans="1:4" x14ac:dyDescent="0.2">
      <c r="A1356">
        <v>4494</v>
      </c>
      <c r="B1356" s="10">
        <v>219148</v>
      </c>
      <c r="C1356" s="10">
        <v>40583</v>
      </c>
      <c r="D1356" s="10" t="s">
        <v>270</v>
      </c>
    </row>
    <row r="1357" spans="1:4" x14ac:dyDescent="0.2">
      <c r="A1357">
        <v>4496</v>
      </c>
      <c r="B1357" s="10">
        <v>40584</v>
      </c>
      <c r="C1357" s="10">
        <v>40584</v>
      </c>
      <c r="D1357" s="10" t="s">
        <v>274</v>
      </c>
    </row>
    <row r="1358" spans="1:4" x14ac:dyDescent="0.2">
      <c r="A1358">
        <v>4497</v>
      </c>
      <c r="B1358" s="10">
        <v>219148</v>
      </c>
      <c r="C1358" s="10">
        <v>40585</v>
      </c>
      <c r="D1358" s="10" t="s">
        <v>270</v>
      </c>
    </row>
    <row r="1359" spans="1:4" x14ac:dyDescent="0.2">
      <c r="A1359">
        <v>4504</v>
      </c>
      <c r="B1359" s="10">
        <v>40648</v>
      </c>
      <c r="C1359" s="10">
        <v>40602</v>
      </c>
      <c r="D1359" s="10" t="s">
        <v>539</v>
      </c>
    </row>
    <row r="1360" spans="1:4" x14ac:dyDescent="0.2">
      <c r="A1360">
        <v>4507</v>
      </c>
      <c r="B1360" s="10">
        <v>219148</v>
      </c>
      <c r="C1360" s="10">
        <v>40602</v>
      </c>
      <c r="D1360" s="10" t="s">
        <v>270</v>
      </c>
    </row>
    <row r="1361" spans="1:4" x14ac:dyDescent="0.2">
      <c r="A1361">
        <v>4509</v>
      </c>
      <c r="B1361" s="10">
        <v>36526</v>
      </c>
      <c r="C1361" s="10">
        <v>40589</v>
      </c>
      <c r="D1361" s="10" t="s">
        <v>270</v>
      </c>
    </row>
    <row r="1362" spans="1:4" x14ac:dyDescent="0.2">
      <c r="A1362">
        <v>4510</v>
      </c>
      <c r="B1362" s="10">
        <v>219148</v>
      </c>
      <c r="C1362" s="10">
        <v>40602</v>
      </c>
      <c r="D1362" s="10" t="s">
        <v>270</v>
      </c>
    </row>
    <row r="1363" spans="1:4" x14ac:dyDescent="0.2">
      <c r="A1363">
        <v>4511</v>
      </c>
      <c r="B1363" s="10">
        <v>40590</v>
      </c>
      <c r="C1363" s="10">
        <v>40602</v>
      </c>
      <c r="D1363" s="10" t="s">
        <v>539</v>
      </c>
    </row>
    <row r="1364" spans="1:4" x14ac:dyDescent="0.2">
      <c r="A1364">
        <v>4512</v>
      </c>
      <c r="B1364" s="10">
        <v>36526</v>
      </c>
      <c r="C1364" s="10">
        <v>40599</v>
      </c>
      <c r="D1364" s="10" t="s">
        <v>270</v>
      </c>
    </row>
    <row r="1365" spans="1:4" x14ac:dyDescent="0.2">
      <c r="A1365">
        <v>4515</v>
      </c>
      <c r="B1365" s="10">
        <v>219148</v>
      </c>
      <c r="C1365" s="10">
        <v>40602</v>
      </c>
      <c r="D1365" s="10" t="s">
        <v>270</v>
      </c>
    </row>
    <row r="1366" spans="1:4" x14ac:dyDescent="0.2">
      <c r="A1366">
        <v>4518</v>
      </c>
      <c r="B1366" s="10">
        <v>219148</v>
      </c>
      <c r="C1366" s="10">
        <v>40602</v>
      </c>
      <c r="D1366" s="10" t="s">
        <v>270</v>
      </c>
    </row>
    <row r="1367" spans="1:4" x14ac:dyDescent="0.2">
      <c r="A1367">
        <v>4519</v>
      </c>
      <c r="B1367" s="10">
        <v>36526</v>
      </c>
      <c r="C1367" s="10">
        <v>40599</v>
      </c>
      <c r="D1367" s="10" t="s">
        <v>270</v>
      </c>
    </row>
    <row r="1368" spans="1:4" x14ac:dyDescent="0.2">
      <c r="A1368">
        <v>4522</v>
      </c>
      <c r="B1368" s="10">
        <v>36526</v>
      </c>
      <c r="C1368" s="10">
        <v>40596</v>
      </c>
      <c r="D1368" s="10" t="s">
        <v>270</v>
      </c>
    </row>
    <row r="1369" spans="1:4" x14ac:dyDescent="0.2">
      <c r="A1369">
        <v>4523</v>
      </c>
      <c r="B1369" s="10">
        <v>219148</v>
      </c>
      <c r="C1369" s="10">
        <v>40592</v>
      </c>
      <c r="D1369" s="10" t="s">
        <v>270</v>
      </c>
    </row>
    <row r="1370" spans="1:4" x14ac:dyDescent="0.2">
      <c r="A1370">
        <v>4524</v>
      </c>
      <c r="B1370" s="10">
        <v>219148</v>
      </c>
      <c r="C1370" s="10">
        <v>40592</v>
      </c>
      <c r="D1370" s="10" t="s">
        <v>270</v>
      </c>
    </row>
    <row r="1371" spans="1:4" x14ac:dyDescent="0.2">
      <c r="A1371">
        <v>4525</v>
      </c>
      <c r="B1371" s="10">
        <v>219148</v>
      </c>
      <c r="C1371" s="10">
        <v>40592</v>
      </c>
      <c r="D1371" s="10" t="s">
        <v>270</v>
      </c>
    </row>
    <row r="1372" spans="1:4" x14ac:dyDescent="0.2">
      <c r="A1372">
        <v>4526</v>
      </c>
      <c r="B1372" s="10">
        <v>219148</v>
      </c>
      <c r="C1372" s="10">
        <v>40592</v>
      </c>
      <c r="D1372" s="10" t="s">
        <v>270</v>
      </c>
    </row>
    <row r="1373" spans="1:4" x14ac:dyDescent="0.2">
      <c r="A1373">
        <v>4527</v>
      </c>
      <c r="B1373" s="10">
        <v>219148</v>
      </c>
      <c r="C1373" s="10">
        <v>40592</v>
      </c>
      <c r="D1373" s="10" t="s">
        <v>270</v>
      </c>
    </row>
    <row r="1374" spans="1:4" x14ac:dyDescent="0.2">
      <c r="A1374">
        <v>4528</v>
      </c>
      <c r="B1374" s="10">
        <v>36526</v>
      </c>
      <c r="C1374" s="10">
        <v>40592</v>
      </c>
      <c r="D1374" s="10" t="s">
        <v>270</v>
      </c>
    </row>
    <row r="1375" spans="1:4" x14ac:dyDescent="0.2">
      <c r="A1375">
        <v>4529</v>
      </c>
      <c r="B1375" s="10">
        <v>219148</v>
      </c>
      <c r="C1375" s="10">
        <v>40592</v>
      </c>
      <c r="D1375" s="10" t="s">
        <v>270</v>
      </c>
    </row>
    <row r="1376" spans="1:4" x14ac:dyDescent="0.2">
      <c r="A1376">
        <v>4530</v>
      </c>
      <c r="B1376" s="10">
        <v>36526</v>
      </c>
      <c r="C1376" s="10">
        <v>40592</v>
      </c>
      <c r="D1376" s="10" t="s">
        <v>270</v>
      </c>
    </row>
    <row r="1377" spans="1:4" x14ac:dyDescent="0.2">
      <c r="A1377">
        <v>4531</v>
      </c>
      <c r="B1377" s="10">
        <v>36526</v>
      </c>
      <c r="C1377" s="10">
        <v>40592</v>
      </c>
      <c r="D1377" s="10" t="s">
        <v>270</v>
      </c>
    </row>
    <row r="1378" spans="1:4" x14ac:dyDescent="0.2">
      <c r="A1378">
        <v>4532</v>
      </c>
      <c r="B1378" s="10">
        <v>36526</v>
      </c>
      <c r="C1378" s="10">
        <v>40596</v>
      </c>
      <c r="D1378" s="10" t="s">
        <v>270</v>
      </c>
    </row>
    <row r="1379" spans="1:4" x14ac:dyDescent="0.2">
      <c r="A1379">
        <v>4533</v>
      </c>
      <c r="B1379" s="10">
        <v>219148</v>
      </c>
      <c r="C1379" s="10">
        <v>40592</v>
      </c>
      <c r="D1379" s="10" t="s">
        <v>270</v>
      </c>
    </row>
    <row r="1380" spans="1:4" x14ac:dyDescent="0.2">
      <c r="A1380">
        <v>4535</v>
      </c>
      <c r="B1380" s="10">
        <v>219148</v>
      </c>
      <c r="C1380" s="10">
        <v>40592</v>
      </c>
      <c r="D1380" s="10" t="s">
        <v>270</v>
      </c>
    </row>
    <row r="1381" spans="1:4" x14ac:dyDescent="0.2">
      <c r="A1381">
        <v>4536</v>
      </c>
      <c r="B1381" s="10">
        <v>36526</v>
      </c>
      <c r="C1381" s="10">
        <v>40592</v>
      </c>
      <c r="D1381" s="10" t="s">
        <v>270</v>
      </c>
    </row>
    <row r="1382" spans="1:4" x14ac:dyDescent="0.2">
      <c r="A1382">
        <v>4537</v>
      </c>
      <c r="B1382" s="10">
        <v>36526</v>
      </c>
      <c r="C1382" s="10">
        <v>40592</v>
      </c>
      <c r="D1382" s="10" t="s">
        <v>270</v>
      </c>
    </row>
    <row r="1383" spans="1:4" x14ac:dyDescent="0.2">
      <c r="A1383">
        <v>4538</v>
      </c>
      <c r="B1383" s="10">
        <v>36526</v>
      </c>
      <c r="C1383" s="10">
        <v>40592</v>
      </c>
      <c r="D1383" s="10" t="s">
        <v>270</v>
      </c>
    </row>
    <row r="1384" spans="1:4" x14ac:dyDescent="0.2">
      <c r="A1384">
        <v>4539</v>
      </c>
      <c r="B1384" s="10">
        <v>36526</v>
      </c>
      <c r="C1384" s="10">
        <v>40596</v>
      </c>
      <c r="D1384" s="10" t="s">
        <v>270</v>
      </c>
    </row>
    <row r="1385" spans="1:4" x14ac:dyDescent="0.2">
      <c r="A1385">
        <v>4540</v>
      </c>
      <c r="B1385" s="10">
        <v>36526</v>
      </c>
      <c r="C1385" s="10">
        <v>40592</v>
      </c>
      <c r="D1385" s="10" t="s">
        <v>270</v>
      </c>
    </row>
    <row r="1386" spans="1:4" x14ac:dyDescent="0.2">
      <c r="A1386">
        <v>4541</v>
      </c>
      <c r="B1386" s="10">
        <v>40681</v>
      </c>
      <c r="C1386" s="10">
        <v>40694</v>
      </c>
      <c r="D1386" s="10" t="s">
        <v>270</v>
      </c>
    </row>
    <row r="1387" spans="1:4" x14ac:dyDescent="0.2">
      <c r="A1387">
        <v>4542</v>
      </c>
      <c r="B1387" s="10">
        <v>40681</v>
      </c>
      <c r="C1387" s="10">
        <v>40694</v>
      </c>
      <c r="D1387" s="10" t="s">
        <v>270</v>
      </c>
    </row>
    <row r="1388" spans="1:4" x14ac:dyDescent="0.2">
      <c r="A1388">
        <v>4543</v>
      </c>
      <c r="B1388" s="10">
        <v>40681</v>
      </c>
      <c r="C1388" s="10">
        <v>40694</v>
      </c>
      <c r="D1388" s="10" t="s">
        <v>270</v>
      </c>
    </row>
    <row r="1389" spans="1:4" x14ac:dyDescent="0.2">
      <c r="A1389">
        <v>4544</v>
      </c>
      <c r="B1389" s="10">
        <v>40681</v>
      </c>
      <c r="C1389" s="10">
        <v>40694</v>
      </c>
      <c r="D1389" s="10" t="s">
        <v>270</v>
      </c>
    </row>
    <row r="1390" spans="1:4" x14ac:dyDescent="0.2">
      <c r="A1390">
        <v>4545</v>
      </c>
      <c r="B1390" s="10">
        <v>40681</v>
      </c>
      <c r="C1390" s="10">
        <v>40694</v>
      </c>
      <c r="D1390" s="10" t="s">
        <v>270</v>
      </c>
    </row>
    <row r="1391" spans="1:4" x14ac:dyDescent="0.2">
      <c r="A1391">
        <v>4546</v>
      </c>
      <c r="B1391" s="10">
        <v>219148</v>
      </c>
      <c r="C1391" s="10">
        <v>40592</v>
      </c>
      <c r="D1391" s="10" t="s">
        <v>270</v>
      </c>
    </row>
    <row r="1392" spans="1:4" x14ac:dyDescent="0.2">
      <c r="A1392">
        <v>4547</v>
      </c>
      <c r="B1392" s="10">
        <v>36526</v>
      </c>
      <c r="C1392" s="10">
        <v>40611</v>
      </c>
      <c r="D1392" s="10" t="s">
        <v>270</v>
      </c>
    </row>
    <row r="1393" spans="1:4" x14ac:dyDescent="0.2">
      <c r="A1393">
        <v>4551</v>
      </c>
      <c r="B1393" s="10">
        <v>36526</v>
      </c>
      <c r="C1393" s="10">
        <v>40592</v>
      </c>
      <c r="D1393" s="10" t="s">
        <v>270</v>
      </c>
    </row>
    <row r="1394" spans="1:4" x14ac:dyDescent="0.2">
      <c r="A1394">
        <v>4552</v>
      </c>
      <c r="B1394" s="10">
        <v>36526</v>
      </c>
      <c r="C1394" s="10">
        <v>40592</v>
      </c>
      <c r="D1394" s="10" t="s">
        <v>270</v>
      </c>
    </row>
    <row r="1395" spans="1:4" x14ac:dyDescent="0.2">
      <c r="A1395">
        <v>4553</v>
      </c>
      <c r="B1395" s="10">
        <v>36526</v>
      </c>
      <c r="C1395" s="10">
        <v>40592</v>
      </c>
      <c r="D1395" s="10" t="s">
        <v>270</v>
      </c>
    </row>
    <row r="1396" spans="1:4" x14ac:dyDescent="0.2">
      <c r="A1396">
        <v>4554</v>
      </c>
      <c r="B1396" s="10">
        <v>36526</v>
      </c>
      <c r="C1396" s="10">
        <v>40592</v>
      </c>
      <c r="D1396" s="10" t="s">
        <v>270</v>
      </c>
    </row>
    <row r="1397" spans="1:4" x14ac:dyDescent="0.2">
      <c r="A1397">
        <v>4555</v>
      </c>
      <c r="B1397" s="10">
        <v>219148</v>
      </c>
      <c r="C1397" s="10">
        <v>40595</v>
      </c>
      <c r="D1397" s="10" t="s">
        <v>270</v>
      </c>
    </row>
    <row r="1398" spans="1:4" x14ac:dyDescent="0.2">
      <c r="A1398">
        <v>4556</v>
      </c>
      <c r="B1398" s="10">
        <v>219148</v>
      </c>
      <c r="C1398" s="10">
        <v>40595</v>
      </c>
      <c r="D1398" s="10" t="s">
        <v>270</v>
      </c>
    </row>
    <row r="1399" spans="1:4" x14ac:dyDescent="0.2">
      <c r="A1399">
        <v>4557</v>
      </c>
      <c r="B1399" s="10">
        <v>219148</v>
      </c>
      <c r="C1399" s="10">
        <v>40595</v>
      </c>
      <c r="D1399" s="10" t="s">
        <v>270</v>
      </c>
    </row>
    <row r="1400" spans="1:4" x14ac:dyDescent="0.2">
      <c r="A1400">
        <v>4558</v>
      </c>
      <c r="B1400" s="10">
        <v>219148</v>
      </c>
      <c r="C1400" s="10">
        <v>40595</v>
      </c>
      <c r="D1400" s="10" t="s">
        <v>270</v>
      </c>
    </row>
    <row r="1401" spans="1:4" x14ac:dyDescent="0.2">
      <c r="A1401">
        <v>4559</v>
      </c>
      <c r="B1401" s="10">
        <v>219148</v>
      </c>
      <c r="C1401" s="10">
        <v>40595</v>
      </c>
      <c r="D1401" s="10" t="s">
        <v>270</v>
      </c>
    </row>
    <row r="1402" spans="1:4" x14ac:dyDescent="0.2">
      <c r="A1402">
        <v>4560</v>
      </c>
      <c r="B1402" s="10">
        <v>40805</v>
      </c>
      <c r="C1402" s="10">
        <v>40602</v>
      </c>
      <c r="D1402" s="10" t="s">
        <v>539</v>
      </c>
    </row>
    <row r="1403" spans="1:4" x14ac:dyDescent="0.2">
      <c r="A1403">
        <v>4561</v>
      </c>
      <c r="B1403" s="10">
        <v>40655</v>
      </c>
      <c r="C1403" s="10">
        <v>40602</v>
      </c>
      <c r="D1403" s="10" t="s">
        <v>539</v>
      </c>
    </row>
    <row r="1404" spans="1:4" x14ac:dyDescent="0.2">
      <c r="A1404">
        <v>4564</v>
      </c>
      <c r="B1404" s="10">
        <v>219148</v>
      </c>
      <c r="C1404" s="10">
        <v>40596</v>
      </c>
      <c r="D1404" s="10" t="s">
        <v>270</v>
      </c>
    </row>
    <row r="1405" spans="1:4" x14ac:dyDescent="0.2">
      <c r="A1405">
        <v>4565</v>
      </c>
      <c r="B1405" s="10">
        <v>40946</v>
      </c>
      <c r="C1405" s="10">
        <v>40840</v>
      </c>
      <c r="D1405" s="10" t="s">
        <v>273</v>
      </c>
    </row>
    <row r="1406" spans="1:4" x14ac:dyDescent="0.2">
      <c r="A1406">
        <v>4566</v>
      </c>
      <c r="B1406" s="10">
        <v>40946</v>
      </c>
      <c r="C1406" s="10">
        <v>40840</v>
      </c>
      <c r="D1406" s="10" t="s">
        <v>273</v>
      </c>
    </row>
    <row r="1407" spans="1:4" x14ac:dyDescent="0.2">
      <c r="A1407">
        <v>4568</v>
      </c>
      <c r="B1407" s="10">
        <v>219148</v>
      </c>
      <c r="C1407" s="10">
        <v>40598</v>
      </c>
      <c r="D1407" s="10" t="s">
        <v>270</v>
      </c>
    </row>
    <row r="1408" spans="1:4" x14ac:dyDescent="0.2">
      <c r="A1408">
        <v>4570</v>
      </c>
      <c r="B1408" s="10">
        <v>40658</v>
      </c>
      <c r="C1408" s="10">
        <v>40602</v>
      </c>
      <c r="D1408" s="10" t="s">
        <v>539</v>
      </c>
    </row>
    <row r="1409" spans="1:4" x14ac:dyDescent="0.2">
      <c r="A1409">
        <v>4572</v>
      </c>
      <c r="B1409" s="10">
        <v>36526</v>
      </c>
      <c r="C1409" s="10">
        <v>40602</v>
      </c>
      <c r="D1409" s="10" t="s">
        <v>538</v>
      </c>
    </row>
    <row r="1410" spans="1:4" x14ac:dyDescent="0.2">
      <c r="A1410">
        <v>4573</v>
      </c>
      <c r="B1410" s="10">
        <v>36526</v>
      </c>
      <c r="C1410" s="10">
        <v>40611</v>
      </c>
      <c r="D1410" s="10" t="s">
        <v>538</v>
      </c>
    </row>
    <row r="1411" spans="1:4" x14ac:dyDescent="0.2">
      <c r="A1411">
        <v>4574</v>
      </c>
      <c r="B1411" s="10">
        <v>36526</v>
      </c>
      <c r="C1411" s="10">
        <v>40611</v>
      </c>
      <c r="D1411" s="10" t="s">
        <v>538</v>
      </c>
    </row>
    <row r="1412" spans="1:4" x14ac:dyDescent="0.2">
      <c r="A1412">
        <v>4575</v>
      </c>
      <c r="B1412" s="10">
        <v>36526</v>
      </c>
      <c r="C1412" s="10">
        <v>40611</v>
      </c>
      <c r="D1412" s="10" t="s">
        <v>538</v>
      </c>
    </row>
    <row r="1413" spans="1:4" x14ac:dyDescent="0.2">
      <c r="A1413">
        <v>4576</v>
      </c>
      <c r="B1413" s="10">
        <v>36526</v>
      </c>
      <c r="C1413" s="10">
        <v>40611</v>
      </c>
      <c r="D1413" s="10" t="s">
        <v>538</v>
      </c>
    </row>
    <row r="1414" spans="1:4" x14ac:dyDescent="0.2">
      <c r="A1414">
        <v>4577</v>
      </c>
      <c r="B1414" s="10">
        <v>36526</v>
      </c>
      <c r="C1414" s="10">
        <v>40611</v>
      </c>
      <c r="D1414" s="10" t="s">
        <v>538</v>
      </c>
    </row>
    <row r="1415" spans="1:4" x14ac:dyDescent="0.2">
      <c r="A1415">
        <v>4578</v>
      </c>
      <c r="B1415" s="10">
        <v>36526</v>
      </c>
      <c r="C1415" s="10">
        <v>40611</v>
      </c>
      <c r="D1415" s="10" t="s">
        <v>538</v>
      </c>
    </row>
    <row r="1416" spans="1:4" x14ac:dyDescent="0.2">
      <c r="A1416">
        <v>4581</v>
      </c>
      <c r="B1416" s="10">
        <v>36526</v>
      </c>
      <c r="C1416" s="10">
        <v>40779</v>
      </c>
      <c r="D1416" s="10" t="s">
        <v>538</v>
      </c>
    </row>
    <row r="1417" spans="1:4" x14ac:dyDescent="0.2">
      <c r="A1417">
        <v>4582</v>
      </c>
      <c r="B1417" s="10">
        <v>36526</v>
      </c>
      <c r="C1417" s="10">
        <v>40779</v>
      </c>
      <c r="D1417" s="10" t="s">
        <v>538</v>
      </c>
    </row>
    <row r="1418" spans="1:4" x14ac:dyDescent="0.2">
      <c r="A1418">
        <v>4583</v>
      </c>
      <c r="B1418" s="10">
        <v>36526</v>
      </c>
      <c r="C1418" s="10">
        <v>40779</v>
      </c>
      <c r="D1418" s="10" t="s">
        <v>538</v>
      </c>
    </row>
    <row r="1419" spans="1:4" x14ac:dyDescent="0.2">
      <c r="A1419">
        <v>4587</v>
      </c>
      <c r="B1419" s="10">
        <v>219148</v>
      </c>
      <c r="C1419" s="10">
        <v>40599</v>
      </c>
      <c r="D1419" s="10" t="s">
        <v>270</v>
      </c>
    </row>
    <row r="1420" spans="1:4" x14ac:dyDescent="0.2">
      <c r="A1420">
        <v>4588</v>
      </c>
      <c r="B1420" s="10">
        <v>219148</v>
      </c>
      <c r="C1420" s="10">
        <v>40599</v>
      </c>
      <c r="D1420" s="10" t="s">
        <v>270</v>
      </c>
    </row>
    <row r="1421" spans="1:4" x14ac:dyDescent="0.2">
      <c r="A1421">
        <v>4594</v>
      </c>
      <c r="B1421" s="10">
        <v>36526</v>
      </c>
      <c r="C1421" s="10">
        <v>40616</v>
      </c>
      <c r="D1421" s="10" t="s">
        <v>270</v>
      </c>
    </row>
    <row r="1422" spans="1:4" x14ac:dyDescent="0.2">
      <c r="A1422">
        <v>4596</v>
      </c>
      <c r="B1422" s="10">
        <v>36526</v>
      </c>
      <c r="C1422" s="10">
        <v>40603</v>
      </c>
      <c r="D1422" s="10" t="s">
        <v>270</v>
      </c>
    </row>
    <row r="1423" spans="1:4" x14ac:dyDescent="0.2">
      <c r="A1423">
        <v>4597</v>
      </c>
      <c r="B1423" s="10">
        <v>36526</v>
      </c>
      <c r="C1423" s="10">
        <v>40603</v>
      </c>
      <c r="D1423" s="10" t="s">
        <v>270</v>
      </c>
    </row>
    <row r="1424" spans="1:4" x14ac:dyDescent="0.2">
      <c r="A1424">
        <v>4598</v>
      </c>
      <c r="B1424" s="10">
        <v>36526</v>
      </c>
      <c r="C1424" s="10">
        <v>40603</v>
      </c>
      <c r="D1424" s="10" t="s">
        <v>270</v>
      </c>
    </row>
    <row r="1425" spans="1:4" x14ac:dyDescent="0.2">
      <c r="A1425">
        <v>4599</v>
      </c>
      <c r="B1425" s="10">
        <v>36526</v>
      </c>
      <c r="C1425" s="10">
        <v>40603</v>
      </c>
      <c r="D1425" s="10" t="s">
        <v>270</v>
      </c>
    </row>
    <row r="1426" spans="1:4" x14ac:dyDescent="0.2">
      <c r="A1426">
        <v>4600</v>
      </c>
      <c r="B1426" s="10">
        <v>36526</v>
      </c>
      <c r="C1426" s="10">
        <v>40603</v>
      </c>
      <c r="D1426" s="10" t="s">
        <v>270</v>
      </c>
    </row>
    <row r="1427" spans="1:4" x14ac:dyDescent="0.2">
      <c r="A1427">
        <v>4601</v>
      </c>
      <c r="B1427" s="10">
        <v>36526</v>
      </c>
      <c r="C1427" s="10">
        <v>40603</v>
      </c>
      <c r="D1427" s="10" t="s">
        <v>270</v>
      </c>
    </row>
    <row r="1428" spans="1:4" x14ac:dyDescent="0.2">
      <c r="A1428">
        <v>4602</v>
      </c>
      <c r="B1428" s="10">
        <v>36526</v>
      </c>
      <c r="C1428" s="10">
        <v>40603</v>
      </c>
      <c r="D1428" s="10" t="s">
        <v>270</v>
      </c>
    </row>
    <row r="1429" spans="1:4" x14ac:dyDescent="0.2">
      <c r="A1429">
        <v>4603</v>
      </c>
      <c r="B1429" s="10">
        <v>36526</v>
      </c>
      <c r="C1429" s="10">
        <v>40603</v>
      </c>
      <c r="D1429" s="10" t="s">
        <v>270</v>
      </c>
    </row>
    <row r="1430" spans="1:4" x14ac:dyDescent="0.2">
      <c r="A1430">
        <v>4604</v>
      </c>
      <c r="B1430" s="10">
        <v>36526</v>
      </c>
      <c r="C1430" s="10">
        <v>40603</v>
      </c>
      <c r="D1430" s="10" t="s">
        <v>270</v>
      </c>
    </row>
    <row r="1431" spans="1:4" x14ac:dyDescent="0.2">
      <c r="A1431">
        <v>4605</v>
      </c>
      <c r="B1431" s="10">
        <v>36526</v>
      </c>
      <c r="C1431" s="10">
        <v>40603</v>
      </c>
      <c r="D1431" s="10" t="s">
        <v>270</v>
      </c>
    </row>
    <row r="1432" spans="1:4" x14ac:dyDescent="0.2">
      <c r="A1432">
        <v>4608</v>
      </c>
      <c r="B1432" s="10">
        <v>36526</v>
      </c>
      <c r="C1432" s="10">
        <v>40603</v>
      </c>
      <c r="D1432" s="10" t="s">
        <v>270</v>
      </c>
    </row>
    <row r="1433" spans="1:4" x14ac:dyDescent="0.2">
      <c r="A1433">
        <v>4609</v>
      </c>
      <c r="B1433" s="10">
        <v>36526</v>
      </c>
      <c r="C1433" s="10">
        <v>40603</v>
      </c>
      <c r="D1433" s="10" t="s">
        <v>270</v>
      </c>
    </row>
    <row r="1434" spans="1:4" x14ac:dyDescent="0.2">
      <c r="A1434">
        <v>4610</v>
      </c>
      <c r="B1434" s="10">
        <v>36526</v>
      </c>
      <c r="C1434" s="10">
        <v>40603</v>
      </c>
      <c r="D1434" s="10" t="s">
        <v>270</v>
      </c>
    </row>
    <row r="1435" spans="1:4" x14ac:dyDescent="0.2">
      <c r="A1435">
        <v>4611</v>
      </c>
      <c r="B1435" s="10">
        <v>36526</v>
      </c>
      <c r="C1435" s="10">
        <v>40603</v>
      </c>
      <c r="D1435" s="10" t="s">
        <v>270</v>
      </c>
    </row>
    <row r="1436" spans="1:4" x14ac:dyDescent="0.2">
      <c r="A1436">
        <v>4612</v>
      </c>
      <c r="B1436" s="10">
        <v>36526</v>
      </c>
      <c r="C1436" s="10">
        <v>40603</v>
      </c>
      <c r="D1436" s="10" t="s">
        <v>270</v>
      </c>
    </row>
    <row r="1437" spans="1:4" x14ac:dyDescent="0.2">
      <c r="A1437">
        <v>4613</v>
      </c>
      <c r="B1437" s="10">
        <v>36526</v>
      </c>
      <c r="C1437" s="10">
        <v>40603</v>
      </c>
      <c r="D1437" s="10" t="s">
        <v>270</v>
      </c>
    </row>
    <row r="1438" spans="1:4" x14ac:dyDescent="0.2">
      <c r="A1438">
        <v>4614</v>
      </c>
      <c r="B1438" s="10">
        <v>36526</v>
      </c>
      <c r="C1438" s="10">
        <v>40603</v>
      </c>
      <c r="D1438" s="10" t="s">
        <v>270</v>
      </c>
    </row>
    <row r="1439" spans="1:4" x14ac:dyDescent="0.2">
      <c r="A1439">
        <v>4615</v>
      </c>
      <c r="B1439" s="10">
        <v>36526</v>
      </c>
      <c r="C1439" s="10">
        <v>40603</v>
      </c>
      <c r="D1439" s="10" t="s">
        <v>270</v>
      </c>
    </row>
    <row r="1440" spans="1:4" x14ac:dyDescent="0.2">
      <c r="A1440">
        <v>4617</v>
      </c>
      <c r="B1440" s="10">
        <v>36526</v>
      </c>
      <c r="C1440" s="10">
        <v>40604</v>
      </c>
      <c r="D1440" s="10" t="s">
        <v>270</v>
      </c>
    </row>
    <row r="1441" spans="1:4" x14ac:dyDescent="0.2">
      <c r="A1441">
        <v>4620</v>
      </c>
      <c r="B1441" s="10">
        <v>219148</v>
      </c>
      <c r="C1441" s="10">
        <v>40603</v>
      </c>
      <c r="D1441" s="10" t="s">
        <v>270</v>
      </c>
    </row>
    <row r="1442" spans="1:4" x14ac:dyDescent="0.2">
      <c r="A1442">
        <v>4621</v>
      </c>
      <c r="B1442" s="10">
        <v>40604</v>
      </c>
      <c r="C1442" s="10">
        <v>40662</v>
      </c>
      <c r="D1442" s="10" t="s">
        <v>539</v>
      </c>
    </row>
    <row r="1443" spans="1:4" x14ac:dyDescent="0.2">
      <c r="A1443">
        <v>4622</v>
      </c>
      <c r="B1443" s="10">
        <v>36526</v>
      </c>
      <c r="C1443" s="10">
        <v>40604</v>
      </c>
      <c r="D1443" s="10" t="s">
        <v>270</v>
      </c>
    </row>
    <row r="1444" spans="1:4" x14ac:dyDescent="0.2">
      <c r="A1444">
        <v>4626</v>
      </c>
      <c r="B1444" s="10">
        <v>36526</v>
      </c>
      <c r="C1444" s="10">
        <v>40780</v>
      </c>
      <c r="D1444" s="10" t="s">
        <v>538</v>
      </c>
    </row>
    <row r="1445" spans="1:4" x14ac:dyDescent="0.2">
      <c r="A1445">
        <v>4627</v>
      </c>
      <c r="B1445" s="10">
        <v>36526</v>
      </c>
      <c r="C1445" s="10">
        <v>40780</v>
      </c>
      <c r="D1445" s="10" t="s">
        <v>538</v>
      </c>
    </row>
    <row r="1446" spans="1:4" x14ac:dyDescent="0.2">
      <c r="A1446">
        <v>4630</v>
      </c>
      <c r="B1446" s="10">
        <v>36526</v>
      </c>
      <c r="C1446" s="10">
        <v>40606</v>
      </c>
      <c r="D1446" s="10" t="s">
        <v>270</v>
      </c>
    </row>
    <row r="1447" spans="1:4" x14ac:dyDescent="0.2">
      <c r="A1447">
        <v>4632</v>
      </c>
      <c r="B1447" s="10">
        <v>40696</v>
      </c>
      <c r="C1447" s="10">
        <v>40626</v>
      </c>
      <c r="D1447" s="10" t="s">
        <v>539</v>
      </c>
    </row>
    <row r="1448" spans="1:4" x14ac:dyDescent="0.2">
      <c r="A1448">
        <v>4636</v>
      </c>
      <c r="B1448" s="10">
        <v>36526</v>
      </c>
      <c r="C1448" s="10">
        <v>40606</v>
      </c>
      <c r="D1448" s="10" t="s">
        <v>270</v>
      </c>
    </row>
    <row r="1449" spans="1:4" x14ac:dyDescent="0.2">
      <c r="A1449">
        <v>4639</v>
      </c>
      <c r="B1449" s="10">
        <v>36526</v>
      </c>
      <c r="C1449" s="10">
        <v>40606</v>
      </c>
      <c r="D1449" s="10" t="s">
        <v>270</v>
      </c>
    </row>
    <row r="1450" spans="1:4" x14ac:dyDescent="0.2">
      <c r="A1450">
        <v>4640</v>
      </c>
      <c r="B1450" s="10">
        <v>36526</v>
      </c>
      <c r="C1450" s="10">
        <v>40606</v>
      </c>
      <c r="D1450" s="10" t="s">
        <v>270</v>
      </c>
    </row>
    <row r="1451" spans="1:4" x14ac:dyDescent="0.2">
      <c r="A1451">
        <v>4641</v>
      </c>
      <c r="B1451" s="10">
        <v>41271</v>
      </c>
      <c r="C1451" s="10">
        <v>40786</v>
      </c>
      <c r="D1451" s="10" t="s">
        <v>273</v>
      </c>
    </row>
    <row r="1452" spans="1:4" x14ac:dyDescent="0.2">
      <c r="A1452">
        <v>4642</v>
      </c>
      <c r="B1452" s="10">
        <v>40956</v>
      </c>
      <c r="C1452" s="10">
        <v>40786</v>
      </c>
      <c r="D1452" s="10" t="s">
        <v>273</v>
      </c>
    </row>
    <row r="1453" spans="1:4" x14ac:dyDescent="0.2">
      <c r="A1453">
        <v>4643</v>
      </c>
      <c r="B1453" s="10">
        <v>40957</v>
      </c>
      <c r="C1453" s="10">
        <v>40786</v>
      </c>
      <c r="D1453" s="10" t="s">
        <v>273</v>
      </c>
    </row>
    <row r="1454" spans="1:4" x14ac:dyDescent="0.2">
      <c r="A1454">
        <v>4644</v>
      </c>
      <c r="B1454" s="10">
        <v>40961</v>
      </c>
      <c r="C1454" s="10">
        <v>40786</v>
      </c>
      <c r="D1454" s="10" t="s">
        <v>273</v>
      </c>
    </row>
    <row r="1455" spans="1:4" x14ac:dyDescent="0.2">
      <c r="A1455">
        <v>4648</v>
      </c>
      <c r="B1455" s="10">
        <v>40611</v>
      </c>
      <c r="C1455" s="10">
        <v>40816</v>
      </c>
      <c r="D1455" s="10" t="s">
        <v>539</v>
      </c>
    </row>
    <row r="1456" spans="1:4" x14ac:dyDescent="0.2">
      <c r="A1456">
        <v>4651</v>
      </c>
      <c r="B1456" s="10">
        <v>40627</v>
      </c>
      <c r="C1456" s="10">
        <v>40794</v>
      </c>
      <c r="D1456" s="10" t="s">
        <v>539</v>
      </c>
    </row>
    <row r="1457" spans="1:4" x14ac:dyDescent="0.2">
      <c r="A1457">
        <v>4654</v>
      </c>
      <c r="B1457" s="10">
        <v>40616</v>
      </c>
      <c r="C1457" s="10">
        <v>40626</v>
      </c>
      <c r="D1457" s="10" t="s">
        <v>539</v>
      </c>
    </row>
    <row r="1458" spans="1:4" x14ac:dyDescent="0.2">
      <c r="A1458">
        <v>4661</v>
      </c>
      <c r="B1458" s="10">
        <v>219148</v>
      </c>
      <c r="C1458" s="10">
        <v>40618</v>
      </c>
      <c r="D1458" s="10" t="s">
        <v>270</v>
      </c>
    </row>
    <row r="1459" spans="1:4" x14ac:dyDescent="0.2">
      <c r="A1459">
        <v>4662</v>
      </c>
      <c r="B1459" s="10">
        <v>40618</v>
      </c>
      <c r="C1459" s="10">
        <v>40626</v>
      </c>
      <c r="D1459" s="10" t="s">
        <v>539</v>
      </c>
    </row>
    <row r="1460" spans="1:4" x14ac:dyDescent="0.2">
      <c r="A1460">
        <v>4671</v>
      </c>
      <c r="B1460" s="10">
        <v>36526</v>
      </c>
      <c r="C1460" s="10">
        <v>40634</v>
      </c>
      <c r="D1460" s="10" t="s">
        <v>270</v>
      </c>
    </row>
    <row r="1461" spans="1:4" x14ac:dyDescent="0.2">
      <c r="A1461">
        <v>4672</v>
      </c>
      <c r="B1461" s="10">
        <v>36526</v>
      </c>
      <c r="C1461" s="10">
        <v>40634</v>
      </c>
      <c r="D1461" s="10" t="s">
        <v>270</v>
      </c>
    </row>
    <row r="1462" spans="1:4" x14ac:dyDescent="0.2">
      <c r="A1462">
        <v>4679</v>
      </c>
      <c r="B1462" s="10">
        <v>36526</v>
      </c>
      <c r="C1462" s="10">
        <v>40623</v>
      </c>
      <c r="D1462" s="10" t="s">
        <v>270</v>
      </c>
    </row>
    <row r="1463" spans="1:4" x14ac:dyDescent="0.2">
      <c r="A1463">
        <v>4680</v>
      </c>
      <c r="B1463" s="10">
        <v>219148</v>
      </c>
      <c r="C1463" s="10">
        <v>40623</v>
      </c>
      <c r="D1463" s="10" t="s">
        <v>270</v>
      </c>
    </row>
    <row r="1464" spans="1:4" x14ac:dyDescent="0.2">
      <c r="A1464">
        <v>4681</v>
      </c>
      <c r="B1464" s="10">
        <v>40625</v>
      </c>
      <c r="C1464" s="10">
        <v>40624</v>
      </c>
      <c r="D1464" s="10" t="s">
        <v>539</v>
      </c>
    </row>
    <row r="1465" spans="1:4" x14ac:dyDescent="0.2">
      <c r="A1465">
        <v>4684</v>
      </c>
      <c r="B1465" s="10">
        <v>219148</v>
      </c>
      <c r="C1465" s="10">
        <v>40624</v>
      </c>
      <c r="D1465" s="10" t="s">
        <v>270</v>
      </c>
    </row>
    <row r="1466" spans="1:4" x14ac:dyDescent="0.2">
      <c r="A1466">
        <v>4685</v>
      </c>
      <c r="B1466" s="10">
        <v>219148</v>
      </c>
      <c r="C1466" s="10">
        <v>40624</v>
      </c>
      <c r="D1466" s="10" t="s">
        <v>270</v>
      </c>
    </row>
    <row r="1467" spans="1:4" x14ac:dyDescent="0.2">
      <c r="A1467">
        <v>4689</v>
      </c>
      <c r="B1467" s="10">
        <v>219148</v>
      </c>
      <c r="C1467" s="10">
        <v>40625</v>
      </c>
      <c r="D1467" s="10" t="s">
        <v>270</v>
      </c>
    </row>
    <row r="1468" spans="1:4" x14ac:dyDescent="0.2">
      <c r="A1468">
        <v>4690</v>
      </c>
      <c r="B1468" s="10">
        <v>219148</v>
      </c>
      <c r="C1468" s="10">
        <v>40625</v>
      </c>
      <c r="D1468" s="10" t="s">
        <v>270</v>
      </c>
    </row>
    <row r="1469" spans="1:4" x14ac:dyDescent="0.2">
      <c r="A1469">
        <v>4694</v>
      </c>
      <c r="B1469" s="10">
        <v>36526</v>
      </c>
      <c r="C1469" s="10">
        <v>40667</v>
      </c>
      <c r="D1469" s="10" t="s">
        <v>538</v>
      </c>
    </row>
    <row r="1470" spans="1:4" x14ac:dyDescent="0.2">
      <c r="A1470">
        <v>4695</v>
      </c>
      <c r="B1470" s="10">
        <v>36526</v>
      </c>
      <c r="C1470" s="10">
        <v>40667</v>
      </c>
      <c r="D1470" s="10" t="s">
        <v>538</v>
      </c>
    </row>
    <row r="1471" spans="1:4" x14ac:dyDescent="0.2">
      <c r="A1471">
        <v>4696</v>
      </c>
      <c r="B1471" s="10">
        <v>36526</v>
      </c>
      <c r="C1471" s="10">
        <v>40667</v>
      </c>
      <c r="D1471" s="10" t="s">
        <v>538</v>
      </c>
    </row>
    <row r="1472" spans="1:4" x14ac:dyDescent="0.2">
      <c r="A1472">
        <v>4697</v>
      </c>
      <c r="B1472" s="10">
        <v>36526</v>
      </c>
      <c r="C1472" s="10">
        <v>40667</v>
      </c>
      <c r="D1472" s="10" t="s">
        <v>538</v>
      </c>
    </row>
    <row r="1473" spans="1:4" x14ac:dyDescent="0.2">
      <c r="A1473">
        <v>4698</v>
      </c>
      <c r="B1473" s="10">
        <v>36526</v>
      </c>
      <c r="C1473" s="10">
        <v>40667</v>
      </c>
      <c r="D1473" s="10" t="s">
        <v>538</v>
      </c>
    </row>
    <row r="1474" spans="1:4" x14ac:dyDescent="0.2">
      <c r="A1474">
        <v>4699</v>
      </c>
      <c r="B1474" s="10">
        <v>36526</v>
      </c>
      <c r="C1474" s="10">
        <v>40667</v>
      </c>
      <c r="D1474" s="10" t="s">
        <v>538</v>
      </c>
    </row>
    <row r="1475" spans="1:4" x14ac:dyDescent="0.2">
      <c r="A1475">
        <v>4700</v>
      </c>
      <c r="B1475" s="10">
        <v>219148</v>
      </c>
      <c r="C1475" s="10">
        <v>40626</v>
      </c>
      <c r="D1475" s="10" t="s">
        <v>270</v>
      </c>
    </row>
    <row r="1476" spans="1:4" x14ac:dyDescent="0.2">
      <c r="A1476">
        <v>4701</v>
      </c>
      <c r="B1476" s="10">
        <v>219148</v>
      </c>
      <c r="C1476" s="10">
        <v>40626</v>
      </c>
      <c r="D1476" s="10" t="s">
        <v>270</v>
      </c>
    </row>
    <row r="1477" spans="1:4" x14ac:dyDescent="0.2">
      <c r="A1477">
        <v>4702</v>
      </c>
      <c r="B1477" s="10">
        <v>40653</v>
      </c>
      <c r="C1477" s="10">
        <v>40662</v>
      </c>
      <c r="D1477" s="10" t="s">
        <v>539</v>
      </c>
    </row>
    <row r="1478" spans="1:4" x14ac:dyDescent="0.2">
      <c r="A1478">
        <v>4705</v>
      </c>
      <c r="B1478" s="10">
        <v>40631</v>
      </c>
      <c r="C1478" s="10">
        <v>40633</v>
      </c>
      <c r="D1478" s="10" t="s">
        <v>539</v>
      </c>
    </row>
    <row r="1479" spans="1:4" x14ac:dyDescent="0.2">
      <c r="A1479">
        <v>4706</v>
      </c>
      <c r="B1479" s="10">
        <v>40658</v>
      </c>
      <c r="C1479" s="10">
        <v>40662</v>
      </c>
      <c r="D1479" s="10" t="s">
        <v>539</v>
      </c>
    </row>
    <row r="1480" spans="1:4" x14ac:dyDescent="0.2">
      <c r="A1480">
        <v>4708</v>
      </c>
      <c r="B1480" s="10">
        <v>36526</v>
      </c>
      <c r="C1480" s="10">
        <v>40724</v>
      </c>
      <c r="D1480" s="10" t="s">
        <v>539</v>
      </c>
    </row>
    <row r="1481" spans="1:4" x14ac:dyDescent="0.2">
      <c r="A1481">
        <v>4710</v>
      </c>
      <c r="B1481" s="10">
        <v>40630</v>
      </c>
      <c r="C1481" s="10">
        <v>40724</v>
      </c>
      <c r="D1481" s="10" t="s">
        <v>539</v>
      </c>
    </row>
    <row r="1482" spans="1:4" x14ac:dyDescent="0.2">
      <c r="A1482">
        <v>4712</v>
      </c>
      <c r="B1482" s="10">
        <v>219148</v>
      </c>
      <c r="C1482" s="10">
        <v>40627</v>
      </c>
      <c r="D1482" s="10" t="s">
        <v>270</v>
      </c>
    </row>
    <row r="1483" spans="1:4" x14ac:dyDescent="0.2">
      <c r="A1483">
        <v>4724</v>
      </c>
      <c r="B1483" s="10">
        <v>36526</v>
      </c>
      <c r="C1483" s="10">
        <v>40630</v>
      </c>
      <c r="D1483" s="10" t="s">
        <v>270</v>
      </c>
    </row>
    <row r="1484" spans="1:4" x14ac:dyDescent="0.2">
      <c r="A1484">
        <v>4725</v>
      </c>
      <c r="B1484" s="10">
        <v>36526</v>
      </c>
      <c r="C1484" s="10">
        <v>40630</v>
      </c>
      <c r="D1484" s="10" t="s">
        <v>270</v>
      </c>
    </row>
    <row r="1485" spans="1:4" x14ac:dyDescent="0.2">
      <c r="A1485">
        <v>4732</v>
      </c>
      <c r="B1485" s="10">
        <v>36526</v>
      </c>
      <c r="C1485" s="10">
        <v>40631</v>
      </c>
      <c r="D1485" s="10" t="s">
        <v>538</v>
      </c>
    </row>
    <row r="1486" spans="1:4" x14ac:dyDescent="0.2">
      <c r="A1486">
        <v>4733</v>
      </c>
      <c r="B1486" s="10">
        <v>36526</v>
      </c>
      <c r="C1486" s="10">
        <v>40631</v>
      </c>
      <c r="D1486" s="10" t="s">
        <v>538</v>
      </c>
    </row>
    <row r="1487" spans="1:4" x14ac:dyDescent="0.2">
      <c r="A1487">
        <v>4735</v>
      </c>
      <c r="B1487" s="10">
        <v>41442</v>
      </c>
      <c r="C1487" s="10">
        <v>40662</v>
      </c>
      <c r="D1487" s="10" t="s">
        <v>539</v>
      </c>
    </row>
    <row r="1488" spans="1:4" x14ac:dyDescent="0.2">
      <c r="A1488">
        <v>4736</v>
      </c>
      <c r="B1488" s="10">
        <v>36526</v>
      </c>
      <c r="C1488" s="10">
        <v>40634</v>
      </c>
      <c r="D1488" s="10" t="s">
        <v>270</v>
      </c>
    </row>
    <row r="1489" spans="1:4" x14ac:dyDescent="0.2">
      <c r="A1489">
        <v>4738</v>
      </c>
      <c r="B1489" s="10">
        <v>40633</v>
      </c>
      <c r="C1489" s="10">
        <v>40633</v>
      </c>
      <c r="D1489" s="10" t="s">
        <v>539</v>
      </c>
    </row>
    <row r="1490" spans="1:4" x14ac:dyDescent="0.2">
      <c r="A1490">
        <v>4742</v>
      </c>
      <c r="B1490" s="10">
        <v>219148</v>
      </c>
      <c r="C1490" s="10">
        <v>40633</v>
      </c>
      <c r="D1490" s="10" t="s">
        <v>270</v>
      </c>
    </row>
    <row r="1491" spans="1:4" x14ac:dyDescent="0.2">
      <c r="A1491">
        <v>4750</v>
      </c>
      <c r="B1491" s="10">
        <v>219148</v>
      </c>
      <c r="C1491" s="10">
        <v>40633</v>
      </c>
      <c r="D1491" s="10" t="s">
        <v>270</v>
      </c>
    </row>
    <row r="1492" spans="1:4" x14ac:dyDescent="0.2">
      <c r="A1492">
        <v>4751</v>
      </c>
      <c r="B1492" s="10">
        <v>219148</v>
      </c>
      <c r="C1492" s="10">
        <v>40633</v>
      </c>
      <c r="D1492" s="10" t="s">
        <v>270</v>
      </c>
    </row>
    <row r="1493" spans="1:4" x14ac:dyDescent="0.2">
      <c r="A1493">
        <v>4753</v>
      </c>
      <c r="B1493" s="10">
        <v>40650</v>
      </c>
      <c r="C1493" s="10">
        <v>40840</v>
      </c>
      <c r="D1493" s="10" t="s">
        <v>539</v>
      </c>
    </row>
    <row r="1494" spans="1:4" x14ac:dyDescent="0.2">
      <c r="A1494">
        <v>4754</v>
      </c>
      <c r="B1494" s="10">
        <v>40968</v>
      </c>
      <c r="C1494" s="10">
        <v>40840</v>
      </c>
      <c r="D1494" s="10" t="s">
        <v>273</v>
      </c>
    </row>
    <row r="1495" spans="1:4" x14ac:dyDescent="0.2">
      <c r="A1495">
        <v>4756</v>
      </c>
      <c r="B1495" s="10">
        <v>40968</v>
      </c>
      <c r="C1495" s="10">
        <v>40840</v>
      </c>
      <c r="D1495" s="10" t="s">
        <v>273</v>
      </c>
    </row>
    <row r="1496" spans="1:4" x14ac:dyDescent="0.2">
      <c r="A1496">
        <v>4757</v>
      </c>
      <c r="B1496" s="10">
        <v>40967</v>
      </c>
      <c r="C1496" s="10">
        <v>40786</v>
      </c>
      <c r="D1496" s="10" t="s">
        <v>273</v>
      </c>
    </row>
    <row r="1497" spans="1:4" x14ac:dyDescent="0.2">
      <c r="A1497">
        <v>4758</v>
      </c>
      <c r="B1497" s="10">
        <v>36526</v>
      </c>
      <c r="C1497" s="10">
        <v>40724</v>
      </c>
      <c r="D1497" s="10" t="s">
        <v>539</v>
      </c>
    </row>
    <row r="1498" spans="1:4" x14ac:dyDescent="0.2">
      <c r="A1498">
        <v>4764</v>
      </c>
      <c r="B1498" s="10">
        <v>36526</v>
      </c>
      <c r="C1498" s="10">
        <v>40634</v>
      </c>
      <c r="D1498" s="10" t="s">
        <v>270</v>
      </c>
    </row>
    <row r="1499" spans="1:4" x14ac:dyDescent="0.2">
      <c r="A1499">
        <v>4765</v>
      </c>
      <c r="B1499" s="10">
        <v>36526</v>
      </c>
      <c r="C1499" s="10">
        <v>40634</v>
      </c>
      <c r="D1499" s="10" t="s">
        <v>270</v>
      </c>
    </row>
    <row r="1500" spans="1:4" x14ac:dyDescent="0.2">
      <c r="A1500">
        <v>4767</v>
      </c>
      <c r="B1500" s="10">
        <v>36526</v>
      </c>
      <c r="C1500" s="10">
        <v>40634</v>
      </c>
      <c r="D1500" s="10" t="s">
        <v>270</v>
      </c>
    </row>
    <row r="1501" spans="1:4" x14ac:dyDescent="0.2">
      <c r="A1501">
        <v>4768</v>
      </c>
      <c r="B1501" s="10">
        <v>36526</v>
      </c>
      <c r="C1501" s="10">
        <v>40655</v>
      </c>
      <c r="D1501" s="10" t="s">
        <v>270</v>
      </c>
    </row>
    <row r="1502" spans="1:4" x14ac:dyDescent="0.2">
      <c r="A1502">
        <v>4770</v>
      </c>
      <c r="B1502" s="10">
        <v>36526</v>
      </c>
      <c r="C1502" s="10">
        <v>40648</v>
      </c>
      <c r="D1502" s="10" t="s">
        <v>270</v>
      </c>
    </row>
    <row r="1503" spans="1:4" x14ac:dyDescent="0.2">
      <c r="A1503">
        <v>4771</v>
      </c>
      <c r="B1503" s="10">
        <v>36526</v>
      </c>
      <c r="C1503" s="10">
        <v>40640</v>
      </c>
      <c r="D1503" s="10" t="s">
        <v>270</v>
      </c>
    </row>
    <row r="1504" spans="1:4" x14ac:dyDescent="0.2">
      <c r="A1504">
        <v>4772</v>
      </c>
      <c r="B1504" s="10">
        <v>36526</v>
      </c>
      <c r="C1504" s="10">
        <v>40654</v>
      </c>
      <c r="D1504" s="10" t="s">
        <v>270</v>
      </c>
    </row>
    <row r="1505" spans="1:4" x14ac:dyDescent="0.2">
      <c r="A1505">
        <v>4773</v>
      </c>
      <c r="B1505" s="10">
        <v>36526</v>
      </c>
      <c r="C1505" s="10">
        <v>40640</v>
      </c>
      <c r="D1505" s="10" t="s">
        <v>270</v>
      </c>
    </row>
    <row r="1506" spans="1:4" x14ac:dyDescent="0.2">
      <c r="A1506">
        <v>4781</v>
      </c>
      <c r="B1506" s="10">
        <v>219148</v>
      </c>
      <c r="C1506" s="10">
        <v>40638</v>
      </c>
      <c r="D1506" s="10" t="s">
        <v>270</v>
      </c>
    </row>
    <row r="1507" spans="1:4" x14ac:dyDescent="0.2">
      <c r="A1507">
        <v>4782</v>
      </c>
      <c r="B1507" s="10">
        <v>36526</v>
      </c>
      <c r="C1507" s="10">
        <v>40639</v>
      </c>
      <c r="D1507" s="10" t="s">
        <v>270</v>
      </c>
    </row>
    <row r="1508" spans="1:4" x14ac:dyDescent="0.2">
      <c r="A1508">
        <v>4783</v>
      </c>
      <c r="B1508" s="10">
        <v>36526</v>
      </c>
      <c r="C1508" s="10">
        <v>40640</v>
      </c>
      <c r="D1508" s="10" t="s">
        <v>270</v>
      </c>
    </row>
    <row r="1509" spans="1:4" x14ac:dyDescent="0.2">
      <c r="A1509">
        <v>4784</v>
      </c>
      <c r="B1509" s="10">
        <v>219148</v>
      </c>
      <c r="C1509" s="10">
        <v>40638</v>
      </c>
      <c r="D1509" s="10" t="s">
        <v>270</v>
      </c>
    </row>
    <row r="1510" spans="1:4" x14ac:dyDescent="0.2">
      <c r="A1510">
        <v>4789</v>
      </c>
      <c r="B1510" s="10">
        <v>36526</v>
      </c>
      <c r="C1510" s="10">
        <v>40639</v>
      </c>
      <c r="D1510" s="10" t="s">
        <v>270</v>
      </c>
    </row>
    <row r="1511" spans="1:4" x14ac:dyDescent="0.2">
      <c r="A1511">
        <v>4790</v>
      </c>
      <c r="B1511" s="10">
        <v>219148</v>
      </c>
      <c r="C1511" s="10">
        <v>40639</v>
      </c>
      <c r="D1511" s="10" t="s">
        <v>270</v>
      </c>
    </row>
    <row r="1512" spans="1:4" x14ac:dyDescent="0.2">
      <c r="A1512">
        <v>4793</v>
      </c>
      <c r="B1512" s="10">
        <v>219148</v>
      </c>
      <c r="C1512" s="10">
        <v>40640</v>
      </c>
      <c r="D1512" s="10" t="s">
        <v>270</v>
      </c>
    </row>
    <row r="1513" spans="1:4" x14ac:dyDescent="0.2">
      <c r="A1513">
        <v>4797</v>
      </c>
      <c r="B1513" s="10">
        <v>219148</v>
      </c>
      <c r="C1513" s="10">
        <v>40640</v>
      </c>
      <c r="D1513" s="10" t="s">
        <v>270</v>
      </c>
    </row>
    <row r="1514" spans="1:4" x14ac:dyDescent="0.2">
      <c r="A1514">
        <v>4800</v>
      </c>
      <c r="B1514" s="10">
        <v>219148</v>
      </c>
      <c r="C1514" s="10">
        <v>40640</v>
      </c>
      <c r="D1514" s="10" t="s">
        <v>270</v>
      </c>
    </row>
    <row r="1515" spans="1:4" x14ac:dyDescent="0.2">
      <c r="A1515">
        <v>4801</v>
      </c>
      <c r="B1515" s="10">
        <v>219148</v>
      </c>
      <c r="C1515" s="10">
        <v>40640</v>
      </c>
      <c r="D1515" s="10" t="s">
        <v>270</v>
      </c>
    </row>
    <row r="1516" spans="1:4" x14ac:dyDescent="0.2">
      <c r="A1516">
        <v>4803</v>
      </c>
      <c r="B1516" s="10">
        <v>219148</v>
      </c>
      <c r="C1516" s="10">
        <v>40641</v>
      </c>
      <c r="D1516" s="10" t="s">
        <v>270</v>
      </c>
    </row>
    <row r="1517" spans="1:4" x14ac:dyDescent="0.2">
      <c r="A1517">
        <v>4804</v>
      </c>
      <c r="B1517" s="10">
        <v>36526</v>
      </c>
      <c r="C1517" s="10">
        <v>40641</v>
      </c>
      <c r="D1517" s="10" t="s">
        <v>270</v>
      </c>
    </row>
    <row r="1518" spans="1:4" x14ac:dyDescent="0.2">
      <c r="A1518">
        <v>4808</v>
      </c>
      <c r="B1518" s="10">
        <v>40704</v>
      </c>
      <c r="C1518" s="10">
        <v>40753</v>
      </c>
      <c r="D1518" s="10" t="s">
        <v>539</v>
      </c>
    </row>
    <row r="1519" spans="1:4" x14ac:dyDescent="0.2">
      <c r="A1519">
        <v>4809</v>
      </c>
      <c r="B1519" s="10">
        <v>40704</v>
      </c>
      <c r="C1519" s="10">
        <v>40753</v>
      </c>
      <c r="D1519" s="10" t="s">
        <v>539</v>
      </c>
    </row>
    <row r="1520" spans="1:4" x14ac:dyDescent="0.2">
      <c r="A1520">
        <v>4816</v>
      </c>
      <c r="B1520" s="10">
        <v>219148</v>
      </c>
      <c r="C1520" s="10">
        <v>40644</v>
      </c>
      <c r="D1520" s="10" t="s">
        <v>270</v>
      </c>
    </row>
    <row r="1521" spans="1:4" x14ac:dyDescent="0.2">
      <c r="A1521">
        <v>4817</v>
      </c>
      <c r="B1521" s="10">
        <v>219148</v>
      </c>
      <c r="C1521" s="10">
        <v>40644</v>
      </c>
      <c r="D1521" s="10" t="s">
        <v>270</v>
      </c>
    </row>
    <row r="1522" spans="1:4" x14ac:dyDescent="0.2">
      <c r="A1522">
        <v>4818</v>
      </c>
      <c r="B1522" s="10">
        <v>219148</v>
      </c>
      <c r="C1522" s="10">
        <v>40644</v>
      </c>
      <c r="D1522" s="10" t="s">
        <v>270</v>
      </c>
    </row>
    <row r="1523" spans="1:4" x14ac:dyDescent="0.2">
      <c r="A1523">
        <v>4821</v>
      </c>
      <c r="B1523" s="10">
        <v>219148</v>
      </c>
      <c r="C1523" s="10">
        <v>40646</v>
      </c>
      <c r="D1523" s="10" t="s">
        <v>270</v>
      </c>
    </row>
    <row r="1524" spans="1:4" x14ac:dyDescent="0.2">
      <c r="A1524">
        <v>4822</v>
      </c>
      <c r="B1524" s="10">
        <v>219148</v>
      </c>
      <c r="C1524" s="10">
        <v>40646</v>
      </c>
      <c r="D1524" s="10" t="s">
        <v>270</v>
      </c>
    </row>
    <row r="1525" spans="1:4" x14ac:dyDescent="0.2">
      <c r="A1525">
        <v>4823</v>
      </c>
      <c r="B1525" s="10">
        <v>40653</v>
      </c>
      <c r="C1525" s="10">
        <v>40662</v>
      </c>
      <c r="D1525" s="10" t="s">
        <v>539</v>
      </c>
    </row>
    <row r="1526" spans="1:4" x14ac:dyDescent="0.2">
      <c r="A1526">
        <v>4824</v>
      </c>
      <c r="B1526" s="10">
        <v>40653</v>
      </c>
      <c r="C1526" s="10">
        <v>40662</v>
      </c>
      <c r="D1526" s="10" t="s">
        <v>539</v>
      </c>
    </row>
    <row r="1527" spans="1:4" x14ac:dyDescent="0.2">
      <c r="A1527">
        <v>4825</v>
      </c>
      <c r="B1527" s="10">
        <v>40653</v>
      </c>
      <c r="C1527" s="10">
        <v>40662</v>
      </c>
      <c r="D1527" s="10" t="s">
        <v>539</v>
      </c>
    </row>
    <row r="1528" spans="1:4" x14ac:dyDescent="0.2">
      <c r="A1528">
        <v>4826</v>
      </c>
      <c r="B1528" s="10">
        <v>40653</v>
      </c>
      <c r="C1528" s="10">
        <v>40662</v>
      </c>
      <c r="D1528" s="10" t="s">
        <v>539</v>
      </c>
    </row>
    <row r="1529" spans="1:4" x14ac:dyDescent="0.2">
      <c r="A1529">
        <v>4827</v>
      </c>
      <c r="B1529" s="10">
        <v>40653</v>
      </c>
      <c r="C1529" s="10">
        <v>40662</v>
      </c>
      <c r="D1529" s="10" t="s">
        <v>539</v>
      </c>
    </row>
    <row r="1530" spans="1:4" x14ac:dyDescent="0.2">
      <c r="A1530">
        <v>4828</v>
      </c>
      <c r="B1530" s="10">
        <v>40653</v>
      </c>
      <c r="C1530" s="10">
        <v>40662</v>
      </c>
      <c r="D1530" s="10" t="s">
        <v>539</v>
      </c>
    </row>
    <row r="1531" spans="1:4" x14ac:dyDescent="0.2">
      <c r="A1531">
        <v>4829</v>
      </c>
      <c r="B1531" s="10">
        <v>40646</v>
      </c>
      <c r="C1531" s="10">
        <v>40646</v>
      </c>
      <c r="D1531" s="10" t="s">
        <v>274</v>
      </c>
    </row>
    <row r="1532" spans="1:4" x14ac:dyDescent="0.2">
      <c r="A1532">
        <v>4831</v>
      </c>
      <c r="B1532" s="10">
        <v>219148</v>
      </c>
      <c r="C1532" s="10">
        <v>40647</v>
      </c>
      <c r="D1532" s="10" t="s">
        <v>270</v>
      </c>
    </row>
    <row r="1533" spans="1:4" x14ac:dyDescent="0.2">
      <c r="A1533">
        <v>4835</v>
      </c>
      <c r="B1533" s="10">
        <v>40647</v>
      </c>
      <c r="C1533" s="10">
        <v>40724</v>
      </c>
      <c r="D1533" s="10" t="s">
        <v>539</v>
      </c>
    </row>
    <row r="1534" spans="1:4" x14ac:dyDescent="0.2">
      <c r="A1534">
        <v>4836</v>
      </c>
      <c r="B1534" s="10">
        <v>36526</v>
      </c>
      <c r="C1534" s="10">
        <v>40666</v>
      </c>
      <c r="D1534" s="10" t="s">
        <v>270</v>
      </c>
    </row>
    <row r="1535" spans="1:4" x14ac:dyDescent="0.2">
      <c r="A1535">
        <v>4840</v>
      </c>
      <c r="B1535" s="10">
        <v>219148</v>
      </c>
      <c r="C1535" s="10">
        <v>40647</v>
      </c>
      <c r="D1535" s="10" t="s">
        <v>270</v>
      </c>
    </row>
    <row r="1536" spans="1:4" x14ac:dyDescent="0.2">
      <c r="A1536">
        <v>4841</v>
      </c>
      <c r="B1536" s="10">
        <v>219148</v>
      </c>
      <c r="C1536" s="10">
        <v>40647</v>
      </c>
      <c r="D1536" s="10" t="s">
        <v>270</v>
      </c>
    </row>
    <row r="1537" spans="1:4" x14ac:dyDescent="0.2">
      <c r="A1537">
        <v>4845</v>
      </c>
      <c r="B1537" s="10">
        <v>219148</v>
      </c>
      <c r="C1537" s="10">
        <v>40648</v>
      </c>
      <c r="D1537" s="10" t="s">
        <v>270</v>
      </c>
    </row>
    <row r="1538" spans="1:4" x14ac:dyDescent="0.2">
      <c r="A1538">
        <v>4846</v>
      </c>
      <c r="B1538" s="10">
        <v>40658</v>
      </c>
      <c r="C1538" s="10">
        <v>40662</v>
      </c>
      <c r="D1538" s="10" t="s">
        <v>539</v>
      </c>
    </row>
    <row r="1539" spans="1:4" x14ac:dyDescent="0.2">
      <c r="A1539">
        <v>4847</v>
      </c>
      <c r="B1539" s="10">
        <v>40648</v>
      </c>
      <c r="C1539" s="10">
        <v>40662</v>
      </c>
      <c r="D1539" s="10" t="s">
        <v>539</v>
      </c>
    </row>
    <row r="1540" spans="1:4" x14ac:dyDescent="0.2">
      <c r="A1540">
        <v>4848</v>
      </c>
      <c r="B1540" s="10">
        <v>219148</v>
      </c>
      <c r="C1540" s="10">
        <v>40648</v>
      </c>
      <c r="D1540" s="10" t="s">
        <v>270</v>
      </c>
    </row>
    <row r="1541" spans="1:4" x14ac:dyDescent="0.2">
      <c r="A1541">
        <v>4849</v>
      </c>
      <c r="B1541" s="10">
        <v>219148</v>
      </c>
      <c r="C1541" s="10">
        <v>40668</v>
      </c>
      <c r="D1541" s="10" t="s">
        <v>270</v>
      </c>
    </row>
    <row r="1542" spans="1:4" x14ac:dyDescent="0.2">
      <c r="A1542">
        <v>4851</v>
      </c>
      <c r="B1542" s="10">
        <v>219148</v>
      </c>
      <c r="C1542" s="10">
        <v>40648</v>
      </c>
      <c r="D1542" s="10" t="s">
        <v>270</v>
      </c>
    </row>
    <row r="1543" spans="1:4" x14ac:dyDescent="0.2">
      <c r="A1543">
        <v>4852</v>
      </c>
      <c r="B1543" s="10">
        <v>219148</v>
      </c>
      <c r="C1543" s="10">
        <v>40648</v>
      </c>
      <c r="D1543" s="10" t="s">
        <v>270</v>
      </c>
    </row>
    <row r="1544" spans="1:4" x14ac:dyDescent="0.2">
      <c r="A1544">
        <v>4853</v>
      </c>
      <c r="B1544" s="10">
        <v>219148</v>
      </c>
      <c r="C1544" s="10">
        <v>40648</v>
      </c>
      <c r="D1544" s="10" t="s">
        <v>270</v>
      </c>
    </row>
    <row r="1545" spans="1:4" x14ac:dyDescent="0.2">
      <c r="A1545">
        <v>4854</v>
      </c>
      <c r="B1545" s="10">
        <v>40680</v>
      </c>
      <c r="C1545" s="10">
        <v>40662</v>
      </c>
      <c r="D1545" s="10" t="s">
        <v>539</v>
      </c>
    </row>
    <row r="1546" spans="1:4" x14ac:dyDescent="0.2">
      <c r="A1546">
        <v>4856</v>
      </c>
      <c r="B1546" s="10">
        <v>40704</v>
      </c>
      <c r="C1546" s="10">
        <v>40753</v>
      </c>
      <c r="D1546" s="10" t="s">
        <v>539</v>
      </c>
    </row>
    <row r="1547" spans="1:4" x14ac:dyDescent="0.2">
      <c r="A1547">
        <v>4857</v>
      </c>
      <c r="B1547" s="10">
        <v>219148</v>
      </c>
      <c r="C1547" s="10">
        <v>40651</v>
      </c>
      <c r="D1547" s="10" t="s">
        <v>270</v>
      </c>
    </row>
    <row r="1548" spans="1:4" x14ac:dyDescent="0.2">
      <c r="A1548">
        <v>4858</v>
      </c>
      <c r="B1548" s="10">
        <v>36526</v>
      </c>
      <c r="C1548" s="10">
        <v>40658</v>
      </c>
      <c r="D1548" s="10" t="s">
        <v>270</v>
      </c>
    </row>
    <row r="1549" spans="1:4" x14ac:dyDescent="0.2">
      <c r="A1549">
        <v>4862</v>
      </c>
      <c r="B1549" s="10">
        <v>219148</v>
      </c>
      <c r="C1549" s="10">
        <v>40651</v>
      </c>
      <c r="D1549" s="10" t="s">
        <v>270</v>
      </c>
    </row>
    <row r="1550" spans="1:4" x14ac:dyDescent="0.2">
      <c r="A1550">
        <v>4863</v>
      </c>
      <c r="B1550" s="10">
        <v>40712</v>
      </c>
      <c r="C1550" s="10">
        <v>40662</v>
      </c>
      <c r="D1550" s="10" t="s">
        <v>539</v>
      </c>
    </row>
    <row r="1551" spans="1:4" x14ac:dyDescent="0.2">
      <c r="A1551">
        <v>4864</v>
      </c>
      <c r="B1551" s="10">
        <v>40658</v>
      </c>
      <c r="C1551" s="10">
        <v>40856</v>
      </c>
      <c r="D1551" s="10" t="s">
        <v>539</v>
      </c>
    </row>
    <row r="1552" spans="1:4" x14ac:dyDescent="0.2">
      <c r="A1552">
        <v>4872</v>
      </c>
      <c r="B1552" s="10">
        <v>219148</v>
      </c>
      <c r="C1552" s="10">
        <v>40653</v>
      </c>
      <c r="D1552" s="10" t="s">
        <v>270</v>
      </c>
    </row>
    <row r="1553" spans="1:4" x14ac:dyDescent="0.2">
      <c r="A1553">
        <v>4873</v>
      </c>
      <c r="B1553" s="10">
        <v>219148</v>
      </c>
      <c r="C1553" s="10">
        <v>40653</v>
      </c>
      <c r="D1553" s="10" t="s">
        <v>270</v>
      </c>
    </row>
    <row r="1554" spans="1:4" x14ac:dyDescent="0.2">
      <c r="A1554">
        <v>4874</v>
      </c>
      <c r="B1554" s="10">
        <v>219148</v>
      </c>
      <c r="C1554" s="10">
        <v>40653</v>
      </c>
      <c r="D1554" s="10" t="s">
        <v>270</v>
      </c>
    </row>
    <row r="1555" spans="1:4" x14ac:dyDescent="0.2">
      <c r="A1555">
        <v>4875</v>
      </c>
      <c r="B1555" s="10">
        <v>219148</v>
      </c>
      <c r="C1555" s="10">
        <v>40653</v>
      </c>
      <c r="D1555" s="10" t="s">
        <v>270</v>
      </c>
    </row>
    <row r="1556" spans="1:4" x14ac:dyDescent="0.2">
      <c r="A1556">
        <v>4876</v>
      </c>
      <c r="B1556" s="10">
        <v>219148</v>
      </c>
      <c r="C1556" s="10">
        <v>40653</v>
      </c>
      <c r="D1556" s="10" t="s">
        <v>270</v>
      </c>
    </row>
    <row r="1557" spans="1:4" x14ac:dyDescent="0.2">
      <c r="A1557">
        <v>4877</v>
      </c>
      <c r="B1557" s="10">
        <v>219148</v>
      </c>
      <c r="C1557" s="10">
        <v>40653</v>
      </c>
      <c r="D1557" s="10" t="s">
        <v>270</v>
      </c>
    </row>
    <row r="1558" spans="1:4" x14ac:dyDescent="0.2">
      <c r="A1558">
        <v>4878</v>
      </c>
      <c r="B1558" s="10">
        <v>40744</v>
      </c>
      <c r="C1558" s="10">
        <v>40753</v>
      </c>
      <c r="D1558" s="10" t="s">
        <v>270</v>
      </c>
    </row>
    <row r="1559" spans="1:4" x14ac:dyDescent="0.2">
      <c r="A1559">
        <v>4880</v>
      </c>
      <c r="B1559" s="10">
        <v>40653</v>
      </c>
      <c r="C1559" s="10">
        <v>40662</v>
      </c>
      <c r="D1559" s="10" t="s">
        <v>539</v>
      </c>
    </row>
    <row r="1560" spans="1:4" x14ac:dyDescent="0.2">
      <c r="A1560">
        <v>4881</v>
      </c>
      <c r="B1560" s="10">
        <v>219148</v>
      </c>
      <c r="C1560" s="10">
        <v>40654</v>
      </c>
      <c r="D1560" s="10" t="s">
        <v>270</v>
      </c>
    </row>
    <row r="1561" spans="1:4" x14ac:dyDescent="0.2">
      <c r="A1561">
        <v>4882</v>
      </c>
      <c r="B1561" s="10">
        <v>40700</v>
      </c>
      <c r="C1561" s="10">
        <v>40724</v>
      </c>
      <c r="D1561" s="10" t="s">
        <v>270</v>
      </c>
    </row>
    <row r="1562" spans="1:4" x14ac:dyDescent="0.2">
      <c r="A1562">
        <v>4883</v>
      </c>
      <c r="B1562" s="10">
        <v>219148</v>
      </c>
      <c r="C1562" s="10">
        <v>40654</v>
      </c>
      <c r="D1562" s="10" t="s">
        <v>270</v>
      </c>
    </row>
    <row r="1563" spans="1:4" x14ac:dyDescent="0.2">
      <c r="A1563">
        <v>4884</v>
      </c>
      <c r="B1563" s="10">
        <v>219148</v>
      </c>
      <c r="C1563" s="10">
        <v>40654</v>
      </c>
      <c r="D1563" s="10" t="s">
        <v>270</v>
      </c>
    </row>
    <row r="1564" spans="1:4" x14ac:dyDescent="0.2">
      <c r="A1564">
        <v>4885</v>
      </c>
      <c r="B1564" s="10">
        <v>219148</v>
      </c>
      <c r="C1564" s="10">
        <v>40654</v>
      </c>
      <c r="D1564" s="10" t="s">
        <v>270</v>
      </c>
    </row>
    <row r="1565" spans="1:4" x14ac:dyDescent="0.2">
      <c r="A1565">
        <v>4886</v>
      </c>
      <c r="B1565" s="10">
        <v>36526</v>
      </c>
      <c r="C1565" s="10">
        <v>40654</v>
      </c>
      <c r="D1565" s="10" t="s">
        <v>270</v>
      </c>
    </row>
    <row r="1566" spans="1:4" x14ac:dyDescent="0.2">
      <c r="A1566">
        <v>4887</v>
      </c>
      <c r="B1566" s="10">
        <v>219148</v>
      </c>
      <c r="C1566" s="10">
        <v>40654</v>
      </c>
      <c r="D1566" s="10" t="s">
        <v>270</v>
      </c>
    </row>
    <row r="1567" spans="1:4" x14ac:dyDescent="0.2">
      <c r="A1567">
        <v>4888</v>
      </c>
      <c r="B1567" s="10">
        <v>36526</v>
      </c>
      <c r="C1567" s="10">
        <v>40654</v>
      </c>
      <c r="D1567" s="10" t="s">
        <v>270</v>
      </c>
    </row>
    <row r="1568" spans="1:4" x14ac:dyDescent="0.2">
      <c r="A1568">
        <v>4889</v>
      </c>
      <c r="B1568" s="10">
        <v>40968</v>
      </c>
      <c r="C1568" s="10">
        <v>40786</v>
      </c>
      <c r="D1568" s="10" t="s">
        <v>273</v>
      </c>
    </row>
    <row r="1569" spans="1:4" x14ac:dyDescent="0.2">
      <c r="A1569">
        <v>4890</v>
      </c>
      <c r="B1569" s="10">
        <v>36526</v>
      </c>
      <c r="C1569" s="10">
        <v>40654</v>
      </c>
      <c r="D1569" s="10" t="s">
        <v>270</v>
      </c>
    </row>
    <row r="1570" spans="1:4" x14ac:dyDescent="0.2">
      <c r="A1570">
        <v>4891</v>
      </c>
      <c r="B1570" s="10">
        <v>219148</v>
      </c>
      <c r="C1570" s="10">
        <v>40654</v>
      </c>
      <c r="D1570" s="10" t="s">
        <v>270</v>
      </c>
    </row>
    <row r="1571" spans="1:4" x14ac:dyDescent="0.2">
      <c r="A1571">
        <v>4892</v>
      </c>
      <c r="B1571" s="10">
        <v>40745</v>
      </c>
      <c r="C1571" s="10">
        <v>40753</v>
      </c>
      <c r="D1571" s="10" t="s">
        <v>270</v>
      </c>
    </row>
    <row r="1572" spans="1:4" x14ac:dyDescent="0.2">
      <c r="A1572">
        <v>4897</v>
      </c>
      <c r="B1572" s="10">
        <v>219148</v>
      </c>
      <c r="C1572" s="10">
        <v>40655</v>
      </c>
      <c r="D1572" s="10" t="s">
        <v>270</v>
      </c>
    </row>
    <row r="1573" spans="1:4" x14ac:dyDescent="0.2">
      <c r="A1573">
        <v>4898</v>
      </c>
      <c r="B1573" s="10">
        <v>219148</v>
      </c>
      <c r="C1573" s="10">
        <v>40655</v>
      </c>
      <c r="D1573" s="10" t="s">
        <v>270</v>
      </c>
    </row>
    <row r="1574" spans="1:4" x14ac:dyDescent="0.2">
      <c r="A1574">
        <v>4899</v>
      </c>
      <c r="B1574" s="10">
        <v>219148</v>
      </c>
      <c r="C1574" s="10">
        <v>40655</v>
      </c>
      <c r="D1574" s="10" t="s">
        <v>270</v>
      </c>
    </row>
    <row r="1575" spans="1:4" x14ac:dyDescent="0.2">
      <c r="A1575">
        <v>4900</v>
      </c>
      <c r="B1575" s="10">
        <v>219148</v>
      </c>
      <c r="C1575" s="10">
        <v>40655</v>
      </c>
      <c r="D1575" s="10" t="s">
        <v>270</v>
      </c>
    </row>
    <row r="1576" spans="1:4" x14ac:dyDescent="0.2">
      <c r="A1576">
        <v>4901</v>
      </c>
      <c r="B1576" s="10">
        <v>219148</v>
      </c>
      <c r="C1576" s="10">
        <v>40655</v>
      </c>
      <c r="D1576" s="10" t="s">
        <v>270</v>
      </c>
    </row>
    <row r="1577" spans="1:4" x14ac:dyDescent="0.2">
      <c r="A1577">
        <v>4903</v>
      </c>
      <c r="B1577" s="10">
        <v>219148</v>
      </c>
      <c r="C1577" s="10">
        <v>40655</v>
      </c>
      <c r="D1577" s="10" t="s">
        <v>270</v>
      </c>
    </row>
    <row r="1578" spans="1:4" x14ac:dyDescent="0.2">
      <c r="A1578">
        <v>4904</v>
      </c>
      <c r="B1578" s="10">
        <v>219148</v>
      </c>
      <c r="C1578" s="10">
        <v>40655</v>
      </c>
      <c r="D1578" s="10" t="s">
        <v>270</v>
      </c>
    </row>
    <row r="1579" spans="1:4" x14ac:dyDescent="0.2">
      <c r="A1579">
        <v>4905</v>
      </c>
      <c r="B1579" s="10">
        <v>219148</v>
      </c>
      <c r="C1579" s="10">
        <v>40655</v>
      </c>
      <c r="D1579" s="10" t="s">
        <v>270</v>
      </c>
    </row>
    <row r="1580" spans="1:4" x14ac:dyDescent="0.2">
      <c r="A1580">
        <v>4907</v>
      </c>
      <c r="B1580" s="10">
        <v>40686</v>
      </c>
      <c r="C1580" s="10">
        <v>40753</v>
      </c>
      <c r="D1580" s="10" t="s">
        <v>539</v>
      </c>
    </row>
    <row r="1581" spans="1:4" x14ac:dyDescent="0.2">
      <c r="A1581">
        <v>4909</v>
      </c>
      <c r="B1581" s="10">
        <v>36526</v>
      </c>
      <c r="C1581" s="10">
        <v>40724</v>
      </c>
      <c r="D1581" s="10" t="s">
        <v>539</v>
      </c>
    </row>
    <row r="1582" spans="1:4" x14ac:dyDescent="0.2">
      <c r="A1582">
        <v>4910</v>
      </c>
      <c r="B1582" s="10">
        <v>40661</v>
      </c>
      <c r="C1582" s="10">
        <v>40816</v>
      </c>
      <c r="D1582" s="10" t="s">
        <v>539</v>
      </c>
    </row>
    <row r="1583" spans="1:4" x14ac:dyDescent="0.2">
      <c r="A1583">
        <v>4912</v>
      </c>
      <c r="B1583" s="10">
        <v>219148</v>
      </c>
      <c r="C1583" s="10">
        <v>40658</v>
      </c>
      <c r="D1583" s="10" t="s">
        <v>270</v>
      </c>
    </row>
    <row r="1584" spans="1:4" x14ac:dyDescent="0.2">
      <c r="A1584">
        <v>4919</v>
      </c>
      <c r="B1584" s="10">
        <v>219148</v>
      </c>
      <c r="C1584" s="10">
        <v>40658</v>
      </c>
      <c r="D1584" s="10" t="s">
        <v>270</v>
      </c>
    </row>
    <row r="1585" spans="1:4" x14ac:dyDescent="0.2">
      <c r="A1585">
        <v>4928</v>
      </c>
      <c r="B1585" s="10">
        <v>219148</v>
      </c>
      <c r="C1585" s="10">
        <v>40660</v>
      </c>
      <c r="D1585" s="10" t="s">
        <v>270</v>
      </c>
    </row>
    <row r="1586" spans="1:4" x14ac:dyDescent="0.2">
      <c r="A1586">
        <v>4929</v>
      </c>
      <c r="B1586" s="10">
        <v>219148</v>
      </c>
      <c r="C1586" s="10">
        <v>40660</v>
      </c>
      <c r="D1586" s="10" t="s">
        <v>270</v>
      </c>
    </row>
    <row r="1587" spans="1:4" x14ac:dyDescent="0.2">
      <c r="A1587">
        <v>4937</v>
      </c>
      <c r="B1587" s="10">
        <v>219148</v>
      </c>
      <c r="C1587" s="10">
        <v>40662</v>
      </c>
      <c r="D1587" s="10" t="s">
        <v>270</v>
      </c>
    </row>
    <row r="1588" spans="1:4" x14ac:dyDescent="0.2">
      <c r="A1588">
        <v>4940</v>
      </c>
      <c r="B1588" s="10">
        <v>219148</v>
      </c>
      <c r="C1588" s="10">
        <v>40662</v>
      </c>
      <c r="D1588" s="10" t="s">
        <v>270</v>
      </c>
    </row>
    <row r="1589" spans="1:4" x14ac:dyDescent="0.2">
      <c r="A1589">
        <v>4945</v>
      </c>
      <c r="B1589" s="10">
        <v>219148</v>
      </c>
      <c r="C1589" s="10">
        <v>40662</v>
      </c>
      <c r="D1589" s="10" t="s">
        <v>270</v>
      </c>
    </row>
    <row r="1590" spans="1:4" x14ac:dyDescent="0.2">
      <c r="A1590">
        <v>4946</v>
      </c>
      <c r="B1590" s="10">
        <v>219148</v>
      </c>
      <c r="C1590" s="10">
        <v>40662</v>
      </c>
      <c r="D1590" s="10" t="s">
        <v>270</v>
      </c>
    </row>
    <row r="1591" spans="1:4" x14ac:dyDescent="0.2">
      <c r="A1591">
        <v>4947</v>
      </c>
      <c r="B1591" s="10">
        <v>219148</v>
      </c>
      <c r="C1591" s="10">
        <v>40662</v>
      </c>
      <c r="D1591" s="10" t="s">
        <v>270</v>
      </c>
    </row>
    <row r="1592" spans="1:4" x14ac:dyDescent="0.2">
      <c r="A1592">
        <v>4948</v>
      </c>
      <c r="B1592" s="10">
        <v>40661</v>
      </c>
      <c r="C1592" s="10">
        <v>40753</v>
      </c>
      <c r="D1592" s="10" t="s">
        <v>539</v>
      </c>
    </row>
    <row r="1593" spans="1:4" x14ac:dyDescent="0.2">
      <c r="A1593">
        <v>4957</v>
      </c>
      <c r="B1593" s="10">
        <v>219148</v>
      </c>
      <c r="C1593" s="10">
        <v>40667</v>
      </c>
      <c r="D1593" s="10" t="s">
        <v>270</v>
      </c>
    </row>
    <row r="1594" spans="1:4" x14ac:dyDescent="0.2">
      <c r="A1594">
        <v>4959</v>
      </c>
      <c r="B1594" s="10">
        <v>219148</v>
      </c>
      <c r="C1594" s="10">
        <v>40668</v>
      </c>
      <c r="D1594" s="10" t="s">
        <v>270</v>
      </c>
    </row>
    <row r="1595" spans="1:4" x14ac:dyDescent="0.2">
      <c r="A1595">
        <v>4964</v>
      </c>
      <c r="B1595" s="10">
        <v>36526</v>
      </c>
      <c r="C1595" s="10">
        <v>40668</v>
      </c>
      <c r="D1595" s="10" t="s">
        <v>538</v>
      </c>
    </row>
    <row r="1596" spans="1:4" x14ac:dyDescent="0.2">
      <c r="A1596">
        <v>4965</v>
      </c>
      <c r="B1596" s="10">
        <v>36526</v>
      </c>
      <c r="C1596" s="10">
        <v>40669</v>
      </c>
      <c r="D1596" s="10" t="s">
        <v>270</v>
      </c>
    </row>
    <row r="1597" spans="1:4" x14ac:dyDescent="0.2">
      <c r="A1597">
        <v>4966</v>
      </c>
      <c r="B1597" s="10">
        <v>36526</v>
      </c>
      <c r="C1597" s="10">
        <v>40724</v>
      </c>
      <c r="D1597" s="10" t="s">
        <v>539</v>
      </c>
    </row>
    <row r="1598" spans="1:4" x14ac:dyDescent="0.2">
      <c r="A1598">
        <v>4967</v>
      </c>
      <c r="B1598" s="10">
        <v>36526</v>
      </c>
      <c r="C1598" s="10">
        <v>40724</v>
      </c>
      <c r="D1598" s="10" t="s">
        <v>539</v>
      </c>
    </row>
    <row r="1599" spans="1:4" x14ac:dyDescent="0.2">
      <c r="A1599">
        <v>4968</v>
      </c>
      <c r="B1599" s="10">
        <v>40739</v>
      </c>
      <c r="C1599" s="10">
        <v>40869</v>
      </c>
      <c r="D1599" s="10" t="s">
        <v>268</v>
      </c>
    </row>
    <row r="1600" spans="1:4" x14ac:dyDescent="0.2">
      <c r="A1600">
        <v>4970</v>
      </c>
      <c r="B1600" s="10">
        <v>36526</v>
      </c>
      <c r="C1600" s="10">
        <v>40669</v>
      </c>
      <c r="D1600" s="10" t="s">
        <v>270</v>
      </c>
    </row>
    <row r="1601" spans="1:4" x14ac:dyDescent="0.2">
      <c r="A1601">
        <v>4972</v>
      </c>
      <c r="B1601" s="10">
        <v>36526</v>
      </c>
      <c r="C1601" s="10">
        <v>40669</v>
      </c>
      <c r="D1601" s="10" t="s">
        <v>270</v>
      </c>
    </row>
    <row r="1602" spans="1:4" x14ac:dyDescent="0.2">
      <c r="A1602">
        <v>4974</v>
      </c>
      <c r="B1602" s="10">
        <v>219148</v>
      </c>
      <c r="C1602" s="10">
        <v>40669</v>
      </c>
      <c r="D1602" s="10" t="s">
        <v>270</v>
      </c>
    </row>
    <row r="1603" spans="1:4" x14ac:dyDescent="0.2">
      <c r="A1603">
        <v>4975</v>
      </c>
      <c r="B1603" s="10">
        <v>219148</v>
      </c>
      <c r="C1603" s="10">
        <v>40669</v>
      </c>
      <c r="D1603" s="10" t="s">
        <v>270</v>
      </c>
    </row>
    <row r="1604" spans="1:4" x14ac:dyDescent="0.2">
      <c r="A1604">
        <v>4976</v>
      </c>
      <c r="B1604" s="10">
        <v>36526</v>
      </c>
      <c r="C1604" s="10">
        <v>40673</v>
      </c>
      <c r="D1604" s="10" t="s">
        <v>270</v>
      </c>
    </row>
    <row r="1605" spans="1:4" x14ac:dyDescent="0.2">
      <c r="A1605">
        <v>4977</v>
      </c>
      <c r="B1605" s="10">
        <v>36526</v>
      </c>
      <c r="C1605" s="10">
        <v>40687</v>
      </c>
      <c r="D1605" s="10" t="s">
        <v>270</v>
      </c>
    </row>
    <row r="1606" spans="1:4" x14ac:dyDescent="0.2">
      <c r="A1606">
        <v>4978</v>
      </c>
      <c r="B1606" s="10">
        <v>36526</v>
      </c>
      <c r="C1606" s="10">
        <v>40674</v>
      </c>
      <c r="D1606" s="10" t="s">
        <v>270</v>
      </c>
    </row>
    <row r="1607" spans="1:4" x14ac:dyDescent="0.2">
      <c r="A1607">
        <v>4979</v>
      </c>
      <c r="B1607" s="10">
        <v>36526</v>
      </c>
      <c r="C1607" s="10">
        <v>40674</v>
      </c>
      <c r="D1607" s="10" t="s">
        <v>270</v>
      </c>
    </row>
    <row r="1608" spans="1:4" x14ac:dyDescent="0.2">
      <c r="A1608">
        <v>4980</v>
      </c>
      <c r="B1608" s="10">
        <v>36526</v>
      </c>
      <c r="C1608" s="10">
        <v>40695</v>
      </c>
      <c r="D1608" s="10" t="s">
        <v>270</v>
      </c>
    </row>
    <row r="1609" spans="1:4" x14ac:dyDescent="0.2">
      <c r="A1609">
        <v>4984</v>
      </c>
      <c r="B1609" s="10">
        <v>219148</v>
      </c>
      <c r="C1609" s="10">
        <v>40674</v>
      </c>
      <c r="D1609" s="10" t="s">
        <v>270</v>
      </c>
    </row>
    <row r="1610" spans="1:4" x14ac:dyDescent="0.2">
      <c r="A1610">
        <v>4985</v>
      </c>
      <c r="B1610" s="10">
        <v>36526</v>
      </c>
      <c r="C1610" s="10">
        <v>40675</v>
      </c>
      <c r="D1610" s="10" t="s">
        <v>270</v>
      </c>
    </row>
    <row r="1611" spans="1:4" x14ac:dyDescent="0.2">
      <c r="A1611">
        <v>4990</v>
      </c>
      <c r="B1611" s="10">
        <v>36526</v>
      </c>
      <c r="C1611" s="10">
        <v>40753</v>
      </c>
      <c r="D1611" s="10" t="s">
        <v>539</v>
      </c>
    </row>
    <row r="1612" spans="1:4" x14ac:dyDescent="0.2">
      <c r="A1612">
        <v>4991</v>
      </c>
      <c r="B1612" s="10">
        <v>36526</v>
      </c>
      <c r="C1612" s="10">
        <v>40694</v>
      </c>
      <c r="D1612" s="10" t="s">
        <v>539</v>
      </c>
    </row>
    <row r="1613" spans="1:4" x14ac:dyDescent="0.2">
      <c r="A1613">
        <v>4992</v>
      </c>
      <c r="B1613" s="10">
        <v>36526</v>
      </c>
      <c r="C1613" s="10">
        <v>40694</v>
      </c>
      <c r="D1613" s="10" t="s">
        <v>539</v>
      </c>
    </row>
    <row r="1614" spans="1:4" x14ac:dyDescent="0.2">
      <c r="A1614">
        <v>4996</v>
      </c>
      <c r="B1614" s="10">
        <v>219148</v>
      </c>
      <c r="C1614" s="10">
        <v>40676</v>
      </c>
      <c r="D1614" s="10" t="s">
        <v>270</v>
      </c>
    </row>
    <row r="1615" spans="1:4" x14ac:dyDescent="0.2">
      <c r="A1615">
        <v>4997</v>
      </c>
      <c r="B1615" s="10">
        <v>219148</v>
      </c>
      <c r="C1615" s="10">
        <v>40676</v>
      </c>
      <c r="D1615" s="10" t="s">
        <v>270</v>
      </c>
    </row>
    <row r="1616" spans="1:4" x14ac:dyDescent="0.2">
      <c r="A1616">
        <v>4998</v>
      </c>
      <c r="B1616" s="10">
        <v>219148</v>
      </c>
      <c r="C1616" s="10">
        <v>40676</v>
      </c>
      <c r="D1616" s="10" t="s">
        <v>270</v>
      </c>
    </row>
    <row r="1617" spans="1:4" x14ac:dyDescent="0.2">
      <c r="A1617">
        <v>4999</v>
      </c>
      <c r="B1617" s="10">
        <v>219148</v>
      </c>
      <c r="C1617" s="10">
        <v>40676</v>
      </c>
      <c r="D1617" s="10" t="s">
        <v>270</v>
      </c>
    </row>
    <row r="1618" spans="1:4" x14ac:dyDescent="0.2">
      <c r="A1618">
        <v>5000</v>
      </c>
      <c r="B1618" s="10">
        <v>219148</v>
      </c>
      <c r="C1618" s="10">
        <v>40676</v>
      </c>
      <c r="D1618" s="10" t="s">
        <v>270</v>
      </c>
    </row>
    <row r="1619" spans="1:4" x14ac:dyDescent="0.2">
      <c r="A1619">
        <v>5002</v>
      </c>
      <c r="B1619" s="10">
        <v>219148</v>
      </c>
      <c r="C1619" s="10">
        <v>40676</v>
      </c>
      <c r="D1619" s="10" t="s">
        <v>270</v>
      </c>
    </row>
    <row r="1620" spans="1:4" x14ac:dyDescent="0.2">
      <c r="A1620">
        <v>5003</v>
      </c>
      <c r="B1620" s="10">
        <v>219148</v>
      </c>
      <c r="C1620" s="10">
        <v>40676</v>
      </c>
      <c r="D1620" s="10" t="s">
        <v>270</v>
      </c>
    </row>
    <row r="1621" spans="1:4" x14ac:dyDescent="0.2">
      <c r="A1621">
        <v>5004</v>
      </c>
      <c r="B1621" s="10">
        <v>219148</v>
      </c>
      <c r="C1621" s="10">
        <v>40679</v>
      </c>
      <c r="D1621" s="10" t="s">
        <v>270</v>
      </c>
    </row>
    <row r="1622" spans="1:4" x14ac:dyDescent="0.2">
      <c r="A1622">
        <v>5006</v>
      </c>
      <c r="B1622" s="10">
        <v>36526</v>
      </c>
      <c r="C1622" s="10">
        <v>40696</v>
      </c>
      <c r="D1622" s="10" t="s">
        <v>270</v>
      </c>
    </row>
    <row r="1623" spans="1:4" x14ac:dyDescent="0.2">
      <c r="A1623">
        <v>5007</v>
      </c>
      <c r="B1623" s="10">
        <v>219148</v>
      </c>
      <c r="C1623" s="10">
        <v>40679</v>
      </c>
      <c r="D1623" s="10" t="s">
        <v>270</v>
      </c>
    </row>
    <row r="1624" spans="1:4" x14ac:dyDescent="0.2">
      <c r="A1624">
        <v>5008</v>
      </c>
      <c r="B1624" s="10">
        <v>219148</v>
      </c>
      <c r="C1624" s="10">
        <v>40679</v>
      </c>
      <c r="D1624" s="10" t="s">
        <v>270</v>
      </c>
    </row>
    <row r="1625" spans="1:4" x14ac:dyDescent="0.2">
      <c r="A1625">
        <v>5009</v>
      </c>
      <c r="B1625" s="10">
        <v>219148</v>
      </c>
      <c r="C1625" s="10">
        <v>40679</v>
      </c>
      <c r="D1625" s="10" t="s">
        <v>270</v>
      </c>
    </row>
    <row r="1626" spans="1:4" x14ac:dyDescent="0.2">
      <c r="A1626">
        <v>5010</v>
      </c>
      <c r="B1626" s="10">
        <v>219148</v>
      </c>
      <c r="C1626" s="10">
        <v>40679</v>
      </c>
      <c r="D1626" s="10" t="s">
        <v>270</v>
      </c>
    </row>
    <row r="1627" spans="1:4" x14ac:dyDescent="0.2">
      <c r="A1627">
        <v>5011</v>
      </c>
      <c r="B1627" s="10">
        <v>219148</v>
      </c>
      <c r="C1627" s="10">
        <v>40679</v>
      </c>
      <c r="D1627" s="10" t="s">
        <v>270</v>
      </c>
    </row>
    <row r="1628" spans="1:4" x14ac:dyDescent="0.2">
      <c r="A1628">
        <v>5014</v>
      </c>
      <c r="B1628" s="10">
        <v>219148</v>
      </c>
      <c r="C1628" s="10">
        <v>40679</v>
      </c>
      <c r="D1628" s="10" t="s">
        <v>270</v>
      </c>
    </row>
    <row r="1629" spans="1:4" x14ac:dyDescent="0.2">
      <c r="A1629">
        <v>5015</v>
      </c>
      <c r="B1629" s="10">
        <v>219148</v>
      </c>
      <c r="C1629" s="10">
        <v>40679</v>
      </c>
      <c r="D1629" s="10" t="s">
        <v>270</v>
      </c>
    </row>
    <row r="1630" spans="1:4" x14ac:dyDescent="0.2">
      <c r="A1630">
        <v>5016</v>
      </c>
      <c r="B1630" s="10">
        <v>219148</v>
      </c>
      <c r="C1630" s="10">
        <v>40679</v>
      </c>
      <c r="D1630" s="10" t="s">
        <v>270</v>
      </c>
    </row>
    <row r="1631" spans="1:4" x14ac:dyDescent="0.2">
      <c r="A1631">
        <v>5017</v>
      </c>
      <c r="B1631" s="10">
        <v>219148</v>
      </c>
      <c r="C1631" s="10">
        <v>40679</v>
      </c>
      <c r="D1631" s="10" t="s">
        <v>270</v>
      </c>
    </row>
    <row r="1632" spans="1:4" x14ac:dyDescent="0.2">
      <c r="A1632">
        <v>5018</v>
      </c>
      <c r="B1632" s="10">
        <v>36526</v>
      </c>
      <c r="C1632" s="10">
        <v>40679</v>
      </c>
      <c r="D1632" s="10" t="s">
        <v>538</v>
      </c>
    </row>
    <row r="1633" spans="1:4" x14ac:dyDescent="0.2">
      <c r="A1633">
        <v>5019</v>
      </c>
      <c r="B1633" s="10">
        <v>36526</v>
      </c>
      <c r="C1633" s="10">
        <v>40679</v>
      </c>
      <c r="D1633" s="10" t="s">
        <v>538</v>
      </c>
    </row>
    <row r="1634" spans="1:4" x14ac:dyDescent="0.2">
      <c r="A1634">
        <v>5020</v>
      </c>
      <c r="B1634" s="10">
        <v>36526</v>
      </c>
      <c r="C1634" s="10">
        <v>40679</v>
      </c>
      <c r="D1634" s="10" t="s">
        <v>538</v>
      </c>
    </row>
    <row r="1635" spans="1:4" x14ac:dyDescent="0.2">
      <c r="A1635">
        <v>5021</v>
      </c>
      <c r="B1635" s="10">
        <v>36526</v>
      </c>
      <c r="C1635" s="10">
        <v>40679</v>
      </c>
      <c r="D1635" s="10" t="s">
        <v>538</v>
      </c>
    </row>
    <row r="1636" spans="1:4" x14ac:dyDescent="0.2">
      <c r="A1636">
        <v>5022</v>
      </c>
      <c r="B1636" s="10">
        <v>219148</v>
      </c>
      <c r="C1636" s="10">
        <v>40679</v>
      </c>
      <c r="D1636" s="10" t="s">
        <v>270</v>
      </c>
    </row>
    <row r="1637" spans="1:4" x14ac:dyDescent="0.2">
      <c r="A1637">
        <v>5023</v>
      </c>
      <c r="B1637" s="10">
        <v>36526</v>
      </c>
      <c r="C1637" s="10">
        <v>40680</v>
      </c>
      <c r="D1637" s="10" t="s">
        <v>270</v>
      </c>
    </row>
    <row r="1638" spans="1:4" x14ac:dyDescent="0.2">
      <c r="A1638">
        <v>5024</v>
      </c>
      <c r="B1638" s="10">
        <v>36526</v>
      </c>
      <c r="C1638" s="10">
        <v>40680</v>
      </c>
      <c r="D1638" s="10" t="s">
        <v>270</v>
      </c>
    </row>
    <row r="1639" spans="1:4" x14ac:dyDescent="0.2">
      <c r="A1639">
        <v>5025</v>
      </c>
      <c r="B1639" s="10">
        <v>36526</v>
      </c>
      <c r="C1639" s="10">
        <v>40680</v>
      </c>
      <c r="D1639" s="10" t="s">
        <v>270</v>
      </c>
    </row>
    <row r="1640" spans="1:4" x14ac:dyDescent="0.2">
      <c r="A1640">
        <v>5028</v>
      </c>
      <c r="B1640" s="10">
        <v>219148</v>
      </c>
      <c r="C1640" s="10">
        <v>40680</v>
      </c>
      <c r="D1640" s="10" t="s">
        <v>270</v>
      </c>
    </row>
    <row r="1641" spans="1:4" x14ac:dyDescent="0.2">
      <c r="A1641">
        <v>5029</v>
      </c>
      <c r="B1641" s="10">
        <v>219148</v>
      </c>
      <c r="C1641" s="10">
        <v>40680</v>
      </c>
      <c r="D1641" s="10" t="s">
        <v>270</v>
      </c>
    </row>
    <row r="1642" spans="1:4" x14ac:dyDescent="0.2">
      <c r="A1642">
        <v>5030</v>
      </c>
      <c r="B1642" s="10">
        <v>219148</v>
      </c>
      <c r="C1642" s="10">
        <v>40680</v>
      </c>
      <c r="D1642" s="10" t="s">
        <v>270</v>
      </c>
    </row>
    <row r="1643" spans="1:4" x14ac:dyDescent="0.2">
      <c r="A1643">
        <v>5031</v>
      </c>
      <c r="B1643" s="10">
        <v>219148</v>
      </c>
      <c r="C1643" s="10">
        <v>40680</v>
      </c>
      <c r="D1643" s="10" t="s">
        <v>270</v>
      </c>
    </row>
    <row r="1644" spans="1:4" x14ac:dyDescent="0.2">
      <c r="A1644">
        <v>5032</v>
      </c>
      <c r="B1644" s="10">
        <v>219148</v>
      </c>
      <c r="C1644" s="10">
        <v>40680</v>
      </c>
      <c r="D1644" s="10" t="s">
        <v>270</v>
      </c>
    </row>
    <row r="1645" spans="1:4" x14ac:dyDescent="0.2">
      <c r="A1645">
        <v>5033</v>
      </c>
      <c r="B1645" s="10">
        <v>219148</v>
      </c>
      <c r="C1645" s="10">
        <v>40680</v>
      </c>
      <c r="D1645" s="10" t="s">
        <v>270</v>
      </c>
    </row>
    <row r="1646" spans="1:4" x14ac:dyDescent="0.2">
      <c r="A1646">
        <v>5034</v>
      </c>
      <c r="B1646" s="10">
        <v>219148</v>
      </c>
      <c r="C1646" s="10">
        <v>40680</v>
      </c>
      <c r="D1646" s="10" t="s">
        <v>270</v>
      </c>
    </row>
    <row r="1647" spans="1:4" x14ac:dyDescent="0.2">
      <c r="A1647">
        <v>5035</v>
      </c>
      <c r="B1647" s="10">
        <v>219148</v>
      </c>
      <c r="C1647" s="10">
        <v>40680</v>
      </c>
      <c r="D1647" s="10" t="s">
        <v>270</v>
      </c>
    </row>
    <row r="1648" spans="1:4" x14ac:dyDescent="0.2">
      <c r="A1648">
        <v>5036</v>
      </c>
      <c r="B1648" s="10">
        <v>219148</v>
      </c>
      <c r="C1648" s="10">
        <v>40680</v>
      </c>
      <c r="D1648" s="10" t="s">
        <v>270</v>
      </c>
    </row>
    <row r="1649" spans="1:4" x14ac:dyDescent="0.2">
      <c r="A1649">
        <v>5037</v>
      </c>
      <c r="B1649" s="10">
        <v>36526</v>
      </c>
      <c r="C1649" s="10">
        <v>40681</v>
      </c>
      <c r="D1649" s="10" t="s">
        <v>270</v>
      </c>
    </row>
    <row r="1650" spans="1:4" x14ac:dyDescent="0.2">
      <c r="A1650">
        <v>5038</v>
      </c>
      <c r="B1650" s="10">
        <v>40724</v>
      </c>
      <c r="C1650" s="10">
        <v>40724</v>
      </c>
      <c r="D1650" s="10" t="s">
        <v>539</v>
      </c>
    </row>
    <row r="1651" spans="1:4" x14ac:dyDescent="0.2">
      <c r="A1651">
        <v>5042</v>
      </c>
      <c r="B1651" s="10">
        <v>219148</v>
      </c>
      <c r="C1651" s="10">
        <v>40694</v>
      </c>
      <c r="D1651" s="10" t="s">
        <v>270</v>
      </c>
    </row>
    <row r="1652" spans="1:4" x14ac:dyDescent="0.2">
      <c r="A1652">
        <v>5045</v>
      </c>
      <c r="B1652" s="10">
        <v>219148</v>
      </c>
      <c r="C1652" s="10">
        <v>40681</v>
      </c>
      <c r="D1652" s="10" t="s">
        <v>270</v>
      </c>
    </row>
    <row r="1653" spans="1:4" x14ac:dyDescent="0.2">
      <c r="A1653">
        <v>5046</v>
      </c>
      <c r="B1653" s="10">
        <v>219148</v>
      </c>
      <c r="C1653" s="10">
        <v>40681</v>
      </c>
      <c r="D1653" s="10" t="s">
        <v>270</v>
      </c>
    </row>
    <row r="1654" spans="1:4" x14ac:dyDescent="0.2">
      <c r="A1654">
        <v>5047</v>
      </c>
      <c r="B1654" s="10">
        <v>219148</v>
      </c>
      <c r="C1654" s="10">
        <v>40681</v>
      </c>
      <c r="D1654" s="10" t="s">
        <v>270</v>
      </c>
    </row>
    <row r="1655" spans="1:4" x14ac:dyDescent="0.2">
      <c r="A1655">
        <v>5048</v>
      </c>
      <c r="B1655" s="10">
        <v>219148</v>
      </c>
      <c r="C1655" s="10">
        <v>40681</v>
      </c>
      <c r="D1655" s="10" t="s">
        <v>270</v>
      </c>
    </row>
    <row r="1656" spans="1:4" x14ac:dyDescent="0.2">
      <c r="A1656">
        <v>5049</v>
      </c>
      <c r="B1656" s="10">
        <v>36526</v>
      </c>
      <c r="C1656" s="10">
        <v>40682</v>
      </c>
      <c r="D1656" s="10" t="s">
        <v>270</v>
      </c>
    </row>
    <row r="1657" spans="1:4" x14ac:dyDescent="0.2">
      <c r="A1657">
        <v>5050</v>
      </c>
      <c r="B1657" s="10">
        <v>36526</v>
      </c>
      <c r="C1657" s="10">
        <v>40682</v>
      </c>
      <c r="D1657" s="10" t="s">
        <v>270</v>
      </c>
    </row>
    <row r="1658" spans="1:4" x14ac:dyDescent="0.2">
      <c r="A1658">
        <v>5052</v>
      </c>
      <c r="B1658" s="10">
        <v>219148</v>
      </c>
      <c r="C1658" s="10">
        <v>40694</v>
      </c>
      <c r="D1658" s="10" t="s">
        <v>270</v>
      </c>
    </row>
    <row r="1659" spans="1:4" x14ac:dyDescent="0.2">
      <c r="A1659">
        <v>5053</v>
      </c>
      <c r="B1659" s="10">
        <v>36526</v>
      </c>
      <c r="C1659" s="10">
        <v>40682</v>
      </c>
      <c r="D1659" s="10" t="s">
        <v>538</v>
      </c>
    </row>
    <row r="1660" spans="1:4" x14ac:dyDescent="0.2">
      <c r="A1660">
        <v>5056</v>
      </c>
      <c r="B1660" s="10">
        <v>219148</v>
      </c>
      <c r="C1660" s="10">
        <v>40682</v>
      </c>
      <c r="D1660" s="10" t="s">
        <v>270</v>
      </c>
    </row>
    <row r="1661" spans="1:4" x14ac:dyDescent="0.2">
      <c r="A1661">
        <v>5057</v>
      </c>
      <c r="B1661" s="10">
        <v>219148</v>
      </c>
      <c r="C1661" s="10">
        <v>40682</v>
      </c>
      <c r="D1661" s="10" t="s">
        <v>270</v>
      </c>
    </row>
    <row r="1662" spans="1:4" x14ac:dyDescent="0.2">
      <c r="A1662">
        <v>5058</v>
      </c>
      <c r="B1662" s="10">
        <v>219148</v>
      </c>
      <c r="C1662" s="10">
        <v>40682</v>
      </c>
      <c r="D1662" s="10" t="s">
        <v>270</v>
      </c>
    </row>
    <row r="1663" spans="1:4" x14ac:dyDescent="0.2">
      <c r="A1663">
        <v>5059</v>
      </c>
      <c r="B1663" s="10">
        <v>219148</v>
      </c>
      <c r="C1663" s="10">
        <v>40682</v>
      </c>
      <c r="D1663" s="10" t="s">
        <v>270</v>
      </c>
    </row>
    <row r="1664" spans="1:4" x14ac:dyDescent="0.2">
      <c r="A1664">
        <v>5060</v>
      </c>
      <c r="B1664" s="10">
        <v>219148</v>
      </c>
      <c r="C1664" s="10">
        <v>40682</v>
      </c>
      <c r="D1664" s="10" t="s">
        <v>270</v>
      </c>
    </row>
    <row r="1665" spans="1:4" x14ac:dyDescent="0.2">
      <c r="A1665">
        <v>5062</v>
      </c>
      <c r="B1665" s="10">
        <v>219148</v>
      </c>
      <c r="C1665" s="10">
        <v>40683</v>
      </c>
      <c r="D1665" s="10" t="s">
        <v>270</v>
      </c>
    </row>
    <row r="1666" spans="1:4" x14ac:dyDescent="0.2">
      <c r="A1666">
        <v>5063</v>
      </c>
      <c r="B1666" s="10">
        <v>219148</v>
      </c>
      <c r="C1666" s="10">
        <v>40683</v>
      </c>
      <c r="D1666" s="10" t="s">
        <v>270</v>
      </c>
    </row>
    <row r="1667" spans="1:4" x14ac:dyDescent="0.2">
      <c r="A1667">
        <v>5064</v>
      </c>
      <c r="B1667" s="10">
        <v>219148</v>
      </c>
      <c r="C1667" s="10">
        <v>40683</v>
      </c>
      <c r="D1667" s="10" t="s">
        <v>270</v>
      </c>
    </row>
    <row r="1668" spans="1:4" x14ac:dyDescent="0.2">
      <c r="A1668">
        <v>5065</v>
      </c>
      <c r="B1668" s="10">
        <v>219148</v>
      </c>
      <c r="C1668" s="10">
        <v>40683</v>
      </c>
      <c r="D1668" s="10" t="s">
        <v>270</v>
      </c>
    </row>
    <row r="1669" spans="1:4" x14ac:dyDescent="0.2">
      <c r="A1669">
        <v>5066</v>
      </c>
      <c r="B1669" s="10">
        <v>219148</v>
      </c>
      <c r="C1669" s="10">
        <v>40683</v>
      </c>
      <c r="D1669" s="10" t="s">
        <v>270</v>
      </c>
    </row>
    <row r="1670" spans="1:4" x14ac:dyDescent="0.2">
      <c r="A1670">
        <v>5067</v>
      </c>
      <c r="B1670" s="10">
        <v>219148</v>
      </c>
      <c r="C1670" s="10">
        <v>40683</v>
      </c>
      <c r="D1670" s="10" t="s">
        <v>270</v>
      </c>
    </row>
    <row r="1671" spans="1:4" x14ac:dyDescent="0.2">
      <c r="A1671">
        <v>5068</v>
      </c>
      <c r="B1671" s="10">
        <v>219148</v>
      </c>
      <c r="C1671" s="10">
        <v>40683</v>
      </c>
      <c r="D1671" s="10" t="s">
        <v>270</v>
      </c>
    </row>
    <row r="1672" spans="1:4" x14ac:dyDescent="0.2">
      <c r="A1672">
        <v>5069</v>
      </c>
      <c r="B1672" s="10">
        <v>219148</v>
      </c>
      <c r="C1672" s="10">
        <v>40683</v>
      </c>
      <c r="D1672" s="10" t="s">
        <v>270</v>
      </c>
    </row>
    <row r="1673" spans="1:4" x14ac:dyDescent="0.2">
      <c r="A1673">
        <v>5070</v>
      </c>
      <c r="B1673" s="10">
        <v>219148</v>
      </c>
      <c r="C1673" s="10">
        <v>40683</v>
      </c>
      <c r="D1673" s="10" t="s">
        <v>270</v>
      </c>
    </row>
    <row r="1674" spans="1:4" x14ac:dyDescent="0.2">
      <c r="A1674">
        <v>5071</v>
      </c>
      <c r="B1674" s="10">
        <v>219148</v>
      </c>
      <c r="C1674" s="10">
        <v>40683</v>
      </c>
      <c r="D1674" s="10" t="s">
        <v>270</v>
      </c>
    </row>
    <row r="1675" spans="1:4" x14ac:dyDescent="0.2">
      <c r="A1675">
        <v>5072</v>
      </c>
      <c r="B1675" s="10">
        <v>219148</v>
      </c>
      <c r="C1675" s="10">
        <v>40683</v>
      </c>
      <c r="D1675" s="10" t="s">
        <v>270</v>
      </c>
    </row>
    <row r="1676" spans="1:4" x14ac:dyDescent="0.2">
      <c r="A1676">
        <v>5073</v>
      </c>
      <c r="B1676" s="10">
        <v>219148</v>
      </c>
      <c r="C1676" s="10">
        <v>40683</v>
      </c>
      <c r="D1676" s="10" t="s">
        <v>270</v>
      </c>
    </row>
    <row r="1677" spans="1:4" x14ac:dyDescent="0.2">
      <c r="A1677">
        <v>5074</v>
      </c>
      <c r="B1677" s="10">
        <v>219148</v>
      </c>
      <c r="C1677" s="10">
        <v>40686</v>
      </c>
      <c r="D1677" s="10" t="s">
        <v>270</v>
      </c>
    </row>
    <row r="1678" spans="1:4" x14ac:dyDescent="0.2">
      <c r="A1678">
        <v>5075</v>
      </c>
      <c r="B1678" s="10">
        <v>219148</v>
      </c>
      <c r="C1678" s="10">
        <v>40686</v>
      </c>
      <c r="D1678" s="10" t="s">
        <v>270</v>
      </c>
    </row>
    <row r="1679" spans="1:4" x14ac:dyDescent="0.2">
      <c r="A1679">
        <v>5077</v>
      </c>
      <c r="B1679" s="10">
        <v>219148</v>
      </c>
      <c r="C1679" s="10">
        <v>40686</v>
      </c>
      <c r="D1679" s="10" t="s">
        <v>270</v>
      </c>
    </row>
    <row r="1680" spans="1:4" x14ac:dyDescent="0.2">
      <c r="A1680">
        <v>5078</v>
      </c>
      <c r="B1680" s="10">
        <v>219148</v>
      </c>
      <c r="C1680" s="10">
        <v>40686</v>
      </c>
      <c r="D1680" s="10" t="s">
        <v>270</v>
      </c>
    </row>
    <row r="1681" spans="1:4" x14ac:dyDescent="0.2">
      <c r="A1681">
        <v>5079</v>
      </c>
      <c r="B1681" s="10">
        <v>219148</v>
      </c>
      <c r="C1681" s="10">
        <v>40686</v>
      </c>
      <c r="D1681" s="10" t="s">
        <v>270</v>
      </c>
    </row>
    <row r="1682" spans="1:4" x14ac:dyDescent="0.2">
      <c r="A1682">
        <v>5080</v>
      </c>
      <c r="B1682" s="10">
        <v>219148</v>
      </c>
      <c r="C1682" s="10">
        <v>40686</v>
      </c>
      <c r="D1682" s="10" t="s">
        <v>270</v>
      </c>
    </row>
    <row r="1683" spans="1:4" x14ac:dyDescent="0.2">
      <c r="A1683">
        <v>5081</v>
      </c>
      <c r="B1683" s="10">
        <v>219148</v>
      </c>
      <c r="C1683" s="10">
        <v>40686</v>
      </c>
      <c r="D1683" s="10" t="s">
        <v>270</v>
      </c>
    </row>
    <row r="1684" spans="1:4" x14ac:dyDescent="0.2">
      <c r="A1684">
        <v>5082</v>
      </c>
      <c r="B1684" s="10">
        <v>219148</v>
      </c>
      <c r="C1684" s="10">
        <v>40686</v>
      </c>
      <c r="D1684" s="10" t="s">
        <v>270</v>
      </c>
    </row>
    <row r="1685" spans="1:4" x14ac:dyDescent="0.2">
      <c r="A1685">
        <v>5083</v>
      </c>
      <c r="B1685" s="10">
        <v>219148</v>
      </c>
      <c r="C1685" s="10">
        <v>40686</v>
      </c>
      <c r="D1685" s="10" t="s">
        <v>270</v>
      </c>
    </row>
    <row r="1686" spans="1:4" x14ac:dyDescent="0.2">
      <c r="A1686">
        <v>5084</v>
      </c>
      <c r="B1686" s="10">
        <v>219148</v>
      </c>
      <c r="C1686" s="10">
        <v>40686</v>
      </c>
      <c r="D1686" s="10" t="s">
        <v>270</v>
      </c>
    </row>
    <row r="1687" spans="1:4" x14ac:dyDescent="0.2">
      <c r="A1687">
        <v>5085</v>
      </c>
      <c r="B1687" s="10">
        <v>219148</v>
      </c>
      <c r="C1687" s="10">
        <v>40686</v>
      </c>
      <c r="D1687" s="10" t="s">
        <v>270</v>
      </c>
    </row>
    <row r="1688" spans="1:4" x14ac:dyDescent="0.2">
      <c r="A1688">
        <v>5086</v>
      </c>
      <c r="B1688" s="10">
        <v>219148</v>
      </c>
      <c r="C1688" s="10">
        <v>40686</v>
      </c>
      <c r="D1688" s="10" t="s">
        <v>270</v>
      </c>
    </row>
    <row r="1689" spans="1:4" x14ac:dyDescent="0.2">
      <c r="A1689">
        <v>5087</v>
      </c>
      <c r="B1689" s="10">
        <v>219148</v>
      </c>
      <c r="C1689" s="10">
        <v>40686</v>
      </c>
      <c r="D1689" s="10" t="s">
        <v>270</v>
      </c>
    </row>
    <row r="1690" spans="1:4" x14ac:dyDescent="0.2">
      <c r="A1690">
        <v>5088</v>
      </c>
      <c r="B1690" s="10">
        <v>219148</v>
      </c>
      <c r="C1690" s="10">
        <v>40686</v>
      </c>
      <c r="D1690" s="10" t="s">
        <v>270</v>
      </c>
    </row>
    <row r="1691" spans="1:4" x14ac:dyDescent="0.2">
      <c r="A1691">
        <v>5089</v>
      </c>
      <c r="B1691" s="10">
        <v>219148</v>
      </c>
      <c r="C1691" s="10">
        <v>40687</v>
      </c>
      <c r="D1691" s="10" t="s">
        <v>270</v>
      </c>
    </row>
    <row r="1692" spans="1:4" x14ac:dyDescent="0.2">
      <c r="A1692">
        <v>5090</v>
      </c>
      <c r="B1692" s="10">
        <v>219148</v>
      </c>
      <c r="C1692" s="10">
        <v>40687</v>
      </c>
      <c r="D1692" s="10" t="s">
        <v>270</v>
      </c>
    </row>
    <row r="1693" spans="1:4" x14ac:dyDescent="0.2">
      <c r="A1693">
        <v>5091</v>
      </c>
      <c r="B1693" s="10">
        <v>219148</v>
      </c>
      <c r="C1693" s="10">
        <v>40687</v>
      </c>
      <c r="D1693" s="10" t="s">
        <v>270</v>
      </c>
    </row>
    <row r="1694" spans="1:4" x14ac:dyDescent="0.2">
      <c r="A1694">
        <v>5092</v>
      </c>
      <c r="B1694" s="10">
        <v>219148</v>
      </c>
      <c r="C1694" s="10">
        <v>40687</v>
      </c>
      <c r="D1694" s="10" t="s">
        <v>270</v>
      </c>
    </row>
    <row r="1695" spans="1:4" x14ac:dyDescent="0.2">
      <c r="A1695">
        <v>5093</v>
      </c>
      <c r="B1695" s="10">
        <v>219148</v>
      </c>
      <c r="C1695" s="10">
        <v>40687</v>
      </c>
      <c r="D1695" s="10" t="s">
        <v>270</v>
      </c>
    </row>
    <row r="1696" spans="1:4" x14ac:dyDescent="0.2">
      <c r="A1696">
        <v>5094</v>
      </c>
      <c r="B1696" s="10">
        <v>219148</v>
      </c>
      <c r="C1696" s="10">
        <v>40687</v>
      </c>
      <c r="D1696" s="10" t="s">
        <v>270</v>
      </c>
    </row>
    <row r="1697" spans="1:4" x14ac:dyDescent="0.2">
      <c r="A1697">
        <v>5095</v>
      </c>
      <c r="B1697" s="10">
        <v>219148</v>
      </c>
      <c r="C1697" s="10">
        <v>40687</v>
      </c>
      <c r="D1697" s="10" t="s">
        <v>270</v>
      </c>
    </row>
    <row r="1698" spans="1:4" x14ac:dyDescent="0.2">
      <c r="A1698">
        <v>5096</v>
      </c>
      <c r="B1698" s="10">
        <v>219148</v>
      </c>
      <c r="C1698" s="10">
        <v>40687</v>
      </c>
      <c r="D1698" s="10" t="s">
        <v>270</v>
      </c>
    </row>
    <row r="1699" spans="1:4" x14ac:dyDescent="0.2">
      <c r="A1699">
        <v>5097</v>
      </c>
      <c r="B1699" s="10">
        <v>219148</v>
      </c>
      <c r="C1699" s="10">
        <v>40687</v>
      </c>
      <c r="D1699" s="10" t="s">
        <v>270</v>
      </c>
    </row>
    <row r="1700" spans="1:4" x14ac:dyDescent="0.2">
      <c r="A1700">
        <v>5098</v>
      </c>
      <c r="B1700" s="10">
        <v>219148</v>
      </c>
      <c r="C1700" s="10">
        <v>40687</v>
      </c>
      <c r="D1700" s="10" t="s">
        <v>270</v>
      </c>
    </row>
    <row r="1701" spans="1:4" x14ac:dyDescent="0.2">
      <c r="A1701">
        <v>5099</v>
      </c>
      <c r="B1701" s="10">
        <v>219148</v>
      </c>
      <c r="C1701" s="10">
        <v>40687</v>
      </c>
      <c r="D1701" s="10" t="s">
        <v>270</v>
      </c>
    </row>
    <row r="1702" spans="1:4" x14ac:dyDescent="0.2">
      <c r="A1702">
        <v>5101</v>
      </c>
      <c r="B1702" s="10">
        <v>40791</v>
      </c>
      <c r="C1702" s="10">
        <v>40724</v>
      </c>
      <c r="D1702" s="10" t="s">
        <v>539</v>
      </c>
    </row>
    <row r="1703" spans="1:4" x14ac:dyDescent="0.2">
      <c r="A1703">
        <v>5103</v>
      </c>
      <c r="B1703" s="10">
        <v>36526</v>
      </c>
      <c r="C1703" s="10">
        <v>40688</v>
      </c>
      <c r="D1703" s="10" t="s">
        <v>270</v>
      </c>
    </row>
    <row r="1704" spans="1:4" x14ac:dyDescent="0.2">
      <c r="A1704">
        <v>5104</v>
      </c>
      <c r="B1704" s="10">
        <v>36526</v>
      </c>
      <c r="C1704" s="10">
        <v>40688</v>
      </c>
      <c r="D1704" s="10" t="s">
        <v>270</v>
      </c>
    </row>
    <row r="1705" spans="1:4" x14ac:dyDescent="0.2">
      <c r="A1705">
        <v>5105</v>
      </c>
      <c r="B1705" s="10">
        <v>36526</v>
      </c>
      <c r="C1705" s="10">
        <v>40688</v>
      </c>
      <c r="D1705" s="10" t="s">
        <v>538</v>
      </c>
    </row>
    <row r="1706" spans="1:4" x14ac:dyDescent="0.2">
      <c r="A1706">
        <v>5106</v>
      </c>
      <c r="B1706" s="10">
        <v>219148</v>
      </c>
      <c r="C1706" s="10">
        <v>40688</v>
      </c>
      <c r="D1706" s="10" t="s">
        <v>270</v>
      </c>
    </row>
    <row r="1707" spans="1:4" x14ac:dyDescent="0.2">
      <c r="A1707">
        <v>5107</v>
      </c>
      <c r="B1707" s="10">
        <v>219148</v>
      </c>
      <c r="C1707" s="10">
        <v>40688</v>
      </c>
      <c r="D1707" s="10" t="s">
        <v>270</v>
      </c>
    </row>
    <row r="1708" spans="1:4" x14ac:dyDescent="0.2">
      <c r="A1708">
        <v>5109</v>
      </c>
      <c r="B1708" s="10">
        <v>219148</v>
      </c>
      <c r="C1708" s="10">
        <v>40688</v>
      </c>
      <c r="D1708" s="10" t="s">
        <v>270</v>
      </c>
    </row>
    <row r="1709" spans="1:4" x14ac:dyDescent="0.2">
      <c r="A1709">
        <v>5110</v>
      </c>
      <c r="B1709" s="10">
        <v>219148</v>
      </c>
      <c r="C1709" s="10">
        <v>40688</v>
      </c>
      <c r="D1709" s="10" t="s">
        <v>270</v>
      </c>
    </row>
    <row r="1710" spans="1:4" x14ac:dyDescent="0.2">
      <c r="A1710">
        <v>5111</v>
      </c>
      <c r="B1710" s="10">
        <v>219148</v>
      </c>
      <c r="C1710" s="10">
        <v>40688</v>
      </c>
      <c r="D1710" s="10" t="s">
        <v>270</v>
      </c>
    </row>
    <row r="1711" spans="1:4" x14ac:dyDescent="0.2">
      <c r="A1711">
        <v>5112</v>
      </c>
      <c r="B1711" s="10">
        <v>219148</v>
      </c>
      <c r="C1711" s="10">
        <v>40688</v>
      </c>
      <c r="D1711" s="10" t="s">
        <v>270</v>
      </c>
    </row>
    <row r="1712" spans="1:4" x14ac:dyDescent="0.2">
      <c r="A1712">
        <v>5113</v>
      </c>
      <c r="B1712" s="10">
        <v>219148</v>
      </c>
      <c r="C1712" s="10">
        <v>40688</v>
      </c>
      <c r="D1712" s="10" t="s">
        <v>270</v>
      </c>
    </row>
    <row r="1713" spans="1:4" x14ac:dyDescent="0.2">
      <c r="A1713">
        <v>5114</v>
      </c>
      <c r="B1713" s="10">
        <v>219148</v>
      </c>
      <c r="C1713" s="10">
        <v>40688</v>
      </c>
      <c r="D1713" s="10" t="s">
        <v>270</v>
      </c>
    </row>
    <row r="1714" spans="1:4" x14ac:dyDescent="0.2">
      <c r="A1714">
        <v>5115</v>
      </c>
      <c r="B1714" s="10">
        <v>219148</v>
      </c>
      <c r="C1714" s="10">
        <v>40688</v>
      </c>
      <c r="D1714" s="10" t="s">
        <v>270</v>
      </c>
    </row>
    <row r="1715" spans="1:4" x14ac:dyDescent="0.2">
      <c r="A1715">
        <v>5116</v>
      </c>
      <c r="B1715" s="10">
        <v>219148</v>
      </c>
      <c r="C1715" s="10">
        <v>40688</v>
      </c>
      <c r="D1715" s="10" t="s">
        <v>270</v>
      </c>
    </row>
    <row r="1716" spans="1:4" x14ac:dyDescent="0.2">
      <c r="A1716">
        <v>5117</v>
      </c>
      <c r="B1716" s="10">
        <v>219148</v>
      </c>
      <c r="C1716" s="10">
        <v>40688</v>
      </c>
      <c r="D1716" s="10" t="s">
        <v>270</v>
      </c>
    </row>
    <row r="1717" spans="1:4" x14ac:dyDescent="0.2">
      <c r="A1717">
        <v>5118</v>
      </c>
      <c r="B1717" s="10">
        <v>219148</v>
      </c>
      <c r="C1717" s="10">
        <v>40688</v>
      </c>
      <c r="D1717" s="10" t="s">
        <v>270</v>
      </c>
    </row>
    <row r="1718" spans="1:4" x14ac:dyDescent="0.2">
      <c r="A1718">
        <v>5119</v>
      </c>
      <c r="B1718" s="10">
        <v>219148</v>
      </c>
      <c r="C1718" s="10">
        <v>40688</v>
      </c>
      <c r="D1718" s="10" t="s">
        <v>270</v>
      </c>
    </row>
    <row r="1719" spans="1:4" x14ac:dyDescent="0.2">
      <c r="A1719">
        <v>5120</v>
      </c>
      <c r="B1719" s="10">
        <v>219148</v>
      </c>
      <c r="C1719" s="10">
        <v>40688</v>
      </c>
      <c r="D1719" s="10" t="s">
        <v>270</v>
      </c>
    </row>
    <row r="1720" spans="1:4" x14ac:dyDescent="0.2">
      <c r="A1720">
        <v>5121</v>
      </c>
      <c r="B1720" s="10">
        <v>219148</v>
      </c>
      <c r="C1720" s="10">
        <v>40688</v>
      </c>
      <c r="D1720" s="10" t="s">
        <v>270</v>
      </c>
    </row>
    <row r="1721" spans="1:4" x14ac:dyDescent="0.2">
      <c r="A1721">
        <v>5122</v>
      </c>
      <c r="B1721" s="10">
        <v>219148</v>
      </c>
      <c r="C1721" s="10">
        <v>40689</v>
      </c>
      <c r="D1721" s="10" t="s">
        <v>270</v>
      </c>
    </row>
    <row r="1722" spans="1:4" x14ac:dyDescent="0.2">
      <c r="A1722">
        <v>5125</v>
      </c>
      <c r="B1722" s="10">
        <v>219148</v>
      </c>
      <c r="C1722" s="10">
        <v>40689</v>
      </c>
      <c r="D1722" s="10" t="s">
        <v>270</v>
      </c>
    </row>
    <row r="1723" spans="1:4" x14ac:dyDescent="0.2">
      <c r="A1723">
        <v>5126</v>
      </c>
      <c r="B1723" s="10">
        <v>219148</v>
      </c>
      <c r="C1723" s="10">
        <v>40689</v>
      </c>
      <c r="D1723" s="10" t="s">
        <v>270</v>
      </c>
    </row>
    <row r="1724" spans="1:4" x14ac:dyDescent="0.2">
      <c r="A1724">
        <v>5127</v>
      </c>
      <c r="B1724" s="10">
        <v>219148</v>
      </c>
      <c r="C1724" s="10">
        <v>40689</v>
      </c>
      <c r="D1724" s="10" t="s">
        <v>270</v>
      </c>
    </row>
    <row r="1725" spans="1:4" x14ac:dyDescent="0.2">
      <c r="A1725">
        <v>5128</v>
      </c>
      <c r="B1725" s="10">
        <v>219148</v>
      </c>
      <c r="C1725" s="10">
        <v>40689</v>
      </c>
      <c r="D1725" s="10" t="s">
        <v>270</v>
      </c>
    </row>
    <row r="1726" spans="1:4" x14ac:dyDescent="0.2">
      <c r="A1726">
        <v>5129</v>
      </c>
      <c r="B1726" s="10">
        <v>219148</v>
      </c>
      <c r="C1726" s="10">
        <v>40689</v>
      </c>
      <c r="D1726" s="10" t="s">
        <v>270</v>
      </c>
    </row>
    <row r="1727" spans="1:4" x14ac:dyDescent="0.2">
      <c r="A1727">
        <v>5130</v>
      </c>
      <c r="B1727" s="10">
        <v>219148</v>
      </c>
      <c r="C1727" s="10">
        <v>40689</v>
      </c>
      <c r="D1727" s="10" t="s">
        <v>270</v>
      </c>
    </row>
    <row r="1728" spans="1:4" x14ac:dyDescent="0.2">
      <c r="A1728">
        <v>5131</v>
      </c>
      <c r="B1728" s="10">
        <v>219148</v>
      </c>
      <c r="C1728" s="10">
        <v>40689</v>
      </c>
      <c r="D1728" s="10" t="s">
        <v>270</v>
      </c>
    </row>
    <row r="1729" spans="1:4" x14ac:dyDescent="0.2">
      <c r="A1729">
        <v>5132</v>
      </c>
      <c r="B1729" s="10">
        <v>219148</v>
      </c>
      <c r="C1729" s="10">
        <v>40689</v>
      </c>
      <c r="D1729" s="10" t="s">
        <v>270</v>
      </c>
    </row>
    <row r="1730" spans="1:4" x14ac:dyDescent="0.2">
      <c r="A1730">
        <v>5133</v>
      </c>
      <c r="B1730" s="10">
        <v>219148</v>
      </c>
      <c r="C1730" s="10">
        <v>40689</v>
      </c>
      <c r="D1730" s="10" t="s">
        <v>270</v>
      </c>
    </row>
    <row r="1731" spans="1:4" x14ac:dyDescent="0.2">
      <c r="A1731">
        <v>5134</v>
      </c>
      <c r="B1731" s="10">
        <v>219148</v>
      </c>
      <c r="C1731" s="10">
        <v>40689</v>
      </c>
      <c r="D1731" s="10" t="s">
        <v>270</v>
      </c>
    </row>
    <row r="1732" spans="1:4" x14ac:dyDescent="0.2">
      <c r="A1732">
        <v>5135</v>
      </c>
      <c r="B1732" s="10">
        <v>219148</v>
      </c>
      <c r="C1732" s="10">
        <v>40689</v>
      </c>
      <c r="D1732" s="10" t="s">
        <v>270</v>
      </c>
    </row>
    <row r="1733" spans="1:4" x14ac:dyDescent="0.2">
      <c r="A1733">
        <v>5136</v>
      </c>
      <c r="B1733" s="10">
        <v>219148</v>
      </c>
      <c r="C1733" s="10">
        <v>40689</v>
      </c>
      <c r="D1733" s="10" t="s">
        <v>270</v>
      </c>
    </row>
    <row r="1734" spans="1:4" x14ac:dyDescent="0.2">
      <c r="A1734">
        <v>5137</v>
      </c>
      <c r="B1734" s="10">
        <v>219148</v>
      </c>
      <c r="C1734" s="10">
        <v>40689</v>
      </c>
      <c r="D1734" s="10" t="s">
        <v>270</v>
      </c>
    </row>
    <row r="1735" spans="1:4" x14ac:dyDescent="0.2">
      <c r="A1735">
        <v>5138</v>
      </c>
      <c r="B1735" s="10">
        <v>219148</v>
      </c>
      <c r="C1735" s="10">
        <v>40689</v>
      </c>
      <c r="D1735" s="10" t="s">
        <v>270</v>
      </c>
    </row>
    <row r="1736" spans="1:4" x14ac:dyDescent="0.2">
      <c r="A1736">
        <v>5139</v>
      </c>
      <c r="B1736" s="10">
        <v>219148</v>
      </c>
      <c r="C1736" s="10">
        <v>40689</v>
      </c>
      <c r="D1736" s="10" t="s">
        <v>270</v>
      </c>
    </row>
    <row r="1737" spans="1:4" x14ac:dyDescent="0.2">
      <c r="A1737">
        <v>5140</v>
      </c>
      <c r="B1737" s="10">
        <v>219148</v>
      </c>
      <c r="C1737" s="10">
        <v>40690</v>
      </c>
      <c r="D1737" s="10" t="s">
        <v>270</v>
      </c>
    </row>
    <row r="1738" spans="1:4" x14ac:dyDescent="0.2">
      <c r="A1738">
        <v>5147</v>
      </c>
      <c r="B1738" s="10">
        <v>219148</v>
      </c>
      <c r="C1738" s="10">
        <v>40690</v>
      </c>
      <c r="D1738" s="10" t="s">
        <v>270</v>
      </c>
    </row>
    <row r="1739" spans="1:4" x14ac:dyDescent="0.2">
      <c r="A1739">
        <v>5148</v>
      </c>
      <c r="B1739" s="10">
        <v>219148</v>
      </c>
      <c r="C1739" s="10">
        <v>40690</v>
      </c>
      <c r="D1739" s="10" t="s">
        <v>270</v>
      </c>
    </row>
    <row r="1740" spans="1:4" x14ac:dyDescent="0.2">
      <c r="A1740">
        <v>5149</v>
      </c>
      <c r="B1740" s="10">
        <v>219148</v>
      </c>
      <c r="C1740" s="10">
        <v>40690</v>
      </c>
      <c r="D1740" s="10" t="s">
        <v>270</v>
      </c>
    </row>
    <row r="1741" spans="1:4" x14ac:dyDescent="0.2">
      <c r="A1741">
        <v>5150</v>
      </c>
      <c r="B1741" s="10">
        <v>219148</v>
      </c>
      <c r="C1741" s="10">
        <v>40694</v>
      </c>
      <c r="D1741" s="10" t="s">
        <v>270</v>
      </c>
    </row>
    <row r="1742" spans="1:4" x14ac:dyDescent="0.2">
      <c r="A1742">
        <v>5151</v>
      </c>
      <c r="B1742" s="10">
        <v>219148</v>
      </c>
      <c r="C1742" s="10">
        <v>40694</v>
      </c>
      <c r="D1742" s="10" t="s">
        <v>270</v>
      </c>
    </row>
    <row r="1743" spans="1:4" x14ac:dyDescent="0.2">
      <c r="A1743">
        <v>5152</v>
      </c>
      <c r="B1743" s="10">
        <v>40693</v>
      </c>
      <c r="C1743" s="10">
        <v>40694</v>
      </c>
      <c r="D1743" s="10" t="s">
        <v>539</v>
      </c>
    </row>
    <row r="1744" spans="1:4" x14ac:dyDescent="0.2">
      <c r="A1744">
        <v>5153</v>
      </c>
      <c r="B1744" s="10">
        <v>219148</v>
      </c>
      <c r="C1744" s="10">
        <v>40694</v>
      </c>
      <c r="D1744" s="10" t="s">
        <v>270</v>
      </c>
    </row>
    <row r="1745" spans="1:4" x14ac:dyDescent="0.2">
      <c r="A1745">
        <v>5154</v>
      </c>
      <c r="B1745" s="10">
        <v>36526</v>
      </c>
      <c r="C1745" s="10">
        <v>40694</v>
      </c>
      <c r="D1745" s="10" t="s">
        <v>270</v>
      </c>
    </row>
    <row r="1746" spans="1:4" x14ac:dyDescent="0.2">
      <c r="A1746">
        <v>5155</v>
      </c>
      <c r="B1746" s="10">
        <v>219148</v>
      </c>
      <c r="C1746" s="10">
        <v>40694</v>
      </c>
      <c r="D1746" s="10" t="s">
        <v>270</v>
      </c>
    </row>
    <row r="1747" spans="1:4" x14ac:dyDescent="0.2">
      <c r="A1747">
        <v>5156</v>
      </c>
      <c r="B1747" s="10">
        <v>219148</v>
      </c>
      <c r="C1747" s="10">
        <v>40694</v>
      </c>
      <c r="D1747" s="10" t="s">
        <v>270</v>
      </c>
    </row>
    <row r="1748" spans="1:4" x14ac:dyDescent="0.2">
      <c r="A1748">
        <v>5157</v>
      </c>
      <c r="B1748" s="10">
        <v>219148</v>
      </c>
      <c r="C1748" s="10">
        <v>40694</v>
      </c>
      <c r="D1748" s="10" t="s">
        <v>270</v>
      </c>
    </row>
    <row r="1749" spans="1:4" x14ac:dyDescent="0.2">
      <c r="A1749">
        <v>5163</v>
      </c>
      <c r="B1749" s="10">
        <v>219148</v>
      </c>
      <c r="C1749" s="10">
        <v>40694</v>
      </c>
      <c r="D1749" s="10" t="s">
        <v>270</v>
      </c>
    </row>
    <row r="1750" spans="1:4" x14ac:dyDescent="0.2">
      <c r="A1750">
        <v>5164</v>
      </c>
      <c r="B1750" s="10">
        <v>219148</v>
      </c>
      <c r="C1750" s="10">
        <v>40694</v>
      </c>
      <c r="D1750" s="10" t="s">
        <v>270</v>
      </c>
    </row>
    <row r="1751" spans="1:4" x14ac:dyDescent="0.2">
      <c r="A1751">
        <v>5165</v>
      </c>
      <c r="B1751" s="10">
        <v>219148</v>
      </c>
      <c r="C1751" s="10">
        <v>40694</v>
      </c>
      <c r="D1751" s="10" t="s">
        <v>270</v>
      </c>
    </row>
    <row r="1752" spans="1:4" x14ac:dyDescent="0.2">
      <c r="A1752">
        <v>5166</v>
      </c>
      <c r="B1752" s="10">
        <v>219148</v>
      </c>
      <c r="C1752" s="10">
        <v>40694</v>
      </c>
      <c r="D1752" s="10" t="s">
        <v>270</v>
      </c>
    </row>
    <row r="1753" spans="1:4" x14ac:dyDescent="0.2">
      <c r="A1753">
        <v>5167</v>
      </c>
      <c r="B1753" s="10">
        <v>219148</v>
      </c>
      <c r="C1753" s="10">
        <v>40694</v>
      </c>
      <c r="D1753" s="10" t="s">
        <v>270</v>
      </c>
    </row>
    <row r="1754" spans="1:4" x14ac:dyDescent="0.2">
      <c r="A1754">
        <v>5168</v>
      </c>
      <c r="B1754" s="10">
        <v>219148</v>
      </c>
      <c r="C1754" s="10">
        <v>40694</v>
      </c>
      <c r="D1754" s="10" t="s">
        <v>270</v>
      </c>
    </row>
    <row r="1755" spans="1:4" x14ac:dyDescent="0.2">
      <c r="A1755">
        <v>5169</v>
      </c>
      <c r="B1755" s="10">
        <v>219148</v>
      </c>
      <c r="C1755" s="10">
        <v>40694</v>
      </c>
      <c r="D1755" s="10" t="s">
        <v>270</v>
      </c>
    </row>
    <row r="1756" spans="1:4" x14ac:dyDescent="0.2">
      <c r="A1756">
        <v>5170</v>
      </c>
      <c r="B1756" s="10">
        <v>219148</v>
      </c>
      <c r="C1756" s="10">
        <v>40694</v>
      </c>
      <c r="D1756" s="10" t="s">
        <v>270</v>
      </c>
    </row>
    <row r="1757" spans="1:4" x14ac:dyDescent="0.2">
      <c r="A1757">
        <v>5171</v>
      </c>
      <c r="B1757" s="10">
        <v>219148</v>
      </c>
      <c r="C1757" s="10">
        <v>40694</v>
      </c>
      <c r="D1757" s="10" t="s">
        <v>270</v>
      </c>
    </row>
    <row r="1758" spans="1:4" x14ac:dyDescent="0.2">
      <c r="A1758">
        <v>5172</v>
      </c>
      <c r="B1758" s="10">
        <v>219148</v>
      </c>
      <c r="C1758" s="10">
        <v>40694</v>
      </c>
      <c r="D1758" s="10" t="s">
        <v>270</v>
      </c>
    </row>
    <row r="1759" spans="1:4" x14ac:dyDescent="0.2">
      <c r="A1759">
        <v>5173</v>
      </c>
      <c r="B1759" s="10">
        <v>219148</v>
      </c>
      <c r="C1759" s="10">
        <v>40694</v>
      </c>
      <c r="D1759" s="10" t="s">
        <v>270</v>
      </c>
    </row>
    <row r="1760" spans="1:4" x14ac:dyDescent="0.2">
      <c r="A1760">
        <v>5174</v>
      </c>
      <c r="B1760" s="10">
        <v>219148</v>
      </c>
      <c r="C1760" s="10">
        <v>40694</v>
      </c>
      <c r="D1760" s="10" t="s">
        <v>270</v>
      </c>
    </row>
    <row r="1761" spans="1:4" x14ac:dyDescent="0.2">
      <c r="A1761">
        <v>5175</v>
      </c>
      <c r="B1761" s="10">
        <v>219148</v>
      </c>
      <c r="C1761" s="10">
        <v>40694</v>
      </c>
      <c r="D1761" s="10" t="s">
        <v>270</v>
      </c>
    </row>
    <row r="1762" spans="1:4" x14ac:dyDescent="0.2">
      <c r="A1762">
        <v>5176</v>
      </c>
      <c r="B1762" s="10">
        <v>219148</v>
      </c>
      <c r="C1762" s="10">
        <v>40694</v>
      </c>
      <c r="D1762" s="10" t="s">
        <v>270</v>
      </c>
    </row>
    <row r="1763" spans="1:4" x14ac:dyDescent="0.2">
      <c r="A1763">
        <v>5177</v>
      </c>
      <c r="B1763" s="10">
        <v>219148</v>
      </c>
      <c r="C1763" s="10">
        <v>40694</v>
      </c>
      <c r="D1763" s="10" t="s">
        <v>270</v>
      </c>
    </row>
    <row r="1764" spans="1:4" x14ac:dyDescent="0.2">
      <c r="A1764">
        <v>5178</v>
      </c>
      <c r="B1764" s="10">
        <v>219148</v>
      </c>
      <c r="C1764" s="10">
        <v>40694</v>
      </c>
      <c r="D1764" s="10" t="s">
        <v>270</v>
      </c>
    </row>
    <row r="1765" spans="1:4" x14ac:dyDescent="0.2">
      <c r="A1765">
        <v>5179</v>
      </c>
      <c r="B1765" s="10">
        <v>219148</v>
      </c>
      <c r="C1765" s="10">
        <v>40694</v>
      </c>
      <c r="D1765" s="10" t="s">
        <v>270</v>
      </c>
    </row>
    <row r="1766" spans="1:4" x14ac:dyDescent="0.2">
      <c r="A1766">
        <v>5180</v>
      </c>
      <c r="B1766" s="10">
        <v>219148</v>
      </c>
      <c r="C1766" s="10">
        <v>40694</v>
      </c>
      <c r="D1766" s="10" t="s">
        <v>270</v>
      </c>
    </row>
    <row r="1767" spans="1:4" x14ac:dyDescent="0.2">
      <c r="A1767">
        <v>5181</v>
      </c>
      <c r="B1767" s="10">
        <v>219148</v>
      </c>
      <c r="C1767" s="10">
        <v>40694</v>
      </c>
      <c r="D1767" s="10" t="s">
        <v>270</v>
      </c>
    </row>
    <row r="1768" spans="1:4" x14ac:dyDescent="0.2">
      <c r="A1768">
        <v>5182</v>
      </c>
      <c r="B1768" s="10">
        <v>219148</v>
      </c>
      <c r="C1768" s="10">
        <v>40694</v>
      </c>
      <c r="D1768" s="10" t="s">
        <v>270</v>
      </c>
    </row>
    <row r="1769" spans="1:4" x14ac:dyDescent="0.2">
      <c r="A1769">
        <v>5183</v>
      </c>
      <c r="B1769" s="10">
        <v>219148</v>
      </c>
      <c r="C1769" s="10">
        <v>40694</v>
      </c>
      <c r="D1769" s="10" t="s">
        <v>270</v>
      </c>
    </row>
    <row r="1770" spans="1:4" x14ac:dyDescent="0.2">
      <c r="A1770">
        <v>5184</v>
      </c>
      <c r="B1770" s="10">
        <v>36526</v>
      </c>
      <c r="C1770" s="10">
        <v>40841</v>
      </c>
      <c r="D1770" s="10" t="s">
        <v>273</v>
      </c>
    </row>
    <row r="1771" spans="1:4" x14ac:dyDescent="0.2">
      <c r="A1771">
        <v>5186</v>
      </c>
      <c r="B1771" s="10">
        <v>36526</v>
      </c>
      <c r="C1771" s="10">
        <v>40695</v>
      </c>
      <c r="D1771" s="10" t="s">
        <v>270</v>
      </c>
    </row>
    <row r="1772" spans="1:4" x14ac:dyDescent="0.2">
      <c r="A1772">
        <v>5190</v>
      </c>
      <c r="B1772" s="10">
        <v>219148</v>
      </c>
      <c r="C1772" s="10">
        <v>40695</v>
      </c>
      <c r="D1772" s="10" t="s">
        <v>270</v>
      </c>
    </row>
    <row r="1773" spans="1:4" x14ac:dyDescent="0.2">
      <c r="A1773">
        <v>5191</v>
      </c>
      <c r="B1773" s="10">
        <v>219148</v>
      </c>
      <c r="C1773" s="10">
        <v>40695</v>
      </c>
      <c r="D1773" s="10" t="s">
        <v>270</v>
      </c>
    </row>
    <row r="1774" spans="1:4" x14ac:dyDescent="0.2">
      <c r="A1774">
        <v>5192</v>
      </c>
      <c r="B1774" s="10">
        <v>219148</v>
      </c>
      <c r="C1774" s="10">
        <v>40695</v>
      </c>
      <c r="D1774" s="10" t="s">
        <v>270</v>
      </c>
    </row>
    <row r="1775" spans="1:4" x14ac:dyDescent="0.2">
      <c r="A1775">
        <v>5193</v>
      </c>
      <c r="B1775" s="10">
        <v>219148</v>
      </c>
      <c r="C1775" s="10">
        <v>40695</v>
      </c>
      <c r="D1775" s="10" t="s">
        <v>270</v>
      </c>
    </row>
    <row r="1776" spans="1:4" x14ac:dyDescent="0.2">
      <c r="A1776">
        <v>5194</v>
      </c>
      <c r="B1776" s="10">
        <v>219148</v>
      </c>
      <c r="C1776" s="10">
        <v>40695</v>
      </c>
      <c r="D1776" s="10" t="s">
        <v>270</v>
      </c>
    </row>
    <row r="1777" spans="1:4" x14ac:dyDescent="0.2">
      <c r="A1777">
        <v>5195</v>
      </c>
      <c r="B1777" s="10">
        <v>219148</v>
      </c>
      <c r="C1777" s="10">
        <v>40695</v>
      </c>
      <c r="D1777" s="10" t="s">
        <v>270</v>
      </c>
    </row>
    <row r="1778" spans="1:4" x14ac:dyDescent="0.2">
      <c r="A1778">
        <v>5196</v>
      </c>
      <c r="B1778" s="10">
        <v>219148</v>
      </c>
      <c r="C1778" s="10">
        <v>40695</v>
      </c>
      <c r="D1778" s="10" t="s">
        <v>270</v>
      </c>
    </row>
    <row r="1779" spans="1:4" x14ac:dyDescent="0.2">
      <c r="A1779">
        <v>5197</v>
      </c>
      <c r="B1779" s="10">
        <v>219148</v>
      </c>
      <c r="C1779" s="10">
        <v>40695</v>
      </c>
      <c r="D1779" s="10" t="s">
        <v>270</v>
      </c>
    </row>
    <row r="1780" spans="1:4" x14ac:dyDescent="0.2">
      <c r="A1780">
        <v>5198</v>
      </c>
      <c r="B1780" s="10">
        <v>219148</v>
      </c>
      <c r="C1780" s="10">
        <v>40695</v>
      </c>
      <c r="D1780" s="10" t="s">
        <v>270</v>
      </c>
    </row>
    <row r="1781" spans="1:4" x14ac:dyDescent="0.2">
      <c r="A1781">
        <v>5199</v>
      </c>
      <c r="B1781" s="10">
        <v>219148</v>
      </c>
      <c r="C1781" s="10">
        <v>40695</v>
      </c>
      <c r="D1781" s="10" t="s">
        <v>270</v>
      </c>
    </row>
    <row r="1782" spans="1:4" x14ac:dyDescent="0.2">
      <c r="A1782">
        <v>5200</v>
      </c>
      <c r="B1782" s="10">
        <v>219148</v>
      </c>
      <c r="C1782" s="10">
        <v>40695</v>
      </c>
      <c r="D1782" s="10" t="s">
        <v>270</v>
      </c>
    </row>
    <row r="1783" spans="1:4" x14ac:dyDescent="0.2">
      <c r="A1783">
        <v>5203</v>
      </c>
      <c r="B1783" s="10">
        <v>219148</v>
      </c>
      <c r="C1783" s="10">
        <v>40696</v>
      </c>
      <c r="D1783" s="10" t="s">
        <v>270</v>
      </c>
    </row>
    <row r="1784" spans="1:4" x14ac:dyDescent="0.2">
      <c r="A1784">
        <v>5204</v>
      </c>
      <c r="B1784" s="10">
        <v>219148</v>
      </c>
      <c r="C1784" s="10">
        <v>40696</v>
      </c>
      <c r="D1784" s="10" t="s">
        <v>270</v>
      </c>
    </row>
    <row r="1785" spans="1:4" x14ac:dyDescent="0.2">
      <c r="A1785">
        <v>5205</v>
      </c>
      <c r="B1785" s="10">
        <v>219148</v>
      </c>
      <c r="C1785" s="10">
        <v>40696</v>
      </c>
      <c r="D1785" s="10" t="s">
        <v>270</v>
      </c>
    </row>
    <row r="1786" spans="1:4" x14ac:dyDescent="0.2">
      <c r="A1786">
        <v>5206</v>
      </c>
      <c r="B1786" s="10">
        <v>219148</v>
      </c>
      <c r="C1786" s="10">
        <v>40696</v>
      </c>
      <c r="D1786" s="10" t="s">
        <v>270</v>
      </c>
    </row>
    <row r="1787" spans="1:4" x14ac:dyDescent="0.2">
      <c r="A1787">
        <v>5207</v>
      </c>
      <c r="B1787" s="10">
        <v>219148</v>
      </c>
      <c r="C1787" s="10">
        <v>40696</v>
      </c>
      <c r="D1787" s="10" t="s">
        <v>270</v>
      </c>
    </row>
    <row r="1788" spans="1:4" x14ac:dyDescent="0.2">
      <c r="A1788">
        <v>5208</v>
      </c>
      <c r="B1788" s="10">
        <v>219148</v>
      </c>
      <c r="C1788" s="10">
        <v>40696</v>
      </c>
      <c r="D1788" s="10" t="s">
        <v>270</v>
      </c>
    </row>
    <row r="1789" spans="1:4" x14ac:dyDescent="0.2">
      <c r="A1789">
        <v>5209</v>
      </c>
      <c r="B1789" s="10">
        <v>219148</v>
      </c>
      <c r="C1789" s="10">
        <v>40696</v>
      </c>
      <c r="D1789" s="10" t="s">
        <v>270</v>
      </c>
    </row>
    <row r="1790" spans="1:4" x14ac:dyDescent="0.2">
      <c r="A1790">
        <v>5210</v>
      </c>
      <c r="B1790" s="10">
        <v>219148</v>
      </c>
      <c r="C1790" s="10">
        <v>40696</v>
      </c>
      <c r="D1790" s="10" t="s">
        <v>270</v>
      </c>
    </row>
    <row r="1791" spans="1:4" x14ac:dyDescent="0.2">
      <c r="A1791">
        <v>5213</v>
      </c>
      <c r="B1791" s="10">
        <v>219148</v>
      </c>
      <c r="C1791" s="10">
        <v>40697</v>
      </c>
      <c r="D1791" s="10" t="s">
        <v>270</v>
      </c>
    </row>
    <row r="1792" spans="1:4" x14ac:dyDescent="0.2">
      <c r="A1792">
        <v>5214</v>
      </c>
      <c r="B1792" s="10">
        <v>219148</v>
      </c>
      <c r="C1792" s="10">
        <v>40697</v>
      </c>
      <c r="D1792" s="10" t="s">
        <v>270</v>
      </c>
    </row>
    <row r="1793" spans="1:4" x14ac:dyDescent="0.2">
      <c r="A1793">
        <v>5215</v>
      </c>
      <c r="B1793" s="10">
        <v>219148</v>
      </c>
      <c r="C1793" s="10">
        <v>40697</v>
      </c>
      <c r="D1793" s="10" t="s">
        <v>270</v>
      </c>
    </row>
    <row r="1794" spans="1:4" x14ac:dyDescent="0.2">
      <c r="A1794">
        <v>5216</v>
      </c>
      <c r="B1794" s="10">
        <v>219148</v>
      </c>
      <c r="C1794" s="10">
        <v>40697</v>
      </c>
      <c r="D1794" s="10" t="s">
        <v>270</v>
      </c>
    </row>
    <row r="1795" spans="1:4" x14ac:dyDescent="0.2">
      <c r="A1795">
        <v>5217</v>
      </c>
      <c r="B1795" s="10">
        <v>219148</v>
      </c>
      <c r="C1795" s="10">
        <v>40697</v>
      </c>
      <c r="D1795" s="10" t="s">
        <v>270</v>
      </c>
    </row>
    <row r="1796" spans="1:4" x14ac:dyDescent="0.2">
      <c r="A1796">
        <v>5218</v>
      </c>
      <c r="B1796" s="10">
        <v>219148</v>
      </c>
      <c r="C1796" s="10">
        <v>40697</v>
      </c>
      <c r="D1796" s="10" t="s">
        <v>270</v>
      </c>
    </row>
    <row r="1797" spans="1:4" x14ac:dyDescent="0.2">
      <c r="A1797">
        <v>5219</v>
      </c>
      <c r="B1797" s="10">
        <v>219148</v>
      </c>
      <c r="C1797" s="10">
        <v>40697</v>
      </c>
      <c r="D1797" s="10" t="s">
        <v>270</v>
      </c>
    </row>
    <row r="1798" spans="1:4" x14ac:dyDescent="0.2">
      <c r="A1798">
        <v>5220</v>
      </c>
      <c r="B1798" s="10">
        <v>219148</v>
      </c>
      <c r="C1798" s="10">
        <v>40700</v>
      </c>
      <c r="D1798" s="10" t="s">
        <v>270</v>
      </c>
    </row>
    <row r="1799" spans="1:4" x14ac:dyDescent="0.2">
      <c r="A1799">
        <v>5221</v>
      </c>
      <c r="B1799" s="10">
        <v>219148</v>
      </c>
      <c r="C1799" s="10">
        <v>40700</v>
      </c>
      <c r="D1799" s="10" t="s">
        <v>270</v>
      </c>
    </row>
    <row r="1800" spans="1:4" x14ac:dyDescent="0.2">
      <c r="A1800">
        <v>5222</v>
      </c>
      <c r="B1800" s="10">
        <v>219148</v>
      </c>
      <c r="C1800" s="10">
        <v>40700</v>
      </c>
      <c r="D1800" s="10" t="s">
        <v>270</v>
      </c>
    </row>
    <row r="1801" spans="1:4" x14ac:dyDescent="0.2">
      <c r="A1801">
        <v>5223</v>
      </c>
      <c r="B1801" s="10">
        <v>219148</v>
      </c>
      <c r="C1801" s="10">
        <v>40700</v>
      </c>
      <c r="D1801" s="10" t="s">
        <v>270</v>
      </c>
    </row>
    <row r="1802" spans="1:4" x14ac:dyDescent="0.2">
      <c r="A1802">
        <v>5224</v>
      </c>
      <c r="B1802" s="10">
        <v>219148</v>
      </c>
      <c r="C1802" s="10">
        <v>40700</v>
      </c>
      <c r="D1802" s="10" t="s">
        <v>270</v>
      </c>
    </row>
    <row r="1803" spans="1:4" x14ac:dyDescent="0.2">
      <c r="A1803">
        <v>5225</v>
      </c>
      <c r="B1803" s="10">
        <v>219148</v>
      </c>
      <c r="C1803" s="10">
        <v>40700</v>
      </c>
      <c r="D1803" s="10" t="s">
        <v>270</v>
      </c>
    </row>
    <row r="1804" spans="1:4" x14ac:dyDescent="0.2">
      <c r="A1804">
        <v>5226</v>
      </c>
      <c r="B1804" s="10">
        <v>219148</v>
      </c>
      <c r="C1804" s="10">
        <v>40700</v>
      </c>
      <c r="D1804" s="10" t="s">
        <v>270</v>
      </c>
    </row>
    <row r="1805" spans="1:4" x14ac:dyDescent="0.2">
      <c r="A1805">
        <v>5227</v>
      </c>
      <c r="B1805" s="10">
        <v>219148</v>
      </c>
      <c r="C1805" s="10">
        <v>40700</v>
      </c>
      <c r="D1805" s="10" t="s">
        <v>270</v>
      </c>
    </row>
    <row r="1806" spans="1:4" x14ac:dyDescent="0.2">
      <c r="A1806">
        <v>5228</v>
      </c>
      <c r="B1806" s="10">
        <v>219148</v>
      </c>
      <c r="C1806" s="10">
        <v>40700</v>
      </c>
      <c r="D1806" s="10" t="s">
        <v>270</v>
      </c>
    </row>
    <row r="1807" spans="1:4" x14ac:dyDescent="0.2">
      <c r="A1807">
        <v>5229</v>
      </c>
      <c r="B1807" s="10">
        <v>219148</v>
      </c>
      <c r="C1807" s="10">
        <v>40700</v>
      </c>
      <c r="D1807" s="10" t="s">
        <v>270</v>
      </c>
    </row>
    <row r="1808" spans="1:4" x14ac:dyDescent="0.2">
      <c r="A1808">
        <v>5230</v>
      </c>
      <c r="B1808" s="10">
        <v>219148</v>
      </c>
      <c r="C1808" s="10">
        <v>40700</v>
      </c>
      <c r="D1808" s="10" t="s">
        <v>270</v>
      </c>
    </row>
    <row r="1809" spans="1:4" x14ac:dyDescent="0.2">
      <c r="A1809">
        <v>5231</v>
      </c>
      <c r="B1809" s="10">
        <v>219148</v>
      </c>
      <c r="C1809" s="10">
        <v>40700</v>
      </c>
      <c r="D1809" s="10" t="s">
        <v>270</v>
      </c>
    </row>
    <row r="1810" spans="1:4" x14ac:dyDescent="0.2">
      <c r="A1810">
        <v>5232</v>
      </c>
      <c r="B1810" s="10">
        <v>219148</v>
      </c>
      <c r="C1810" s="10">
        <v>40700</v>
      </c>
      <c r="D1810" s="10" t="s">
        <v>270</v>
      </c>
    </row>
    <row r="1811" spans="1:4" x14ac:dyDescent="0.2">
      <c r="A1811">
        <v>5233</v>
      </c>
      <c r="B1811" s="10">
        <v>219148</v>
      </c>
      <c r="C1811" s="10">
        <v>40701</v>
      </c>
      <c r="D1811" s="10" t="s">
        <v>270</v>
      </c>
    </row>
    <row r="1812" spans="1:4" x14ac:dyDescent="0.2">
      <c r="A1812">
        <v>5234</v>
      </c>
      <c r="B1812" s="10">
        <v>219148</v>
      </c>
      <c r="C1812" s="10">
        <v>40701</v>
      </c>
      <c r="D1812" s="10" t="s">
        <v>270</v>
      </c>
    </row>
    <row r="1813" spans="1:4" x14ac:dyDescent="0.2">
      <c r="A1813">
        <v>5235</v>
      </c>
      <c r="B1813" s="10">
        <v>219148</v>
      </c>
      <c r="C1813" s="10">
        <v>40701</v>
      </c>
      <c r="D1813" s="10" t="s">
        <v>270</v>
      </c>
    </row>
    <row r="1814" spans="1:4" x14ac:dyDescent="0.2">
      <c r="A1814">
        <v>5236</v>
      </c>
      <c r="B1814" s="10">
        <v>219148</v>
      </c>
      <c r="C1814" s="10">
        <v>40701</v>
      </c>
      <c r="D1814" s="10" t="s">
        <v>270</v>
      </c>
    </row>
    <row r="1815" spans="1:4" x14ac:dyDescent="0.2">
      <c r="A1815">
        <v>5237</v>
      </c>
      <c r="B1815" s="10">
        <v>219148</v>
      </c>
      <c r="C1815" s="10">
        <v>40701</v>
      </c>
      <c r="D1815" s="10" t="s">
        <v>270</v>
      </c>
    </row>
    <row r="1816" spans="1:4" x14ac:dyDescent="0.2">
      <c r="A1816">
        <v>5238</v>
      </c>
      <c r="B1816" s="10">
        <v>219148</v>
      </c>
      <c r="C1816" s="10">
        <v>40701</v>
      </c>
      <c r="D1816" s="10" t="s">
        <v>270</v>
      </c>
    </row>
    <row r="1817" spans="1:4" x14ac:dyDescent="0.2">
      <c r="A1817">
        <v>5241</v>
      </c>
      <c r="B1817" s="10">
        <v>40971</v>
      </c>
      <c r="C1817" s="10">
        <v>40724</v>
      </c>
      <c r="D1817" s="10" t="s">
        <v>539</v>
      </c>
    </row>
    <row r="1818" spans="1:4" x14ac:dyDescent="0.2">
      <c r="A1818">
        <v>5242</v>
      </c>
      <c r="B1818" s="10">
        <v>219148</v>
      </c>
      <c r="C1818" s="10">
        <v>40701</v>
      </c>
      <c r="D1818" s="10" t="s">
        <v>270</v>
      </c>
    </row>
    <row r="1819" spans="1:4" x14ac:dyDescent="0.2">
      <c r="A1819">
        <v>5243</v>
      </c>
      <c r="B1819" s="10">
        <v>40701</v>
      </c>
      <c r="C1819" s="10">
        <v>40724</v>
      </c>
      <c r="D1819" s="10" t="s">
        <v>539</v>
      </c>
    </row>
    <row r="1820" spans="1:4" x14ac:dyDescent="0.2">
      <c r="A1820">
        <v>5244</v>
      </c>
      <c r="B1820" s="10">
        <v>219148</v>
      </c>
      <c r="C1820" s="10">
        <v>40701</v>
      </c>
      <c r="D1820" s="10" t="s">
        <v>270</v>
      </c>
    </row>
    <row r="1821" spans="1:4" x14ac:dyDescent="0.2">
      <c r="A1821">
        <v>5246</v>
      </c>
      <c r="B1821" s="10">
        <v>219148</v>
      </c>
      <c r="C1821" s="10">
        <v>40702</v>
      </c>
      <c r="D1821" s="10" t="s">
        <v>270</v>
      </c>
    </row>
    <row r="1822" spans="1:4" x14ac:dyDescent="0.2">
      <c r="A1822">
        <v>5248</v>
      </c>
      <c r="B1822" s="10">
        <v>219148</v>
      </c>
      <c r="C1822" s="10">
        <v>40702</v>
      </c>
      <c r="D1822" s="10" t="s">
        <v>270</v>
      </c>
    </row>
    <row r="1823" spans="1:4" x14ac:dyDescent="0.2">
      <c r="A1823">
        <v>5249</v>
      </c>
      <c r="B1823" s="10">
        <v>219148</v>
      </c>
      <c r="C1823" s="10">
        <v>40702</v>
      </c>
      <c r="D1823" s="10" t="s">
        <v>270</v>
      </c>
    </row>
    <row r="1824" spans="1:4" x14ac:dyDescent="0.2">
      <c r="A1824">
        <v>5250</v>
      </c>
      <c r="B1824" s="10">
        <v>219148</v>
      </c>
      <c r="C1824" s="10">
        <v>40702</v>
      </c>
      <c r="D1824" s="10" t="s">
        <v>270</v>
      </c>
    </row>
    <row r="1825" spans="1:4" x14ac:dyDescent="0.2">
      <c r="A1825">
        <v>5251</v>
      </c>
      <c r="B1825" s="10">
        <v>219148</v>
      </c>
      <c r="C1825" s="10">
        <v>40702</v>
      </c>
      <c r="D1825" s="10" t="s">
        <v>270</v>
      </c>
    </row>
    <row r="1826" spans="1:4" x14ac:dyDescent="0.2">
      <c r="A1826">
        <v>5252</v>
      </c>
      <c r="B1826" s="10">
        <v>219148</v>
      </c>
      <c r="C1826" s="10">
        <v>40702</v>
      </c>
      <c r="D1826" s="10" t="s">
        <v>270</v>
      </c>
    </row>
    <row r="1827" spans="1:4" x14ac:dyDescent="0.2">
      <c r="A1827">
        <v>5253</v>
      </c>
      <c r="B1827" s="10">
        <v>219148</v>
      </c>
      <c r="C1827" s="10">
        <v>40702</v>
      </c>
      <c r="D1827" s="10" t="s">
        <v>270</v>
      </c>
    </row>
    <row r="1828" spans="1:4" x14ac:dyDescent="0.2">
      <c r="A1828">
        <v>5254</v>
      </c>
      <c r="B1828" s="10">
        <v>219148</v>
      </c>
      <c r="C1828" s="10">
        <v>40702</v>
      </c>
      <c r="D1828" s="10" t="s">
        <v>270</v>
      </c>
    </row>
    <row r="1829" spans="1:4" x14ac:dyDescent="0.2">
      <c r="A1829">
        <v>5255</v>
      </c>
      <c r="B1829" s="10">
        <v>219148</v>
      </c>
      <c r="C1829" s="10">
        <v>40702</v>
      </c>
      <c r="D1829" s="10" t="s">
        <v>270</v>
      </c>
    </row>
    <row r="1830" spans="1:4" x14ac:dyDescent="0.2">
      <c r="A1830">
        <v>5256</v>
      </c>
      <c r="B1830" s="10">
        <v>219148</v>
      </c>
      <c r="C1830" s="10">
        <v>40702</v>
      </c>
      <c r="D1830" s="10" t="s">
        <v>270</v>
      </c>
    </row>
    <row r="1831" spans="1:4" x14ac:dyDescent="0.2">
      <c r="A1831">
        <v>5257</v>
      </c>
      <c r="B1831" s="10">
        <v>219148</v>
      </c>
      <c r="C1831" s="10">
        <v>40702</v>
      </c>
      <c r="D1831" s="10" t="s">
        <v>270</v>
      </c>
    </row>
    <row r="1832" spans="1:4" x14ac:dyDescent="0.2">
      <c r="A1832">
        <v>5258</v>
      </c>
      <c r="B1832" s="10">
        <v>219148</v>
      </c>
      <c r="C1832" s="10">
        <v>40702</v>
      </c>
      <c r="D1832" s="10" t="s">
        <v>270</v>
      </c>
    </row>
    <row r="1833" spans="1:4" x14ac:dyDescent="0.2">
      <c r="A1833">
        <v>5259</v>
      </c>
      <c r="B1833" s="10">
        <v>219148</v>
      </c>
      <c r="C1833" s="10">
        <v>40702</v>
      </c>
      <c r="D1833" s="10" t="s">
        <v>270</v>
      </c>
    </row>
    <row r="1834" spans="1:4" x14ac:dyDescent="0.2">
      <c r="A1834">
        <v>5260</v>
      </c>
      <c r="B1834" s="10">
        <v>219148</v>
      </c>
      <c r="C1834" s="10">
        <v>40703</v>
      </c>
      <c r="D1834" s="10" t="s">
        <v>270</v>
      </c>
    </row>
    <row r="1835" spans="1:4" x14ac:dyDescent="0.2">
      <c r="A1835">
        <v>5263</v>
      </c>
      <c r="B1835" s="10">
        <v>219148</v>
      </c>
      <c r="C1835" s="10">
        <v>40703</v>
      </c>
      <c r="D1835" s="10" t="s">
        <v>270</v>
      </c>
    </row>
    <row r="1836" spans="1:4" x14ac:dyDescent="0.2">
      <c r="A1836">
        <v>5264</v>
      </c>
      <c r="B1836" s="10">
        <v>219148</v>
      </c>
      <c r="C1836" s="10">
        <v>40703</v>
      </c>
      <c r="D1836" s="10" t="s">
        <v>270</v>
      </c>
    </row>
    <row r="1837" spans="1:4" x14ac:dyDescent="0.2">
      <c r="A1837">
        <v>5265</v>
      </c>
      <c r="B1837" s="10">
        <v>219148</v>
      </c>
      <c r="C1837" s="10">
        <v>40703</v>
      </c>
      <c r="D1837" s="10" t="s">
        <v>270</v>
      </c>
    </row>
    <row r="1838" spans="1:4" x14ac:dyDescent="0.2">
      <c r="A1838">
        <v>5266</v>
      </c>
      <c r="B1838" s="10">
        <v>219148</v>
      </c>
      <c r="C1838" s="10">
        <v>40703</v>
      </c>
      <c r="D1838" s="10" t="s">
        <v>270</v>
      </c>
    </row>
    <row r="1839" spans="1:4" x14ac:dyDescent="0.2">
      <c r="A1839">
        <v>5267</v>
      </c>
      <c r="B1839" s="10">
        <v>219148</v>
      </c>
      <c r="C1839" s="10">
        <v>40703</v>
      </c>
      <c r="D1839" s="10" t="s">
        <v>270</v>
      </c>
    </row>
    <row r="1840" spans="1:4" x14ac:dyDescent="0.2">
      <c r="A1840">
        <v>5268</v>
      </c>
      <c r="B1840" s="10">
        <v>219148</v>
      </c>
      <c r="C1840" s="10">
        <v>40703</v>
      </c>
      <c r="D1840" s="10" t="s">
        <v>270</v>
      </c>
    </row>
    <row r="1841" spans="1:4" x14ac:dyDescent="0.2">
      <c r="A1841">
        <v>5269</v>
      </c>
      <c r="B1841" s="10">
        <v>40703</v>
      </c>
      <c r="C1841" s="10">
        <v>40724</v>
      </c>
      <c r="D1841" s="10" t="s">
        <v>539</v>
      </c>
    </row>
    <row r="1842" spans="1:4" x14ac:dyDescent="0.2">
      <c r="A1842">
        <v>5270</v>
      </c>
      <c r="B1842" s="10">
        <v>219148</v>
      </c>
      <c r="C1842" s="10">
        <v>40703</v>
      </c>
      <c r="D1842" s="10" t="s">
        <v>270</v>
      </c>
    </row>
    <row r="1843" spans="1:4" x14ac:dyDescent="0.2">
      <c r="A1843">
        <v>5271</v>
      </c>
      <c r="B1843" s="10">
        <v>219148</v>
      </c>
      <c r="C1843" s="10">
        <v>40704</v>
      </c>
      <c r="D1843" s="10" t="s">
        <v>270</v>
      </c>
    </row>
    <row r="1844" spans="1:4" x14ac:dyDescent="0.2">
      <c r="A1844">
        <v>5272</v>
      </c>
      <c r="B1844" s="10">
        <v>219148</v>
      </c>
      <c r="C1844" s="10">
        <v>40704</v>
      </c>
      <c r="D1844" s="10" t="s">
        <v>270</v>
      </c>
    </row>
    <row r="1845" spans="1:4" x14ac:dyDescent="0.2">
      <c r="A1845">
        <v>5274</v>
      </c>
      <c r="B1845" s="10">
        <v>219148</v>
      </c>
      <c r="C1845" s="10">
        <v>40704</v>
      </c>
      <c r="D1845" s="10" t="s">
        <v>270</v>
      </c>
    </row>
    <row r="1846" spans="1:4" x14ac:dyDescent="0.2">
      <c r="A1846">
        <v>5275</v>
      </c>
      <c r="B1846" s="10">
        <v>219148</v>
      </c>
      <c r="C1846" s="10">
        <v>40704</v>
      </c>
      <c r="D1846" s="10" t="s">
        <v>270</v>
      </c>
    </row>
    <row r="1847" spans="1:4" x14ac:dyDescent="0.2">
      <c r="A1847">
        <v>5276</v>
      </c>
      <c r="B1847" s="10">
        <v>219148</v>
      </c>
      <c r="C1847" s="10">
        <v>40704</v>
      </c>
      <c r="D1847" s="10" t="s">
        <v>270</v>
      </c>
    </row>
    <row r="1848" spans="1:4" x14ac:dyDescent="0.2">
      <c r="A1848">
        <v>5277</v>
      </c>
      <c r="B1848" s="10">
        <v>219148</v>
      </c>
      <c r="C1848" s="10">
        <v>40704</v>
      </c>
      <c r="D1848" s="10" t="s">
        <v>270</v>
      </c>
    </row>
    <row r="1849" spans="1:4" x14ac:dyDescent="0.2">
      <c r="A1849">
        <v>5278</v>
      </c>
      <c r="B1849" s="10">
        <v>219148</v>
      </c>
      <c r="C1849" s="10">
        <v>40704</v>
      </c>
      <c r="D1849" s="10" t="s">
        <v>270</v>
      </c>
    </row>
    <row r="1850" spans="1:4" x14ac:dyDescent="0.2">
      <c r="A1850">
        <v>5279</v>
      </c>
      <c r="B1850" s="10">
        <v>219148</v>
      </c>
      <c r="C1850" s="10">
        <v>40704</v>
      </c>
      <c r="D1850" s="10" t="s">
        <v>270</v>
      </c>
    </row>
    <row r="1851" spans="1:4" x14ac:dyDescent="0.2">
      <c r="A1851">
        <v>5280</v>
      </c>
      <c r="B1851" s="10">
        <v>219148</v>
      </c>
      <c r="C1851" s="10">
        <v>40704</v>
      </c>
      <c r="D1851" s="10" t="s">
        <v>270</v>
      </c>
    </row>
    <row r="1852" spans="1:4" x14ac:dyDescent="0.2">
      <c r="A1852">
        <v>5281</v>
      </c>
      <c r="B1852" s="10">
        <v>219148</v>
      </c>
      <c r="C1852" s="10">
        <v>40708</v>
      </c>
      <c r="D1852" s="10" t="s">
        <v>270</v>
      </c>
    </row>
    <row r="1853" spans="1:4" x14ac:dyDescent="0.2">
      <c r="A1853">
        <v>5282</v>
      </c>
      <c r="B1853" s="10">
        <v>219148</v>
      </c>
      <c r="C1853" s="10">
        <v>40708</v>
      </c>
      <c r="D1853" s="10" t="s">
        <v>270</v>
      </c>
    </row>
    <row r="1854" spans="1:4" x14ac:dyDescent="0.2">
      <c r="A1854">
        <v>5283</v>
      </c>
      <c r="B1854" s="10">
        <v>219148</v>
      </c>
      <c r="C1854" s="10">
        <v>40708</v>
      </c>
      <c r="D1854" s="10" t="s">
        <v>270</v>
      </c>
    </row>
    <row r="1855" spans="1:4" x14ac:dyDescent="0.2">
      <c r="A1855">
        <v>5284</v>
      </c>
      <c r="B1855" s="10">
        <v>219148</v>
      </c>
      <c r="C1855" s="10">
        <v>40708</v>
      </c>
      <c r="D1855" s="10" t="s">
        <v>270</v>
      </c>
    </row>
    <row r="1856" spans="1:4" x14ac:dyDescent="0.2">
      <c r="A1856">
        <v>5285</v>
      </c>
      <c r="B1856" s="10">
        <v>219148</v>
      </c>
      <c r="C1856" s="10">
        <v>40708</v>
      </c>
      <c r="D1856" s="10" t="s">
        <v>270</v>
      </c>
    </row>
    <row r="1857" spans="1:4" x14ac:dyDescent="0.2">
      <c r="A1857">
        <v>5288</v>
      </c>
      <c r="B1857" s="10">
        <v>219148</v>
      </c>
      <c r="C1857" s="10">
        <v>40708</v>
      </c>
      <c r="D1857" s="10" t="s">
        <v>270</v>
      </c>
    </row>
    <row r="1858" spans="1:4" x14ac:dyDescent="0.2">
      <c r="A1858">
        <v>5289</v>
      </c>
      <c r="B1858" s="10">
        <v>219148</v>
      </c>
      <c r="C1858" s="10">
        <v>40708</v>
      </c>
      <c r="D1858" s="10" t="s">
        <v>270</v>
      </c>
    </row>
    <row r="1859" spans="1:4" x14ac:dyDescent="0.2">
      <c r="A1859">
        <v>5290</v>
      </c>
      <c r="B1859" s="10">
        <v>219148</v>
      </c>
      <c r="C1859" s="10">
        <v>40708</v>
      </c>
      <c r="D1859" s="10" t="s">
        <v>270</v>
      </c>
    </row>
    <row r="1860" spans="1:4" x14ac:dyDescent="0.2">
      <c r="A1860">
        <v>5291</v>
      </c>
      <c r="B1860" s="10">
        <v>219148</v>
      </c>
      <c r="C1860" s="10">
        <v>40708</v>
      </c>
      <c r="D1860" s="10" t="s">
        <v>270</v>
      </c>
    </row>
    <row r="1861" spans="1:4" x14ac:dyDescent="0.2">
      <c r="A1861">
        <v>5292</v>
      </c>
      <c r="B1861" s="10">
        <v>219148</v>
      </c>
      <c r="C1861" s="10">
        <v>40708</v>
      </c>
      <c r="D1861" s="10" t="s">
        <v>270</v>
      </c>
    </row>
    <row r="1862" spans="1:4" x14ac:dyDescent="0.2">
      <c r="A1862">
        <v>5293</v>
      </c>
      <c r="B1862" s="10">
        <v>219148</v>
      </c>
      <c r="C1862" s="10">
        <v>40708</v>
      </c>
      <c r="D1862" s="10" t="s">
        <v>270</v>
      </c>
    </row>
    <row r="1863" spans="1:4" x14ac:dyDescent="0.2">
      <c r="A1863">
        <v>5294</v>
      </c>
      <c r="B1863" s="10">
        <v>219148</v>
      </c>
      <c r="C1863" s="10">
        <v>40708</v>
      </c>
      <c r="D1863" s="10" t="s">
        <v>270</v>
      </c>
    </row>
    <row r="1864" spans="1:4" x14ac:dyDescent="0.2">
      <c r="A1864">
        <v>5295</v>
      </c>
      <c r="B1864" s="10">
        <v>219148</v>
      </c>
      <c r="C1864" s="10">
        <v>40708</v>
      </c>
      <c r="D1864" s="10" t="s">
        <v>270</v>
      </c>
    </row>
    <row r="1865" spans="1:4" x14ac:dyDescent="0.2">
      <c r="A1865">
        <v>5296</v>
      </c>
      <c r="B1865" s="10">
        <v>219148</v>
      </c>
      <c r="C1865" s="10">
        <v>40708</v>
      </c>
      <c r="D1865" s="10" t="s">
        <v>270</v>
      </c>
    </row>
    <row r="1866" spans="1:4" x14ac:dyDescent="0.2">
      <c r="A1866">
        <v>5297</v>
      </c>
      <c r="B1866" s="10">
        <v>219148</v>
      </c>
      <c r="C1866" s="10">
        <v>40709</v>
      </c>
      <c r="D1866" s="10" t="s">
        <v>270</v>
      </c>
    </row>
    <row r="1867" spans="1:4" x14ac:dyDescent="0.2">
      <c r="A1867">
        <v>5298</v>
      </c>
      <c r="B1867" s="10">
        <v>219148</v>
      </c>
      <c r="C1867" s="10">
        <v>40709</v>
      </c>
      <c r="D1867" s="10" t="s">
        <v>270</v>
      </c>
    </row>
    <row r="1868" spans="1:4" x14ac:dyDescent="0.2">
      <c r="A1868">
        <v>5299</v>
      </c>
      <c r="B1868" s="10">
        <v>219148</v>
      </c>
      <c r="C1868" s="10">
        <v>40709</v>
      </c>
      <c r="D1868" s="10" t="s">
        <v>270</v>
      </c>
    </row>
    <row r="1869" spans="1:4" x14ac:dyDescent="0.2">
      <c r="A1869">
        <v>5300</v>
      </c>
      <c r="B1869" s="10">
        <v>219148</v>
      </c>
      <c r="C1869" s="10">
        <v>40709</v>
      </c>
      <c r="D1869" s="10" t="s">
        <v>270</v>
      </c>
    </row>
    <row r="1870" spans="1:4" x14ac:dyDescent="0.2">
      <c r="A1870">
        <v>5302</v>
      </c>
      <c r="B1870" s="10">
        <v>219148</v>
      </c>
      <c r="C1870" s="10">
        <v>40709</v>
      </c>
      <c r="D1870" s="10" t="s">
        <v>270</v>
      </c>
    </row>
    <row r="1871" spans="1:4" x14ac:dyDescent="0.2">
      <c r="A1871">
        <v>5303</v>
      </c>
      <c r="B1871" s="10">
        <v>219148</v>
      </c>
      <c r="C1871" s="10">
        <v>40709</v>
      </c>
      <c r="D1871" s="10" t="s">
        <v>270</v>
      </c>
    </row>
    <row r="1872" spans="1:4" x14ac:dyDescent="0.2">
      <c r="A1872">
        <v>5304</v>
      </c>
      <c r="B1872" s="10">
        <v>219148</v>
      </c>
      <c r="C1872" s="10">
        <v>40709</v>
      </c>
      <c r="D1872" s="10" t="s">
        <v>270</v>
      </c>
    </row>
    <row r="1873" spans="1:4" x14ac:dyDescent="0.2">
      <c r="A1873">
        <v>5305</v>
      </c>
      <c r="B1873" s="10">
        <v>219148</v>
      </c>
      <c r="C1873" s="10">
        <v>40709</v>
      </c>
      <c r="D1873" s="10" t="s">
        <v>270</v>
      </c>
    </row>
    <row r="1874" spans="1:4" x14ac:dyDescent="0.2">
      <c r="A1874">
        <v>5307</v>
      </c>
      <c r="B1874" s="10">
        <v>40708</v>
      </c>
      <c r="C1874" s="10">
        <v>40753</v>
      </c>
      <c r="D1874" s="10" t="s">
        <v>539</v>
      </c>
    </row>
    <row r="1875" spans="1:4" x14ac:dyDescent="0.2">
      <c r="A1875">
        <v>5310</v>
      </c>
      <c r="B1875" s="10">
        <v>219148</v>
      </c>
      <c r="C1875" s="10">
        <v>40710</v>
      </c>
      <c r="D1875" s="10" t="s">
        <v>270</v>
      </c>
    </row>
    <row r="1876" spans="1:4" x14ac:dyDescent="0.2">
      <c r="A1876">
        <v>5311</v>
      </c>
      <c r="B1876" s="10">
        <v>219148</v>
      </c>
      <c r="C1876" s="10">
        <v>40710</v>
      </c>
      <c r="D1876" s="10" t="s">
        <v>270</v>
      </c>
    </row>
    <row r="1877" spans="1:4" x14ac:dyDescent="0.2">
      <c r="A1877">
        <v>5312</v>
      </c>
      <c r="B1877" s="10">
        <v>219148</v>
      </c>
      <c r="C1877" s="10">
        <v>40710</v>
      </c>
      <c r="D1877" s="10" t="s">
        <v>270</v>
      </c>
    </row>
    <row r="1878" spans="1:4" x14ac:dyDescent="0.2">
      <c r="A1878">
        <v>5313</v>
      </c>
      <c r="B1878" s="10">
        <v>219148</v>
      </c>
      <c r="C1878" s="10">
        <v>40710</v>
      </c>
      <c r="D1878" s="10" t="s">
        <v>270</v>
      </c>
    </row>
    <row r="1879" spans="1:4" x14ac:dyDescent="0.2">
      <c r="A1879">
        <v>5316</v>
      </c>
      <c r="B1879" s="10">
        <v>219148</v>
      </c>
      <c r="C1879" s="10">
        <v>40710</v>
      </c>
      <c r="D1879" s="10" t="s">
        <v>270</v>
      </c>
    </row>
    <row r="1880" spans="1:4" x14ac:dyDescent="0.2">
      <c r="A1880">
        <v>5317</v>
      </c>
      <c r="B1880" s="10">
        <v>219148</v>
      </c>
      <c r="C1880" s="10">
        <v>40710</v>
      </c>
      <c r="D1880" s="10" t="s">
        <v>270</v>
      </c>
    </row>
    <row r="1881" spans="1:4" x14ac:dyDescent="0.2">
      <c r="A1881">
        <v>5318</v>
      </c>
      <c r="B1881" s="10">
        <v>219148</v>
      </c>
      <c r="C1881" s="10">
        <v>40710</v>
      </c>
      <c r="D1881" s="10" t="s">
        <v>270</v>
      </c>
    </row>
    <row r="1882" spans="1:4" x14ac:dyDescent="0.2">
      <c r="A1882">
        <v>5319</v>
      </c>
      <c r="B1882" s="10">
        <v>219148</v>
      </c>
      <c r="C1882" s="10">
        <v>40711</v>
      </c>
      <c r="D1882" s="10" t="s">
        <v>270</v>
      </c>
    </row>
    <row r="1883" spans="1:4" x14ac:dyDescent="0.2">
      <c r="A1883">
        <v>5320</v>
      </c>
      <c r="B1883" s="10">
        <v>219148</v>
      </c>
      <c r="C1883" s="10">
        <v>40711</v>
      </c>
      <c r="D1883" s="10" t="s">
        <v>270</v>
      </c>
    </row>
    <row r="1884" spans="1:4" x14ac:dyDescent="0.2">
      <c r="A1884">
        <v>5321</v>
      </c>
      <c r="B1884" s="10">
        <v>219148</v>
      </c>
      <c r="C1884" s="10">
        <v>40711</v>
      </c>
      <c r="D1884" s="10" t="s">
        <v>270</v>
      </c>
    </row>
    <row r="1885" spans="1:4" x14ac:dyDescent="0.2">
      <c r="A1885">
        <v>5322</v>
      </c>
      <c r="B1885" s="10">
        <v>36526</v>
      </c>
      <c r="C1885" s="10">
        <v>40711</v>
      </c>
      <c r="D1885" s="10" t="s">
        <v>270</v>
      </c>
    </row>
    <row r="1886" spans="1:4" x14ac:dyDescent="0.2">
      <c r="A1886">
        <v>5324</v>
      </c>
      <c r="B1886" s="10">
        <v>219148</v>
      </c>
      <c r="C1886" s="10">
        <v>40711</v>
      </c>
      <c r="D1886" s="10" t="s">
        <v>270</v>
      </c>
    </row>
    <row r="1887" spans="1:4" x14ac:dyDescent="0.2">
      <c r="A1887">
        <v>5325</v>
      </c>
      <c r="B1887" s="10">
        <v>219148</v>
      </c>
      <c r="C1887" s="10">
        <v>40711</v>
      </c>
      <c r="D1887" s="10" t="s">
        <v>270</v>
      </c>
    </row>
    <row r="1888" spans="1:4" x14ac:dyDescent="0.2">
      <c r="A1888">
        <v>5326</v>
      </c>
      <c r="B1888" s="10">
        <v>219148</v>
      </c>
      <c r="C1888" s="10">
        <v>40711</v>
      </c>
      <c r="D1888" s="10" t="s">
        <v>270</v>
      </c>
    </row>
    <row r="1889" spans="1:4" x14ac:dyDescent="0.2">
      <c r="A1889">
        <v>5327</v>
      </c>
      <c r="B1889" s="10">
        <v>40721</v>
      </c>
      <c r="C1889" s="10">
        <v>40724</v>
      </c>
      <c r="D1889" s="10" t="s">
        <v>539</v>
      </c>
    </row>
    <row r="1890" spans="1:4" x14ac:dyDescent="0.2">
      <c r="A1890">
        <v>5328</v>
      </c>
      <c r="B1890" s="10">
        <v>40744</v>
      </c>
      <c r="C1890" s="10">
        <v>40724</v>
      </c>
      <c r="D1890" s="10" t="s">
        <v>539</v>
      </c>
    </row>
    <row r="1891" spans="1:4" x14ac:dyDescent="0.2">
      <c r="A1891">
        <v>5330</v>
      </c>
      <c r="B1891" s="10">
        <v>40744</v>
      </c>
      <c r="C1891" s="10">
        <v>40724</v>
      </c>
      <c r="D1891" s="10" t="s">
        <v>539</v>
      </c>
    </row>
    <row r="1892" spans="1:4" x14ac:dyDescent="0.2">
      <c r="A1892">
        <v>5331</v>
      </c>
      <c r="B1892" s="10">
        <v>40774</v>
      </c>
      <c r="C1892" s="10">
        <v>40724</v>
      </c>
      <c r="D1892" s="10" t="s">
        <v>539</v>
      </c>
    </row>
    <row r="1893" spans="1:4" x14ac:dyDescent="0.2">
      <c r="A1893">
        <v>5332</v>
      </c>
      <c r="B1893" s="10">
        <v>219148</v>
      </c>
      <c r="C1893" s="10">
        <v>40714</v>
      </c>
      <c r="D1893" s="10" t="s">
        <v>270</v>
      </c>
    </row>
    <row r="1894" spans="1:4" x14ac:dyDescent="0.2">
      <c r="A1894">
        <v>5335</v>
      </c>
      <c r="B1894" s="10">
        <v>219148</v>
      </c>
      <c r="C1894" s="10">
        <v>40714</v>
      </c>
      <c r="D1894" s="10" t="s">
        <v>270</v>
      </c>
    </row>
    <row r="1895" spans="1:4" x14ac:dyDescent="0.2">
      <c r="A1895">
        <v>5336</v>
      </c>
      <c r="B1895" s="10">
        <v>219148</v>
      </c>
      <c r="C1895" s="10">
        <v>40714</v>
      </c>
      <c r="D1895" s="10" t="s">
        <v>270</v>
      </c>
    </row>
    <row r="1896" spans="1:4" x14ac:dyDescent="0.2">
      <c r="A1896">
        <v>5337</v>
      </c>
      <c r="B1896" s="10">
        <v>219148</v>
      </c>
      <c r="C1896" s="10">
        <v>40714</v>
      </c>
      <c r="D1896" s="10" t="s">
        <v>270</v>
      </c>
    </row>
    <row r="1897" spans="1:4" x14ac:dyDescent="0.2">
      <c r="A1897">
        <v>5338</v>
      </c>
      <c r="B1897" s="10">
        <v>219148</v>
      </c>
      <c r="C1897" s="10">
        <v>40715</v>
      </c>
      <c r="D1897" s="10" t="s">
        <v>270</v>
      </c>
    </row>
    <row r="1898" spans="1:4" x14ac:dyDescent="0.2">
      <c r="A1898">
        <v>5342</v>
      </c>
      <c r="B1898" s="10">
        <v>219148</v>
      </c>
      <c r="C1898" s="10">
        <v>40715</v>
      </c>
      <c r="D1898" s="10" t="s">
        <v>270</v>
      </c>
    </row>
    <row r="1899" spans="1:4" x14ac:dyDescent="0.2">
      <c r="A1899">
        <v>5343</v>
      </c>
      <c r="B1899" s="10">
        <v>219148</v>
      </c>
      <c r="C1899" s="10">
        <v>40715</v>
      </c>
      <c r="D1899" s="10" t="s">
        <v>270</v>
      </c>
    </row>
    <row r="1900" spans="1:4" x14ac:dyDescent="0.2">
      <c r="A1900">
        <v>5344</v>
      </c>
      <c r="B1900" s="10">
        <v>36526</v>
      </c>
      <c r="C1900" s="10">
        <v>40715</v>
      </c>
      <c r="D1900" s="10" t="s">
        <v>270</v>
      </c>
    </row>
    <row r="1901" spans="1:4" x14ac:dyDescent="0.2">
      <c r="A1901">
        <v>5345</v>
      </c>
      <c r="B1901" s="10">
        <v>219148</v>
      </c>
      <c r="C1901" s="10">
        <v>40715</v>
      </c>
      <c r="D1901" s="10" t="s">
        <v>270</v>
      </c>
    </row>
    <row r="1902" spans="1:4" x14ac:dyDescent="0.2">
      <c r="A1902">
        <v>5346</v>
      </c>
      <c r="B1902" s="10">
        <v>219148</v>
      </c>
      <c r="C1902" s="10">
        <v>40715</v>
      </c>
      <c r="D1902" s="10" t="s">
        <v>270</v>
      </c>
    </row>
    <row r="1903" spans="1:4" x14ac:dyDescent="0.2">
      <c r="A1903">
        <v>5347</v>
      </c>
      <c r="B1903" s="10">
        <v>219148</v>
      </c>
      <c r="C1903" s="10">
        <v>40715</v>
      </c>
      <c r="D1903" s="10" t="s">
        <v>270</v>
      </c>
    </row>
    <row r="1904" spans="1:4" x14ac:dyDescent="0.2">
      <c r="A1904">
        <v>5348</v>
      </c>
      <c r="B1904" s="10">
        <v>219148</v>
      </c>
      <c r="C1904" s="10">
        <v>40715</v>
      </c>
      <c r="D1904" s="10" t="s">
        <v>270</v>
      </c>
    </row>
    <row r="1905" spans="1:4" x14ac:dyDescent="0.2">
      <c r="A1905">
        <v>5349</v>
      </c>
      <c r="B1905" s="10">
        <v>36526</v>
      </c>
      <c r="C1905" s="10">
        <v>40715</v>
      </c>
      <c r="D1905" s="10" t="s">
        <v>270</v>
      </c>
    </row>
    <row r="1906" spans="1:4" x14ac:dyDescent="0.2">
      <c r="A1906">
        <v>5352</v>
      </c>
      <c r="B1906" s="10">
        <v>219148</v>
      </c>
      <c r="C1906" s="10">
        <v>40716</v>
      </c>
      <c r="D1906" s="10" t="s">
        <v>270</v>
      </c>
    </row>
    <row r="1907" spans="1:4" x14ac:dyDescent="0.2">
      <c r="A1907">
        <v>5353</v>
      </c>
      <c r="B1907" s="10">
        <v>219148</v>
      </c>
      <c r="C1907" s="10">
        <v>40716</v>
      </c>
      <c r="D1907" s="10" t="s">
        <v>270</v>
      </c>
    </row>
    <row r="1908" spans="1:4" x14ac:dyDescent="0.2">
      <c r="A1908">
        <v>5354</v>
      </c>
      <c r="B1908" s="10">
        <v>219148</v>
      </c>
      <c r="C1908" s="10">
        <v>40716</v>
      </c>
      <c r="D1908" s="10" t="s">
        <v>270</v>
      </c>
    </row>
    <row r="1909" spans="1:4" x14ac:dyDescent="0.2">
      <c r="A1909">
        <v>5355</v>
      </c>
      <c r="B1909" s="10">
        <v>219148</v>
      </c>
      <c r="C1909" s="10">
        <v>40716</v>
      </c>
      <c r="D1909" s="10" t="s">
        <v>270</v>
      </c>
    </row>
    <row r="1910" spans="1:4" x14ac:dyDescent="0.2">
      <c r="A1910">
        <v>5356</v>
      </c>
      <c r="B1910" s="10">
        <v>219148</v>
      </c>
      <c r="C1910" s="10">
        <v>40716</v>
      </c>
      <c r="D1910" s="10" t="s">
        <v>270</v>
      </c>
    </row>
    <row r="1911" spans="1:4" x14ac:dyDescent="0.2">
      <c r="A1911">
        <v>5357</v>
      </c>
      <c r="B1911" s="10">
        <v>219148</v>
      </c>
      <c r="C1911" s="10">
        <v>40716</v>
      </c>
      <c r="D1911" s="10" t="s">
        <v>270</v>
      </c>
    </row>
    <row r="1912" spans="1:4" x14ac:dyDescent="0.2">
      <c r="A1912">
        <v>5358</v>
      </c>
      <c r="B1912" s="10">
        <v>40742</v>
      </c>
      <c r="C1912" s="10">
        <v>40724</v>
      </c>
      <c r="D1912" s="10" t="s">
        <v>539</v>
      </c>
    </row>
    <row r="1913" spans="1:4" x14ac:dyDescent="0.2">
      <c r="A1913">
        <v>5363</v>
      </c>
      <c r="B1913" s="10">
        <v>219148</v>
      </c>
      <c r="C1913" s="10">
        <v>40717</v>
      </c>
      <c r="D1913" s="10" t="s">
        <v>270</v>
      </c>
    </row>
    <row r="1914" spans="1:4" x14ac:dyDescent="0.2">
      <c r="A1914">
        <v>5365</v>
      </c>
      <c r="B1914" s="10">
        <v>219148</v>
      </c>
      <c r="C1914" s="10">
        <v>40717</v>
      </c>
      <c r="D1914" s="10" t="s">
        <v>270</v>
      </c>
    </row>
    <row r="1915" spans="1:4" x14ac:dyDescent="0.2">
      <c r="A1915">
        <v>5366</v>
      </c>
      <c r="B1915" s="10">
        <v>219148</v>
      </c>
      <c r="C1915" s="10">
        <v>40717</v>
      </c>
      <c r="D1915" s="10" t="s">
        <v>270</v>
      </c>
    </row>
    <row r="1916" spans="1:4" x14ac:dyDescent="0.2">
      <c r="A1916">
        <v>5367</v>
      </c>
      <c r="B1916" s="10">
        <v>219148</v>
      </c>
      <c r="C1916" s="10">
        <v>40717</v>
      </c>
      <c r="D1916" s="10" t="s">
        <v>270</v>
      </c>
    </row>
    <row r="1917" spans="1:4" x14ac:dyDescent="0.2">
      <c r="A1917">
        <v>5368</v>
      </c>
      <c r="B1917" s="10">
        <v>219148</v>
      </c>
      <c r="C1917" s="10">
        <v>40717</v>
      </c>
      <c r="D1917" s="10" t="s">
        <v>270</v>
      </c>
    </row>
    <row r="1918" spans="1:4" x14ac:dyDescent="0.2">
      <c r="A1918">
        <v>5369</v>
      </c>
      <c r="B1918" s="10">
        <v>219148</v>
      </c>
      <c r="C1918" s="10">
        <v>40717</v>
      </c>
      <c r="D1918" s="10" t="s">
        <v>270</v>
      </c>
    </row>
    <row r="1919" spans="1:4" x14ac:dyDescent="0.2">
      <c r="A1919">
        <v>5370</v>
      </c>
      <c r="B1919" s="10">
        <v>219148</v>
      </c>
      <c r="C1919" s="10">
        <v>40717</v>
      </c>
      <c r="D1919" s="10" t="s">
        <v>270</v>
      </c>
    </row>
    <row r="1920" spans="1:4" x14ac:dyDescent="0.2">
      <c r="A1920">
        <v>5371</v>
      </c>
      <c r="B1920" s="10">
        <v>219148</v>
      </c>
      <c r="C1920" s="10">
        <v>40717</v>
      </c>
      <c r="D1920" s="10" t="s">
        <v>270</v>
      </c>
    </row>
    <row r="1921" spans="1:4" x14ac:dyDescent="0.2">
      <c r="A1921">
        <v>5372</v>
      </c>
      <c r="B1921" s="10">
        <v>219148</v>
      </c>
      <c r="C1921" s="10">
        <v>40717</v>
      </c>
      <c r="D1921" s="10" t="s">
        <v>270</v>
      </c>
    </row>
    <row r="1922" spans="1:4" x14ac:dyDescent="0.2">
      <c r="A1922">
        <v>5373</v>
      </c>
      <c r="B1922" s="10">
        <v>219148</v>
      </c>
      <c r="C1922" s="10">
        <v>40717</v>
      </c>
      <c r="D1922" s="10" t="s">
        <v>270</v>
      </c>
    </row>
    <row r="1923" spans="1:4" x14ac:dyDescent="0.2">
      <c r="A1923">
        <v>5374</v>
      </c>
      <c r="B1923" s="10">
        <v>219148</v>
      </c>
      <c r="C1923" s="10">
        <v>40717</v>
      </c>
      <c r="D1923" s="10" t="s">
        <v>270</v>
      </c>
    </row>
    <row r="1924" spans="1:4" x14ac:dyDescent="0.2">
      <c r="A1924">
        <v>5375</v>
      </c>
      <c r="B1924" s="10">
        <v>219148</v>
      </c>
      <c r="C1924" s="10">
        <v>40717</v>
      </c>
      <c r="D1924" s="10" t="s">
        <v>270</v>
      </c>
    </row>
    <row r="1925" spans="1:4" x14ac:dyDescent="0.2">
      <c r="A1925">
        <v>5379</v>
      </c>
      <c r="B1925" s="10">
        <v>41060</v>
      </c>
      <c r="C1925" s="10">
        <v>40840</v>
      </c>
      <c r="D1925" s="10" t="s">
        <v>273</v>
      </c>
    </row>
    <row r="1926" spans="1:4" x14ac:dyDescent="0.2">
      <c r="A1926">
        <v>5380</v>
      </c>
      <c r="B1926" s="10">
        <v>36526</v>
      </c>
      <c r="C1926" s="10">
        <v>40725</v>
      </c>
      <c r="D1926" s="10" t="s">
        <v>538</v>
      </c>
    </row>
    <row r="1927" spans="1:4" x14ac:dyDescent="0.2">
      <c r="A1927">
        <v>5381</v>
      </c>
      <c r="B1927" s="10">
        <v>36526</v>
      </c>
      <c r="C1927" s="10">
        <v>40725</v>
      </c>
      <c r="D1927" s="10" t="s">
        <v>538</v>
      </c>
    </row>
    <row r="1928" spans="1:4" x14ac:dyDescent="0.2">
      <c r="A1928">
        <v>5382</v>
      </c>
      <c r="B1928" s="10">
        <v>36526</v>
      </c>
      <c r="C1928" s="10">
        <v>40725</v>
      </c>
      <c r="D1928" s="10" t="s">
        <v>538</v>
      </c>
    </row>
    <row r="1929" spans="1:4" x14ac:dyDescent="0.2">
      <c r="A1929">
        <v>5383</v>
      </c>
      <c r="B1929" s="10">
        <v>36526</v>
      </c>
      <c r="C1929" s="10">
        <v>40725</v>
      </c>
      <c r="D1929" s="10" t="s">
        <v>538</v>
      </c>
    </row>
    <row r="1930" spans="1:4" x14ac:dyDescent="0.2">
      <c r="A1930">
        <v>5384</v>
      </c>
      <c r="B1930" s="10">
        <v>36526</v>
      </c>
      <c r="C1930" s="10">
        <v>40725</v>
      </c>
      <c r="D1930" s="10" t="s">
        <v>538</v>
      </c>
    </row>
    <row r="1931" spans="1:4" x14ac:dyDescent="0.2">
      <c r="A1931">
        <v>5385</v>
      </c>
      <c r="B1931" s="10">
        <v>36526</v>
      </c>
      <c r="C1931" s="10">
        <v>40725</v>
      </c>
      <c r="D1931" s="10" t="s">
        <v>538</v>
      </c>
    </row>
    <row r="1932" spans="1:4" x14ac:dyDescent="0.2">
      <c r="A1932">
        <v>5388</v>
      </c>
      <c r="B1932" s="10">
        <v>36526</v>
      </c>
      <c r="C1932" s="10">
        <v>40725</v>
      </c>
      <c r="D1932" s="10" t="s">
        <v>270</v>
      </c>
    </row>
    <row r="1933" spans="1:4" x14ac:dyDescent="0.2">
      <c r="A1933">
        <v>5389</v>
      </c>
      <c r="B1933" s="10">
        <v>219148</v>
      </c>
      <c r="C1933" s="10">
        <v>40718</v>
      </c>
      <c r="D1933" s="10" t="s">
        <v>270</v>
      </c>
    </row>
    <row r="1934" spans="1:4" x14ac:dyDescent="0.2">
      <c r="A1934">
        <v>5390</v>
      </c>
      <c r="B1934" s="10">
        <v>219148</v>
      </c>
      <c r="C1934" s="10">
        <v>40718</v>
      </c>
      <c r="D1934" s="10" t="s">
        <v>270</v>
      </c>
    </row>
    <row r="1935" spans="1:4" x14ac:dyDescent="0.2">
      <c r="A1935">
        <v>5392</v>
      </c>
      <c r="B1935" s="10">
        <v>219148</v>
      </c>
      <c r="C1935" s="10">
        <v>40718</v>
      </c>
      <c r="D1935" s="10" t="s">
        <v>270</v>
      </c>
    </row>
    <row r="1936" spans="1:4" x14ac:dyDescent="0.2">
      <c r="A1936">
        <v>5393</v>
      </c>
      <c r="B1936" s="10">
        <v>219148</v>
      </c>
      <c r="C1936" s="10">
        <v>40718</v>
      </c>
      <c r="D1936" s="10" t="s">
        <v>270</v>
      </c>
    </row>
    <row r="1937" spans="1:4" x14ac:dyDescent="0.2">
      <c r="A1937">
        <v>5394</v>
      </c>
      <c r="B1937" s="10">
        <v>219148</v>
      </c>
      <c r="C1937" s="10">
        <v>40721</v>
      </c>
      <c r="D1937" s="10" t="s">
        <v>270</v>
      </c>
    </row>
    <row r="1938" spans="1:4" x14ac:dyDescent="0.2">
      <c r="A1938">
        <v>5395</v>
      </c>
      <c r="B1938" s="10">
        <v>219148</v>
      </c>
      <c r="C1938" s="10">
        <v>40721</v>
      </c>
      <c r="D1938" s="10" t="s">
        <v>270</v>
      </c>
    </row>
    <row r="1939" spans="1:4" x14ac:dyDescent="0.2">
      <c r="A1939">
        <v>5396</v>
      </c>
      <c r="B1939" s="10">
        <v>219148</v>
      </c>
      <c r="C1939" s="10">
        <v>40721</v>
      </c>
      <c r="D1939" s="10" t="s">
        <v>270</v>
      </c>
    </row>
    <row r="1940" spans="1:4" x14ac:dyDescent="0.2">
      <c r="A1940">
        <v>5399</v>
      </c>
      <c r="B1940" s="10">
        <v>219148</v>
      </c>
      <c r="C1940" s="10">
        <v>40721</v>
      </c>
      <c r="D1940" s="10" t="s">
        <v>279</v>
      </c>
    </row>
    <row r="1941" spans="1:4" x14ac:dyDescent="0.2">
      <c r="A1941">
        <v>5400</v>
      </c>
      <c r="B1941" s="10">
        <v>219148</v>
      </c>
      <c r="C1941" s="10">
        <v>40721</v>
      </c>
      <c r="D1941" s="10" t="s">
        <v>270</v>
      </c>
    </row>
    <row r="1942" spans="1:4" x14ac:dyDescent="0.2">
      <c r="A1942">
        <v>5401</v>
      </c>
      <c r="B1942" s="10">
        <v>219148</v>
      </c>
      <c r="C1942" s="10">
        <v>40721</v>
      </c>
      <c r="D1942" s="10" t="s">
        <v>270</v>
      </c>
    </row>
    <row r="1943" spans="1:4" x14ac:dyDescent="0.2">
      <c r="A1943">
        <v>5402</v>
      </c>
      <c r="B1943" s="10">
        <v>219148</v>
      </c>
      <c r="C1943" s="10">
        <v>40721</v>
      </c>
      <c r="D1943" s="10" t="s">
        <v>270</v>
      </c>
    </row>
    <row r="1944" spans="1:4" x14ac:dyDescent="0.2">
      <c r="A1944">
        <v>5403</v>
      </c>
      <c r="B1944" s="10">
        <v>219148</v>
      </c>
      <c r="C1944" s="10">
        <v>40721</v>
      </c>
      <c r="D1944" s="10" t="s">
        <v>270</v>
      </c>
    </row>
    <row r="1945" spans="1:4" x14ac:dyDescent="0.2">
      <c r="A1945">
        <v>5404</v>
      </c>
      <c r="B1945" s="10">
        <v>219148</v>
      </c>
      <c r="C1945" s="10">
        <v>40721</v>
      </c>
      <c r="D1945" s="10" t="s">
        <v>270</v>
      </c>
    </row>
    <row r="1946" spans="1:4" x14ac:dyDescent="0.2">
      <c r="A1946">
        <v>5405</v>
      </c>
      <c r="B1946" s="10">
        <v>219148</v>
      </c>
      <c r="C1946" s="10">
        <v>40721</v>
      </c>
      <c r="D1946" s="10" t="s">
        <v>270</v>
      </c>
    </row>
    <row r="1947" spans="1:4" x14ac:dyDescent="0.2">
      <c r="A1947">
        <v>5406</v>
      </c>
      <c r="B1947" s="10">
        <v>36526</v>
      </c>
      <c r="C1947" s="10">
        <v>40722</v>
      </c>
      <c r="D1947" s="10" t="s">
        <v>270</v>
      </c>
    </row>
    <row r="1948" spans="1:4" x14ac:dyDescent="0.2">
      <c r="A1948">
        <v>5407</v>
      </c>
      <c r="B1948" s="10">
        <v>219148</v>
      </c>
      <c r="C1948" s="10">
        <v>40722</v>
      </c>
      <c r="D1948" s="10" t="s">
        <v>270</v>
      </c>
    </row>
    <row r="1949" spans="1:4" x14ac:dyDescent="0.2">
      <c r="A1949">
        <v>5409</v>
      </c>
      <c r="B1949" s="10">
        <v>219148</v>
      </c>
      <c r="C1949" s="10">
        <v>40722</v>
      </c>
      <c r="D1949" s="10" t="s">
        <v>270</v>
      </c>
    </row>
    <row r="1950" spans="1:4" x14ac:dyDescent="0.2">
      <c r="A1950">
        <v>5410</v>
      </c>
      <c r="B1950" s="10">
        <v>219148</v>
      </c>
      <c r="C1950" s="10">
        <v>40722</v>
      </c>
      <c r="D1950" s="10" t="s">
        <v>270</v>
      </c>
    </row>
    <row r="1951" spans="1:4" x14ac:dyDescent="0.2">
      <c r="A1951">
        <v>5411</v>
      </c>
      <c r="B1951" s="10">
        <v>219148</v>
      </c>
      <c r="C1951" s="10">
        <v>40722</v>
      </c>
      <c r="D1951" s="10" t="s">
        <v>270</v>
      </c>
    </row>
    <row r="1952" spans="1:4" x14ac:dyDescent="0.2">
      <c r="A1952">
        <v>5412</v>
      </c>
      <c r="B1952" s="10">
        <v>219148</v>
      </c>
      <c r="C1952" s="10">
        <v>40722</v>
      </c>
      <c r="D1952" s="10" t="s">
        <v>270</v>
      </c>
    </row>
    <row r="1953" spans="1:4" x14ac:dyDescent="0.2">
      <c r="A1953">
        <v>5413</v>
      </c>
      <c r="B1953" s="10">
        <v>219148</v>
      </c>
      <c r="C1953" s="10">
        <v>40722</v>
      </c>
      <c r="D1953" s="10" t="s">
        <v>270</v>
      </c>
    </row>
    <row r="1954" spans="1:4" x14ac:dyDescent="0.2">
      <c r="A1954">
        <v>5420</v>
      </c>
      <c r="B1954" s="10">
        <v>219148</v>
      </c>
      <c r="C1954" s="10">
        <v>40723</v>
      </c>
      <c r="D1954" s="10" t="s">
        <v>270</v>
      </c>
    </row>
    <row r="1955" spans="1:4" x14ac:dyDescent="0.2">
      <c r="A1955">
        <v>5421</v>
      </c>
      <c r="B1955" s="10">
        <v>219148</v>
      </c>
      <c r="C1955" s="10">
        <v>40723</v>
      </c>
      <c r="D1955" s="10" t="s">
        <v>270</v>
      </c>
    </row>
    <row r="1956" spans="1:4" x14ac:dyDescent="0.2">
      <c r="A1956">
        <v>5422</v>
      </c>
      <c r="B1956" s="10">
        <v>219148</v>
      </c>
      <c r="C1956" s="10">
        <v>40723</v>
      </c>
      <c r="D1956" s="10" t="s">
        <v>270</v>
      </c>
    </row>
    <row r="1957" spans="1:4" x14ac:dyDescent="0.2">
      <c r="A1957">
        <v>5423</v>
      </c>
      <c r="B1957" s="10">
        <v>219148</v>
      </c>
      <c r="C1957" s="10">
        <v>40723</v>
      </c>
      <c r="D1957" s="10" t="s">
        <v>270</v>
      </c>
    </row>
    <row r="1958" spans="1:4" x14ac:dyDescent="0.2">
      <c r="A1958">
        <v>5424</v>
      </c>
      <c r="B1958" s="10">
        <v>219148</v>
      </c>
      <c r="C1958" s="10">
        <v>40723</v>
      </c>
      <c r="D1958" s="10" t="s">
        <v>270</v>
      </c>
    </row>
    <row r="1959" spans="1:4" x14ac:dyDescent="0.2">
      <c r="A1959">
        <v>5425</v>
      </c>
      <c r="B1959" s="10">
        <v>40806</v>
      </c>
      <c r="C1959" s="10">
        <v>40753</v>
      </c>
      <c r="D1959" s="10" t="s">
        <v>539</v>
      </c>
    </row>
    <row r="1960" spans="1:4" x14ac:dyDescent="0.2">
      <c r="A1960">
        <v>5427</v>
      </c>
      <c r="B1960" s="10">
        <v>219148</v>
      </c>
      <c r="C1960" s="10">
        <v>40724</v>
      </c>
      <c r="D1960" s="10" t="s">
        <v>270</v>
      </c>
    </row>
    <row r="1961" spans="1:4" x14ac:dyDescent="0.2">
      <c r="A1961">
        <v>5428</v>
      </c>
      <c r="B1961" s="10">
        <v>219148</v>
      </c>
      <c r="C1961" s="10">
        <v>40724</v>
      </c>
      <c r="D1961" s="10" t="s">
        <v>270</v>
      </c>
    </row>
    <row r="1962" spans="1:4" x14ac:dyDescent="0.2">
      <c r="A1962">
        <v>5432</v>
      </c>
      <c r="B1962" s="10">
        <v>219148</v>
      </c>
      <c r="C1962" s="10">
        <v>40724</v>
      </c>
      <c r="D1962" s="10" t="s">
        <v>270</v>
      </c>
    </row>
    <row r="1963" spans="1:4" x14ac:dyDescent="0.2">
      <c r="A1963">
        <v>5433</v>
      </c>
      <c r="B1963" s="10">
        <v>219148</v>
      </c>
      <c r="C1963" s="10">
        <v>40724</v>
      </c>
      <c r="D1963" s="10" t="s">
        <v>270</v>
      </c>
    </row>
    <row r="1964" spans="1:4" x14ac:dyDescent="0.2">
      <c r="A1964">
        <v>5434</v>
      </c>
      <c r="B1964" s="10">
        <v>219148</v>
      </c>
      <c r="C1964" s="10">
        <v>40724</v>
      </c>
      <c r="D1964" s="10" t="s">
        <v>270</v>
      </c>
    </row>
    <row r="1965" spans="1:4" x14ac:dyDescent="0.2">
      <c r="A1965">
        <v>5435</v>
      </c>
      <c r="B1965" s="10">
        <v>219148</v>
      </c>
      <c r="C1965" s="10">
        <v>40724</v>
      </c>
      <c r="D1965" s="10" t="s">
        <v>270</v>
      </c>
    </row>
    <row r="1966" spans="1:4" x14ac:dyDescent="0.2">
      <c r="A1966">
        <v>5436</v>
      </c>
      <c r="B1966" s="10">
        <v>219148</v>
      </c>
      <c r="C1966" s="10">
        <v>40724</v>
      </c>
      <c r="D1966" s="10" t="s">
        <v>270</v>
      </c>
    </row>
    <row r="1967" spans="1:4" x14ac:dyDescent="0.2">
      <c r="A1967">
        <v>5437</v>
      </c>
      <c r="B1967" s="10">
        <v>219148</v>
      </c>
      <c r="C1967" s="10">
        <v>40724</v>
      </c>
      <c r="D1967" s="10" t="s">
        <v>270</v>
      </c>
    </row>
    <row r="1968" spans="1:4" x14ac:dyDescent="0.2">
      <c r="A1968">
        <v>5438</v>
      </c>
      <c r="B1968" s="10">
        <v>219148</v>
      </c>
      <c r="C1968" s="10">
        <v>40724</v>
      </c>
      <c r="D1968" s="10" t="s">
        <v>270</v>
      </c>
    </row>
    <row r="1969" spans="1:4" x14ac:dyDescent="0.2">
      <c r="A1969">
        <v>5439</v>
      </c>
      <c r="B1969" s="10">
        <v>219148</v>
      </c>
      <c r="C1969" s="10">
        <v>40724</v>
      </c>
      <c r="D1969" s="10" t="s">
        <v>270</v>
      </c>
    </row>
    <row r="1970" spans="1:4" x14ac:dyDescent="0.2">
      <c r="A1970">
        <v>5440</v>
      </c>
      <c r="B1970" s="10">
        <v>219148</v>
      </c>
      <c r="C1970" s="10">
        <v>40724</v>
      </c>
      <c r="D1970" s="10" t="s">
        <v>270</v>
      </c>
    </row>
    <row r="1971" spans="1:4" x14ac:dyDescent="0.2">
      <c r="A1971">
        <v>5441</v>
      </c>
      <c r="B1971" s="10">
        <v>219148</v>
      </c>
      <c r="C1971" s="10">
        <v>40724</v>
      </c>
      <c r="D1971" s="10" t="s">
        <v>270</v>
      </c>
    </row>
    <row r="1972" spans="1:4" x14ac:dyDescent="0.2">
      <c r="A1972">
        <v>5446</v>
      </c>
      <c r="B1972" s="10">
        <v>219148</v>
      </c>
      <c r="C1972" s="10">
        <v>40725</v>
      </c>
      <c r="D1972" s="10" t="s">
        <v>270</v>
      </c>
    </row>
    <row r="1973" spans="1:4" x14ac:dyDescent="0.2">
      <c r="A1973">
        <v>5447</v>
      </c>
      <c r="B1973" s="10">
        <v>219148</v>
      </c>
      <c r="C1973" s="10">
        <v>40725</v>
      </c>
      <c r="D1973" s="10" t="s">
        <v>270</v>
      </c>
    </row>
    <row r="1974" spans="1:4" x14ac:dyDescent="0.2">
      <c r="A1974">
        <v>5448</v>
      </c>
      <c r="B1974" s="10">
        <v>219148</v>
      </c>
      <c r="C1974" s="10">
        <v>40725</v>
      </c>
      <c r="D1974" s="10" t="s">
        <v>270</v>
      </c>
    </row>
    <row r="1975" spans="1:4" x14ac:dyDescent="0.2">
      <c r="A1975">
        <v>5449</v>
      </c>
      <c r="B1975" s="10">
        <v>219148</v>
      </c>
      <c r="C1975" s="10">
        <v>40725</v>
      </c>
      <c r="D1975" s="10" t="s">
        <v>270</v>
      </c>
    </row>
    <row r="1976" spans="1:4" x14ac:dyDescent="0.2">
      <c r="A1976">
        <v>5450</v>
      </c>
      <c r="B1976" s="10">
        <v>219148</v>
      </c>
      <c r="C1976" s="10">
        <v>40728</v>
      </c>
      <c r="D1976" s="10" t="s">
        <v>270</v>
      </c>
    </row>
    <row r="1977" spans="1:4" x14ac:dyDescent="0.2">
      <c r="A1977">
        <v>5453</v>
      </c>
      <c r="B1977" s="10">
        <v>219148</v>
      </c>
      <c r="C1977" s="10">
        <v>40728</v>
      </c>
      <c r="D1977" s="10" t="s">
        <v>270</v>
      </c>
    </row>
    <row r="1978" spans="1:4" x14ac:dyDescent="0.2">
      <c r="A1978">
        <v>5454</v>
      </c>
      <c r="B1978" s="10">
        <v>219148</v>
      </c>
      <c r="C1978" s="10">
        <v>40728</v>
      </c>
      <c r="D1978" s="10" t="s">
        <v>270</v>
      </c>
    </row>
    <row r="1979" spans="1:4" x14ac:dyDescent="0.2">
      <c r="A1979">
        <v>5456</v>
      </c>
      <c r="B1979" s="10">
        <v>219148</v>
      </c>
      <c r="C1979" s="10">
        <v>40729</v>
      </c>
      <c r="D1979" s="10" t="s">
        <v>270</v>
      </c>
    </row>
    <row r="1980" spans="1:4" x14ac:dyDescent="0.2">
      <c r="A1980">
        <v>5457</v>
      </c>
      <c r="B1980" s="10">
        <v>219148</v>
      </c>
      <c r="C1980" s="10">
        <v>40729</v>
      </c>
      <c r="D1980" s="10" t="s">
        <v>270</v>
      </c>
    </row>
    <row r="1981" spans="1:4" x14ac:dyDescent="0.2">
      <c r="A1981">
        <v>5458</v>
      </c>
      <c r="B1981" s="10">
        <v>219148</v>
      </c>
      <c r="C1981" s="10">
        <v>40729</v>
      </c>
      <c r="D1981" s="10" t="s">
        <v>270</v>
      </c>
    </row>
    <row r="1982" spans="1:4" x14ac:dyDescent="0.2">
      <c r="A1982">
        <v>5459</v>
      </c>
      <c r="B1982" s="10">
        <v>219148</v>
      </c>
      <c r="C1982" s="10">
        <v>40729</v>
      </c>
      <c r="D1982" s="10" t="s">
        <v>270</v>
      </c>
    </row>
    <row r="1983" spans="1:4" x14ac:dyDescent="0.2">
      <c r="A1983">
        <v>5465</v>
      </c>
      <c r="B1983" s="10">
        <v>36526</v>
      </c>
      <c r="C1983" s="10">
        <v>40732</v>
      </c>
      <c r="D1983" s="10" t="s">
        <v>270</v>
      </c>
    </row>
    <row r="1984" spans="1:4" x14ac:dyDescent="0.2">
      <c r="A1984">
        <v>5474</v>
      </c>
      <c r="B1984" s="10">
        <v>219148</v>
      </c>
      <c r="C1984" s="10">
        <v>40730</v>
      </c>
      <c r="D1984" s="10" t="s">
        <v>270</v>
      </c>
    </row>
    <row r="1985" spans="1:4" x14ac:dyDescent="0.2">
      <c r="A1985">
        <v>5478</v>
      </c>
      <c r="B1985" s="10">
        <v>40918</v>
      </c>
      <c r="C1985" s="10">
        <v>40786</v>
      </c>
      <c r="D1985" s="10" t="s">
        <v>273</v>
      </c>
    </row>
    <row r="1986" spans="1:4" x14ac:dyDescent="0.2">
      <c r="A1986">
        <v>5479</v>
      </c>
      <c r="B1986" s="10">
        <v>36526</v>
      </c>
      <c r="C1986" s="10">
        <v>40730</v>
      </c>
      <c r="D1986" s="10" t="s">
        <v>538</v>
      </c>
    </row>
    <row r="1987" spans="1:4" x14ac:dyDescent="0.2">
      <c r="A1987">
        <v>5480</v>
      </c>
      <c r="B1987" s="10">
        <v>36526</v>
      </c>
      <c r="C1987" s="10">
        <v>40730</v>
      </c>
      <c r="D1987" s="10" t="s">
        <v>538</v>
      </c>
    </row>
    <row r="1988" spans="1:4" x14ac:dyDescent="0.2">
      <c r="A1988">
        <v>5481</v>
      </c>
      <c r="B1988" s="10">
        <v>219148</v>
      </c>
      <c r="C1988" s="10">
        <v>40731</v>
      </c>
      <c r="D1988" s="10" t="s">
        <v>270</v>
      </c>
    </row>
    <row r="1989" spans="1:4" x14ac:dyDescent="0.2">
      <c r="A1989">
        <v>5485</v>
      </c>
      <c r="B1989" s="10">
        <v>219148</v>
      </c>
      <c r="C1989" s="10">
        <v>40731</v>
      </c>
      <c r="D1989" s="10" t="s">
        <v>270</v>
      </c>
    </row>
    <row r="1990" spans="1:4" x14ac:dyDescent="0.2">
      <c r="A1990">
        <v>5486</v>
      </c>
      <c r="B1990" s="10">
        <v>219148</v>
      </c>
      <c r="C1990" s="10">
        <v>40731</v>
      </c>
      <c r="D1990" s="10" t="s">
        <v>270</v>
      </c>
    </row>
    <row r="1991" spans="1:4" x14ac:dyDescent="0.2">
      <c r="A1991">
        <v>5487</v>
      </c>
      <c r="B1991" s="10">
        <v>219148</v>
      </c>
      <c r="C1991" s="10">
        <v>40731</v>
      </c>
      <c r="D1991" s="10" t="s">
        <v>270</v>
      </c>
    </row>
    <row r="1992" spans="1:4" x14ac:dyDescent="0.2">
      <c r="A1992">
        <v>5488</v>
      </c>
      <c r="B1992" s="10">
        <v>219148</v>
      </c>
      <c r="C1992" s="10">
        <v>40731</v>
      </c>
      <c r="D1992" s="10" t="s">
        <v>270</v>
      </c>
    </row>
    <row r="1993" spans="1:4" x14ac:dyDescent="0.2">
      <c r="A1993">
        <v>5489</v>
      </c>
      <c r="B1993" s="10">
        <v>219148</v>
      </c>
      <c r="C1993" s="10">
        <v>40731</v>
      </c>
      <c r="D1993" s="10" t="s">
        <v>270</v>
      </c>
    </row>
    <row r="1994" spans="1:4" x14ac:dyDescent="0.2">
      <c r="A1994">
        <v>5490</v>
      </c>
      <c r="B1994" s="10">
        <v>219148</v>
      </c>
      <c r="C1994" s="10">
        <v>40731</v>
      </c>
      <c r="D1994" s="10" t="s">
        <v>270</v>
      </c>
    </row>
    <row r="1995" spans="1:4" x14ac:dyDescent="0.2">
      <c r="A1995">
        <v>5491</v>
      </c>
      <c r="B1995" s="10">
        <v>36526</v>
      </c>
      <c r="C1995" s="10">
        <v>40731</v>
      </c>
      <c r="D1995" s="10" t="s">
        <v>538</v>
      </c>
    </row>
    <row r="1996" spans="1:4" x14ac:dyDescent="0.2">
      <c r="A1996">
        <v>5492</v>
      </c>
      <c r="B1996" s="10">
        <v>36526</v>
      </c>
      <c r="C1996" s="10">
        <v>40731</v>
      </c>
      <c r="D1996" s="10" t="s">
        <v>538</v>
      </c>
    </row>
    <row r="1997" spans="1:4" x14ac:dyDescent="0.2">
      <c r="A1997">
        <v>5493</v>
      </c>
      <c r="B1997" s="10">
        <v>36526</v>
      </c>
      <c r="C1997" s="10">
        <v>40731</v>
      </c>
      <c r="D1997" s="10" t="s">
        <v>538</v>
      </c>
    </row>
    <row r="1998" spans="1:4" x14ac:dyDescent="0.2">
      <c r="A1998">
        <v>5494</v>
      </c>
      <c r="B1998" s="10">
        <v>36526</v>
      </c>
      <c r="C1998" s="10">
        <v>40731</v>
      </c>
      <c r="D1998" s="10" t="s">
        <v>538</v>
      </c>
    </row>
    <row r="1999" spans="1:4" x14ac:dyDescent="0.2">
      <c r="A1999">
        <v>5495</v>
      </c>
      <c r="B1999" s="10">
        <v>36526</v>
      </c>
      <c r="C1999" s="10">
        <v>40731</v>
      </c>
      <c r="D1999" s="10" t="s">
        <v>538</v>
      </c>
    </row>
    <row r="2000" spans="1:4" x14ac:dyDescent="0.2">
      <c r="A2000">
        <v>5496</v>
      </c>
      <c r="B2000" s="10">
        <v>36526</v>
      </c>
      <c r="C2000" s="10">
        <v>40844</v>
      </c>
      <c r="D2000" s="10" t="s">
        <v>538</v>
      </c>
    </row>
    <row r="2001" spans="1:4" x14ac:dyDescent="0.2">
      <c r="A2001">
        <v>5497</v>
      </c>
      <c r="B2001" s="10">
        <v>36526</v>
      </c>
      <c r="C2001" s="10">
        <v>40844</v>
      </c>
      <c r="D2001" s="10" t="s">
        <v>538</v>
      </c>
    </row>
    <row r="2002" spans="1:4" x14ac:dyDescent="0.2">
      <c r="A2002">
        <v>5502</v>
      </c>
      <c r="B2002" s="10">
        <v>219148</v>
      </c>
      <c r="C2002" s="10">
        <v>40732</v>
      </c>
      <c r="D2002" s="10" t="s">
        <v>270</v>
      </c>
    </row>
    <row r="2003" spans="1:4" x14ac:dyDescent="0.2">
      <c r="A2003">
        <v>5503</v>
      </c>
      <c r="B2003" s="10">
        <v>219148</v>
      </c>
      <c r="C2003" s="10">
        <v>40732</v>
      </c>
      <c r="D2003" s="10" t="s">
        <v>270</v>
      </c>
    </row>
    <row r="2004" spans="1:4" x14ac:dyDescent="0.2">
      <c r="A2004">
        <v>5504</v>
      </c>
      <c r="B2004" s="10">
        <v>219148</v>
      </c>
      <c r="C2004" s="10">
        <v>40732</v>
      </c>
      <c r="D2004" s="10" t="s">
        <v>270</v>
      </c>
    </row>
    <row r="2005" spans="1:4" x14ac:dyDescent="0.2">
      <c r="A2005">
        <v>5505</v>
      </c>
      <c r="B2005" s="10">
        <v>219148</v>
      </c>
      <c r="C2005" s="10">
        <v>40732</v>
      </c>
      <c r="D2005" s="10" t="s">
        <v>270</v>
      </c>
    </row>
    <row r="2006" spans="1:4" x14ac:dyDescent="0.2">
      <c r="A2006">
        <v>5510</v>
      </c>
      <c r="B2006" s="10">
        <v>219148</v>
      </c>
      <c r="C2006" s="10">
        <v>40753</v>
      </c>
      <c r="D2006" s="10" t="s">
        <v>270</v>
      </c>
    </row>
    <row r="2007" spans="1:4" x14ac:dyDescent="0.2">
      <c r="A2007">
        <v>5515</v>
      </c>
      <c r="B2007" s="10">
        <v>36526</v>
      </c>
      <c r="C2007" s="10">
        <v>40736</v>
      </c>
      <c r="D2007" s="10" t="s">
        <v>538</v>
      </c>
    </row>
    <row r="2008" spans="1:4" x14ac:dyDescent="0.2">
      <c r="A2008">
        <v>5516</v>
      </c>
      <c r="B2008" s="10">
        <v>36526</v>
      </c>
      <c r="C2008" s="10">
        <v>40736</v>
      </c>
      <c r="D2008" s="10" t="s">
        <v>538</v>
      </c>
    </row>
    <row r="2009" spans="1:4" x14ac:dyDescent="0.2">
      <c r="A2009">
        <v>5517</v>
      </c>
      <c r="B2009" s="10">
        <v>36526</v>
      </c>
      <c r="C2009" s="10">
        <v>40736</v>
      </c>
      <c r="D2009" s="10" t="s">
        <v>538</v>
      </c>
    </row>
    <row r="2010" spans="1:4" x14ac:dyDescent="0.2">
      <c r="A2010">
        <v>5518</v>
      </c>
      <c r="B2010" s="10">
        <v>36526</v>
      </c>
      <c r="C2010" s="10">
        <v>40736</v>
      </c>
      <c r="D2010" s="10" t="s">
        <v>538</v>
      </c>
    </row>
    <row r="2011" spans="1:4" x14ac:dyDescent="0.2">
      <c r="A2011">
        <v>5519</v>
      </c>
      <c r="B2011" s="10">
        <v>36526</v>
      </c>
      <c r="C2011" s="10">
        <v>40736</v>
      </c>
      <c r="D2011" s="10" t="s">
        <v>538</v>
      </c>
    </row>
    <row r="2012" spans="1:4" x14ac:dyDescent="0.2">
      <c r="A2012">
        <v>5520</v>
      </c>
      <c r="B2012" s="10">
        <v>36526</v>
      </c>
      <c r="C2012" s="10">
        <v>40736</v>
      </c>
      <c r="D2012" s="10" t="s">
        <v>270</v>
      </c>
    </row>
    <row r="2013" spans="1:4" x14ac:dyDescent="0.2">
      <c r="A2013">
        <v>5521</v>
      </c>
      <c r="B2013" s="10">
        <v>36526</v>
      </c>
      <c r="C2013" s="10">
        <v>40736</v>
      </c>
      <c r="D2013" s="10" t="s">
        <v>270</v>
      </c>
    </row>
    <row r="2014" spans="1:4" x14ac:dyDescent="0.2">
      <c r="A2014">
        <v>5522</v>
      </c>
      <c r="B2014" s="10">
        <v>219148</v>
      </c>
      <c r="C2014" s="10">
        <v>40753</v>
      </c>
      <c r="D2014" s="10" t="s">
        <v>270</v>
      </c>
    </row>
    <row r="2015" spans="1:4" x14ac:dyDescent="0.2">
      <c r="A2015">
        <v>5523</v>
      </c>
      <c r="B2015" s="10">
        <v>219148</v>
      </c>
      <c r="C2015" s="10">
        <v>40753</v>
      </c>
      <c r="D2015" s="10" t="s">
        <v>270</v>
      </c>
    </row>
    <row r="2016" spans="1:4" x14ac:dyDescent="0.2">
      <c r="A2016">
        <v>5527</v>
      </c>
      <c r="B2016" s="10">
        <v>40737</v>
      </c>
      <c r="C2016" s="10">
        <v>40753</v>
      </c>
      <c r="D2016" s="10" t="s">
        <v>539</v>
      </c>
    </row>
    <row r="2017" spans="1:4" x14ac:dyDescent="0.2">
      <c r="A2017">
        <v>5532</v>
      </c>
      <c r="B2017" s="10">
        <v>219148</v>
      </c>
      <c r="C2017" s="10">
        <v>40753</v>
      </c>
      <c r="D2017" s="10" t="s">
        <v>270</v>
      </c>
    </row>
    <row r="2018" spans="1:4" x14ac:dyDescent="0.2">
      <c r="A2018">
        <v>5533</v>
      </c>
      <c r="B2018" s="10">
        <v>219148</v>
      </c>
      <c r="C2018" s="10">
        <v>40738</v>
      </c>
      <c r="D2018" s="10" t="s">
        <v>270</v>
      </c>
    </row>
    <row r="2019" spans="1:4" x14ac:dyDescent="0.2">
      <c r="A2019">
        <v>5534</v>
      </c>
      <c r="B2019" s="10">
        <v>219148</v>
      </c>
      <c r="C2019" s="10">
        <v>40738</v>
      </c>
      <c r="D2019" s="10" t="s">
        <v>270</v>
      </c>
    </row>
    <row r="2020" spans="1:4" x14ac:dyDescent="0.2">
      <c r="A2020">
        <v>5535</v>
      </c>
      <c r="B2020" s="10">
        <v>219148</v>
      </c>
      <c r="C2020" s="10">
        <v>40738</v>
      </c>
      <c r="D2020" s="10" t="s">
        <v>270</v>
      </c>
    </row>
    <row r="2021" spans="1:4" x14ac:dyDescent="0.2">
      <c r="A2021">
        <v>5536</v>
      </c>
      <c r="B2021" s="10">
        <v>219148</v>
      </c>
      <c r="C2021" s="10">
        <v>40738</v>
      </c>
      <c r="D2021" s="10" t="s">
        <v>270</v>
      </c>
    </row>
    <row r="2022" spans="1:4" x14ac:dyDescent="0.2">
      <c r="A2022">
        <v>5538</v>
      </c>
      <c r="B2022" s="10">
        <v>219148</v>
      </c>
      <c r="C2022" s="10">
        <v>40739</v>
      </c>
      <c r="D2022" s="10" t="s">
        <v>270</v>
      </c>
    </row>
    <row r="2023" spans="1:4" x14ac:dyDescent="0.2">
      <c r="A2023">
        <v>5539</v>
      </c>
      <c r="B2023" s="10">
        <v>219148</v>
      </c>
      <c r="C2023" s="10">
        <v>40739</v>
      </c>
      <c r="D2023" s="10" t="s">
        <v>270</v>
      </c>
    </row>
    <row r="2024" spans="1:4" x14ac:dyDescent="0.2">
      <c r="A2024">
        <v>5544</v>
      </c>
      <c r="B2024" s="10">
        <v>219148</v>
      </c>
      <c r="C2024" s="10">
        <v>40739</v>
      </c>
      <c r="D2024" s="10" t="s">
        <v>270</v>
      </c>
    </row>
    <row r="2025" spans="1:4" x14ac:dyDescent="0.2">
      <c r="A2025">
        <v>5545</v>
      </c>
      <c r="B2025" s="10">
        <v>219148</v>
      </c>
      <c r="C2025" s="10">
        <v>40739</v>
      </c>
      <c r="D2025" s="10" t="s">
        <v>270</v>
      </c>
    </row>
    <row r="2026" spans="1:4" x14ac:dyDescent="0.2">
      <c r="A2026">
        <v>5547</v>
      </c>
      <c r="B2026" s="10">
        <v>219148</v>
      </c>
      <c r="C2026" s="10">
        <v>40739</v>
      </c>
      <c r="D2026" s="10" t="s">
        <v>270</v>
      </c>
    </row>
    <row r="2027" spans="1:4" x14ac:dyDescent="0.2">
      <c r="A2027">
        <v>5548</v>
      </c>
      <c r="B2027" s="10">
        <v>219148</v>
      </c>
      <c r="C2027" s="10">
        <v>40739</v>
      </c>
      <c r="D2027" s="10" t="s">
        <v>270</v>
      </c>
    </row>
    <row r="2028" spans="1:4" x14ac:dyDescent="0.2">
      <c r="A2028">
        <v>5549</v>
      </c>
      <c r="B2028" s="10">
        <v>219148</v>
      </c>
      <c r="C2028" s="10">
        <v>40739</v>
      </c>
      <c r="D2028" s="10" t="s">
        <v>270</v>
      </c>
    </row>
    <row r="2029" spans="1:4" x14ac:dyDescent="0.2">
      <c r="A2029">
        <v>5550</v>
      </c>
      <c r="B2029" s="10">
        <v>219148</v>
      </c>
      <c r="C2029" s="10">
        <v>40868</v>
      </c>
      <c r="D2029" s="10" t="s">
        <v>270</v>
      </c>
    </row>
    <row r="2030" spans="1:4" x14ac:dyDescent="0.2">
      <c r="A2030">
        <v>5552</v>
      </c>
      <c r="B2030" s="10">
        <v>219148</v>
      </c>
      <c r="C2030" s="10">
        <v>40742</v>
      </c>
      <c r="D2030" s="10" t="s">
        <v>270</v>
      </c>
    </row>
    <row r="2031" spans="1:4" x14ac:dyDescent="0.2">
      <c r="A2031">
        <v>5556</v>
      </c>
      <c r="B2031" s="10">
        <v>219148</v>
      </c>
      <c r="C2031" s="10">
        <v>40743</v>
      </c>
      <c r="D2031" s="10" t="s">
        <v>270</v>
      </c>
    </row>
    <row r="2032" spans="1:4" x14ac:dyDescent="0.2">
      <c r="A2032">
        <v>5557</v>
      </c>
      <c r="B2032" s="10">
        <v>219148</v>
      </c>
      <c r="C2032" s="10">
        <v>40743</v>
      </c>
      <c r="D2032" s="10" t="s">
        <v>270</v>
      </c>
    </row>
    <row r="2033" spans="1:4" x14ac:dyDescent="0.2">
      <c r="A2033">
        <v>5560</v>
      </c>
      <c r="B2033" s="10">
        <v>40743</v>
      </c>
      <c r="C2033" s="10">
        <v>40753</v>
      </c>
      <c r="D2033" s="10" t="s">
        <v>539</v>
      </c>
    </row>
    <row r="2034" spans="1:4" x14ac:dyDescent="0.2">
      <c r="A2034">
        <v>5561</v>
      </c>
      <c r="B2034" s="10">
        <v>40743</v>
      </c>
      <c r="C2034" s="10">
        <v>40753</v>
      </c>
      <c r="D2034" s="10" t="s">
        <v>539</v>
      </c>
    </row>
    <row r="2035" spans="1:4" x14ac:dyDescent="0.2">
      <c r="A2035">
        <v>5562</v>
      </c>
      <c r="B2035" s="10">
        <v>36526</v>
      </c>
      <c r="C2035" s="10">
        <v>40743</v>
      </c>
      <c r="D2035" s="10" t="s">
        <v>538</v>
      </c>
    </row>
    <row r="2036" spans="1:4" x14ac:dyDescent="0.2">
      <c r="A2036">
        <v>5563</v>
      </c>
      <c r="B2036" s="10">
        <v>36526</v>
      </c>
      <c r="C2036" s="10">
        <v>40743</v>
      </c>
      <c r="D2036" s="10" t="s">
        <v>538</v>
      </c>
    </row>
    <row r="2037" spans="1:4" x14ac:dyDescent="0.2">
      <c r="A2037">
        <v>5564</v>
      </c>
      <c r="B2037" s="10">
        <v>36526</v>
      </c>
      <c r="C2037" s="10">
        <v>40743</v>
      </c>
      <c r="D2037" s="10" t="s">
        <v>538</v>
      </c>
    </row>
    <row r="2038" spans="1:4" x14ac:dyDescent="0.2">
      <c r="A2038">
        <v>5565</v>
      </c>
      <c r="B2038" s="10">
        <v>219148</v>
      </c>
      <c r="C2038" s="10">
        <v>40744</v>
      </c>
      <c r="D2038" s="10" t="s">
        <v>270</v>
      </c>
    </row>
    <row r="2039" spans="1:4" x14ac:dyDescent="0.2">
      <c r="A2039">
        <v>5570</v>
      </c>
      <c r="B2039" s="10">
        <v>219148</v>
      </c>
      <c r="C2039" s="10">
        <v>40744</v>
      </c>
      <c r="D2039" s="10" t="s">
        <v>270</v>
      </c>
    </row>
    <row r="2040" spans="1:4" x14ac:dyDescent="0.2">
      <c r="A2040">
        <v>5571</v>
      </c>
      <c r="B2040" s="10">
        <v>219148</v>
      </c>
      <c r="C2040" s="10">
        <v>40744</v>
      </c>
      <c r="D2040" s="10" t="s">
        <v>270</v>
      </c>
    </row>
    <row r="2041" spans="1:4" x14ac:dyDescent="0.2">
      <c r="A2041">
        <v>5572</v>
      </c>
      <c r="B2041" s="10">
        <v>219148</v>
      </c>
      <c r="C2041" s="10">
        <v>40745</v>
      </c>
      <c r="D2041" s="10" t="s">
        <v>270</v>
      </c>
    </row>
    <row r="2042" spans="1:4" x14ac:dyDescent="0.2">
      <c r="A2042">
        <v>5573</v>
      </c>
      <c r="B2042" s="10">
        <v>219148</v>
      </c>
      <c r="C2042" s="10">
        <v>40745</v>
      </c>
      <c r="D2042" s="10" t="s">
        <v>270</v>
      </c>
    </row>
    <row r="2043" spans="1:4" x14ac:dyDescent="0.2">
      <c r="A2043">
        <v>5578</v>
      </c>
      <c r="B2043" s="10">
        <v>219148</v>
      </c>
      <c r="C2043" s="10">
        <v>40745</v>
      </c>
      <c r="D2043" s="10" t="s">
        <v>270</v>
      </c>
    </row>
    <row r="2044" spans="1:4" x14ac:dyDescent="0.2">
      <c r="A2044">
        <v>5579</v>
      </c>
      <c r="B2044" s="10">
        <v>219148</v>
      </c>
      <c r="C2044" s="10">
        <v>40745</v>
      </c>
      <c r="D2044" s="10" t="s">
        <v>270</v>
      </c>
    </row>
    <row r="2045" spans="1:4" x14ac:dyDescent="0.2">
      <c r="A2045">
        <v>5580</v>
      </c>
      <c r="B2045" s="10">
        <v>40769</v>
      </c>
      <c r="C2045" s="10">
        <v>40753</v>
      </c>
      <c r="D2045" s="10" t="s">
        <v>539</v>
      </c>
    </row>
    <row r="2046" spans="1:4" x14ac:dyDescent="0.2">
      <c r="A2046">
        <v>5581</v>
      </c>
      <c r="B2046" s="10">
        <v>40752</v>
      </c>
      <c r="C2046" s="10">
        <v>40753</v>
      </c>
      <c r="D2046" s="10" t="s">
        <v>539</v>
      </c>
    </row>
    <row r="2047" spans="1:4" x14ac:dyDescent="0.2">
      <c r="A2047">
        <v>5582</v>
      </c>
      <c r="B2047" s="10">
        <v>40746</v>
      </c>
      <c r="C2047" s="10">
        <v>40753</v>
      </c>
      <c r="D2047" s="10" t="s">
        <v>539</v>
      </c>
    </row>
    <row r="2048" spans="1:4" x14ac:dyDescent="0.2">
      <c r="A2048">
        <v>5584</v>
      </c>
      <c r="B2048" s="10">
        <v>219148</v>
      </c>
      <c r="C2048" s="10">
        <v>40746</v>
      </c>
      <c r="D2048" s="10" t="s">
        <v>270</v>
      </c>
    </row>
    <row r="2049" spans="1:4" x14ac:dyDescent="0.2">
      <c r="A2049">
        <v>5585</v>
      </c>
      <c r="B2049" s="10">
        <v>219148</v>
      </c>
      <c r="C2049" s="10">
        <v>40746</v>
      </c>
      <c r="D2049" s="10" t="s">
        <v>270</v>
      </c>
    </row>
    <row r="2050" spans="1:4" x14ac:dyDescent="0.2">
      <c r="A2050">
        <v>5588</v>
      </c>
      <c r="B2050" s="10">
        <v>219148</v>
      </c>
      <c r="C2050" s="10">
        <v>40746</v>
      </c>
      <c r="D2050" s="10" t="s">
        <v>270</v>
      </c>
    </row>
    <row r="2051" spans="1:4" x14ac:dyDescent="0.2">
      <c r="A2051">
        <v>5589</v>
      </c>
      <c r="B2051" s="10">
        <v>219148</v>
      </c>
      <c r="C2051" s="10">
        <v>40749</v>
      </c>
      <c r="D2051" s="10" t="s">
        <v>270</v>
      </c>
    </row>
    <row r="2052" spans="1:4" x14ac:dyDescent="0.2">
      <c r="A2052">
        <v>5590</v>
      </c>
      <c r="B2052" s="10">
        <v>40749</v>
      </c>
      <c r="C2052" s="10">
        <v>40753</v>
      </c>
      <c r="D2052" s="10" t="s">
        <v>539</v>
      </c>
    </row>
    <row r="2053" spans="1:4" x14ac:dyDescent="0.2">
      <c r="A2053">
        <v>5593</v>
      </c>
      <c r="B2053" s="10">
        <v>36526</v>
      </c>
      <c r="C2053" s="10">
        <v>40753</v>
      </c>
      <c r="D2053" s="10" t="s">
        <v>538</v>
      </c>
    </row>
    <row r="2054" spans="1:4" x14ac:dyDescent="0.2">
      <c r="A2054">
        <v>5596</v>
      </c>
      <c r="B2054" s="10">
        <v>219148</v>
      </c>
      <c r="C2054" s="10">
        <v>40753</v>
      </c>
      <c r="D2054" s="10" t="s">
        <v>270</v>
      </c>
    </row>
    <row r="2055" spans="1:4" x14ac:dyDescent="0.2">
      <c r="A2055">
        <v>5598</v>
      </c>
      <c r="B2055" s="10">
        <v>219148</v>
      </c>
      <c r="C2055" s="10">
        <v>40749</v>
      </c>
      <c r="D2055" s="10" t="s">
        <v>270</v>
      </c>
    </row>
    <row r="2056" spans="1:4" x14ac:dyDescent="0.2">
      <c r="A2056">
        <v>5599</v>
      </c>
      <c r="B2056" s="10">
        <v>219148</v>
      </c>
      <c r="C2056" s="10">
        <v>40750</v>
      </c>
      <c r="D2056" s="10" t="s">
        <v>270</v>
      </c>
    </row>
    <row r="2057" spans="1:4" x14ac:dyDescent="0.2">
      <c r="A2057">
        <v>5600</v>
      </c>
      <c r="B2057" s="10">
        <v>219148</v>
      </c>
      <c r="C2057" s="10">
        <v>40750</v>
      </c>
      <c r="D2057" s="10" t="s">
        <v>270</v>
      </c>
    </row>
    <row r="2058" spans="1:4" x14ac:dyDescent="0.2">
      <c r="A2058">
        <v>5603</v>
      </c>
      <c r="B2058" s="10">
        <v>219148</v>
      </c>
      <c r="C2058" s="10">
        <v>40750</v>
      </c>
      <c r="D2058" s="10" t="s">
        <v>270</v>
      </c>
    </row>
    <row r="2059" spans="1:4" x14ac:dyDescent="0.2">
      <c r="A2059">
        <v>5604</v>
      </c>
      <c r="B2059" s="10">
        <v>40770</v>
      </c>
      <c r="C2059" s="10">
        <v>40854</v>
      </c>
      <c r="D2059" s="10" t="s">
        <v>539</v>
      </c>
    </row>
    <row r="2060" spans="1:4" x14ac:dyDescent="0.2">
      <c r="A2060">
        <v>5606</v>
      </c>
      <c r="B2060" s="10">
        <v>219148</v>
      </c>
      <c r="C2060" s="10">
        <v>40750</v>
      </c>
      <c r="D2060" s="10" t="s">
        <v>270</v>
      </c>
    </row>
    <row r="2061" spans="1:4" x14ac:dyDescent="0.2">
      <c r="A2061">
        <v>5609</v>
      </c>
      <c r="B2061" s="10">
        <v>219148</v>
      </c>
      <c r="C2061" s="10">
        <v>40753</v>
      </c>
      <c r="D2061" s="10" t="s">
        <v>270</v>
      </c>
    </row>
    <row r="2062" spans="1:4" x14ac:dyDescent="0.2">
      <c r="A2062">
        <v>5610</v>
      </c>
      <c r="B2062" s="10">
        <v>219148</v>
      </c>
      <c r="C2062" s="10">
        <v>40753</v>
      </c>
      <c r="D2062" s="10" t="s">
        <v>270</v>
      </c>
    </row>
    <row r="2063" spans="1:4" x14ac:dyDescent="0.2">
      <c r="A2063">
        <v>5611</v>
      </c>
      <c r="B2063" s="10">
        <v>219148</v>
      </c>
      <c r="C2063" s="10">
        <v>40753</v>
      </c>
      <c r="D2063" s="10" t="s">
        <v>270</v>
      </c>
    </row>
    <row r="2064" spans="1:4" x14ac:dyDescent="0.2">
      <c r="A2064">
        <v>5616</v>
      </c>
      <c r="B2064" s="10">
        <v>36526</v>
      </c>
      <c r="C2064" s="10">
        <v>40751</v>
      </c>
      <c r="D2064" s="10" t="s">
        <v>270</v>
      </c>
    </row>
    <row r="2065" spans="1:4" x14ac:dyDescent="0.2">
      <c r="A2065">
        <v>5617</v>
      </c>
      <c r="B2065" s="10">
        <v>219148</v>
      </c>
      <c r="C2065" s="10">
        <v>40751</v>
      </c>
      <c r="D2065" s="10" t="s">
        <v>270</v>
      </c>
    </row>
    <row r="2066" spans="1:4" x14ac:dyDescent="0.2">
      <c r="A2066">
        <v>5618</v>
      </c>
      <c r="B2066" s="10">
        <v>219148</v>
      </c>
      <c r="C2066" s="10">
        <v>40751</v>
      </c>
      <c r="D2066" s="10" t="s">
        <v>270</v>
      </c>
    </row>
    <row r="2067" spans="1:4" x14ac:dyDescent="0.2">
      <c r="A2067">
        <v>5623</v>
      </c>
      <c r="B2067" s="10">
        <v>219148</v>
      </c>
      <c r="C2067" s="10">
        <v>40751</v>
      </c>
      <c r="D2067" s="10" t="s">
        <v>270</v>
      </c>
    </row>
    <row r="2068" spans="1:4" x14ac:dyDescent="0.2">
      <c r="A2068">
        <v>5624</v>
      </c>
      <c r="B2068" s="10">
        <v>219148</v>
      </c>
      <c r="C2068" s="10">
        <v>40751</v>
      </c>
      <c r="D2068" s="10" t="s">
        <v>270</v>
      </c>
    </row>
    <row r="2069" spans="1:4" x14ac:dyDescent="0.2">
      <c r="A2069">
        <v>5625</v>
      </c>
      <c r="B2069" s="10">
        <v>219148</v>
      </c>
      <c r="C2069" s="10">
        <v>40751</v>
      </c>
      <c r="D2069" s="10" t="s">
        <v>270</v>
      </c>
    </row>
    <row r="2070" spans="1:4" x14ac:dyDescent="0.2">
      <c r="A2070">
        <v>5626</v>
      </c>
      <c r="B2070" s="10">
        <v>219148</v>
      </c>
      <c r="C2070" s="10">
        <v>40751</v>
      </c>
      <c r="D2070" s="10" t="s">
        <v>270</v>
      </c>
    </row>
    <row r="2071" spans="1:4" x14ac:dyDescent="0.2">
      <c r="A2071">
        <v>5632</v>
      </c>
      <c r="B2071" s="10">
        <v>36526</v>
      </c>
      <c r="C2071" s="10">
        <v>40752</v>
      </c>
      <c r="D2071" s="10" t="s">
        <v>538</v>
      </c>
    </row>
    <row r="2072" spans="1:4" x14ac:dyDescent="0.2">
      <c r="A2072">
        <v>5633</v>
      </c>
      <c r="B2072" s="10">
        <v>219148</v>
      </c>
      <c r="C2072" s="10">
        <v>40753</v>
      </c>
      <c r="D2072" s="10" t="s">
        <v>270</v>
      </c>
    </row>
    <row r="2073" spans="1:4" x14ac:dyDescent="0.2">
      <c r="A2073">
        <v>5638</v>
      </c>
      <c r="B2073" s="10">
        <v>219148</v>
      </c>
      <c r="C2073" s="10">
        <v>40752</v>
      </c>
      <c r="D2073" s="10" t="s">
        <v>270</v>
      </c>
    </row>
    <row r="2074" spans="1:4" x14ac:dyDescent="0.2">
      <c r="A2074">
        <v>5639</v>
      </c>
      <c r="B2074" s="10">
        <v>219148</v>
      </c>
      <c r="C2074" s="10">
        <v>40752</v>
      </c>
      <c r="D2074" s="10" t="s">
        <v>270</v>
      </c>
    </row>
    <row r="2075" spans="1:4" x14ac:dyDescent="0.2">
      <c r="A2075">
        <v>5640</v>
      </c>
      <c r="B2075" s="10">
        <v>219148</v>
      </c>
      <c r="C2075" s="10">
        <v>40752</v>
      </c>
      <c r="D2075" s="10" t="s">
        <v>270</v>
      </c>
    </row>
    <row r="2076" spans="1:4" x14ac:dyDescent="0.2">
      <c r="A2076">
        <v>5641</v>
      </c>
      <c r="B2076" s="10">
        <v>219148</v>
      </c>
      <c r="C2076" s="10">
        <v>40753</v>
      </c>
      <c r="D2076" s="10" t="s">
        <v>270</v>
      </c>
    </row>
    <row r="2077" spans="1:4" x14ac:dyDescent="0.2">
      <c r="A2077">
        <v>5642</v>
      </c>
      <c r="B2077" s="10">
        <v>219148</v>
      </c>
      <c r="C2077" s="10">
        <v>40753</v>
      </c>
      <c r="D2077" s="10" t="s">
        <v>270</v>
      </c>
    </row>
    <row r="2078" spans="1:4" x14ac:dyDescent="0.2">
      <c r="A2078">
        <v>5645</v>
      </c>
      <c r="B2078" s="10">
        <v>219148</v>
      </c>
      <c r="C2078" s="10">
        <v>40753</v>
      </c>
      <c r="D2078" s="10" t="s">
        <v>270</v>
      </c>
    </row>
    <row r="2079" spans="1:4" x14ac:dyDescent="0.2">
      <c r="A2079">
        <v>5646</v>
      </c>
      <c r="B2079" s="10">
        <v>219148</v>
      </c>
      <c r="C2079" s="10">
        <v>40753</v>
      </c>
      <c r="D2079" s="10" t="s">
        <v>270</v>
      </c>
    </row>
    <row r="2080" spans="1:4" x14ac:dyDescent="0.2">
      <c r="A2080">
        <v>5647</v>
      </c>
      <c r="B2080" s="10">
        <v>219148</v>
      </c>
      <c r="C2080" s="10">
        <v>40753</v>
      </c>
      <c r="D2080" s="10" t="s">
        <v>270</v>
      </c>
    </row>
    <row r="2081" spans="1:4" x14ac:dyDescent="0.2">
      <c r="A2081">
        <v>5651</v>
      </c>
      <c r="B2081" s="10">
        <v>36526</v>
      </c>
      <c r="C2081" s="10">
        <v>40779</v>
      </c>
      <c r="D2081" s="10" t="s">
        <v>538</v>
      </c>
    </row>
    <row r="2082" spans="1:4" x14ac:dyDescent="0.2">
      <c r="A2082">
        <v>5652</v>
      </c>
      <c r="B2082" s="10">
        <v>36526</v>
      </c>
      <c r="C2082" s="10">
        <v>40753</v>
      </c>
      <c r="D2082" s="10" t="s">
        <v>538</v>
      </c>
    </row>
    <row r="2083" spans="1:4" x14ac:dyDescent="0.2">
      <c r="A2083">
        <v>5653</v>
      </c>
      <c r="B2083" s="10">
        <v>36526</v>
      </c>
      <c r="C2083" s="10">
        <v>40753</v>
      </c>
      <c r="D2083" s="10" t="s">
        <v>538</v>
      </c>
    </row>
    <row r="2084" spans="1:4" x14ac:dyDescent="0.2">
      <c r="A2084">
        <v>5657</v>
      </c>
      <c r="B2084" s="10">
        <v>40907</v>
      </c>
      <c r="C2084" s="10">
        <v>40816</v>
      </c>
      <c r="D2084" s="10" t="s">
        <v>539</v>
      </c>
    </row>
    <row r="2085" spans="1:4" x14ac:dyDescent="0.2">
      <c r="A2085">
        <v>5658</v>
      </c>
      <c r="B2085" s="10">
        <v>219148</v>
      </c>
      <c r="C2085" s="10">
        <v>40756</v>
      </c>
      <c r="D2085" s="10" t="s">
        <v>270</v>
      </c>
    </row>
    <row r="2086" spans="1:4" x14ac:dyDescent="0.2">
      <c r="A2086">
        <v>5659</v>
      </c>
      <c r="B2086" s="10">
        <v>219148</v>
      </c>
      <c r="C2086" s="10">
        <v>40756</v>
      </c>
      <c r="D2086" s="10" t="s">
        <v>270</v>
      </c>
    </row>
    <row r="2087" spans="1:4" x14ac:dyDescent="0.2">
      <c r="A2087">
        <v>5660</v>
      </c>
      <c r="B2087" s="10">
        <v>219148</v>
      </c>
      <c r="C2087" s="10">
        <v>40756</v>
      </c>
      <c r="D2087" s="10" t="s">
        <v>270</v>
      </c>
    </row>
    <row r="2088" spans="1:4" x14ac:dyDescent="0.2">
      <c r="A2088">
        <v>5662</v>
      </c>
      <c r="B2088" s="10">
        <v>219148</v>
      </c>
      <c r="C2088" s="10">
        <v>40756</v>
      </c>
      <c r="D2088" s="10" t="s">
        <v>270</v>
      </c>
    </row>
    <row r="2089" spans="1:4" x14ac:dyDescent="0.2">
      <c r="A2089">
        <v>5664</v>
      </c>
      <c r="B2089" s="10">
        <v>219148</v>
      </c>
      <c r="C2089" s="10">
        <v>40756</v>
      </c>
      <c r="D2089" s="10" t="s">
        <v>270</v>
      </c>
    </row>
    <row r="2090" spans="1:4" x14ac:dyDescent="0.2">
      <c r="A2090">
        <v>5665</v>
      </c>
      <c r="B2090" s="10">
        <v>36526</v>
      </c>
      <c r="C2090" s="10">
        <v>40757</v>
      </c>
      <c r="D2090" s="10" t="s">
        <v>270</v>
      </c>
    </row>
    <row r="2091" spans="1:4" x14ac:dyDescent="0.2">
      <c r="A2091">
        <v>5672</v>
      </c>
      <c r="B2091" s="10">
        <v>219148</v>
      </c>
      <c r="C2091" s="10">
        <v>40758</v>
      </c>
      <c r="D2091" s="10" t="s">
        <v>270</v>
      </c>
    </row>
    <row r="2092" spans="1:4" x14ac:dyDescent="0.2">
      <c r="A2092">
        <v>5679</v>
      </c>
      <c r="B2092" s="10">
        <v>219148</v>
      </c>
      <c r="C2092" s="10">
        <v>40759</v>
      </c>
      <c r="D2092" s="10" t="s">
        <v>270</v>
      </c>
    </row>
    <row r="2093" spans="1:4" x14ac:dyDescent="0.2">
      <c r="A2093">
        <v>5682</v>
      </c>
      <c r="B2093" s="10">
        <v>219148</v>
      </c>
      <c r="C2093" s="10">
        <v>40759</v>
      </c>
      <c r="D2093" s="10" t="s">
        <v>270</v>
      </c>
    </row>
    <row r="2094" spans="1:4" x14ac:dyDescent="0.2">
      <c r="A2094">
        <v>5684</v>
      </c>
      <c r="B2094" s="10">
        <v>219148</v>
      </c>
      <c r="C2094" s="10">
        <v>40760</v>
      </c>
      <c r="D2094" s="10" t="s">
        <v>270</v>
      </c>
    </row>
    <row r="2095" spans="1:4" x14ac:dyDescent="0.2">
      <c r="A2095">
        <v>5686</v>
      </c>
      <c r="B2095" s="10">
        <v>219148</v>
      </c>
      <c r="C2095" s="10">
        <v>40763</v>
      </c>
      <c r="D2095" s="10" t="s">
        <v>270</v>
      </c>
    </row>
    <row r="2096" spans="1:4" x14ac:dyDescent="0.2">
      <c r="A2096">
        <v>5687</v>
      </c>
      <c r="B2096" s="10">
        <v>219148</v>
      </c>
      <c r="C2096" s="10">
        <v>40763</v>
      </c>
      <c r="D2096" s="10" t="s">
        <v>270</v>
      </c>
    </row>
    <row r="2097" spans="1:4" x14ac:dyDescent="0.2">
      <c r="A2097">
        <v>5689</v>
      </c>
      <c r="B2097" s="10">
        <v>219148</v>
      </c>
      <c r="C2097" s="10">
        <v>40763</v>
      </c>
      <c r="D2097" s="10" t="s">
        <v>270</v>
      </c>
    </row>
    <row r="2098" spans="1:4" x14ac:dyDescent="0.2">
      <c r="A2098">
        <v>5690</v>
      </c>
      <c r="B2098" s="10">
        <v>219148</v>
      </c>
      <c r="C2098" s="10">
        <v>40764</v>
      </c>
      <c r="D2098" s="10" t="s">
        <v>270</v>
      </c>
    </row>
    <row r="2099" spans="1:4" x14ac:dyDescent="0.2">
      <c r="A2099">
        <v>5691</v>
      </c>
      <c r="B2099" s="10">
        <v>219148</v>
      </c>
      <c r="C2099" s="10">
        <v>40764</v>
      </c>
      <c r="D2099" s="10" t="s">
        <v>270</v>
      </c>
    </row>
    <row r="2100" spans="1:4" x14ac:dyDescent="0.2">
      <c r="A2100">
        <v>5692</v>
      </c>
      <c r="B2100" s="10">
        <v>219148</v>
      </c>
      <c r="C2100" s="10">
        <v>40764</v>
      </c>
      <c r="D2100" s="10" t="s">
        <v>270</v>
      </c>
    </row>
    <row r="2101" spans="1:4" x14ac:dyDescent="0.2">
      <c r="A2101">
        <v>5694</v>
      </c>
      <c r="B2101" s="10">
        <v>219148</v>
      </c>
      <c r="C2101" s="10">
        <v>40765</v>
      </c>
      <c r="D2101" s="10" t="s">
        <v>270</v>
      </c>
    </row>
    <row r="2102" spans="1:4" x14ac:dyDescent="0.2">
      <c r="A2102">
        <v>5695</v>
      </c>
      <c r="B2102" s="10">
        <v>219148</v>
      </c>
      <c r="C2102" s="10">
        <v>40765</v>
      </c>
      <c r="D2102" s="10" t="s">
        <v>270</v>
      </c>
    </row>
    <row r="2103" spans="1:4" x14ac:dyDescent="0.2">
      <c r="A2103">
        <v>5698</v>
      </c>
      <c r="B2103" s="10">
        <v>219148</v>
      </c>
      <c r="C2103" s="10">
        <v>40765</v>
      </c>
      <c r="D2103" s="10" t="s">
        <v>270</v>
      </c>
    </row>
    <row r="2104" spans="1:4" x14ac:dyDescent="0.2">
      <c r="A2104">
        <v>5702</v>
      </c>
      <c r="B2104" s="10">
        <v>219148</v>
      </c>
      <c r="C2104" s="10">
        <v>40766</v>
      </c>
      <c r="D2104" s="10" t="s">
        <v>270</v>
      </c>
    </row>
    <row r="2105" spans="1:4" x14ac:dyDescent="0.2">
      <c r="A2105">
        <v>5704</v>
      </c>
      <c r="B2105" s="10">
        <v>219148</v>
      </c>
      <c r="C2105" s="10">
        <v>40766</v>
      </c>
      <c r="D2105" s="10" t="s">
        <v>270</v>
      </c>
    </row>
    <row r="2106" spans="1:4" x14ac:dyDescent="0.2">
      <c r="A2106">
        <v>5706</v>
      </c>
      <c r="B2106" s="10">
        <v>36526</v>
      </c>
      <c r="C2106" s="10">
        <v>40780</v>
      </c>
      <c r="D2106" s="10" t="s">
        <v>270</v>
      </c>
    </row>
    <row r="2107" spans="1:4" x14ac:dyDescent="0.2">
      <c r="A2107">
        <v>5707</v>
      </c>
      <c r="B2107" s="10">
        <v>219148</v>
      </c>
      <c r="C2107" s="10">
        <v>40766</v>
      </c>
      <c r="D2107" s="10" t="s">
        <v>270</v>
      </c>
    </row>
    <row r="2108" spans="1:4" x14ac:dyDescent="0.2">
      <c r="A2108">
        <v>5708</v>
      </c>
      <c r="B2108" s="10">
        <v>219148</v>
      </c>
      <c r="C2108" s="10">
        <v>40766</v>
      </c>
      <c r="D2108" s="10" t="s">
        <v>270</v>
      </c>
    </row>
    <row r="2109" spans="1:4" x14ac:dyDescent="0.2">
      <c r="A2109">
        <v>5709</v>
      </c>
      <c r="B2109" s="10">
        <v>219148</v>
      </c>
      <c r="C2109" s="10">
        <v>40766</v>
      </c>
      <c r="D2109" s="10" t="s">
        <v>270</v>
      </c>
    </row>
    <row r="2110" spans="1:4" x14ac:dyDescent="0.2">
      <c r="A2110">
        <v>5711</v>
      </c>
      <c r="B2110" s="10">
        <v>219148</v>
      </c>
      <c r="C2110" s="10">
        <v>40767</v>
      </c>
      <c r="D2110" s="10" t="s">
        <v>270</v>
      </c>
    </row>
    <row r="2111" spans="1:4" x14ac:dyDescent="0.2">
      <c r="A2111">
        <v>5712</v>
      </c>
      <c r="B2111" s="10">
        <v>40765</v>
      </c>
      <c r="C2111" s="10">
        <v>40767</v>
      </c>
      <c r="D2111" s="10" t="s">
        <v>270</v>
      </c>
    </row>
    <row r="2112" spans="1:4" x14ac:dyDescent="0.2">
      <c r="A2112">
        <v>5715</v>
      </c>
      <c r="B2112" s="10">
        <v>219148</v>
      </c>
      <c r="C2112" s="10">
        <v>40793</v>
      </c>
      <c r="D2112" s="10" t="s">
        <v>270</v>
      </c>
    </row>
    <row r="2113" spans="1:4" x14ac:dyDescent="0.2">
      <c r="A2113">
        <v>5717</v>
      </c>
      <c r="B2113" s="10">
        <v>219148</v>
      </c>
      <c r="C2113" s="10">
        <v>40767</v>
      </c>
      <c r="D2113" s="10" t="s">
        <v>270</v>
      </c>
    </row>
    <row r="2114" spans="1:4" x14ac:dyDescent="0.2">
      <c r="A2114">
        <v>5719</v>
      </c>
      <c r="B2114" s="10">
        <v>36526</v>
      </c>
      <c r="C2114" s="10">
        <v>40767</v>
      </c>
      <c r="D2114" s="10" t="s">
        <v>270</v>
      </c>
    </row>
    <row r="2115" spans="1:4" x14ac:dyDescent="0.2">
      <c r="A2115">
        <v>5720</v>
      </c>
      <c r="B2115" s="10">
        <v>40767</v>
      </c>
      <c r="C2115" s="10">
        <v>40779</v>
      </c>
      <c r="D2115" s="10" t="s">
        <v>539</v>
      </c>
    </row>
    <row r="2116" spans="1:4" x14ac:dyDescent="0.2">
      <c r="A2116">
        <v>5721</v>
      </c>
      <c r="B2116" s="10">
        <v>219148</v>
      </c>
      <c r="C2116" s="10">
        <v>40770</v>
      </c>
      <c r="D2116" s="10" t="s">
        <v>270</v>
      </c>
    </row>
    <row r="2117" spans="1:4" x14ac:dyDescent="0.2">
      <c r="A2117">
        <v>5725</v>
      </c>
      <c r="B2117" s="10">
        <v>219148</v>
      </c>
      <c r="C2117" s="10">
        <v>40770</v>
      </c>
      <c r="D2117" s="10" t="s">
        <v>270</v>
      </c>
    </row>
    <row r="2118" spans="1:4" x14ac:dyDescent="0.2">
      <c r="A2118">
        <v>5732</v>
      </c>
      <c r="B2118" s="10">
        <v>219148</v>
      </c>
      <c r="C2118" s="10">
        <v>40779</v>
      </c>
      <c r="D2118" s="10" t="s">
        <v>270</v>
      </c>
    </row>
    <row r="2119" spans="1:4" x14ac:dyDescent="0.2">
      <c r="A2119">
        <v>5733</v>
      </c>
      <c r="B2119" s="10">
        <v>219148</v>
      </c>
      <c r="C2119" s="10">
        <v>40779</v>
      </c>
      <c r="D2119" s="10" t="s">
        <v>270</v>
      </c>
    </row>
    <row r="2120" spans="1:4" x14ac:dyDescent="0.2">
      <c r="A2120">
        <v>5734</v>
      </c>
      <c r="B2120" s="10">
        <v>219148</v>
      </c>
      <c r="C2120" s="10">
        <v>40779</v>
      </c>
      <c r="D2120" s="10" t="s">
        <v>270</v>
      </c>
    </row>
    <row r="2121" spans="1:4" x14ac:dyDescent="0.2">
      <c r="A2121">
        <v>5736</v>
      </c>
      <c r="B2121" s="10">
        <v>219148</v>
      </c>
      <c r="C2121" s="10">
        <v>40779</v>
      </c>
      <c r="D2121" s="10" t="s">
        <v>270</v>
      </c>
    </row>
    <row r="2122" spans="1:4" x14ac:dyDescent="0.2">
      <c r="A2122">
        <v>5743</v>
      </c>
      <c r="B2122" s="10">
        <v>219148</v>
      </c>
      <c r="C2122" s="10">
        <v>40779</v>
      </c>
      <c r="D2122" s="10" t="s">
        <v>270</v>
      </c>
    </row>
    <row r="2123" spans="1:4" x14ac:dyDescent="0.2">
      <c r="A2123">
        <v>5746</v>
      </c>
      <c r="B2123" s="10">
        <v>219148</v>
      </c>
      <c r="C2123" s="10">
        <v>40779</v>
      </c>
      <c r="D2123" s="10" t="s">
        <v>270</v>
      </c>
    </row>
    <row r="2124" spans="1:4" x14ac:dyDescent="0.2">
      <c r="A2124">
        <v>5749</v>
      </c>
      <c r="B2124" s="10">
        <v>219148</v>
      </c>
      <c r="C2124" s="10">
        <v>40779</v>
      </c>
      <c r="D2124" s="10" t="s">
        <v>270</v>
      </c>
    </row>
    <row r="2125" spans="1:4" x14ac:dyDescent="0.2">
      <c r="A2125">
        <v>5754</v>
      </c>
      <c r="B2125" s="10">
        <v>219148</v>
      </c>
      <c r="C2125" s="10">
        <v>40779</v>
      </c>
      <c r="D2125" s="10" t="s">
        <v>270</v>
      </c>
    </row>
    <row r="2126" spans="1:4" x14ac:dyDescent="0.2">
      <c r="A2126">
        <v>5755</v>
      </c>
      <c r="B2126" s="10">
        <v>219148</v>
      </c>
      <c r="C2126" s="10">
        <v>40779</v>
      </c>
      <c r="D2126" s="10" t="s">
        <v>270</v>
      </c>
    </row>
    <row r="2127" spans="1:4" x14ac:dyDescent="0.2">
      <c r="A2127">
        <v>5761</v>
      </c>
      <c r="B2127" s="10">
        <v>219148</v>
      </c>
      <c r="C2127" s="10">
        <v>40779</v>
      </c>
      <c r="D2127" s="10" t="s">
        <v>270</v>
      </c>
    </row>
    <row r="2128" spans="1:4" x14ac:dyDescent="0.2">
      <c r="A2128">
        <v>5762</v>
      </c>
      <c r="B2128" s="10">
        <v>36526</v>
      </c>
      <c r="C2128" s="10">
        <v>40779</v>
      </c>
      <c r="D2128" s="10" t="s">
        <v>270</v>
      </c>
    </row>
    <row r="2129" spans="1:4" x14ac:dyDescent="0.2">
      <c r="A2129">
        <v>5765</v>
      </c>
      <c r="B2129" s="10">
        <v>219148</v>
      </c>
      <c r="C2129" s="10">
        <v>40779</v>
      </c>
      <c r="D2129" s="10" t="s">
        <v>270</v>
      </c>
    </row>
    <row r="2130" spans="1:4" x14ac:dyDescent="0.2">
      <c r="A2130">
        <v>5770</v>
      </c>
      <c r="B2130" s="10">
        <v>219148</v>
      </c>
      <c r="C2130" s="10">
        <v>40779</v>
      </c>
      <c r="D2130" s="10" t="s">
        <v>270</v>
      </c>
    </row>
    <row r="2131" spans="1:4" x14ac:dyDescent="0.2">
      <c r="A2131">
        <v>5771</v>
      </c>
      <c r="B2131" s="10">
        <v>219148</v>
      </c>
      <c r="C2131" s="10">
        <v>40779</v>
      </c>
      <c r="D2131" s="10" t="s">
        <v>270</v>
      </c>
    </row>
    <row r="2132" spans="1:4" x14ac:dyDescent="0.2">
      <c r="A2132">
        <v>5772</v>
      </c>
      <c r="B2132" s="10">
        <v>219148</v>
      </c>
      <c r="C2132" s="10">
        <v>40779</v>
      </c>
      <c r="D2132" s="10" t="s">
        <v>270</v>
      </c>
    </row>
    <row r="2133" spans="1:4" x14ac:dyDescent="0.2">
      <c r="A2133">
        <v>5774</v>
      </c>
      <c r="B2133" s="10">
        <v>219148</v>
      </c>
      <c r="C2133" s="10">
        <v>40779</v>
      </c>
      <c r="D2133" s="10" t="s">
        <v>270</v>
      </c>
    </row>
    <row r="2134" spans="1:4" x14ac:dyDescent="0.2">
      <c r="A2134">
        <v>5777</v>
      </c>
      <c r="B2134" s="10">
        <v>40772</v>
      </c>
      <c r="C2134" s="10">
        <v>40779</v>
      </c>
      <c r="D2134" s="10" t="s">
        <v>539</v>
      </c>
    </row>
    <row r="2135" spans="1:4" x14ac:dyDescent="0.2">
      <c r="A2135">
        <v>5781</v>
      </c>
      <c r="B2135" s="10">
        <v>40834</v>
      </c>
      <c r="C2135" s="10">
        <v>40779</v>
      </c>
      <c r="D2135" s="10" t="s">
        <v>539</v>
      </c>
    </row>
    <row r="2136" spans="1:4" x14ac:dyDescent="0.2">
      <c r="A2136">
        <v>5785</v>
      </c>
      <c r="B2136" s="10">
        <v>219148</v>
      </c>
      <c r="C2136" s="10">
        <v>40780</v>
      </c>
      <c r="D2136" s="10" t="s">
        <v>270</v>
      </c>
    </row>
    <row r="2137" spans="1:4" x14ac:dyDescent="0.2">
      <c r="A2137">
        <v>5787</v>
      </c>
      <c r="B2137" s="10">
        <v>219148</v>
      </c>
      <c r="C2137" s="10">
        <v>40780</v>
      </c>
      <c r="D2137" s="10" t="s">
        <v>270</v>
      </c>
    </row>
    <row r="2138" spans="1:4" x14ac:dyDescent="0.2">
      <c r="A2138">
        <v>5790</v>
      </c>
      <c r="B2138" s="10">
        <v>219148</v>
      </c>
      <c r="C2138" s="10">
        <v>40786</v>
      </c>
      <c r="D2138" s="10" t="s">
        <v>270</v>
      </c>
    </row>
    <row r="2139" spans="1:4" x14ac:dyDescent="0.2">
      <c r="A2139">
        <v>5791</v>
      </c>
      <c r="B2139" s="10">
        <v>219148</v>
      </c>
      <c r="C2139" s="10">
        <v>40786</v>
      </c>
      <c r="D2139" s="10" t="s">
        <v>270</v>
      </c>
    </row>
    <row r="2140" spans="1:4" x14ac:dyDescent="0.2">
      <c r="A2140">
        <v>5792</v>
      </c>
      <c r="B2140" s="10">
        <v>219148</v>
      </c>
      <c r="C2140" s="10">
        <v>40780</v>
      </c>
      <c r="D2140" s="10" t="s">
        <v>270</v>
      </c>
    </row>
    <row r="2141" spans="1:4" x14ac:dyDescent="0.2">
      <c r="A2141">
        <v>5797</v>
      </c>
      <c r="B2141" s="10">
        <v>219148</v>
      </c>
      <c r="C2141" s="10">
        <v>40781</v>
      </c>
      <c r="D2141" s="10" t="s">
        <v>270</v>
      </c>
    </row>
    <row r="2142" spans="1:4" x14ac:dyDescent="0.2">
      <c r="A2142">
        <v>5798</v>
      </c>
      <c r="B2142" s="10">
        <v>36526</v>
      </c>
      <c r="C2142" s="10">
        <v>40784</v>
      </c>
      <c r="D2142" s="10" t="s">
        <v>270</v>
      </c>
    </row>
    <row r="2143" spans="1:4" x14ac:dyDescent="0.2">
      <c r="A2143">
        <v>5803</v>
      </c>
      <c r="B2143" s="10">
        <v>219148</v>
      </c>
      <c r="C2143" s="10">
        <v>40781</v>
      </c>
      <c r="D2143" s="10" t="s">
        <v>270</v>
      </c>
    </row>
    <row r="2144" spans="1:4" x14ac:dyDescent="0.2">
      <c r="A2144">
        <v>5806</v>
      </c>
      <c r="B2144" s="10">
        <v>219148</v>
      </c>
      <c r="C2144" s="10">
        <v>40784</v>
      </c>
      <c r="D2144" s="10" t="s">
        <v>270</v>
      </c>
    </row>
    <row r="2145" spans="1:4" x14ac:dyDescent="0.2">
      <c r="A2145">
        <v>5807</v>
      </c>
      <c r="B2145" s="10">
        <v>219148</v>
      </c>
      <c r="C2145" s="10">
        <v>40784</v>
      </c>
      <c r="D2145" s="10" t="s">
        <v>270</v>
      </c>
    </row>
    <row r="2146" spans="1:4" x14ac:dyDescent="0.2">
      <c r="A2146">
        <v>5808</v>
      </c>
      <c r="B2146" s="10">
        <v>219148</v>
      </c>
      <c r="C2146" s="10">
        <v>40784</v>
      </c>
      <c r="D2146" s="10" t="s">
        <v>270</v>
      </c>
    </row>
    <row r="2147" spans="1:4" x14ac:dyDescent="0.2">
      <c r="A2147">
        <v>5809</v>
      </c>
      <c r="B2147" s="10">
        <v>219148</v>
      </c>
      <c r="C2147" s="10">
        <v>40805</v>
      </c>
      <c r="D2147" s="10" t="s">
        <v>270</v>
      </c>
    </row>
    <row r="2148" spans="1:4" x14ac:dyDescent="0.2">
      <c r="A2148">
        <v>5810</v>
      </c>
      <c r="B2148" s="10">
        <v>219148</v>
      </c>
      <c r="C2148" s="10">
        <v>40784</v>
      </c>
      <c r="D2148" s="10" t="s">
        <v>270</v>
      </c>
    </row>
    <row r="2149" spans="1:4" x14ac:dyDescent="0.2">
      <c r="A2149">
        <v>5812</v>
      </c>
      <c r="B2149" s="10">
        <v>219148</v>
      </c>
      <c r="C2149" s="10">
        <v>40784</v>
      </c>
      <c r="D2149" s="10" t="s">
        <v>270</v>
      </c>
    </row>
    <row r="2150" spans="1:4" x14ac:dyDescent="0.2">
      <c r="A2150">
        <v>5813</v>
      </c>
      <c r="B2150" s="10">
        <v>219148</v>
      </c>
      <c r="C2150" s="10">
        <v>40784</v>
      </c>
      <c r="D2150" s="10" t="s">
        <v>270</v>
      </c>
    </row>
    <row r="2151" spans="1:4" x14ac:dyDescent="0.2">
      <c r="A2151">
        <v>5814</v>
      </c>
      <c r="B2151" s="10">
        <v>219148</v>
      </c>
      <c r="C2151" s="10">
        <v>40784</v>
      </c>
      <c r="D2151" s="10" t="s">
        <v>270</v>
      </c>
    </row>
    <row r="2152" spans="1:4" x14ac:dyDescent="0.2">
      <c r="A2152">
        <v>5815</v>
      </c>
      <c r="B2152" s="10">
        <v>219148</v>
      </c>
      <c r="C2152" s="10">
        <v>40784</v>
      </c>
      <c r="D2152" s="10" t="s">
        <v>270</v>
      </c>
    </row>
    <row r="2153" spans="1:4" x14ac:dyDescent="0.2">
      <c r="A2153">
        <v>5816</v>
      </c>
      <c r="B2153" s="10">
        <v>219148</v>
      </c>
      <c r="C2153" s="10">
        <v>40784</v>
      </c>
      <c r="D2153" s="10" t="s">
        <v>270</v>
      </c>
    </row>
    <row r="2154" spans="1:4" x14ac:dyDescent="0.2">
      <c r="A2154">
        <v>5818</v>
      </c>
      <c r="B2154" s="10">
        <v>219148</v>
      </c>
      <c r="C2154" s="10">
        <v>40785</v>
      </c>
      <c r="D2154" s="10" t="s">
        <v>270</v>
      </c>
    </row>
    <row r="2155" spans="1:4" x14ac:dyDescent="0.2">
      <c r="A2155">
        <v>5819</v>
      </c>
      <c r="B2155" s="10">
        <v>219148</v>
      </c>
      <c r="C2155" s="10">
        <v>40799</v>
      </c>
      <c r="D2155" s="10" t="s">
        <v>270</v>
      </c>
    </row>
    <row r="2156" spans="1:4" x14ac:dyDescent="0.2">
      <c r="A2156">
        <v>5822</v>
      </c>
      <c r="B2156" s="10">
        <v>219148</v>
      </c>
      <c r="C2156" s="10">
        <v>40785</v>
      </c>
      <c r="D2156" s="10" t="s">
        <v>270</v>
      </c>
    </row>
    <row r="2157" spans="1:4" x14ac:dyDescent="0.2">
      <c r="A2157">
        <v>5823</v>
      </c>
      <c r="B2157" s="10">
        <v>219148</v>
      </c>
      <c r="C2157" s="10">
        <v>40785</v>
      </c>
      <c r="D2157" s="10" t="s">
        <v>270</v>
      </c>
    </row>
    <row r="2158" spans="1:4" x14ac:dyDescent="0.2">
      <c r="A2158">
        <v>5824</v>
      </c>
      <c r="B2158" s="10">
        <v>219148</v>
      </c>
      <c r="C2158" s="10">
        <v>40785</v>
      </c>
      <c r="D2158" s="10" t="s">
        <v>270</v>
      </c>
    </row>
    <row r="2159" spans="1:4" x14ac:dyDescent="0.2">
      <c r="A2159">
        <v>5825</v>
      </c>
      <c r="B2159" s="10">
        <v>40808</v>
      </c>
      <c r="C2159" s="10">
        <v>40786</v>
      </c>
      <c r="D2159" s="10" t="s">
        <v>273</v>
      </c>
    </row>
    <row r="2160" spans="1:4" x14ac:dyDescent="0.2">
      <c r="A2160">
        <v>5826</v>
      </c>
      <c r="B2160" s="10">
        <v>40902</v>
      </c>
      <c r="C2160" s="10">
        <v>40786</v>
      </c>
      <c r="D2160" s="10" t="s">
        <v>273</v>
      </c>
    </row>
    <row r="2161" spans="1:4" x14ac:dyDescent="0.2">
      <c r="A2161">
        <v>5827</v>
      </c>
      <c r="B2161" s="10">
        <v>40532</v>
      </c>
      <c r="C2161" s="10">
        <v>40786</v>
      </c>
      <c r="D2161" s="10" t="s">
        <v>270</v>
      </c>
    </row>
    <row r="2162" spans="1:4" x14ac:dyDescent="0.2">
      <c r="A2162">
        <v>5828</v>
      </c>
      <c r="B2162" s="10">
        <v>219148</v>
      </c>
      <c r="C2162" s="10">
        <v>40786</v>
      </c>
      <c r="D2162" s="10" t="s">
        <v>270</v>
      </c>
    </row>
    <row r="2163" spans="1:4" x14ac:dyDescent="0.2">
      <c r="A2163">
        <v>5829</v>
      </c>
      <c r="B2163" s="10">
        <v>219148</v>
      </c>
      <c r="C2163" s="10">
        <v>40786</v>
      </c>
      <c r="D2163" s="10" t="s">
        <v>270</v>
      </c>
    </row>
    <row r="2164" spans="1:4" x14ac:dyDescent="0.2">
      <c r="A2164">
        <v>5830</v>
      </c>
      <c r="B2164" s="10">
        <v>219148</v>
      </c>
      <c r="C2164" s="10">
        <v>40786</v>
      </c>
      <c r="D2164" s="10" t="s">
        <v>270</v>
      </c>
    </row>
    <row r="2165" spans="1:4" x14ac:dyDescent="0.2">
      <c r="A2165">
        <v>5831</v>
      </c>
      <c r="B2165" s="10">
        <v>219148</v>
      </c>
      <c r="C2165" s="10">
        <v>40786</v>
      </c>
      <c r="D2165" s="10" t="s">
        <v>270</v>
      </c>
    </row>
    <row r="2166" spans="1:4" x14ac:dyDescent="0.2">
      <c r="A2166">
        <v>5832</v>
      </c>
      <c r="B2166" s="10">
        <v>219148</v>
      </c>
      <c r="C2166" s="10">
        <v>40786</v>
      </c>
      <c r="D2166" s="10" t="s">
        <v>270</v>
      </c>
    </row>
    <row r="2167" spans="1:4" x14ac:dyDescent="0.2">
      <c r="A2167">
        <v>5833</v>
      </c>
      <c r="B2167" s="10">
        <v>40946</v>
      </c>
      <c r="C2167" s="10">
        <v>40786</v>
      </c>
      <c r="D2167" s="10" t="s">
        <v>273</v>
      </c>
    </row>
    <row r="2168" spans="1:4" x14ac:dyDescent="0.2">
      <c r="A2168">
        <v>5834</v>
      </c>
      <c r="B2168" s="10">
        <v>40946</v>
      </c>
      <c r="C2168" s="10">
        <v>40786</v>
      </c>
      <c r="D2168" s="10" t="s">
        <v>273</v>
      </c>
    </row>
    <row r="2169" spans="1:4" x14ac:dyDescent="0.2">
      <c r="A2169">
        <v>5835</v>
      </c>
      <c r="B2169" s="10">
        <v>40968</v>
      </c>
      <c r="C2169" s="10">
        <v>40786</v>
      </c>
      <c r="D2169" s="10" t="s">
        <v>273</v>
      </c>
    </row>
    <row r="2170" spans="1:4" x14ac:dyDescent="0.2">
      <c r="A2170">
        <v>5836</v>
      </c>
      <c r="B2170" s="10">
        <v>40968</v>
      </c>
      <c r="C2170" s="10">
        <v>40786</v>
      </c>
      <c r="D2170" s="10" t="s">
        <v>273</v>
      </c>
    </row>
    <row r="2171" spans="1:4" x14ac:dyDescent="0.2">
      <c r="A2171">
        <v>5837</v>
      </c>
      <c r="B2171" s="10">
        <v>40660</v>
      </c>
      <c r="C2171" s="10">
        <v>40786</v>
      </c>
      <c r="D2171" s="10" t="s">
        <v>270</v>
      </c>
    </row>
    <row r="2172" spans="1:4" x14ac:dyDescent="0.2">
      <c r="A2172">
        <v>5839</v>
      </c>
      <c r="B2172" s="10">
        <v>40798</v>
      </c>
      <c r="C2172" s="10">
        <v>40798</v>
      </c>
      <c r="D2172" s="10" t="s">
        <v>270</v>
      </c>
    </row>
    <row r="2173" spans="1:4" x14ac:dyDescent="0.2">
      <c r="A2173">
        <v>5841</v>
      </c>
      <c r="B2173" s="10">
        <v>219148</v>
      </c>
      <c r="C2173" s="10">
        <v>40786</v>
      </c>
      <c r="D2173" s="10" t="s">
        <v>270</v>
      </c>
    </row>
    <row r="2174" spans="1:4" x14ac:dyDescent="0.2">
      <c r="A2174">
        <v>5842</v>
      </c>
      <c r="B2174" s="10">
        <v>219148</v>
      </c>
      <c r="C2174" s="10">
        <v>40786</v>
      </c>
      <c r="D2174" s="10" t="s">
        <v>270</v>
      </c>
    </row>
    <row r="2175" spans="1:4" x14ac:dyDescent="0.2">
      <c r="A2175">
        <v>5845</v>
      </c>
      <c r="B2175" s="10">
        <v>219148</v>
      </c>
      <c r="C2175" s="10">
        <v>40786</v>
      </c>
      <c r="D2175" s="10" t="s">
        <v>270</v>
      </c>
    </row>
    <row r="2176" spans="1:4" x14ac:dyDescent="0.2">
      <c r="A2176">
        <v>5846</v>
      </c>
      <c r="B2176" s="10">
        <v>219148</v>
      </c>
      <c r="C2176" s="10">
        <v>40786</v>
      </c>
      <c r="D2176" s="10" t="s">
        <v>270</v>
      </c>
    </row>
    <row r="2177" spans="1:4" x14ac:dyDescent="0.2">
      <c r="A2177">
        <v>5847</v>
      </c>
      <c r="B2177" s="10">
        <v>219148</v>
      </c>
      <c r="C2177" s="10">
        <v>40786</v>
      </c>
      <c r="D2177" s="10" t="s">
        <v>270</v>
      </c>
    </row>
    <row r="2178" spans="1:4" x14ac:dyDescent="0.2">
      <c r="A2178">
        <v>5848</v>
      </c>
      <c r="B2178" s="10">
        <v>219148</v>
      </c>
      <c r="C2178" s="10">
        <v>40786</v>
      </c>
      <c r="D2178" s="10" t="s">
        <v>270</v>
      </c>
    </row>
    <row r="2179" spans="1:4" x14ac:dyDescent="0.2">
      <c r="A2179">
        <v>5849</v>
      </c>
      <c r="B2179" s="10">
        <v>219148</v>
      </c>
      <c r="C2179" s="10">
        <v>40786</v>
      </c>
      <c r="D2179" s="10" t="s">
        <v>270</v>
      </c>
    </row>
    <row r="2180" spans="1:4" x14ac:dyDescent="0.2">
      <c r="A2180">
        <v>5851</v>
      </c>
      <c r="B2180" s="10">
        <v>40792</v>
      </c>
      <c r="C2180" s="10">
        <v>40816</v>
      </c>
      <c r="D2180" s="10" t="s">
        <v>539</v>
      </c>
    </row>
    <row r="2181" spans="1:4" x14ac:dyDescent="0.2">
      <c r="A2181">
        <v>5860</v>
      </c>
      <c r="B2181" s="10">
        <v>219148</v>
      </c>
      <c r="C2181" s="10">
        <v>40787</v>
      </c>
      <c r="D2181" s="10" t="s">
        <v>270</v>
      </c>
    </row>
    <row r="2182" spans="1:4" x14ac:dyDescent="0.2">
      <c r="A2182">
        <v>5863</v>
      </c>
      <c r="B2182" s="10">
        <v>36526</v>
      </c>
      <c r="C2182" s="10">
        <v>40787</v>
      </c>
      <c r="D2182" s="10" t="s">
        <v>538</v>
      </c>
    </row>
    <row r="2183" spans="1:4" x14ac:dyDescent="0.2">
      <c r="A2183">
        <v>5865</v>
      </c>
      <c r="B2183" s="10">
        <v>219148</v>
      </c>
      <c r="C2183" s="10">
        <v>40787</v>
      </c>
      <c r="D2183" s="10" t="s">
        <v>270</v>
      </c>
    </row>
    <row r="2184" spans="1:4" x14ac:dyDescent="0.2">
      <c r="A2184">
        <v>5866</v>
      </c>
      <c r="B2184" s="10">
        <v>219148</v>
      </c>
      <c r="C2184" s="10">
        <v>40787</v>
      </c>
      <c r="D2184" s="10" t="s">
        <v>270</v>
      </c>
    </row>
    <row r="2185" spans="1:4" x14ac:dyDescent="0.2">
      <c r="A2185">
        <v>5867</v>
      </c>
      <c r="B2185" s="10">
        <v>219148</v>
      </c>
      <c r="C2185" s="10">
        <v>40788</v>
      </c>
      <c r="D2185" s="10" t="s">
        <v>270</v>
      </c>
    </row>
    <row r="2186" spans="1:4" x14ac:dyDescent="0.2">
      <c r="A2186">
        <v>5869</v>
      </c>
      <c r="B2186" s="10">
        <v>219148</v>
      </c>
      <c r="C2186" s="10">
        <v>40788</v>
      </c>
      <c r="D2186" s="10" t="s">
        <v>270</v>
      </c>
    </row>
    <row r="2187" spans="1:4" x14ac:dyDescent="0.2">
      <c r="A2187">
        <v>5870</v>
      </c>
      <c r="B2187" s="10">
        <v>219148</v>
      </c>
      <c r="C2187" s="10">
        <v>40788</v>
      </c>
      <c r="D2187" s="10" t="s">
        <v>270</v>
      </c>
    </row>
    <row r="2188" spans="1:4" x14ac:dyDescent="0.2">
      <c r="A2188">
        <v>5871</v>
      </c>
      <c r="B2188" s="10">
        <v>219148</v>
      </c>
      <c r="C2188" s="10">
        <v>40791</v>
      </c>
      <c r="D2188" s="10" t="s">
        <v>270</v>
      </c>
    </row>
    <row r="2189" spans="1:4" x14ac:dyDescent="0.2">
      <c r="A2189">
        <v>5872</v>
      </c>
      <c r="B2189" s="10">
        <v>219148</v>
      </c>
      <c r="C2189" s="10">
        <v>40791</v>
      </c>
      <c r="D2189" s="10" t="s">
        <v>270</v>
      </c>
    </row>
    <row r="2190" spans="1:4" x14ac:dyDescent="0.2">
      <c r="A2190">
        <v>5875</v>
      </c>
      <c r="B2190" s="10">
        <v>219148</v>
      </c>
      <c r="C2190" s="10">
        <v>40791</v>
      </c>
      <c r="D2190" s="10" t="s">
        <v>270</v>
      </c>
    </row>
    <row r="2191" spans="1:4" x14ac:dyDescent="0.2">
      <c r="A2191">
        <v>5876</v>
      </c>
      <c r="B2191" s="10">
        <v>219148</v>
      </c>
      <c r="C2191" s="10">
        <v>40791</v>
      </c>
      <c r="D2191" s="10" t="s">
        <v>270</v>
      </c>
    </row>
    <row r="2192" spans="1:4" x14ac:dyDescent="0.2">
      <c r="A2192">
        <v>5877</v>
      </c>
      <c r="B2192" s="10">
        <v>219148</v>
      </c>
      <c r="C2192" s="10">
        <v>40791</v>
      </c>
      <c r="D2192" s="10" t="s">
        <v>270</v>
      </c>
    </row>
    <row r="2193" spans="1:4" x14ac:dyDescent="0.2">
      <c r="A2193">
        <v>5878</v>
      </c>
      <c r="B2193" s="10">
        <v>219148</v>
      </c>
      <c r="C2193" s="10">
        <v>40791</v>
      </c>
      <c r="D2193" s="10" t="s">
        <v>270</v>
      </c>
    </row>
    <row r="2194" spans="1:4" x14ac:dyDescent="0.2">
      <c r="A2194">
        <v>5879</v>
      </c>
      <c r="B2194" s="10">
        <v>219148</v>
      </c>
      <c r="C2194" s="10">
        <v>40791</v>
      </c>
      <c r="D2194" s="10" t="s">
        <v>270</v>
      </c>
    </row>
    <row r="2195" spans="1:4" x14ac:dyDescent="0.2">
      <c r="A2195">
        <v>5881</v>
      </c>
      <c r="B2195" s="10">
        <v>219148</v>
      </c>
      <c r="C2195" s="10">
        <v>40792</v>
      </c>
      <c r="D2195" s="10" t="s">
        <v>270</v>
      </c>
    </row>
    <row r="2196" spans="1:4" x14ac:dyDescent="0.2">
      <c r="A2196">
        <v>5882</v>
      </c>
      <c r="B2196" s="10">
        <v>219148</v>
      </c>
      <c r="C2196" s="10">
        <v>40792</v>
      </c>
      <c r="D2196" s="10" t="s">
        <v>270</v>
      </c>
    </row>
    <row r="2197" spans="1:4" x14ac:dyDescent="0.2">
      <c r="A2197">
        <v>5884</v>
      </c>
      <c r="B2197" s="10">
        <v>219148</v>
      </c>
      <c r="C2197" s="10">
        <v>40792</v>
      </c>
      <c r="D2197" s="10" t="s">
        <v>270</v>
      </c>
    </row>
    <row r="2198" spans="1:4" x14ac:dyDescent="0.2">
      <c r="A2198">
        <v>5885</v>
      </c>
      <c r="B2198" s="10">
        <v>219148</v>
      </c>
      <c r="C2198" s="10">
        <v>40792</v>
      </c>
      <c r="D2198" s="10" t="s">
        <v>270</v>
      </c>
    </row>
    <row r="2199" spans="1:4" x14ac:dyDescent="0.2">
      <c r="A2199">
        <v>5886</v>
      </c>
      <c r="B2199" s="10">
        <v>40793</v>
      </c>
      <c r="C2199" s="10">
        <v>40816</v>
      </c>
      <c r="D2199" s="10" t="s">
        <v>539</v>
      </c>
    </row>
    <row r="2200" spans="1:4" x14ac:dyDescent="0.2">
      <c r="A2200">
        <v>5887</v>
      </c>
      <c r="B2200" s="10">
        <v>36526</v>
      </c>
      <c r="C2200" s="10">
        <v>40793</v>
      </c>
      <c r="D2200" s="10" t="s">
        <v>270</v>
      </c>
    </row>
    <row r="2201" spans="1:4" x14ac:dyDescent="0.2">
      <c r="A2201">
        <v>5888</v>
      </c>
      <c r="B2201" s="10">
        <v>36526</v>
      </c>
      <c r="C2201" s="10">
        <v>40793</v>
      </c>
      <c r="D2201" s="10" t="s">
        <v>270</v>
      </c>
    </row>
    <row r="2202" spans="1:4" x14ac:dyDescent="0.2">
      <c r="A2202">
        <v>5889</v>
      </c>
      <c r="B2202" s="10">
        <v>219148</v>
      </c>
      <c r="C2202" s="10">
        <v>40793</v>
      </c>
      <c r="D2202" s="10" t="s">
        <v>270</v>
      </c>
    </row>
    <row r="2203" spans="1:4" x14ac:dyDescent="0.2">
      <c r="A2203">
        <v>5891</v>
      </c>
      <c r="B2203" s="10">
        <v>219148</v>
      </c>
      <c r="C2203" s="10">
        <v>40793</v>
      </c>
      <c r="D2203" s="10" t="s">
        <v>270</v>
      </c>
    </row>
    <row r="2204" spans="1:4" x14ac:dyDescent="0.2">
      <c r="A2204">
        <v>5892</v>
      </c>
      <c r="B2204" s="10">
        <v>219148</v>
      </c>
      <c r="C2204" s="10">
        <v>40793</v>
      </c>
      <c r="D2204" s="10" t="s">
        <v>270</v>
      </c>
    </row>
    <row r="2205" spans="1:4" x14ac:dyDescent="0.2">
      <c r="A2205">
        <v>5893</v>
      </c>
      <c r="B2205" s="10">
        <v>219148</v>
      </c>
      <c r="C2205" s="10">
        <v>40793</v>
      </c>
      <c r="D2205" s="10" t="s">
        <v>270</v>
      </c>
    </row>
    <row r="2206" spans="1:4" x14ac:dyDescent="0.2">
      <c r="A2206">
        <v>5894</v>
      </c>
      <c r="B2206" s="10">
        <v>219148</v>
      </c>
      <c r="C2206" s="10">
        <v>40793</v>
      </c>
      <c r="D2206" s="10" t="s">
        <v>270</v>
      </c>
    </row>
    <row r="2207" spans="1:4" x14ac:dyDescent="0.2">
      <c r="A2207">
        <v>5895</v>
      </c>
      <c r="B2207" s="10">
        <v>219148</v>
      </c>
      <c r="C2207" s="10">
        <v>40794</v>
      </c>
      <c r="D2207" s="10" t="s">
        <v>270</v>
      </c>
    </row>
    <row r="2208" spans="1:4" x14ac:dyDescent="0.2">
      <c r="A2208">
        <v>5896</v>
      </c>
      <c r="B2208" s="10">
        <v>219148</v>
      </c>
      <c r="C2208" s="10">
        <v>40794</v>
      </c>
      <c r="D2208" s="10" t="s">
        <v>270</v>
      </c>
    </row>
    <row r="2209" spans="1:4" x14ac:dyDescent="0.2">
      <c r="A2209">
        <v>5900</v>
      </c>
      <c r="B2209" s="10">
        <v>219148</v>
      </c>
      <c r="C2209" s="10">
        <v>40794</v>
      </c>
      <c r="D2209" s="10" t="s">
        <v>270</v>
      </c>
    </row>
    <row r="2210" spans="1:4" x14ac:dyDescent="0.2">
      <c r="A2210">
        <v>5901</v>
      </c>
      <c r="B2210" s="10">
        <v>219148</v>
      </c>
      <c r="C2210" s="10">
        <v>40794</v>
      </c>
      <c r="D2210" s="10" t="s">
        <v>270</v>
      </c>
    </row>
    <row r="2211" spans="1:4" x14ac:dyDescent="0.2">
      <c r="A2211">
        <v>5902</v>
      </c>
      <c r="B2211" s="10">
        <v>219148</v>
      </c>
      <c r="C2211" s="10">
        <v>40794</v>
      </c>
      <c r="D2211" s="10" t="s">
        <v>270</v>
      </c>
    </row>
    <row r="2212" spans="1:4" x14ac:dyDescent="0.2">
      <c r="A2212">
        <v>5903</v>
      </c>
      <c r="B2212" s="10">
        <v>219148</v>
      </c>
      <c r="C2212" s="10">
        <v>40795</v>
      </c>
      <c r="D2212" s="10" t="s">
        <v>270</v>
      </c>
    </row>
    <row r="2213" spans="1:4" x14ac:dyDescent="0.2">
      <c r="A2213">
        <v>5904</v>
      </c>
      <c r="B2213" s="10">
        <v>219148</v>
      </c>
      <c r="C2213" s="10">
        <v>40795</v>
      </c>
      <c r="D2213" s="10" t="s">
        <v>270</v>
      </c>
    </row>
    <row r="2214" spans="1:4" x14ac:dyDescent="0.2">
      <c r="A2214">
        <v>5906</v>
      </c>
      <c r="B2214" s="10">
        <v>36526</v>
      </c>
      <c r="C2214" s="10">
        <v>40809</v>
      </c>
      <c r="D2214" s="10" t="s">
        <v>270</v>
      </c>
    </row>
    <row r="2215" spans="1:4" x14ac:dyDescent="0.2">
      <c r="A2215">
        <v>5907</v>
      </c>
      <c r="B2215" s="10">
        <v>40858</v>
      </c>
      <c r="C2215" s="10">
        <v>40816</v>
      </c>
      <c r="D2215" s="10" t="s">
        <v>539</v>
      </c>
    </row>
    <row r="2216" spans="1:4" x14ac:dyDescent="0.2">
      <c r="A2216">
        <v>5912</v>
      </c>
      <c r="B2216" s="10">
        <v>219148</v>
      </c>
      <c r="C2216" s="10">
        <v>40795</v>
      </c>
      <c r="D2216" s="10" t="s">
        <v>270</v>
      </c>
    </row>
    <row r="2217" spans="1:4" x14ac:dyDescent="0.2">
      <c r="A2217">
        <v>5913</v>
      </c>
      <c r="B2217" s="10">
        <v>219148</v>
      </c>
      <c r="C2217" s="10">
        <v>40795</v>
      </c>
      <c r="D2217" s="10" t="s">
        <v>270</v>
      </c>
    </row>
    <row r="2218" spans="1:4" x14ac:dyDescent="0.2">
      <c r="A2218">
        <v>5914</v>
      </c>
      <c r="B2218" s="10">
        <v>219148</v>
      </c>
      <c r="C2218" s="10">
        <v>40795</v>
      </c>
      <c r="D2218" s="10" t="s">
        <v>270</v>
      </c>
    </row>
    <row r="2219" spans="1:4" x14ac:dyDescent="0.2">
      <c r="A2219">
        <v>5915</v>
      </c>
      <c r="B2219" s="10">
        <v>219148</v>
      </c>
      <c r="C2219" s="10">
        <v>40795</v>
      </c>
      <c r="D2219" s="10" t="s">
        <v>270</v>
      </c>
    </row>
    <row r="2220" spans="1:4" x14ac:dyDescent="0.2">
      <c r="A2220">
        <v>5916</v>
      </c>
      <c r="B2220" s="10">
        <v>219148</v>
      </c>
      <c r="C2220" s="10">
        <v>40798</v>
      </c>
      <c r="D2220" s="10" t="s">
        <v>270</v>
      </c>
    </row>
    <row r="2221" spans="1:4" x14ac:dyDescent="0.2">
      <c r="A2221">
        <v>5917</v>
      </c>
      <c r="B2221" s="10">
        <v>219148</v>
      </c>
      <c r="C2221" s="10">
        <v>40798</v>
      </c>
      <c r="D2221" s="10" t="s">
        <v>270</v>
      </c>
    </row>
    <row r="2222" spans="1:4" x14ac:dyDescent="0.2">
      <c r="A2222">
        <v>5918</v>
      </c>
      <c r="B2222" s="10">
        <v>219148</v>
      </c>
      <c r="C2222" s="10">
        <v>40798</v>
      </c>
      <c r="D2222" s="10" t="s">
        <v>270</v>
      </c>
    </row>
    <row r="2223" spans="1:4" x14ac:dyDescent="0.2">
      <c r="A2223">
        <v>5919</v>
      </c>
      <c r="B2223" s="10">
        <v>219148</v>
      </c>
      <c r="C2223" s="10">
        <v>40798</v>
      </c>
      <c r="D2223" s="10" t="s">
        <v>270</v>
      </c>
    </row>
    <row r="2224" spans="1:4" x14ac:dyDescent="0.2">
      <c r="A2224">
        <v>5921</v>
      </c>
      <c r="B2224" s="10">
        <v>36526</v>
      </c>
      <c r="C2224" s="10">
        <v>40812</v>
      </c>
      <c r="D2224" s="10" t="s">
        <v>270</v>
      </c>
    </row>
    <row r="2225" spans="1:4" x14ac:dyDescent="0.2">
      <c r="A2225">
        <v>5922</v>
      </c>
      <c r="B2225" s="10">
        <v>219148</v>
      </c>
      <c r="C2225" s="10">
        <v>40798</v>
      </c>
      <c r="D2225" s="10" t="s">
        <v>270</v>
      </c>
    </row>
    <row r="2226" spans="1:4" x14ac:dyDescent="0.2">
      <c r="A2226">
        <v>5923</v>
      </c>
      <c r="B2226" s="10">
        <v>219148</v>
      </c>
      <c r="C2226" s="10">
        <v>40798</v>
      </c>
      <c r="D2226" s="10" t="s">
        <v>270</v>
      </c>
    </row>
    <row r="2227" spans="1:4" x14ac:dyDescent="0.2">
      <c r="A2227">
        <v>5924</v>
      </c>
      <c r="B2227" s="10">
        <v>219148</v>
      </c>
      <c r="C2227" s="10">
        <v>40798</v>
      </c>
      <c r="D2227" s="10" t="s">
        <v>270</v>
      </c>
    </row>
    <row r="2228" spans="1:4" x14ac:dyDescent="0.2">
      <c r="A2228">
        <v>5925</v>
      </c>
      <c r="B2228" s="10">
        <v>219148</v>
      </c>
      <c r="C2228" s="10">
        <v>40798</v>
      </c>
      <c r="D2228" s="10" t="s">
        <v>270</v>
      </c>
    </row>
    <row r="2229" spans="1:4" x14ac:dyDescent="0.2">
      <c r="A2229">
        <v>5926</v>
      </c>
      <c r="B2229" s="10">
        <v>219148</v>
      </c>
      <c r="C2229" s="10">
        <v>40799</v>
      </c>
      <c r="D2229" s="10" t="s">
        <v>270</v>
      </c>
    </row>
    <row r="2230" spans="1:4" x14ac:dyDescent="0.2">
      <c r="A2230">
        <v>5927</v>
      </c>
      <c r="B2230" s="10">
        <v>219148</v>
      </c>
      <c r="C2230" s="10">
        <v>40799</v>
      </c>
      <c r="D2230" s="10" t="s">
        <v>270</v>
      </c>
    </row>
    <row r="2231" spans="1:4" x14ac:dyDescent="0.2">
      <c r="A2231">
        <v>5928</v>
      </c>
      <c r="B2231" s="10">
        <v>219148</v>
      </c>
      <c r="C2231" s="10">
        <v>40799</v>
      </c>
      <c r="D2231" s="10" t="s">
        <v>270</v>
      </c>
    </row>
    <row r="2232" spans="1:4" x14ac:dyDescent="0.2">
      <c r="A2232">
        <v>5929</v>
      </c>
      <c r="B2232" s="10">
        <v>40800</v>
      </c>
      <c r="C2232" s="10">
        <v>40800</v>
      </c>
      <c r="D2232" s="10" t="s">
        <v>273</v>
      </c>
    </row>
    <row r="2233" spans="1:4" x14ac:dyDescent="0.2">
      <c r="A2233">
        <v>5930</v>
      </c>
      <c r="B2233" s="10">
        <v>219148</v>
      </c>
      <c r="C2233" s="10">
        <v>40799</v>
      </c>
      <c r="D2233" s="10" t="s">
        <v>270</v>
      </c>
    </row>
    <row r="2234" spans="1:4" x14ac:dyDescent="0.2">
      <c r="A2234">
        <v>5933</v>
      </c>
      <c r="B2234" s="10">
        <v>219148</v>
      </c>
      <c r="C2234" s="10">
        <v>40799</v>
      </c>
      <c r="D2234" s="10" t="s">
        <v>270</v>
      </c>
    </row>
    <row r="2235" spans="1:4" x14ac:dyDescent="0.2">
      <c r="A2235">
        <v>5934</v>
      </c>
      <c r="B2235" s="10">
        <v>219148</v>
      </c>
      <c r="C2235" s="10">
        <v>40799</v>
      </c>
      <c r="D2235" s="10" t="s">
        <v>270</v>
      </c>
    </row>
    <row r="2236" spans="1:4" x14ac:dyDescent="0.2">
      <c r="A2236">
        <v>5938</v>
      </c>
      <c r="B2236" s="10">
        <v>36526</v>
      </c>
      <c r="C2236" s="10">
        <v>40815</v>
      </c>
      <c r="D2236" s="10" t="s">
        <v>270</v>
      </c>
    </row>
    <row r="2237" spans="1:4" x14ac:dyDescent="0.2">
      <c r="A2237">
        <v>5941</v>
      </c>
      <c r="B2237" s="10">
        <v>219148</v>
      </c>
      <c r="C2237" s="10">
        <v>40800</v>
      </c>
      <c r="D2237" s="10" t="s">
        <v>270</v>
      </c>
    </row>
    <row r="2238" spans="1:4" x14ac:dyDescent="0.2">
      <c r="A2238">
        <v>5942</v>
      </c>
      <c r="B2238" s="10">
        <v>219148</v>
      </c>
      <c r="C2238" s="10">
        <v>40800</v>
      </c>
      <c r="D2238" s="10" t="s">
        <v>270</v>
      </c>
    </row>
    <row r="2239" spans="1:4" x14ac:dyDescent="0.2">
      <c r="A2239">
        <v>5943</v>
      </c>
      <c r="B2239" s="10">
        <v>40800</v>
      </c>
      <c r="C2239" s="10">
        <v>40840</v>
      </c>
      <c r="D2239" s="10" t="s">
        <v>539</v>
      </c>
    </row>
    <row r="2240" spans="1:4" x14ac:dyDescent="0.2">
      <c r="A2240">
        <v>5945</v>
      </c>
      <c r="B2240" s="10">
        <v>219148</v>
      </c>
      <c r="C2240" s="10">
        <v>40801</v>
      </c>
      <c r="D2240" s="10" t="s">
        <v>270</v>
      </c>
    </row>
    <row r="2241" spans="1:4" x14ac:dyDescent="0.2">
      <c r="A2241">
        <v>5946</v>
      </c>
      <c r="B2241" s="10">
        <v>219148</v>
      </c>
      <c r="C2241" s="10">
        <v>40801</v>
      </c>
      <c r="D2241" s="10" t="s">
        <v>270</v>
      </c>
    </row>
    <row r="2242" spans="1:4" x14ac:dyDescent="0.2">
      <c r="A2242">
        <v>5948</v>
      </c>
      <c r="B2242" s="10">
        <v>40801</v>
      </c>
      <c r="C2242" s="10">
        <v>40816</v>
      </c>
      <c r="D2242" s="10" t="s">
        <v>539</v>
      </c>
    </row>
    <row r="2243" spans="1:4" x14ac:dyDescent="0.2">
      <c r="A2243">
        <v>5949</v>
      </c>
      <c r="B2243" s="10">
        <v>219148</v>
      </c>
      <c r="C2243" s="10">
        <v>40801</v>
      </c>
      <c r="D2243" s="10" t="s">
        <v>270</v>
      </c>
    </row>
    <row r="2244" spans="1:4" x14ac:dyDescent="0.2">
      <c r="A2244">
        <v>5950</v>
      </c>
      <c r="B2244" s="10">
        <v>219148</v>
      </c>
      <c r="C2244" s="10">
        <v>40801</v>
      </c>
      <c r="D2244" s="10" t="s">
        <v>270</v>
      </c>
    </row>
    <row r="2245" spans="1:4" x14ac:dyDescent="0.2">
      <c r="A2245">
        <v>5951</v>
      </c>
      <c r="B2245" s="10">
        <v>219148</v>
      </c>
      <c r="C2245" s="10">
        <v>40801</v>
      </c>
      <c r="D2245" s="10" t="s">
        <v>270</v>
      </c>
    </row>
    <row r="2246" spans="1:4" x14ac:dyDescent="0.2">
      <c r="A2246">
        <v>5952</v>
      </c>
      <c r="B2246" s="10">
        <v>40801</v>
      </c>
      <c r="C2246" s="10">
        <v>40816</v>
      </c>
      <c r="D2246" s="10" t="s">
        <v>539</v>
      </c>
    </row>
    <row r="2247" spans="1:4" x14ac:dyDescent="0.2">
      <c r="A2247">
        <v>5955</v>
      </c>
      <c r="B2247" s="10">
        <v>219148</v>
      </c>
      <c r="C2247" s="10">
        <v>40802</v>
      </c>
      <c r="D2247" s="10" t="s">
        <v>270</v>
      </c>
    </row>
    <row r="2248" spans="1:4" x14ac:dyDescent="0.2">
      <c r="A2248">
        <v>5956</v>
      </c>
      <c r="B2248" s="10">
        <v>219148</v>
      </c>
      <c r="C2248" s="10">
        <v>40802</v>
      </c>
      <c r="D2248" s="10" t="s">
        <v>270</v>
      </c>
    </row>
    <row r="2249" spans="1:4" x14ac:dyDescent="0.2">
      <c r="A2249">
        <v>5957</v>
      </c>
      <c r="B2249" s="10">
        <v>219148</v>
      </c>
      <c r="C2249" s="10">
        <v>40802</v>
      </c>
      <c r="D2249" s="10" t="s">
        <v>270</v>
      </c>
    </row>
    <row r="2250" spans="1:4" x14ac:dyDescent="0.2">
      <c r="A2250">
        <v>5958</v>
      </c>
      <c r="B2250" s="10">
        <v>40802</v>
      </c>
      <c r="C2250" s="10">
        <v>40816</v>
      </c>
      <c r="D2250" s="10" t="s">
        <v>539</v>
      </c>
    </row>
    <row r="2251" spans="1:4" x14ac:dyDescent="0.2">
      <c r="A2251">
        <v>5959</v>
      </c>
      <c r="B2251" s="10">
        <v>219148</v>
      </c>
      <c r="C2251" s="10">
        <v>40802</v>
      </c>
      <c r="D2251" s="10" t="s">
        <v>270</v>
      </c>
    </row>
    <row r="2252" spans="1:4" x14ac:dyDescent="0.2">
      <c r="A2252">
        <v>5960</v>
      </c>
      <c r="B2252" s="10">
        <v>219148</v>
      </c>
      <c r="C2252" s="10">
        <v>40802</v>
      </c>
      <c r="D2252" s="10" t="s">
        <v>270</v>
      </c>
    </row>
    <row r="2253" spans="1:4" x14ac:dyDescent="0.2">
      <c r="A2253">
        <v>5961</v>
      </c>
      <c r="B2253" s="10">
        <v>219148</v>
      </c>
      <c r="C2253" s="10">
        <v>40805</v>
      </c>
      <c r="D2253" s="10" t="s">
        <v>270</v>
      </c>
    </row>
    <row r="2254" spans="1:4" x14ac:dyDescent="0.2">
      <c r="A2254">
        <v>5962</v>
      </c>
      <c r="B2254" s="10">
        <v>219148</v>
      </c>
      <c r="C2254" s="10">
        <v>40805</v>
      </c>
      <c r="D2254" s="10" t="s">
        <v>270</v>
      </c>
    </row>
    <row r="2255" spans="1:4" x14ac:dyDescent="0.2">
      <c r="A2255">
        <v>5963</v>
      </c>
      <c r="B2255" s="10">
        <v>219148</v>
      </c>
      <c r="C2255" s="10">
        <v>40805</v>
      </c>
      <c r="D2255" s="10" t="s">
        <v>270</v>
      </c>
    </row>
    <row r="2256" spans="1:4" x14ac:dyDescent="0.2">
      <c r="A2256">
        <v>5964</v>
      </c>
      <c r="B2256" s="10">
        <v>219148</v>
      </c>
      <c r="C2256" s="10">
        <v>40805</v>
      </c>
      <c r="D2256" s="10" t="s">
        <v>270</v>
      </c>
    </row>
    <row r="2257" spans="1:4" x14ac:dyDescent="0.2">
      <c r="A2257">
        <v>5967</v>
      </c>
      <c r="B2257" s="10">
        <v>219148</v>
      </c>
      <c r="C2257" s="10">
        <v>40806</v>
      </c>
      <c r="D2257" s="10" t="s">
        <v>270</v>
      </c>
    </row>
    <row r="2258" spans="1:4" x14ac:dyDescent="0.2">
      <c r="A2258">
        <v>5968</v>
      </c>
      <c r="B2258" s="10">
        <v>219148</v>
      </c>
      <c r="C2258" s="10">
        <v>40806</v>
      </c>
      <c r="D2258" s="10" t="s">
        <v>270</v>
      </c>
    </row>
    <row r="2259" spans="1:4" x14ac:dyDescent="0.2">
      <c r="A2259">
        <v>5969</v>
      </c>
      <c r="B2259" s="10">
        <v>40836</v>
      </c>
      <c r="C2259" s="10">
        <v>40816</v>
      </c>
      <c r="D2259" s="10" t="s">
        <v>539</v>
      </c>
    </row>
    <row r="2260" spans="1:4" x14ac:dyDescent="0.2">
      <c r="A2260">
        <v>5970</v>
      </c>
      <c r="B2260" s="10">
        <v>219148</v>
      </c>
      <c r="C2260" s="10">
        <v>40806</v>
      </c>
      <c r="D2260" s="10" t="s">
        <v>270</v>
      </c>
    </row>
    <row r="2261" spans="1:4" x14ac:dyDescent="0.2">
      <c r="A2261">
        <v>5972</v>
      </c>
      <c r="B2261" s="10">
        <v>219148</v>
      </c>
      <c r="C2261" s="10">
        <v>40806</v>
      </c>
      <c r="D2261" s="10" t="s">
        <v>270</v>
      </c>
    </row>
    <row r="2262" spans="1:4" x14ac:dyDescent="0.2">
      <c r="A2262">
        <v>5973</v>
      </c>
      <c r="B2262" s="10">
        <v>219148</v>
      </c>
      <c r="C2262" s="10">
        <v>40806</v>
      </c>
      <c r="D2262" s="10" t="s">
        <v>270</v>
      </c>
    </row>
    <row r="2263" spans="1:4" x14ac:dyDescent="0.2">
      <c r="A2263">
        <v>5975</v>
      </c>
      <c r="B2263" s="10">
        <v>219148</v>
      </c>
      <c r="C2263" s="10">
        <v>40806</v>
      </c>
      <c r="D2263" s="10" t="s">
        <v>270</v>
      </c>
    </row>
    <row r="2264" spans="1:4" x14ac:dyDescent="0.2">
      <c r="A2264">
        <v>5976</v>
      </c>
      <c r="B2264" s="10">
        <v>219148</v>
      </c>
      <c r="C2264" s="10">
        <v>40806</v>
      </c>
      <c r="D2264" s="10" t="s">
        <v>270</v>
      </c>
    </row>
    <row r="2265" spans="1:4" x14ac:dyDescent="0.2">
      <c r="A2265">
        <v>5977</v>
      </c>
      <c r="B2265" s="10">
        <v>36526</v>
      </c>
      <c r="C2265" s="10">
        <v>40815</v>
      </c>
      <c r="D2265" s="10" t="s">
        <v>279</v>
      </c>
    </row>
    <row r="2266" spans="1:4" x14ac:dyDescent="0.2">
      <c r="A2266">
        <v>5978</v>
      </c>
      <c r="B2266" s="10">
        <v>219148</v>
      </c>
      <c r="C2266" s="10">
        <v>40807</v>
      </c>
      <c r="D2266" s="10" t="s">
        <v>270</v>
      </c>
    </row>
    <row r="2267" spans="1:4" x14ac:dyDescent="0.2">
      <c r="A2267">
        <v>5979</v>
      </c>
      <c r="B2267" s="10">
        <v>219148</v>
      </c>
      <c r="C2267" s="10">
        <v>40807</v>
      </c>
      <c r="D2267" s="10" t="s">
        <v>270</v>
      </c>
    </row>
    <row r="2268" spans="1:4" x14ac:dyDescent="0.2">
      <c r="A2268">
        <v>5980</v>
      </c>
      <c r="B2268" s="10">
        <v>219148</v>
      </c>
      <c r="C2268" s="10">
        <v>40807</v>
      </c>
      <c r="D2268" s="10" t="s">
        <v>270</v>
      </c>
    </row>
    <row r="2269" spans="1:4" x14ac:dyDescent="0.2">
      <c r="A2269">
        <v>5982</v>
      </c>
      <c r="B2269" s="10">
        <v>219148</v>
      </c>
      <c r="C2269" s="10">
        <v>40807</v>
      </c>
      <c r="D2269" s="10" t="s">
        <v>270</v>
      </c>
    </row>
    <row r="2270" spans="1:4" x14ac:dyDescent="0.2">
      <c r="A2270">
        <v>5983</v>
      </c>
      <c r="B2270" s="10">
        <v>219148</v>
      </c>
      <c r="C2270" s="10">
        <v>40807</v>
      </c>
      <c r="D2270" s="10" t="s">
        <v>270</v>
      </c>
    </row>
    <row r="2271" spans="1:4" x14ac:dyDescent="0.2">
      <c r="A2271">
        <v>5984</v>
      </c>
      <c r="B2271" s="10">
        <v>219148</v>
      </c>
      <c r="C2271" s="10">
        <v>40807</v>
      </c>
      <c r="D2271" s="10" t="s">
        <v>270</v>
      </c>
    </row>
    <row r="2272" spans="1:4" x14ac:dyDescent="0.2">
      <c r="A2272">
        <v>5985</v>
      </c>
      <c r="B2272" s="10">
        <v>219148</v>
      </c>
      <c r="C2272" s="10">
        <v>40807</v>
      </c>
      <c r="D2272" s="10" t="s">
        <v>270</v>
      </c>
    </row>
    <row r="2273" spans="1:4" x14ac:dyDescent="0.2">
      <c r="A2273">
        <v>5986</v>
      </c>
      <c r="B2273" s="10">
        <v>219148</v>
      </c>
      <c r="C2273" s="10">
        <v>40807</v>
      </c>
      <c r="D2273" s="10" t="s">
        <v>270</v>
      </c>
    </row>
    <row r="2274" spans="1:4" x14ac:dyDescent="0.2">
      <c r="A2274">
        <v>5987</v>
      </c>
      <c r="B2274" s="10">
        <v>219148</v>
      </c>
      <c r="C2274" s="10">
        <v>40807</v>
      </c>
      <c r="D2274" s="10" t="s">
        <v>270</v>
      </c>
    </row>
    <row r="2275" spans="1:4" x14ac:dyDescent="0.2">
      <c r="A2275">
        <v>5988</v>
      </c>
      <c r="B2275" s="10">
        <v>219148</v>
      </c>
      <c r="C2275" s="10">
        <v>40808</v>
      </c>
      <c r="D2275" s="10" t="s">
        <v>270</v>
      </c>
    </row>
    <row r="2276" spans="1:4" x14ac:dyDescent="0.2">
      <c r="A2276">
        <v>5989</v>
      </c>
      <c r="B2276" s="10">
        <v>40808</v>
      </c>
      <c r="C2276" s="10">
        <v>40816</v>
      </c>
      <c r="D2276" s="10" t="s">
        <v>539</v>
      </c>
    </row>
    <row r="2277" spans="1:4" x14ac:dyDescent="0.2">
      <c r="A2277">
        <v>5992</v>
      </c>
      <c r="B2277" s="10">
        <v>219148</v>
      </c>
      <c r="C2277" s="10">
        <v>40808</v>
      </c>
      <c r="D2277" s="10" t="s">
        <v>270</v>
      </c>
    </row>
    <row r="2278" spans="1:4" x14ac:dyDescent="0.2">
      <c r="A2278">
        <v>5993</v>
      </c>
      <c r="B2278" s="10">
        <v>219148</v>
      </c>
      <c r="C2278" s="10">
        <v>40808</v>
      </c>
      <c r="D2278" s="10" t="s">
        <v>270</v>
      </c>
    </row>
    <row r="2279" spans="1:4" x14ac:dyDescent="0.2">
      <c r="A2279">
        <v>5997</v>
      </c>
      <c r="B2279" s="10">
        <v>36526</v>
      </c>
      <c r="C2279" s="10">
        <v>40809</v>
      </c>
      <c r="D2279" s="10" t="s">
        <v>270</v>
      </c>
    </row>
    <row r="2280" spans="1:4" x14ac:dyDescent="0.2">
      <c r="A2280">
        <v>6002</v>
      </c>
      <c r="B2280" s="10">
        <v>219148</v>
      </c>
      <c r="C2280" s="10">
        <v>40809</v>
      </c>
      <c r="D2280" s="10" t="s">
        <v>270</v>
      </c>
    </row>
    <row r="2281" spans="1:4" x14ac:dyDescent="0.2">
      <c r="A2281">
        <v>6003</v>
      </c>
      <c r="B2281" s="10">
        <v>219148</v>
      </c>
      <c r="C2281" s="10">
        <v>40809</v>
      </c>
      <c r="D2281" s="10" t="s">
        <v>270</v>
      </c>
    </row>
    <row r="2282" spans="1:4" x14ac:dyDescent="0.2">
      <c r="A2282">
        <v>6004</v>
      </c>
      <c r="B2282" s="10">
        <v>219148</v>
      </c>
      <c r="C2282" s="10">
        <v>40809</v>
      </c>
      <c r="D2282" s="10" t="s">
        <v>270</v>
      </c>
    </row>
    <row r="2283" spans="1:4" x14ac:dyDescent="0.2">
      <c r="A2283">
        <v>6005</v>
      </c>
      <c r="B2283" s="10">
        <v>219148</v>
      </c>
      <c r="C2283" s="10">
        <v>40809</v>
      </c>
      <c r="D2283" s="10" t="s">
        <v>270</v>
      </c>
    </row>
    <row r="2284" spans="1:4" x14ac:dyDescent="0.2">
      <c r="A2284">
        <v>6007</v>
      </c>
      <c r="B2284" s="10">
        <v>36526</v>
      </c>
      <c r="C2284" s="10">
        <v>40812</v>
      </c>
      <c r="D2284" s="10" t="s">
        <v>270</v>
      </c>
    </row>
    <row r="2285" spans="1:4" x14ac:dyDescent="0.2">
      <c r="A2285">
        <v>6008</v>
      </c>
      <c r="B2285" s="10">
        <v>219148</v>
      </c>
      <c r="C2285" s="10">
        <v>40809</v>
      </c>
      <c r="D2285" s="10" t="s">
        <v>270</v>
      </c>
    </row>
    <row r="2286" spans="1:4" x14ac:dyDescent="0.2">
      <c r="A2286">
        <v>6011</v>
      </c>
      <c r="B2286" s="10">
        <v>40814</v>
      </c>
      <c r="C2286" s="10">
        <v>40814</v>
      </c>
      <c r="D2286" s="10" t="s">
        <v>270</v>
      </c>
    </row>
    <row r="2287" spans="1:4" x14ac:dyDescent="0.2">
      <c r="A2287">
        <v>6012</v>
      </c>
      <c r="B2287" s="10">
        <v>219148</v>
      </c>
      <c r="C2287" s="10">
        <v>40812</v>
      </c>
      <c r="D2287" s="10" t="s">
        <v>270</v>
      </c>
    </row>
    <row r="2288" spans="1:4" x14ac:dyDescent="0.2">
      <c r="A2288">
        <v>6014</v>
      </c>
      <c r="B2288" s="10">
        <v>40902</v>
      </c>
      <c r="C2288" s="10">
        <v>40816</v>
      </c>
      <c r="D2288" s="10" t="s">
        <v>539</v>
      </c>
    </row>
    <row r="2289" spans="1:4" x14ac:dyDescent="0.2">
      <c r="A2289">
        <v>6017</v>
      </c>
      <c r="B2289" s="10">
        <v>36526</v>
      </c>
      <c r="C2289" s="10">
        <v>40819</v>
      </c>
      <c r="D2289" s="10" t="s">
        <v>270</v>
      </c>
    </row>
    <row r="2290" spans="1:4" x14ac:dyDescent="0.2">
      <c r="A2290">
        <v>6019</v>
      </c>
      <c r="B2290" s="10">
        <v>219148</v>
      </c>
      <c r="C2290" s="10">
        <v>40812</v>
      </c>
      <c r="D2290" s="10" t="s">
        <v>270</v>
      </c>
    </row>
    <row r="2291" spans="1:4" x14ac:dyDescent="0.2">
      <c r="A2291">
        <v>6020</v>
      </c>
      <c r="B2291" s="10">
        <v>219148</v>
      </c>
      <c r="C2291" s="10">
        <v>40812</v>
      </c>
      <c r="D2291" s="10" t="s">
        <v>270</v>
      </c>
    </row>
    <row r="2292" spans="1:4" x14ac:dyDescent="0.2">
      <c r="A2292">
        <v>6021</v>
      </c>
      <c r="B2292" s="10">
        <v>219148</v>
      </c>
      <c r="C2292" s="10">
        <v>40812</v>
      </c>
      <c r="D2292" s="10" t="s">
        <v>270</v>
      </c>
    </row>
    <row r="2293" spans="1:4" x14ac:dyDescent="0.2">
      <c r="A2293">
        <v>6022</v>
      </c>
      <c r="B2293" s="10">
        <v>219148</v>
      </c>
      <c r="C2293" s="10">
        <v>40812</v>
      </c>
      <c r="D2293" s="10" t="s">
        <v>270</v>
      </c>
    </row>
    <row r="2294" spans="1:4" x14ac:dyDescent="0.2">
      <c r="A2294">
        <v>6023</v>
      </c>
      <c r="B2294" s="10">
        <v>219148</v>
      </c>
      <c r="C2294" s="10">
        <v>40812</v>
      </c>
      <c r="D2294" s="10" t="s">
        <v>270</v>
      </c>
    </row>
    <row r="2295" spans="1:4" x14ac:dyDescent="0.2">
      <c r="A2295">
        <v>6024</v>
      </c>
      <c r="B2295" s="10">
        <v>219148</v>
      </c>
      <c r="C2295" s="10">
        <v>40812</v>
      </c>
      <c r="D2295" s="10" t="s">
        <v>270</v>
      </c>
    </row>
    <row r="2296" spans="1:4" x14ac:dyDescent="0.2">
      <c r="A2296">
        <v>6025</v>
      </c>
      <c r="B2296" s="10">
        <v>219148</v>
      </c>
      <c r="C2296" s="10">
        <v>40812</v>
      </c>
      <c r="D2296" s="10" t="s">
        <v>270</v>
      </c>
    </row>
    <row r="2297" spans="1:4" x14ac:dyDescent="0.2">
      <c r="A2297">
        <v>6026</v>
      </c>
      <c r="B2297" s="10">
        <v>219148</v>
      </c>
      <c r="C2297" s="10">
        <v>40812</v>
      </c>
      <c r="D2297" s="10" t="s">
        <v>270</v>
      </c>
    </row>
    <row r="2298" spans="1:4" x14ac:dyDescent="0.2">
      <c r="A2298">
        <v>6027</v>
      </c>
      <c r="B2298" s="10">
        <v>219148</v>
      </c>
      <c r="C2298" s="10">
        <v>40812</v>
      </c>
      <c r="D2298" s="10" t="s">
        <v>270</v>
      </c>
    </row>
    <row r="2299" spans="1:4" x14ac:dyDescent="0.2">
      <c r="A2299">
        <v>6029</v>
      </c>
      <c r="B2299" s="10">
        <v>40954</v>
      </c>
      <c r="C2299" s="10">
        <v>40816</v>
      </c>
      <c r="D2299" s="10" t="s">
        <v>273</v>
      </c>
    </row>
    <row r="2300" spans="1:4" x14ac:dyDescent="0.2">
      <c r="A2300">
        <v>6030</v>
      </c>
      <c r="B2300" s="10">
        <v>40794</v>
      </c>
      <c r="C2300" s="10">
        <v>40864</v>
      </c>
      <c r="D2300" s="10" t="s">
        <v>268</v>
      </c>
    </row>
    <row r="2301" spans="1:4" x14ac:dyDescent="0.2">
      <c r="A2301">
        <v>6032</v>
      </c>
      <c r="B2301" s="10">
        <v>40814</v>
      </c>
      <c r="C2301" s="10">
        <v>40816</v>
      </c>
      <c r="D2301" s="10" t="s">
        <v>539</v>
      </c>
    </row>
    <row r="2302" spans="1:4" x14ac:dyDescent="0.2">
      <c r="A2302">
        <v>6035</v>
      </c>
      <c r="B2302" s="10">
        <v>41002</v>
      </c>
      <c r="C2302" s="10">
        <v>40815</v>
      </c>
      <c r="D2302" s="10" t="s">
        <v>273</v>
      </c>
    </row>
    <row r="2303" spans="1:4" x14ac:dyDescent="0.2">
      <c r="A2303">
        <v>6041</v>
      </c>
      <c r="B2303" s="10">
        <v>219148</v>
      </c>
      <c r="C2303" s="10">
        <v>40813</v>
      </c>
      <c r="D2303" s="10" t="s">
        <v>270</v>
      </c>
    </row>
    <row r="2304" spans="1:4" x14ac:dyDescent="0.2">
      <c r="A2304">
        <v>6042</v>
      </c>
      <c r="B2304" s="10">
        <v>219148</v>
      </c>
      <c r="C2304" s="10">
        <v>40813</v>
      </c>
      <c r="D2304" s="10" t="s">
        <v>270</v>
      </c>
    </row>
    <row r="2305" spans="1:4" x14ac:dyDescent="0.2">
      <c r="A2305">
        <v>6043</v>
      </c>
      <c r="B2305" s="10">
        <v>219148</v>
      </c>
      <c r="C2305" s="10">
        <v>40813</v>
      </c>
      <c r="D2305" s="10" t="s">
        <v>270</v>
      </c>
    </row>
    <row r="2306" spans="1:4" x14ac:dyDescent="0.2">
      <c r="A2306">
        <v>6045</v>
      </c>
      <c r="B2306" s="10">
        <v>219148</v>
      </c>
      <c r="C2306" s="10">
        <v>40813</v>
      </c>
      <c r="D2306" s="10" t="s">
        <v>270</v>
      </c>
    </row>
    <row r="2307" spans="1:4" x14ac:dyDescent="0.2">
      <c r="A2307">
        <v>6046</v>
      </c>
      <c r="B2307" s="10">
        <v>219148</v>
      </c>
      <c r="C2307" s="10">
        <v>40813</v>
      </c>
      <c r="D2307" s="10" t="s">
        <v>270</v>
      </c>
    </row>
    <row r="2308" spans="1:4" x14ac:dyDescent="0.2">
      <c r="A2308">
        <v>6049</v>
      </c>
      <c r="B2308" s="10">
        <v>40822</v>
      </c>
      <c r="C2308" s="10">
        <v>40840</v>
      </c>
      <c r="D2308" s="10" t="s">
        <v>539</v>
      </c>
    </row>
    <row r="2309" spans="1:4" x14ac:dyDescent="0.2">
      <c r="A2309">
        <v>6050</v>
      </c>
      <c r="B2309" s="10">
        <v>36526</v>
      </c>
      <c r="C2309" s="10">
        <v>40814</v>
      </c>
      <c r="D2309" s="10" t="s">
        <v>270</v>
      </c>
    </row>
    <row r="2310" spans="1:4" x14ac:dyDescent="0.2">
      <c r="A2310">
        <v>6052</v>
      </c>
      <c r="B2310" s="10">
        <v>219148</v>
      </c>
      <c r="C2310" s="10">
        <v>40814</v>
      </c>
      <c r="D2310" s="10" t="s">
        <v>270</v>
      </c>
    </row>
    <row r="2311" spans="1:4" x14ac:dyDescent="0.2">
      <c r="A2311">
        <v>6058</v>
      </c>
      <c r="B2311" s="10">
        <v>219148</v>
      </c>
      <c r="C2311" s="10">
        <v>40814</v>
      </c>
      <c r="D2311" s="10" t="s">
        <v>270</v>
      </c>
    </row>
    <row r="2312" spans="1:4" x14ac:dyDescent="0.2">
      <c r="A2312">
        <v>6059</v>
      </c>
      <c r="B2312" s="10">
        <v>219148</v>
      </c>
      <c r="C2312" s="10">
        <v>40814</v>
      </c>
      <c r="D2312" s="10" t="s">
        <v>270</v>
      </c>
    </row>
    <row r="2313" spans="1:4" x14ac:dyDescent="0.2">
      <c r="A2313">
        <v>6060</v>
      </c>
      <c r="B2313" s="10">
        <v>219148</v>
      </c>
      <c r="C2313" s="10">
        <v>40814</v>
      </c>
      <c r="D2313" s="10" t="s">
        <v>270</v>
      </c>
    </row>
    <row r="2314" spans="1:4" x14ac:dyDescent="0.2">
      <c r="A2314">
        <v>6061</v>
      </c>
      <c r="B2314" s="10">
        <v>40814</v>
      </c>
      <c r="C2314" s="10">
        <v>40868</v>
      </c>
      <c r="D2314" s="10" t="s">
        <v>268</v>
      </c>
    </row>
    <row r="2315" spans="1:4" x14ac:dyDescent="0.2">
      <c r="A2315">
        <v>6066</v>
      </c>
      <c r="B2315" s="10">
        <v>36526</v>
      </c>
      <c r="C2315" s="10">
        <v>40815</v>
      </c>
      <c r="D2315" s="10" t="s">
        <v>538</v>
      </c>
    </row>
    <row r="2316" spans="1:4" x14ac:dyDescent="0.2">
      <c r="A2316">
        <v>6067</v>
      </c>
      <c r="B2316" s="10">
        <v>219148</v>
      </c>
      <c r="C2316" s="10">
        <v>40815</v>
      </c>
      <c r="D2316" s="10" t="s">
        <v>270</v>
      </c>
    </row>
    <row r="2317" spans="1:4" x14ac:dyDescent="0.2">
      <c r="A2317">
        <v>6068</v>
      </c>
      <c r="B2317" s="10">
        <v>219148</v>
      </c>
      <c r="C2317" s="10">
        <v>40815</v>
      </c>
      <c r="D2317" s="10" t="s">
        <v>270</v>
      </c>
    </row>
    <row r="2318" spans="1:4" x14ac:dyDescent="0.2">
      <c r="A2318">
        <v>6070</v>
      </c>
      <c r="B2318" s="10">
        <v>219148</v>
      </c>
      <c r="C2318" s="10">
        <v>40816</v>
      </c>
      <c r="D2318" s="10" t="s">
        <v>270</v>
      </c>
    </row>
    <row r="2319" spans="1:4" x14ac:dyDescent="0.2">
      <c r="A2319">
        <v>6073</v>
      </c>
      <c r="B2319" s="10">
        <v>36526</v>
      </c>
      <c r="C2319" s="10">
        <v>40819</v>
      </c>
      <c r="D2319" s="10" t="s">
        <v>270</v>
      </c>
    </row>
    <row r="2320" spans="1:4" x14ac:dyDescent="0.2">
      <c r="A2320">
        <v>6074</v>
      </c>
      <c r="B2320" s="10">
        <v>40816</v>
      </c>
      <c r="C2320" s="10">
        <v>40816</v>
      </c>
      <c r="D2320" s="10" t="s">
        <v>539</v>
      </c>
    </row>
    <row r="2321" spans="1:4" x14ac:dyDescent="0.2">
      <c r="A2321">
        <v>6075</v>
      </c>
      <c r="B2321" s="10">
        <v>219148</v>
      </c>
      <c r="C2321" s="10">
        <v>40816</v>
      </c>
      <c r="D2321" s="10" t="s">
        <v>270</v>
      </c>
    </row>
    <row r="2322" spans="1:4" x14ac:dyDescent="0.2">
      <c r="A2322">
        <v>6076</v>
      </c>
      <c r="B2322" s="10">
        <v>219148</v>
      </c>
      <c r="C2322" s="10">
        <v>40816</v>
      </c>
      <c r="D2322" s="10" t="s">
        <v>270</v>
      </c>
    </row>
    <row r="2323" spans="1:4" x14ac:dyDescent="0.2">
      <c r="A2323">
        <v>6077</v>
      </c>
      <c r="B2323" s="10">
        <v>219148</v>
      </c>
      <c r="C2323" s="10">
        <v>40816</v>
      </c>
      <c r="D2323" s="10" t="s">
        <v>270</v>
      </c>
    </row>
    <row r="2324" spans="1:4" x14ac:dyDescent="0.2">
      <c r="A2324">
        <v>6078</v>
      </c>
      <c r="B2324" s="10">
        <v>219148</v>
      </c>
      <c r="C2324" s="10">
        <v>40816</v>
      </c>
      <c r="D2324" s="10" t="s">
        <v>270</v>
      </c>
    </row>
    <row r="2325" spans="1:4" x14ac:dyDescent="0.2">
      <c r="A2325">
        <v>6079</v>
      </c>
      <c r="B2325" s="10">
        <v>219148</v>
      </c>
      <c r="C2325" s="10">
        <v>40816</v>
      </c>
      <c r="D2325" s="10" t="s">
        <v>270</v>
      </c>
    </row>
    <row r="2326" spans="1:4" x14ac:dyDescent="0.2">
      <c r="A2326">
        <v>6080</v>
      </c>
      <c r="B2326" s="10">
        <v>219148</v>
      </c>
      <c r="C2326" s="10">
        <v>40816</v>
      </c>
      <c r="D2326" s="10" t="s">
        <v>270</v>
      </c>
    </row>
    <row r="2327" spans="1:4" x14ac:dyDescent="0.2">
      <c r="A2327">
        <v>6081</v>
      </c>
      <c r="B2327" s="10">
        <v>219148</v>
      </c>
      <c r="C2327" s="10">
        <v>40816</v>
      </c>
      <c r="D2327" s="10" t="s">
        <v>270</v>
      </c>
    </row>
    <row r="2328" spans="1:4" x14ac:dyDescent="0.2">
      <c r="A2328">
        <v>6086</v>
      </c>
      <c r="B2328" s="10">
        <v>40828</v>
      </c>
      <c r="C2328" s="10">
        <v>40816</v>
      </c>
      <c r="D2328" s="10" t="s">
        <v>539</v>
      </c>
    </row>
    <row r="2329" spans="1:4" x14ac:dyDescent="0.2">
      <c r="A2329">
        <v>6090</v>
      </c>
      <c r="B2329" s="10">
        <v>219148</v>
      </c>
      <c r="C2329" s="10">
        <v>40819</v>
      </c>
      <c r="D2329" s="10" t="s">
        <v>270</v>
      </c>
    </row>
    <row r="2330" spans="1:4" x14ac:dyDescent="0.2">
      <c r="A2330">
        <v>6093</v>
      </c>
      <c r="B2330" s="10">
        <v>219148</v>
      </c>
      <c r="C2330" s="10">
        <v>40834</v>
      </c>
      <c r="D2330" s="10" t="s">
        <v>270</v>
      </c>
    </row>
    <row r="2331" spans="1:4" x14ac:dyDescent="0.2">
      <c r="A2331">
        <v>6094</v>
      </c>
      <c r="B2331" s="10">
        <v>219148</v>
      </c>
      <c r="C2331" s="10">
        <v>40819</v>
      </c>
      <c r="D2331" s="10" t="s">
        <v>270</v>
      </c>
    </row>
    <row r="2332" spans="1:4" x14ac:dyDescent="0.2">
      <c r="A2332">
        <v>6095</v>
      </c>
      <c r="B2332" s="10">
        <v>219148</v>
      </c>
      <c r="C2332" s="10">
        <v>40820</v>
      </c>
      <c r="D2332" s="10" t="s">
        <v>270</v>
      </c>
    </row>
    <row r="2333" spans="1:4" x14ac:dyDescent="0.2">
      <c r="A2333">
        <v>6097</v>
      </c>
      <c r="B2333" s="10">
        <v>219148</v>
      </c>
      <c r="C2333" s="10">
        <v>40820</v>
      </c>
      <c r="D2333" s="10" t="s">
        <v>270</v>
      </c>
    </row>
    <row r="2334" spans="1:4" x14ac:dyDescent="0.2">
      <c r="A2334">
        <v>6098</v>
      </c>
      <c r="B2334" s="10">
        <v>36526</v>
      </c>
      <c r="C2334" s="10">
        <v>40821</v>
      </c>
      <c r="D2334" s="10" t="s">
        <v>270</v>
      </c>
    </row>
    <row r="2335" spans="1:4" x14ac:dyDescent="0.2">
      <c r="A2335">
        <v>6099</v>
      </c>
      <c r="B2335" s="10">
        <v>36526</v>
      </c>
      <c r="C2335" s="10">
        <v>40821</v>
      </c>
      <c r="D2335" s="10" t="s">
        <v>270</v>
      </c>
    </row>
    <row r="2336" spans="1:4" x14ac:dyDescent="0.2">
      <c r="A2336">
        <v>6102</v>
      </c>
      <c r="B2336" s="10">
        <v>219148</v>
      </c>
      <c r="C2336" s="10">
        <v>40821</v>
      </c>
      <c r="D2336" s="10" t="s">
        <v>270</v>
      </c>
    </row>
    <row r="2337" spans="1:4" x14ac:dyDescent="0.2">
      <c r="A2337">
        <v>6103</v>
      </c>
      <c r="B2337" s="10">
        <v>219148</v>
      </c>
      <c r="C2337" s="10">
        <v>40821</v>
      </c>
      <c r="D2337" s="10" t="s">
        <v>270</v>
      </c>
    </row>
    <row r="2338" spans="1:4" x14ac:dyDescent="0.2">
      <c r="A2338">
        <v>6107</v>
      </c>
      <c r="B2338" s="10">
        <v>36526</v>
      </c>
      <c r="C2338" s="10">
        <v>40840</v>
      </c>
      <c r="D2338" s="10" t="s">
        <v>538</v>
      </c>
    </row>
    <row r="2339" spans="1:4" x14ac:dyDescent="0.2">
      <c r="A2339">
        <v>6108</v>
      </c>
      <c r="B2339" s="10">
        <v>36526</v>
      </c>
      <c r="C2339" s="10">
        <v>40847</v>
      </c>
      <c r="D2339" s="10" t="s">
        <v>270</v>
      </c>
    </row>
    <row r="2340" spans="1:4" x14ac:dyDescent="0.2">
      <c r="A2340">
        <v>6109</v>
      </c>
      <c r="B2340" s="10">
        <v>36526</v>
      </c>
      <c r="C2340" s="10">
        <v>40847</v>
      </c>
      <c r="D2340" s="10" t="s">
        <v>270</v>
      </c>
    </row>
    <row r="2341" spans="1:4" x14ac:dyDescent="0.2">
      <c r="A2341">
        <v>6110</v>
      </c>
      <c r="B2341" s="10">
        <v>36526</v>
      </c>
      <c r="C2341" s="10">
        <v>40847</v>
      </c>
      <c r="D2341" s="10" t="s">
        <v>270</v>
      </c>
    </row>
    <row r="2342" spans="1:4" x14ac:dyDescent="0.2">
      <c r="A2342">
        <v>6111</v>
      </c>
      <c r="B2342" s="10">
        <v>36526</v>
      </c>
      <c r="C2342" s="10">
        <v>40847</v>
      </c>
      <c r="D2342" s="10" t="s">
        <v>270</v>
      </c>
    </row>
    <row r="2343" spans="1:4" x14ac:dyDescent="0.2">
      <c r="A2343">
        <v>6113</v>
      </c>
      <c r="B2343" s="10">
        <v>219148</v>
      </c>
      <c r="C2343" s="10">
        <v>40822</v>
      </c>
      <c r="D2343" s="10" t="s">
        <v>270</v>
      </c>
    </row>
    <row r="2344" spans="1:4" x14ac:dyDescent="0.2">
      <c r="A2344">
        <v>6116</v>
      </c>
      <c r="B2344" s="10">
        <v>219148</v>
      </c>
      <c r="C2344" s="10">
        <v>40822</v>
      </c>
      <c r="D2344" s="10" t="s">
        <v>270</v>
      </c>
    </row>
    <row r="2345" spans="1:4" x14ac:dyDescent="0.2">
      <c r="A2345">
        <v>6117</v>
      </c>
      <c r="B2345" s="10">
        <v>219148</v>
      </c>
      <c r="C2345" s="10">
        <v>40822</v>
      </c>
      <c r="D2345" s="10" t="s">
        <v>270</v>
      </c>
    </row>
    <row r="2346" spans="1:4" x14ac:dyDescent="0.2">
      <c r="A2346">
        <v>6118</v>
      </c>
      <c r="B2346" s="10">
        <v>40887</v>
      </c>
      <c r="C2346" s="10">
        <v>40840</v>
      </c>
      <c r="D2346" s="10" t="s">
        <v>539</v>
      </c>
    </row>
    <row r="2347" spans="1:4" x14ac:dyDescent="0.2">
      <c r="A2347">
        <v>6119</v>
      </c>
      <c r="B2347" s="10">
        <v>40902</v>
      </c>
      <c r="C2347" s="10">
        <v>40840</v>
      </c>
      <c r="D2347" s="10" t="s">
        <v>539</v>
      </c>
    </row>
    <row r="2348" spans="1:4" x14ac:dyDescent="0.2">
      <c r="A2348">
        <v>6120</v>
      </c>
      <c r="B2348" s="10">
        <v>219148</v>
      </c>
      <c r="C2348" s="10">
        <v>40823</v>
      </c>
      <c r="D2348" s="10" t="s">
        <v>270</v>
      </c>
    </row>
    <row r="2349" spans="1:4" x14ac:dyDescent="0.2">
      <c r="A2349">
        <v>6121</v>
      </c>
      <c r="B2349" s="10">
        <v>219148</v>
      </c>
      <c r="C2349" s="10">
        <v>40823</v>
      </c>
      <c r="D2349" s="10" t="s">
        <v>270</v>
      </c>
    </row>
    <row r="2350" spans="1:4" x14ac:dyDescent="0.2">
      <c r="A2350">
        <v>6122</v>
      </c>
      <c r="B2350" s="10">
        <v>219148</v>
      </c>
      <c r="C2350" s="10">
        <v>40823</v>
      </c>
      <c r="D2350" s="10" t="s">
        <v>270</v>
      </c>
    </row>
    <row r="2351" spans="1:4" x14ac:dyDescent="0.2">
      <c r="A2351">
        <v>6123</v>
      </c>
      <c r="B2351" s="10">
        <v>219148</v>
      </c>
      <c r="C2351" s="10">
        <v>40823</v>
      </c>
      <c r="D2351" s="10" t="s">
        <v>270</v>
      </c>
    </row>
    <row r="2352" spans="1:4" x14ac:dyDescent="0.2">
      <c r="A2352">
        <v>6124</v>
      </c>
      <c r="B2352" s="10">
        <v>219148</v>
      </c>
      <c r="C2352" s="10">
        <v>40823</v>
      </c>
      <c r="D2352" s="10" t="s">
        <v>270</v>
      </c>
    </row>
    <row r="2353" spans="1:4" x14ac:dyDescent="0.2">
      <c r="A2353">
        <v>6125</v>
      </c>
      <c r="B2353" s="10">
        <v>219148</v>
      </c>
      <c r="C2353" s="10">
        <v>40823</v>
      </c>
      <c r="D2353" s="10" t="s">
        <v>270</v>
      </c>
    </row>
    <row r="2354" spans="1:4" x14ac:dyDescent="0.2">
      <c r="A2354">
        <v>6126</v>
      </c>
      <c r="B2354" s="10">
        <v>219148</v>
      </c>
      <c r="C2354" s="10">
        <v>40826</v>
      </c>
      <c r="D2354" s="10" t="s">
        <v>270</v>
      </c>
    </row>
    <row r="2355" spans="1:4" x14ac:dyDescent="0.2">
      <c r="A2355">
        <v>6127</v>
      </c>
      <c r="B2355" s="10">
        <v>219148</v>
      </c>
      <c r="C2355" s="10">
        <v>40826</v>
      </c>
      <c r="D2355" s="10" t="s">
        <v>270</v>
      </c>
    </row>
    <row r="2356" spans="1:4" x14ac:dyDescent="0.2">
      <c r="A2356">
        <v>6128</v>
      </c>
      <c r="B2356" s="10">
        <v>219148</v>
      </c>
      <c r="C2356" s="10">
        <v>40826</v>
      </c>
      <c r="D2356" s="10" t="s">
        <v>270</v>
      </c>
    </row>
    <row r="2357" spans="1:4" x14ac:dyDescent="0.2">
      <c r="A2357">
        <v>6129</v>
      </c>
      <c r="B2357" s="10">
        <v>219148</v>
      </c>
      <c r="C2357" s="10">
        <v>40826</v>
      </c>
      <c r="D2357" s="10" t="s">
        <v>270</v>
      </c>
    </row>
    <row r="2358" spans="1:4" x14ac:dyDescent="0.2">
      <c r="A2358">
        <v>6130</v>
      </c>
      <c r="B2358" s="10">
        <v>219148</v>
      </c>
      <c r="C2358" s="10">
        <v>40826</v>
      </c>
      <c r="D2358" s="10" t="s">
        <v>270</v>
      </c>
    </row>
    <row r="2359" spans="1:4" x14ac:dyDescent="0.2">
      <c r="A2359">
        <v>6132</v>
      </c>
      <c r="B2359" s="10">
        <v>219148</v>
      </c>
      <c r="C2359" s="10">
        <v>40826</v>
      </c>
      <c r="D2359" s="10" t="s">
        <v>270</v>
      </c>
    </row>
    <row r="2360" spans="1:4" x14ac:dyDescent="0.2">
      <c r="A2360">
        <v>6133</v>
      </c>
      <c r="B2360" s="10">
        <v>219148</v>
      </c>
      <c r="C2360" s="10">
        <v>40826</v>
      </c>
      <c r="D2360" s="10" t="s">
        <v>270</v>
      </c>
    </row>
    <row r="2361" spans="1:4" x14ac:dyDescent="0.2">
      <c r="A2361">
        <v>6134</v>
      </c>
      <c r="B2361" s="10">
        <v>36526</v>
      </c>
      <c r="C2361" s="10">
        <v>40827</v>
      </c>
      <c r="D2361" s="10" t="s">
        <v>270</v>
      </c>
    </row>
    <row r="2362" spans="1:4" x14ac:dyDescent="0.2">
      <c r="A2362">
        <v>6135</v>
      </c>
      <c r="B2362" s="10">
        <v>219148</v>
      </c>
      <c r="C2362" s="10">
        <v>40827</v>
      </c>
      <c r="D2362" s="10" t="s">
        <v>270</v>
      </c>
    </row>
    <row r="2363" spans="1:4" x14ac:dyDescent="0.2">
      <c r="A2363">
        <v>6137</v>
      </c>
      <c r="B2363" s="10">
        <v>40827</v>
      </c>
      <c r="C2363" s="10">
        <v>40840</v>
      </c>
      <c r="D2363" s="10" t="s">
        <v>539</v>
      </c>
    </row>
    <row r="2364" spans="1:4" x14ac:dyDescent="0.2">
      <c r="A2364">
        <v>6138</v>
      </c>
      <c r="B2364" s="10">
        <v>219148</v>
      </c>
      <c r="C2364" s="10">
        <v>40827</v>
      </c>
      <c r="D2364" s="10" t="s">
        <v>270</v>
      </c>
    </row>
    <row r="2365" spans="1:4" x14ac:dyDescent="0.2">
      <c r="A2365">
        <v>6140</v>
      </c>
      <c r="B2365" s="10">
        <v>219148</v>
      </c>
      <c r="C2365" s="10">
        <v>40828</v>
      </c>
      <c r="D2365" s="10" t="s">
        <v>270</v>
      </c>
    </row>
    <row r="2366" spans="1:4" x14ac:dyDescent="0.2">
      <c r="A2366">
        <v>6141</v>
      </c>
      <c r="B2366" s="10">
        <v>219148</v>
      </c>
      <c r="C2366" s="10">
        <v>40828</v>
      </c>
      <c r="D2366" s="10" t="s">
        <v>270</v>
      </c>
    </row>
    <row r="2367" spans="1:4" x14ac:dyDescent="0.2">
      <c r="A2367">
        <v>6142</v>
      </c>
      <c r="B2367" s="10">
        <v>219148</v>
      </c>
      <c r="C2367" s="10">
        <v>40828</v>
      </c>
      <c r="D2367" s="10" t="s">
        <v>270</v>
      </c>
    </row>
    <row r="2368" spans="1:4" x14ac:dyDescent="0.2">
      <c r="A2368">
        <v>6145</v>
      </c>
      <c r="B2368" s="10">
        <v>219148</v>
      </c>
      <c r="C2368" s="10">
        <v>40828</v>
      </c>
      <c r="D2368" s="10" t="s">
        <v>270</v>
      </c>
    </row>
    <row r="2369" spans="1:4" x14ac:dyDescent="0.2">
      <c r="A2369">
        <v>6146</v>
      </c>
      <c r="B2369" s="10">
        <v>36526</v>
      </c>
      <c r="C2369" s="10">
        <v>40829</v>
      </c>
      <c r="D2369" s="10" t="s">
        <v>270</v>
      </c>
    </row>
    <row r="2370" spans="1:4" x14ac:dyDescent="0.2">
      <c r="A2370">
        <v>6147</v>
      </c>
      <c r="B2370" s="10">
        <v>36526</v>
      </c>
      <c r="C2370" s="10">
        <v>40829</v>
      </c>
      <c r="D2370" s="10" t="s">
        <v>270</v>
      </c>
    </row>
    <row r="2371" spans="1:4" x14ac:dyDescent="0.2">
      <c r="A2371">
        <v>6148</v>
      </c>
      <c r="B2371" s="10">
        <v>36526</v>
      </c>
      <c r="C2371" s="10">
        <v>40829</v>
      </c>
      <c r="D2371" s="10" t="s">
        <v>270</v>
      </c>
    </row>
    <row r="2372" spans="1:4" x14ac:dyDescent="0.2">
      <c r="A2372">
        <v>6149</v>
      </c>
      <c r="B2372" s="10">
        <v>219148</v>
      </c>
      <c r="C2372" s="10">
        <v>40829</v>
      </c>
      <c r="D2372" s="10" t="s">
        <v>270</v>
      </c>
    </row>
    <row r="2373" spans="1:4" x14ac:dyDescent="0.2">
      <c r="A2373">
        <v>6151</v>
      </c>
      <c r="B2373" s="10">
        <v>41194</v>
      </c>
      <c r="C2373" s="10">
        <v>40840</v>
      </c>
      <c r="D2373" s="10" t="s">
        <v>539</v>
      </c>
    </row>
    <row r="2374" spans="1:4" x14ac:dyDescent="0.2">
      <c r="A2374">
        <v>6154</v>
      </c>
      <c r="B2374" s="10">
        <v>219148</v>
      </c>
      <c r="C2374" s="10">
        <v>40829</v>
      </c>
      <c r="D2374" s="10" t="s">
        <v>270</v>
      </c>
    </row>
    <row r="2375" spans="1:4" x14ac:dyDescent="0.2">
      <c r="A2375">
        <v>6155</v>
      </c>
      <c r="B2375" s="10">
        <v>40921</v>
      </c>
      <c r="C2375" s="10">
        <v>40840</v>
      </c>
      <c r="D2375" s="10" t="s">
        <v>539</v>
      </c>
    </row>
    <row r="2376" spans="1:4" x14ac:dyDescent="0.2">
      <c r="A2376">
        <v>6157</v>
      </c>
      <c r="B2376" s="10">
        <v>219148</v>
      </c>
      <c r="C2376" s="10">
        <v>40833</v>
      </c>
      <c r="D2376" s="10" t="s">
        <v>270</v>
      </c>
    </row>
    <row r="2377" spans="1:4" x14ac:dyDescent="0.2">
      <c r="A2377">
        <v>6158</v>
      </c>
      <c r="B2377" s="10">
        <v>40847</v>
      </c>
      <c r="C2377" s="10">
        <v>40840</v>
      </c>
      <c r="D2377" s="10" t="s">
        <v>539</v>
      </c>
    </row>
    <row r="2378" spans="1:4" x14ac:dyDescent="0.2">
      <c r="A2378">
        <v>6160</v>
      </c>
      <c r="B2378" s="10">
        <v>36526</v>
      </c>
      <c r="C2378" s="10">
        <v>40842</v>
      </c>
      <c r="D2378" s="10" t="s">
        <v>272</v>
      </c>
    </row>
    <row r="2379" spans="1:4" x14ac:dyDescent="0.2">
      <c r="A2379">
        <v>6161</v>
      </c>
      <c r="B2379" s="10">
        <v>219148</v>
      </c>
      <c r="C2379" s="10">
        <v>40834</v>
      </c>
      <c r="D2379" s="10" t="s">
        <v>270</v>
      </c>
    </row>
    <row r="2380" spans="1:4" x14ac:dyDescent="0.2">
      <c r="A2380">
        <v>6162</v>
      </c>
      <c r="B2380" s="10">
        <v>219148</v>
      </c>
      <c r="C2380" s="10">
        <v>40834</v>
      </c>
      <c r="D2380" s="10" t="s">
        <v>270</v>
      </c>
    </row>
    <row r="2381" spans="1:4" x14ac:dyDescent="0.2">
      <c r="A2381">
        <v>6163</v>
      </c>
      <c r="B2381" s="10">
        <v>219148</v>
      </c>
      <c r="C2381" s="10">
        <v>40834</v>
      </c>
      <c r="D2381" s="10" t="s">
        <v>270</v>
      </c>
    </row>
    <row r="2382" spans="1:4" x14ac:dyDescent="0.2">
      <c r="A2382">
        <v>6164</v>
      </c>
      <c r="B2382" s="10">
        <v>41060</v>
      </c>
      <c r="C2382" s="10">
        <v>40834</v>
      </c>
      <c r="D2382" s="10" t="s">
        <v>273</v>
      </c>
    </row>
    <row r="2383" spans="1:4" x14ac:dyDescent="0.2">
      <c r="A2383">
        <v>6165</v>
      </c>
      <c r="B2383" s="10">
        <v>40884</v>
      </c>
      <c r="C2383" s="10">
        <v>40840</v>
      </c>
      <c r="D2383" s="10" t="s">
        <v>539</v>
      </c>
    </row>
    <row r="2384" spans="1:4" x14ac:dyDescent="0.2">
      <c r="A2384">
        <v>6166</v>
      </c>
      <c r="B2384" s="10">
        <v>40877</v>
      </c>
      <c r="C2384" s="10">
        <v>40840</v>
      </c>
      <c r="D2384" s="10" t="s">
        <v>539</v>
      </c>
    </row>
    <row r="2385" spans="1:4" x14ac:dyDescent="0.2">
      <c r="A2385">
        <v>6167</v>
      </c>
      <c r="B2385" s="10">
        <v>36526</v>
      </c>
      <c r="C2385" s="10">
        <v>40834</v>
      </c>
      <c r="D2385" s="10" t="s">
        <v>538</v>
      </c>
    </row>
    <row r="2386" spans="1:4" x14ac:dyDescent="0.2">
      <c r="A2386">
        <v>6173</v>
      </c>
      <c r="B2386" s="10">
        <v>219148</v>
      </c>
      <c r="C2386" s="10">
        <v>40835</v>
      </c>
      <c r="D2386" s="10" t="s">
        <v>270</v>
      </c>
    </row>
    <row r="2387" spans="1:4" x14ac:dyDescent="0.2">
      <c r="A2387">
        <v>6174</v>
      </c>
      <c r="B2387" s="10">
        <v>219148</v>
      </c>
      <c r="C2387" s="10">
        <v>40835</v>
      </c>
      <c r="D2387" s="10" t="s">
        <v>270</v>
      </c>
    </row>
    <row r="2388" spans="1:4" x14ac:dyDescent="0.2">
      <c r="A2388">
        <v>6175</v>
      </c>
      <c r="B2388" s="10">
        <v>219148</v>
      </c>
      <c r="C2388" s="10">
        <v>40835</v>
      </c>
      <c r="D2388" s="10" t="s">
        <v>270</v>
      </c>
    </row>
    <row r="2389" spans="1:4" x14ac:dyDescent="0.2">
      <c r="A2389">
        <v>6176</v>
      </c>
      <c r="B2389" s="10">
        <v>219148</v>
      </c>
      <c r="C2389" s="10">
        <v>40835</v>
      </c>
      <c r="D2389" s="10" t="s">
        <v>270</v>
      </c>
    </row>
    <row r="2390" spans="1:4" x14ac:dyDescent="0.2">
      <c r="A2390">
        <v>6177</v>
      </c>
      <c r="B2390" s="10">
        <v>219148</v>
      </c>
      <c r="C2390" s="10">
        <v>40835</v>
      </c>
      <c r="D2390" s="10" t="s">
        <v>270</v>
      </c>
    </row>
    <row r="2391" spans="1:4" x14ac:dyDescent="0.2">
      <c r="A2391">
        <v>6178</v>
      </c>
      <c r="B2391" s="10">
        <v>219148</v>
      </c>
      <c r="C2391" s="10">
        <v>40836</v>
      </c>
      <c r="D2391" s="10" t="s">
        <v>270</v>
      </c>
    </row>
    <row r="2392" spans="1:4" x14ac:dyDescent="0.2">
      <c r="A2392">
        <v>6179</v>
      </c>
      <c r="B2392" s="10">
        <v>219148</v>
      </c>
      <c r="C2392" s="10">
        <v>40836</v>
      </c>
      <c r="D2392" s="10" t="s">
        <v>270</v>
      </c>
    </row>
    <row r="2393" spans="1:4" x14ac:dyDescent="0.2">
      <c r="A2393">
        <v>6180</v>
      </c>
      <c r="B2393" s="10">
        <v>219148</v>
      </c>
      <c r="C2393" s="10">
        <v>40836</v>
      </c>
      <c r="D2393" s="10" t="s">
        <v>270</v>
      </c>
    </row>
    <row r="2394" spans="1:4" x14ac:dyDescent="0.2">
      <c r="A2394">
        <v>6182</v>
      </c>
      <c r="B2394" s="10">
        <v>40905</v>
      </c>
      <c r="C2394" s="10">
        <v>40840</v>
      </c>
      <c r="D2394" s="10" t="s">
        <v>539</v>
      </c>
    </row>
    <row r="2395" spans="1:4" x14ac:dyDescent="0.2">
      <c r="A2395">
        <v>6183</v>
      </c>
      <c r="B2395" s="10">
        <v>36526</v>
      </c>
      <c r="C2395" s="10">
        <v>40857</v>
      </c>
      <c r="D2395" s="10" t="s">
        <v>270</v>
      </c>
    </row>
    <row r="2396" spans="1:4" x14ac:dyDescent="0.2">
      <c r="A2396">
        <v>6184</v>
      </c>
      <c r="B2396" s="10">
        <v>36526</v>
      </c>
      <c r="C2396" s="10">
        <v>40843</v>
      </c>
      <c r="D2396" s="10" t="s">
        <v>270</v>
      </c>
    </row>
    <row r="2397" spans="1:4" x14ac:dyDescent="0.2">
      <c r="A2397">
        <v>6186</v>
      </c>
      <c r="B2397" s="10">
        <v>36526</v>
      </c>
      <c r="C2397" s="10">
        <v>40843</v>
      </c>
      <c r="D2397" s="10" t="s">
        <v>270</v>
      </c>
    </row>
    <row r="2398" spans="1:4" x14ac:dyDescent="0.2">
      <c r="A2398">
        <v>6187</v>
      </c>
      <c r="B2398" s="10">
        <v>219148</v>
      </c>
      <c r="C2398" s="10">
        <v>40836</v>
      </c>
      <c r="D2398" s="10" t="s">
        <v>270</v>
      </c>
    </row>
    <row r="2399" spans="1:4" x14ac:dyDescent="0.2">
      <c r="A2399">
        <v>6188</v>
      </c>
      <c r="B2399" s="10">
        <v>219148</v>
      </c>
      <c r="C2399" s="10">
        <v>40836</v>
      </c>
      <c r="D2399" s="10" t="s">
        <v>270</v>
      </c>
    </row>
    <row r="2400" spans="1:4" x14ac:dyDescent="0.2">
      <c r="A2400">
        <v>6192</v>
      </c>
      <c r="B2400" s="10">
        <v>36526</v>
      </c>
      <c r="C2400" s="10">
        <v>40837</v>
      </c>
      <c r="D2400" s="10" t="s">
        <v>270</v>
      </c>
    </row>
    <row r="2401" spans="1:4" x14ac:dyDescent="0.2">
      <c r="A2401">
        <v>6193</v>
      </c>
      <c r="B2401" s="10">
        <v>219148</v>
      </c>
      <c r="C2401" s="10">
        <v>40837</v>
      </c>
      <c r="D2401" s="10" t="s">
        <v>270</v>
      </c>
    </row>
    <row r="2402" spans="1:4" x14ac:dyDescent="0.2">
      <c r="A2402">
        <v>6194</v>
      </c>
      <c r="B2402" s="10">
        <v>36526</v>
      </c>
      <c r="C2402" s="10">
        <v>40837</v>
      </c>
      <c r="D2402" s="10" t="s">
        <v>270</v>
      </c>
    </row>
    <row r="2403" spans="1:4" x14ac:dyDescent="0.2">
      <c r="A2403">
        <v>6195</v>
      </c>
      <c r="B2403" s="10">
        <v>219148</v>
      </c>
      <c r="C2403" s="10">
        <v>40837</v>
      </c>
      <c r="D2403" s="10" t="s">
        <v>270</v>
      </c>
    </row>
    <row r="2404" spans="1:4" x14ac:dyDescent="0.2">
      <c r="A2404">
        <v>6196</v>
      </c>
      <c r="B2404" s="10">
        <v>40837</v>
      </c>
      <c r="C2404" s="10">
        <v>40840</v>
      </c>
      <c r="D2404" s="10" t="s">
        <v>539</v>
      </c>
    </row>
    <row r="2405" spans="1:4" x14ac:dyDescent="0.2">
      <c r="A2405">
        <v>6197</v>
      </c>
      <c r="B2405" s="10">
        <v>40837</v>
      </c>
      <c r="C2405" s="10">
        <v>40840</v>
      </c>
      <c r="D2405" s="10" t="s">
        <v>539</v>
      </c>
    </row>
    <row r="2406" spans="1:4" x14ac:dyDescent="0.2">
      <c r="A2406">
        <v>6198</v>
      </c>
      <c r="B2406" s="10">
        <v>219148</v>
      </c>
      <c r="C2406" s="10">
        <v>40837</v>
      </c>
      <c r="D2406" s="10" t="s">
        <v>270</v>
      </c>
    </row>
    <row r="2407" spans="1:4" x14ac:dyDescent="0.2">
      <c r="A2407">
        <v>6199</v>
      </c>
      <c r="B2407" s="10">
        <v>219148</v>
      </c>
      <c r="C2407" s="10">
        <v>40837</v>
      </c>
      <c r="D2407" s="10" t="s">
        <v>270</v>
      </c>
    </row>
    <row r="2408" spans="1:4" x14ac:dyDescent="0.2">
      <c r="A2408">
        <v>6200</v>
      </c>
      <c r="B2408" s="10">
        <v>219148</v>
      </c>
      <c r="C2408" s="10">
        <v>40837</v>
      </c>
      <c r="D2408" s="10" t="s">
        <v>270</v>
      </c>
    </row>
    <row r="2409" spans="1:4" x14ac:dyDescent="0.2">
      <c r="A2409">
        <v>6201</v>
      </c>
      <c r="B2409" s="10">
        <v>219148</v>
      </c>
      <c r="C2409" s="10">
        <v>40837</v>
      </c>
      <c r="D2409" s="10" t="s">
        <v>270</v>
      </c>
    </row>
    <row r="2410" spans="1:4" x14ac:dyDescent="0.2">
      <c r="A2410">
        <v>6202</v>
      </c>
      <c r="B2410" s="10">
        <v>219148</v>
      </c>
      <c r="C2410" s="10">
        <v>40840</v>
      </c>
      <c r="D2410" s="10" t="s">
        <v>270</v>
      </c>
    </row>
    <row r="2411" spans="1:4" x14ac:dyDescent="0.2">
      <c r="A2411">
        <v>6203</v>
      </c>
      <c r="B2411" s="10">
        <v>219148</v>
      </c>
      <c r="C2411" s="10">
        <v>40840</v>
      </c>
      <c r="D2411" s="10" t="s">
        <v>270</v>
      </c>
    </row>
    <row r="2412" spans="1:4" x14ac:dyDescent="0.2">
      <c r="A2412">
        <v>6204</v>
      </c>
      <c r="B2412" s="10">
        <v>219148</v>
      </c>
      <c r="C2412" s="10">
        <v>40840</v>
      </c>
      <c r="D2412" s="10" t="s">
        <v>270</v>
      </c>
    </row>
    <row r="2413" spans="1:4" x14ac:dyDescent="0.2">
      <c r="A2413">
        <v>6209</v>
      </c>
      <c r="B2413" s="10">
        <v>219148</v>
      </c>
      <c r="C2413" s="10">
        <v>40840</v>
      </c>
      <c r="D2413" s="10" t="s">
        <v>270</v>
      </c>
    </row>
    <row r="2414" spans="1:4" x14ac:dyDescent="0.2">
      <c r="A2414">
        <v>6210</v>
      </c>
      <c r="B2414" s="10">
        <v>219148</v>
      </c>
      <c r="C2414" s="10">
        <v>40840</v>
      </c>
      <c r="D2414" s="10" t="s">
        <v>270</v>
      </c>
    </row>
    <row r="2415" spans="1:4" x14ac:dyDescent="0.2">
      <c r="A2415">
        <v>6211</v>
      </c>
      <c r="B2415" s="10">
        <v>219148</v>
      </c>
      <c r="C2415" s="10">
        <v>40840</v>
      </c>
      <c r="D2415" s="10" t="s">
        <v>270</v>
      </c>
    </row>
    <row r="2416" spans="1:4" x14ac:dyDescent="0.2">
      <c r="A2416">
        <v>6212</v>
      </c>
      <c r="B2416" s="10">
        <v>40856</v>
      </c>
      <c r="C2416" s="10">
        <v>40856</v>
      </c>
      <c r="D2416" s="10" t="s">
        <v>539</v>
      </c>
    </row>
    <row r="2417" spans="1:4" x14ac:dyDescent="0.2">
      <c r="A2417">
        <v>6214</v>
      </c>
      <c r="B2417" s="10">
        <v>41034</v>
      </c>
      <c r="C2417" s="10">
        <v>40850</v>
      </c>
      <c r="D2417" s="10" t="s">
        <v>273</v>
      </c>
    </row>
    <row r="2418" spans="1:4" x14ac:dyDescent="0.2">
      <c r="A2418">
        <v>6216</v>
      </c>
      <c r="B2418" s="10">
        <v>219148</v>
      </c>
      <c r="C2418" s="10">
        <v>40841</v>
      </c>
      <c r="D2418" s="10" t="s">
        <v>270</v>
      </c>
    </row>
    <row r="2419" spans="1:4" x14ac:dyDescent="0.2">
      <c r="A2419">
        <v>6217</v>
      </c>
      <c r="B2419" s="10">
        <v>219148</v>
      </c>
      <c r="C2419" s="10">
        <v>40841</v>
      </c>
      <c r="D2419" s="10" t="s">
        <v>270</v>
      </c>
    </row>
    <row r="2420" spans="1:4" x14ac:dyDescent="0.2">
      <c r="A2420">
        <v>6218</v>
      </c>
      <c r="B2420" s="10">
        <v>219148</v>
      </c>
      <c r="C2420" s="10">
        <v>40841</v>
      </c>
      <c r="D2420" s="10" t="s">
        <v>270</v>
      </c>
    </row>
    <row r="2421" spans="1:4" x14ac:dyDescent="0.2">
      <c r="A2421">
        <v>6219</v>
      </c>
      <c r="B2421" s="10">
        <v>36526</v>
      </c>
      <c r="C2421" s="10">
        <v>40841</v>
      </c>
      <c r="D2421" s="10" t="s">
        <v>270</v>
      </c>
    </row>
    <row r="2422" spans="1:4" x14ac:dyDescent="0.2">
      <c r="A2422">
        <v>6220</v>
      </c>
      <c r="B2422" s="10">
        <v>36526</v>
      </c>
      <c r="C2422" s="10">
        <v>40841</v>
      </c>
      <c r="D2422" s="10" t="s">
        <v>270</v>
      </c>
    </row>
    <row r="2423" spans="1:4" x14ac:dyDescent="0.2">
      <c r="A2423">
        <v>6221</v>
      </c>
      <c r="B2423" s="10">
        <v>219148</v>
      </c>
      <c r="C2423" s="10">
        <v>40841</v>
      </c>
      <c r="D2423" s="10" t="s">
        <v>270</v>
      </c>
    </row>
    <row r="2424" spans="1:4" x14ac:dyDescent="0.2">
      <c r="A2424">
        <v>6222</v>
      </c>
      <c r="B2424" s="10">
        <v>219148</v>
      </c>
      <c r="C2424" s="10">
        <v>40841</v>
      </c>
      <c r="D2424" s="10" t="s">
        <v>270</v>
      </c>
    </row>
    <row r="2425" spans="1:4" x14ac:dyDescent="0.2">
      <c r="A2425">
        <v>6224</v>
      </c>
      <c r="B2425" s="10">
        <v>219148</v>
      </c>
      <c r="C2425" s="10">
        <v>40841</v>
      </c>
      <c r="D2425" s="10" t="s">
        <v>270</v>
      </c>
    </row>
    <row r="2426" spans="1:4" x14ac:dyDescent="0.2">
      <c r="A2426">
        <v>6225</v>
      </c>
      <c r="B2426" s="10">
        <v>219148</v>
      </c>
      <c r="C2426" s="10">
        <v>40842</v>
      </c>
      <c r="D2426" s="10" t="s">
        <v>270</v>
      </c>
    </row>
    <row r="2427" spans="1:4" x14ac:dyDescent="0.2">
      <c r="A2427">
        <v>6226</v>
      </c>
      <c r="B2427" s="10">
        <v>219148</v>
      </c>
      <c r="C2427" s="10">
        <v>40842</v>
      </c>
      <c r="D2427" s="10" t="s">
        <v>270</v>
      </c>
    </row>
    <row r="2428" spans="1:4" x14ac:dyDescent="0.2">
      <c r="A2428">
        <v>6229</v>
      </c>
      <c r="B2428" s="10">
        <v>219148</v>
      </c>
      <c r="C2428" s="10">
        <v>40842</v>
      </c>
      <c r="D2428" s="10" t="s">
        <v>270</v>
      </c>
    </row>
    <row r="2429" spans="1:4" x14ac:dyDescent="0.2">
      <c r="A2429">
        <v>6233</v>
      </c>
      <c r="B2429" s="10">
        <v>36526</v>
      </c>
      <c r="C2429" s="10">
        <v>40843</v>
      </c>
      <c r="D2429" s="10" t="s">
        <v>270</v>
      </c>
    </row>
    <row r="2430" spans="1:4" x14ac:dyDescent="0.2">
      <c r="A2430">
        <v>6234</v>
      </c>
      <c r="B2430" s="10">
        <v>219148</v>
      </c>
      <c r="C2430" s="10">
        <v>40843</v>
      </c>
      <c r="D2430" s="10" t="s">
        <v>270</v>
      </c>
    </row>
    <row r="2431" spans="1:4" x14ac:dyDescent="0.2">
      <c r="A2431">
        <v>6238</v>
      </c>
      <c r="B2431" s="10">
        <v>219148</v>
      </c>
      <c r="C2431" s="10">
        <v>40843</v>
      </c>
      <c r="D2431" s="10" t="s">
        <v>270</v>
      </c>
    </row>
    <row r="2432" spans="1:4" x14ac:dyDescent="0.2">
      <c r="A2432">
        <v>6239</v>
      </c>
      <c r="B2432" s="10">
        <v>219148</v>
      </c>
      <c r="C2432" s="10">
        <v>40843</v>
      </c>
      <c r="D2432" s="10" t="s">
        <v>270</v>
      </c>
    </row>
    <row r="2433" spans="1:4" x14ac:dyDescent="0.2">
      <c r="A2433">
        <v>6240</v>
      </c>
      <c r="B2433" s="10">
        <v>219148</v>
      </c>
      <c r="C2433" s="10">
        <v>40843</v>
      </c>
      <c r="D2433" s="10" t="s">
        <v>270</v>
      </c>
    </row>
    <row r="2434" spans="1:4" x14ac:dyDescent="0.2">
      <c r="A2434">
        <v>6241</v>
      </c>
      <c r="B2434" s="10">
        <v>40843</v>
      </c>
      <c r="C2434" s="10">
        <v>40847</v>
      </c>
      <c r="D2434" s="10" t="s">
        <v>539</v>
      </c>
    </row>
    <row r="2435" spans="1:4" x14ac:dyDescent="0.2">
      <c r="A2435">
        <v>6243</v>
      </c>
      <c r="B2435" s="10">
        <v>219148</v>
      </c>
      <c r="C2435" s="10">
        <v>40844</v>
      </c>
      <c r="D2435" s="10" t="s">
        <v>270</v>
      </c>
    </row>
    <row r="2436" spans="1:4" x14ac:dyDescent="0.2">
      <c r="A2436">
        <v>6244</v>
      </c>
      <c r="B2436" s="10">
        <v>219148</v>
      </c>
      <c r="C2436" s="10">
        <v>40844</v>
      </c>
      <c r="D2436" s="10" t="s">
        <v>270</v>
      </c>
    </row>
    <row r="2437" spans="1:4" x14ac:dyDescent="0.2">
      <c r="A2437">
        <v>6247</v>
      </c>
      <c r="B2437" s="10">
        <v>219148</v>
      </c>
      <c r="C2437" s="10">
        <v>40844</v>
      </c>
      <c r="D2437" s="10" t="s">
        <v>270</v>
      </c>
    </row>
    <row r="2438" spans="1:4" x14ac:dyDescent="0.2">
      <c r="A2438">
        <v>6248</v>
      </c>
      <c r="B2438" s="10">
        <v>219148</v>
      </c>
      <c r="C2438" s="10">
        <v>40844</v>
      </c>
      <c r="D2438" s="10" t="s">
        <v>270</v>
      </c>
    </row>
    <row r="2439" spans="1:4" x14ac:dyDescent="0.2">
      <c r="A2439">
        <v>6249</v>
      </c>
      <c r="B2439" s="10">
        <v>219148</v>
      </c>
      <c r="C2439" s="10">
        <v>40844</v>
      </c>
      <c r="D2439" s="10" t="s">
        <v>270</v>
      </c>
    </row>
    <row r="2440" spans="1:4" x14ac:dyDescent="0.2">
      <c r="A2440">
        <v>6251</v>
      </c>
      <c r="B2440" s="10">
        <v>219148</v>
      </c>
      <c r="C2440" s="10">
        <v>40847</v>
      </c>
      <c r="D2440" s="10" t="s">
        <v>270</v>
      </c>
    </row>
    <row r="2441" spans="1:4" x14ac:dyDescent="0.2">
      <c r="A2441">
        <v>6252</v>
      </c>
      <c r="B2441" s="10">
        <v>219148</v>
      </c>
      <c r="C2441" s="10">
        <v>40847</v>
      </c>
      <c r="D2441" s="10" t="s">
        <v>270</v>
      </c>
    </row>
    <row r="2442" spans="1:4" x14ac:dyDescent="0.2">
      <c r="A2442">
        <v>6253</v>
      </c>
      <c r="B2442" s="10">
        <v>219148</v>
      </c>
      <c r="C2442" s="10">
        <v>40847</v>
      </c>
      <c r="D2442" s="10" t="s">
        <v>270</v>
      </c>
    </row>
    <row r="2443" spans="1:4" x14ac:dyDescent="0.2">
      <c r="A2443">
        <v>6254</v>
      </c>
      <c r="B2443" s="10">
        <v>219148</v>
      </c>
      <c r="C2443" s="10">
        <v>40847</v>
      </c>
      <c r="D2443" s="10" t="s">
        <v>270</v>
      </c>
    </row>
    <row r="2444" spans="1:4" x14ac:dyDescent="0.2">
      <c r="A2444">
        <v>6259</v>
      </c>
      <c r="B2444" s="10">
        <v>40847</v>
      </c>
      <c r="C2444" s="10">
        <v>40847</v>
      </c>
      <c r="D2444" s="10" t="s">
        <v>539</v>
      </c>
    </row>
    <row r="2445" spans="1:4" x14ac:dyDescent="0.2">
      <c r="A2445">
        <v>6260</v>
      </c>
      <c r="B2445" s="10">
        <v>219148</v>
      </c>
      <c r="C2445" s="10">
        <v>40847</v>
      </c>
      <c r="D2445" s="10" t="s">
        <v>270</v>
      </c>
    </row>
    <row r="2446" spans="1:4" x14ac:dyDescent="0.2">
      <c r="A2446">
        <v>6261</v>
      </c>
      <c r="B2446" s="10">
        <v>219148</v>
      </c>
      <c r="C2446" s="10">
        <v>40847</v>
      </c>
      <c r="D2446" s="10" t="s">
        <v>270</v>
      </c>
    </row>
    <row r="2447" spans="1:4" x14ac:dyDescent="0.2">
      <c r="A2447">
        <v>6262</v>
      </c>
      <c r="B2447" s="10">
        <v>40863</v>
      </c>
      <c r="C2447" s="10">
        <v>40868</v>
      </c>
      <c r="D2447" s="10" t="s">
        <v>268</v>
      </c>
    </row>
    <row r="2448" spans="1:4" x14ac:dyDescent="0.2">
      <c r="A2448">
        <v>6268</v>
      </c>
      <c r="B2448" s="10">
        <v>36526</v>
      </c>
      <c r="C2448" s="10">
        <v>40848</v>
      </c>
      <c r="D2448" s="10" t="s">
        <v>270</v>
      </c>
    </row>
    <row r="2449" spans="1:4" x14ac:dyDescent="0.2">
      <c r="A2449">
        <v>6269</v>
      </c>
      <c r="B2449" s="10">
        <v>219148</v>
      </c>
      <c r="C2449" s="10">
        <v>40848</v>
      </c>
      <c r="D2449" s="10" t="s">
        <v>270</v>
      </c>
    </row>
    <row r="2450" spans="1:4" x14ac:dyDescent="0.2">
      <c r="A2450">
        <v>6270</v>
      </c>
      <c r="B2450" s="10">
        <v>219148</v>
      </c>
      <c r="C2450" s="10">
        <v>40848</v>
      </c>
      <c r="D2450" s="10" t="s">
        <v>270</v>
      </c>
    </row>
    <row r="2451" spans="1:4" x14ac:dyDescent="0.2">
      <c r="A2451">
        <v>6271</v>
      </c>
      <c r="B2451" s="10">
        <v>36526</v>
      </c>
      <c r="C2451" s="10">
        <v>40869</v>
      </c>
      <c r="D2451" s="10" t="s">
        <v>270</v>
      </c>
    </row>
    <row r="2452" spans="1:4" x14ac:dyDescent="0.2">
      <c r="A2452">
        <v>6272</v>
      </c>
      <c r="B2452" s="10">
        <v>219148</v>
      </c>
      <c r="C2452" s="10">
        <v>40848</v>
      </c>
      <c r="D2452" s="10" t="s">
        <v>270</v>
      </c>
    </row>
    <row r="2453" spans="1:4" x14ac:dyDescent="0.2">
      <c r="A2453">
        <v>6273</v>
      </c>
      <c r="B2453" s="10">
        <v>219148</v>
      </c>
      <c r="C2453" s="10">
        <v>40849</v>
      </c>
      <c r="D2453" s="10" t="s">
        <v>270</v>
      </c>
    </row>
    <row r="2454" spans="1:4" x14ac:dyDescent="0.2">
      <c r="A2454">
        <v>6277</v>
      </c>
      <c r="B2454" s="10">
        <v>36526</v>
      </c>
      <c r="C2454" s="10">
        <v>40855</v>
      </c>
      <c r="D2454" s="10" t="s">
        <v>270</v>
      </c>
    </row>
    <row r="2455" spans="1:4" x14ac:dyDescent="0.2">
      <c r="A2455">
        <v>6279</v>
      </c>
      <c r="B2455" s="10">
        <v>36526</v>
      </c>
      <c r="C2455" s="10">
        <v>40850</v>
      </c>
      <c r="D2455" s="10" t="s">
        <v>270</v>
      </c>
    </row>
    <row r="2456" spans="1:4" x14ac:dyDescent="0.2">
      <c r="A2456">
        <v>6280</v>
      </c>
      <c r="B2456" s="10">
        <v>36526</v>
      </c>
      <c r="C2456" s="10">
        <v>40871</v>
      </c>
      <c r="D2456" s="10" t="s">
        <v>270</v>
      </c>
    </row>
    <row r="2457" spans="1:4" x14ac:dyDescent="0.2">
      <c r="A2457">
        <v>6283</v>
      </c>
      <c r="B2457" s="10">
        <v>36526</v>
      </c>
      <c r="C2457" s="10">
        <v>40865</v>
      </c>
      <c r="D2457" s="10" t="s">
        <v>270</v>
      </c>
    </row>
    <row r="2458" spans="1:4" x14ac:dyDescent="0.2">
      <c r="A2458">
        <v>6284</v>
      </c>
      <c r="B2458" s="10">
        <v>219148</v>
      </c>
      <c r="C2458" s="10">
        <v>40854</v>
      </c>
      <c r="D2458" s="10" t="s">
        <v>270</v>
      </c>
    </row>
    <row r="2459" spans="1:4" x14ac:dyDescent="0.2">
      <c r="A2459">
        <v>6285</v>
      </c>
      <c r="B2459" s="10">
        <v>36526</v>
      </c>
      <c r="C2459" s="10">
        <v>40854</v>
      </c>
      <c r="D2459" s="10" t="s">
        <v>270</v>
      </c>
    </row>
    <row r="2460" spans="1:4" x14ac:dyDescent="0.2">
      <c r="A2460">
        <v>6286</v>
      </c>
      <c r="B2460" s="10">
        <v>36526</v>
      </c>
      <c r="C2460" s="10">
        <v>40854</v>
      </c>
      <c r="D2460" s="10" t="s">
        <v>270</v>
      </c>
    </row>
    <row r="2461" spans="1:4" x14ac:dyDescent="0.2">
      <c r="A2461">
        <v>6288</v>
      </c>
      <c r="B2461" s="10">
        <v>36526</v>
      </c>
      <c r="C2461" s="10">
        <v>40855</v>
      </c>
      <c r="D2461" s="10" t="s">
        <v>538</v>
      </c>
    </row>
    <row r="2462" spans="1:4" x14ac:dyDescent="0.2">
      <c r="A2462">
        <v>6289</v>
      </c>
      <c r="B2462" s="10">
        <v>36526</v>
      </c>
      <c r="C2462" s="10">
        <v>40855</v>
      </c>
      <c r="D2462" s="10" t="s">
        <v>538</v>
      </c>
    </row>
    <row r="2463" spans="1:4" x14ac:dyDescent="0.2">
      <c r="A2463">
        <v>6290</v>
      </c>
      <c r="B2463" s="10">
        <v>219148</v>
      </c>
      <c r="C2463" s="10">
        <v>40855</v>
      </c>
      <c r="D2463" s="10" t="s">
        <v>270</v>
      </c>
    </row>
    <row r="2464" spans="1:4" x14ac:dyDescent="0.2">
      <c r="A2464">
        <v>6291</v>
      </c>
      <c r="B2464" s="10">
        <v>219148</v>
      </c>
      <c r="C2464" s="10">
        <v>40855</v>
      </c>
      <c r="D2464" s="10" t="s">
        <v>270</v>
      </c>
    </row>
    <row r="2465" spans="1:4" x14ac:dyDescent="0.2">
      <c r="A2465">
        <v>6292</v>
      </c>
      <c r="B2465" s="10">
        <v>36526</v>
      </c>
      <c r="C2465" s="10">
        <v>40855</v>
      </c>
      <c r="D2465" s="10" t="s">
        <v>270</v>
      </c>
    </row>
    <row r="2466" spans="1:4" x14ac:dyDescent="0.2">
      <c r="A2466">
        <v>6293</v>
      </c>
      <c r="B2466" s="10">
        <v>36526</v>
      </c>
      <c r="C2466" s="10">
        <v>40855</v>
      </c>
      <c r="D2466" s="10" t="s">
        <v>270</v>
      </c>
    </row>
    <row r="2467" spans="1:4" x14ac:dyDescent="0.2">
      <c r="A2467">
        <v>6294</v>
      </c>
      <c r="B2467" s="10">
        <v>36526</v>
      </c>
      <c r="C2467" s="10">
        <v>40855</v>
      </c>
      <c r="D2467" s="10" t="s">
        <v>270</v>
      </c>
    </row>
    <row r="2468" spans="1:4" x14ac:dyDescent="0.2">
      <c r="A2468">
        <v>6296</v>
      </c>
      <c r="B2468" s="10">
        <v>36526</v>
      </c>
      <c r="C2468" s="10">
        <v>40855</v>
      </c>
      <c r="D2468" s="10" t="s">
        <v>270</v>
      </c>
    </row>
    <row r="2469" spans="1:4" x14ac:dyDescent="0.2">
      <c r="A2469">
        <v>6297</v>
      </c>
      <c r="B2469" s="10">
        <v>219148</v>
      </c>
      <c r="C2469" s="10">
        <v>40856</v>
      </c>
      <c r="D2469" s="10" t="s">
        <v>270</v>
      </c>
    </row>
    <row r="2470" spans="1:4" x14ac:dyDescent="0.2">
      <c r="A2470">
        <v>6298</v>
      </c>
      <c r="B2470" s="10">
        <v>219148</v>
      </c>
      <c r="C2470" s="10">
        <v>40856</v>
      </c>
      <c r="D2470" s="10" t="s">
        <v>270</v>
      </c>
    </row>
    <row r="2471" spans="1:4" x14ac:dyDescent="0.2">
      <c r="A2471">
        <v>6299</v>
      </c>
      <c r="B2471" s="10">
        <v>36526</v>
      </c>
      <c r="C2471" s="10">
        <v>40856</v>
      </c>
      <c r="D2471" s="10" t="s">
        <v>270</v>
      </c>
    </row>
    <row r="2472" spans="1:4" x14ac:dyDescent="0.2">
      <c r="A2472">
        <v>6300</v>
      </c>
      <c r="B2472" s="10">
        <v>40872</v>
      </c>
      <c r="C2472" s="10">
        <v>40856</v>
      </c>
      <c r="D2472" s="10" t="s">
        <v>539</v>
      </c>
    </row>
    <row r="2473" spans="1:4" x14ac:dyDescent="0.2">
      <c r="A2473">
        <v>6301</v>
      </c>
      <c r="B2473" s="10">
        <v>36526</v>
      </c>
      <c r="C2473" s="10">
        <v>40857</v>
      </c>
      <c r="D2473" s="10" t="s">
        <v>270</v>
      </c>
    </row>
    <row r="2474" spans="1:4" x14ac:dyDescent="0.2">
      <c r="A2474">
        <v>6302</v>
      </c>
      <c r="B2474" s="10">
        <v>36526</v>
      </c>
      <c r="C2474" s="10">
        <v>40857</v>
      </c>
      <c r="D2474" s="10" t="s">
        <v>270</v>
      </c>
    </row>
    <row r="2475" spans="1:4" x14ac:dyDescent="0.2">
      <c r="A2475">
        <v>6304</v>
      </c>
      <c r="B2475" s="10">
        <v>36526</v>
      </c>
      <c r="C2475" s="10">
        <v>40872</v>
      </c>
      <c r="D2475" s="10" t="s">
        <v>270</v>
      </c>
    </row>
    <row r="2476" spans="1:4" x14ac:dyDescent="0.2">
      <c r="A2476">
        <v>6305</v>
      </c>
      <c r="B2476" s="10">
        <v>36526</v>
      </c>
      <c r="C2476" s="10">
        <v>40858</v>
      </c>
      <c r="D2476" s="10" t="s">
        <v>270</v>
      </c>
    </row>
    <row r="2477" spans="1:4" x14ac:dyDescent="0.2">
      <c r="A2477">
        <v>6306</v>
      </c>
      <c r="B2477" s="10">
        <v>36526</v>
      </c>
      <c r="C2477" s="10">
        <v>40865</v>
      </c>
      <c r="D2477" s="10" t="s">
        <v>270</v>
      </c>
    </row>
    <row r="2478" spans="1:4" x14ac:dyDescent="0.2">
      <c r="A2478">
        <v>6307</v>
      </c>
      <c r="B2478" s="10">
        <v>36526</v>
      </c>
      <c r="C2478" s="10">
        <v>40858</v>
      </c>
      <c r="D2478" s="10" t="s">
        <v>270</v>
      </c>
    </row>
    <row r="2479" spans="1:4" x14ac:dyDescent="0.2">
      <c r="A2479">
        <v>6308</v>
      </c>
      <c r="B2479" s="10">
        <v>40889</v>
      </c>
      <c r="C2479" s="10">
        <v>40858</v>
      </c>
      <c r="D2479" s="10" t="s">
        <v>268</v>
      </c>
    </row>
    <row r="2480" spans="1:4" x14ac:dyDescent="0.2">
      <c r="A2480">
        <v>6309</v>
      </c>
      <c r="B2480" s="10">
        <v>36526</v>
      </c>
      <c r="C2480" s="10">
        <v>40858</v>
      </c>
      <c r="D2480" s="10" t="s">
        <v>270</v>
      </c>
    </row>
    <row r="2481" spans="1:4" x14ac:dyDescent="0.2">
      <c r="A2481">
        <v>6310</v>
      </c>
      <c r="B2481" s="10">
        <v>36526</v>
      </c>
      <c r="C2481" s="10">
        <v>40861</v>
      </c>
      <c r="D2481" s="10" t="s">
        <v>270</v>
      </c>
    </row>
    <row r="2482" spans="1:4" x14ac:dyDescent="0.2">
      <c r="A2482">
        <v>6311</v>
      </c>
      <c r="B2482" s="10">
        <v>36526</v>
      </c>
      <c r="C2482" s="10">
        <v>40861</v>
      </c>
      <c r="D2482" s="10" t="s">
        <v>270</v>
      </c>
    </row>
    <row r="2483" spans="1:4" x14ac:dyDescent="0.2">
      <c r="A2483">
        <v>6312</v>
      </c>
      <c r="B2483" s="10">
        <v>36526</v>
      </c>
      <c r="C2483" s="10">
        <v>40861</v>
      </c>
      <c r="D2483" s="10" t="s">
        <v>270</v>
      </c>
    </row>
    <row r="2484" spans="1:4" x14ac:dyDescent="0.2">
      <c r="A2484">
        <v>6316</v>
      </c>
      <c r="B2484" s="10">
        <v>36526</v>
      </c>
      <c r="C2484" s="10">
        <v>40862</v>
      </c>
      <c r="D2484" s="10" t="s">
        <v>270</v>
      </c>
    </row>
    <row r="2485" spans="1:4" x14ac:dyDescent="0.2">
      <c r="A2485">
        <v>6318</v>
      </c>
      <c r="B2485" s="10">
        <v>36526</v>
      </c>
      <c r="C2485" s="10">
        <v>40862</v>
      </c>
      <c r="D2485" s="10" t="s">
        <v>270</v>
      </c>
    </row>
    <row r="2486" spans="1:4" x14ac:dyDescent="0.2">
      <c r="A2486">
        <v>6319</v>
      </c>
      <c r="B2486" s="10">
        <v>36526</v>
      </c>
      <c r="C2486" s="10">
        <v>40862</v>
      </c>
      <c r="D2486" s="10" t="s">
        <v>270</v>
      </c>
    </row>
    <row r="2487" spans="1:4" x14ac:dyDescent="0.2">
      <c r="A2487">
        <v>6320</v>
      </c>
      <c r="B2487" s="10">
        <v>40858</v>
      </c>
      <c r="C2487" s="10">
        <v>40862</v>
      </c>
      <c r="D2487" s="10" t="s">
        <v>268</v>
      </c>
    </row>
    <row r="2488" spans="1:4" x14ac:dyDescent="0.2">
      <c r="A2488">
        <v>6321</v>
      </c>
      <c r="B2488" s="10">
        <v>36526</v>
      </c>
      <c r="C2488" s="10">
        <v>40863</v>
      </c>
      <c r="D2488" s="10" t="s">
        <v>270</v>
      </c>
    </row>
    <row r="2489" spans="1:4" x14ac:dyDescent="0.2">
      <c r="A2489">
        <v>6322</v>
      </c>
      <c r="B2489" s="10">
        <v>36526</v>
      </c>
      <c r="C2489" s="10">
        <v>40863</v>
      </c>
      <c r="D2489" s="10" t="s">
        <v>270</v>
      </c>
    </row>
    <row r="2490" spans="1:4" x14ac:dyDescent="0.2">
      <c r="A2490">
        <v>6323</v>
      </c>
      <c r="B2490" s="10">
        <v>36526</v>
      </c>
      <c r="C2490" s="10">
        <v>40864</v>
      </c>
      <c r="D2490" s="10" t="s">
        <v>270</v>
      </c>
    </row>
    <row r="2491" spans="1:4" x14ac:dyDescent="0.2">
      <c r="A2491">
        <v>6324</v>
      </c>
      <c r="B2491" s="10">
        <v>36526</v>
      </c>
      <c r="C2491" s="10">
        <v>40864</v>
      </c>
      <c r="D2491" s="10" t="s">
        <v>270</v>
      </c>
    </row>
    <row r="2492" spans="1:4" x14ac:dyDescent="0.2">
      <c r="A2492">
        <v>6325</v>
      </c>
      <c r="B2492" s="10">
        <v>36526</v>
      </c>
      <c r="C2492" s="10">
        <v>40864</v>
      </c>
      <c r="D2492" s="10" t="s">
        <v>270</v>
      </c>
    </row>
    <row r="2493" spans="1:4" x14ac:dyDescent="0.2">
      <c r="A2493">
        <v>6328</v>
      </c>
      <c r="B2493" s="10">
        <v>219148</v>
      </c>
      <c r="C2493" s="10">
        <v>40865</v>
      </c>
      <c r="D2493" s="10" t="s">
        <v>270</v>
      </c>
    </row>
    <row r="2494" spans="1:4" x14ac:dyDescent="0.2">
      <c r="A2494">
        <v>6329</v>
      </c>
      <c r="B2494" s="10">
        <v>36526</v>
      </c>
      <c r="C2494" s="10">
        <v>40868</v>
      </c>
      <c r="D2494" s="10" t="s">
        <v>270</v>
      </c>
    </row>
    <row r="2495" spans="1:4" x14ac:dyDescent="0.2">
      <c r="A2495">
        <v>6330</v>
      </c>
      <c r="B2495" s="10">
        <v>219148</v>
      </c>
      <c r="C2495" s="10">
        <v>40865</v>
      </c>
      <c r="D2495" s="10" t="s">
        <v>270</v>
      </c>
    </row>
    <row r="2496" spans="1:4" x14ac:dyDescent="0.2">
      <c r="A2496">
        <v>6331</v>
      </c>
      <c r="B2496" s="10">
        <v>219148</v>
      </c>
      <c r="C2496" s="10">
        <v>40865</v>
      </c>
      <c r="D2496" s="10" t="s">
        <v>270</v>
      </c>
    </row>
    <row r="2497" spans="1:4" x14ac:dyDescent="0.2">
      <c r="A2497">
        <v>6332</v>
      </c>
      <c r="B2497" s="10">
        <v>41018</v>
      </c>
      <c r="C2497" s="10">
        <v>40865</v>
      </c>
      <c r="D2497" s="10" t="s">
        <v>268</v>
      </c>
    </row>
    <row r="2498" spans="1:4" x14ac:dyDescent="0.2">
      <c r="A2498">
        <v>6333</v>
      </c>
      <c r="B2498" s="10">
        <v>36526</v>
      </c>
      <c r="C2498" s="10">
        <v>40865</v>
      </c>
      <c r="D2498" s="10" t="s">
        <v>538</v>
      </c>
    </row>
    <row r="2499" spans="1:4" x14ac:dyDescent="0.2">
      <c r="A2499">
        <v>6334</v>
      </c>
      <c r="B2499" s="10">
        <v>219148</v>
      </c>
      <c r="C2499" s="10">
        <v>40865</v>
      </c>
      <c r="D2499" s="10" t="s">
        <v>270</v>
      </c>
    </row>
    <row r="2500" spans="1:4" x14ac:dyDescent="0.2">
      <c r="A2500">
        <v>6335</v>
      </c>
      <c r="B2500" s="10">
        <v>36526</v>
      </c>
      <c r="C2500" s="10">
        <v>40865</v>
      </c>
      <c r="D2500" s="10" t="s">
        <v>538</v>
      </c>
    </row>
    <row r="2501" spans="1:4" x14ac:dyDescent="0.2">
      <c r="A2501">
        <v>6336</v>
      </c>
      <c r="B2501" s="10">
        <v>36526</v>
      </c>
      <c r="C2501" s="10">
        <v>40865</v>
      </c>
      <c r="D2501" s="10" t="s">
        <v>538</v>
      </c>
    </row>
    <row r="2502" spans="1:4" x14ac:dyDescent="0.2">
      <c r="A2502">
        <v>6337</v>
      </c>
      <c r="B2502" s="10">
        <v>219148</v>
      </c>
      <c r="C2502" s="10">
        <v>40868</v>
      </c>
      <c r="D2502" s="10" t="s">
        <v>270</v>
      </c>
    </row>
    <row r="2503" spans="1:4" x14ac:dyDescent="0.2">
      <c r="A2503">
        <v>6338</v>
      </c>
      <c r="B2503" s="10">
        <v>219148</v>
      </c>
      <c r="C2503" s="10">
        <v>40868</v>
      </c>
      <c r="D2503" s="10" t="s">
        <v>270</v>
      </c>
    </row>
    <row r="2504" spans="1:4" x14ac:dyDescent="0.2">
      <c r="A2504">
        <v>6339</v>
      </c>
      <c r="B2504" s="10">
        <v>219148</v>
      </c>
      <c r="C2504" s="10">
        <v>40868</v>
      </c>
      <c r="D2504" s="10" t="s">
        <v>270</v>
      </c>
    </row>
    <row r="2505" spans="1:4" x14ac:dyDescent="0.2">
      <c r="A2505">
        <v>6340</v>
      </c>
      <c r="B2505" s="10">
        <v>219148</v>
      </c>
      <c r="C2505" s="10">
        <v>40868</v>
      </c>
      <c r="D2505" s="10" t="s">
        <v>270</v>
      </c>
    </row>
    <row r="2506" spans="1:4" x14ac:dyDescent="0.2">
      <c r="A2506">
        <v>6341</v>
      </c>
      <c r="B2506" s="10">
        <v>219148</v>
      </c>
      <c r="C2506" s="10">
        <v>40868</v>
      </c>
      <c r="D2506" s="10" t="s">
        <v>270</v>
      </c>
    </row>
    <row r="2507" spans="1:4" x14ac:dyDescent="0.2">
      <c r="A2507">
        <v>6342</v>
      </c>
      <c r="B2507" s="10">
        <v>219148</v>
      </c>
      <c r="C2507" s="10">
        <v>40869</v>
      </c>
      <c r="D2507" s="10" t="s">
        <v>270</v>
      </c>
    </row>
    <row r="2508" spans="1:4" x14ac:dyDescent="0.2">
      <c r="A2508">
        <v>6343</v>
      </c>
      <c r="B2508" s="10">
        <v>219148</v>
      </c>
      <c r="C2508" s="10">
        <v>40869</v>
      </c>
      <c r="D2508" s="10" t="s">
        <v>270</v>
      </c>
    </row>
    <row r="2509" spans="1:4" x14ac:dyDescent="0.2">
      <c r="A2509">
        <v>6344</v>
      </c>
      <c r="B2509" s="10">
        <v>219148</v>
      </c>
      <c r="C2509" s="10">
        <v>40869</v>
      </c>
      <c r="D2509" s="10" t="s">
        <v>270</v>
      </c>
    </row>
    <row r="2510" spans="1:4" x14ac:dyDescent="0.2">
      <c r="A2510">
        <v>6347</v>
      </c>
      <c r="B2510" s="10">
        <v>219148</v>
      </c>
      <c r="C2510" s="10">
        <v>40869</v>
      </c>
      <c r="D2510" s="10" t="s">
        <v>270</v>
      </c>
    </row>
    <row r="2511" spans="1:4" x14ac:dyDescent="0.2">
      <c r="A2511">
        <v>6348</v>
      </c>
      <c r="B2511" s="10">
        <v>36526</v>
      </c>
      <c r="C2511" s="10">
        <v>40869</v>
      </c>
      <c r="D2511" s="10" t="s">
        <v>538</v>
      </c>
    </row>
    <row r="2512" spans="1:4" x14ac:dyDescent="0.2">
      <c r="A2512">
        <v>6349</v>
      </c>
      <c r="B2512" s="10">
        <v>36526</v>
      </c>
      <c r="C2512" s="10">
        <v>40869</v>
      </c>
      <c r="D2512" s="10" t="s">
        <v>538</v>
      </c>
    </row>
    <row r="2513" spans="1:4" x14ac:dyDescent="0.2">
      <c r="A2513">
        <v>6350</v>
      </c>
      <c r="B2513" s="10">
        <v>36526</v>
      </c>
      <c r="C2513" s="10">
        <v>40869</v>
      </c>
      <c r="D2513" s="10" t="s">
        <v>538</v>
      </c>
    </row>
    <row r="2514" spans="1:4" x14ac:dyDescent="0.2">
      <c r="A2514">
        <v>6356</v>
      </c>
      <c r="B2514" s="10">
        <v>219148</v>
      </c>
      <c r="C2514" s="10">
        <v>40871</v>
      </c>
      <c r="D2514" s="10" t="s">
        <v>270</v>
      </c>
    </row>
    <row r="2515" spans="1:4" x14ac:dyDescent="0.2">
      <c r="A2515">
        <v>6357</v>
      </c>
      <c r="B2515" s="10">
        <v>219148</v>
      </c>
      <c r="C2515" s="10">
        <v>40871</v>
      </c>
      <c r="D2515" s="10" t="s">
        <v>270</v>
      </c>
    </row>
    <row r="2516" spans="1:4" x14ac:dyDescent="0.2">
      <c r="A2516">
        <v>6358</v>
      </c>
      <c r="B2516" s="10">
        <v>219148</v>
      </c>
      <c r="C2516" s="10">
        <v>40871</v>
      </c>
      <c r="D2516" s="10" t="s">
        <v>270</v>
      </c>
    </row>
    <row r="2517" spans="1:4" x14ac:dyDescent="0.2">
      <c r="A2517">
        <v>6359</v>
      </c>
      <c r="B2517" s="10">
        <v>219148</v>
      </c>
      <c r="C2517" s="10">
        <v>40871</v>
      </c>
      <c r="D2517" s="10" t="s">
        <v>270</v>
      </c>
    </row>
    <row r="2518" spans="1:4" x14ac:dyDescent="0.2">
      <c r="A2518">
        <v>6360</v>
      </c>
      <c r="B2518" s="10">
        <v>219148</v>
      </c>
      <c r="C2518" s="10">
        <v>40871</v>
      </c>
      <c r="D2518" s="10" t="s">
        <v>270</v>
      </c>
    </row>
    <row r="2519" spans="1:4" x14ac:dyDescent="0.2">
      <c r="A2519">
        <v>6361</v>
      </c>
      <c r="B2519" s="10">
        <v>219148</v>
      </c>
      <c r="C2519" s="10">
        <v>40871</v>
      </c>
      <c r="D2519" s="10" t="s">
        <v>270</v>
      </c>
    </row>
    <row r="2520" spans="1:4" x14ac:dyDescent="0.2">
      <c r="A2520">
        <v>6362</v>
      </c>
      <c r="B2520" s="10">
        <v>40902</v>
      </c>
      <c r="C2520" s="10">
        <v>40871</v>
      </c>
      <c r="D2520" s="10" t="s">
        <v>268</v>
      </c>
    </row>
    <row r="2521" spans="1:4" x14ac:dyDescent="0.2">
      <c r="A2521">
        <v>6365</v>
      </c>
      <c r="B2521" s="10">
        <v>219148</v>
      </c>
      <c r="C2521" s="10">
        <v>40871</v>
      </c>
      <c r="D2521" s="10" t="s">
        <v>270</v>
      </c>
    </row>
    <row r="2522" spans="1:4" x14ac:dyDescent="0.2">
      <c r="A2522">
        <v>6366</v>
      </c>
      <c r="B2522" s="10">
        <v>219148</v>
      </c>
      <c r="C2522" s="10">
        <v>40871</v>
      </c>
      <c r="D2522" s="10" t="s">
        <v>270</v>
      </c>
    </row>
    <row r="2523" spans="1:4" x14ac:dyDescent="0.2">
      <c r="A2523">
        <v>6378</v>
      </c>
      <c r="B2523" s="10">
        <v>219148</v>
      </c>
      <c r="C2523" s="10">
        <v>40872</v>
      </c>
      <c r="D2523" s="10" t="s">
        <v>270</v>
      </c>
    </row>
    <row r="2524" spans="1:4" x14ac:dyDescent="0.2">
      <c r="A2524">
        <v>6379</v>
      </c>
      <c r="B2524" s="10">
        <v>40902</v>
      </c>
      <c r="C2524" s="10">
        <v>40872</v>
      </c>
      <c r="D2524" s="10" t="s">
        <v>268</v>
      </c>
    </row>
    <row r="2525" spans="1:4" x14ac:dyDescent="0.2">
      <c r="A2525">
        <v>6380</v>
      </c>
      <c r="B2525" s="10">
        <v>40887</v>
      </c>
      <c r="C2525" s="10">
        <v>40872</v>
      </c>
      <c r="D2525" s="10" t="s">
        <v>268</v>
      </c>
    </row>
    <row r="2526" spans="1:4" x14ac:dyDescent="0.2">
      <c r="A2526">
        <v>6383</v>
      </c>
      <c r="B2526" s="10">
        <v>219148</v>
      </c>
      <c r="C2526" s="10">
        <v>40872</v>
      </c>
      <c r="D2526" s="10" t="s">
        <v>270</v>
      </c>
    </row>
    <row r="2527" spans="1:4" x14ac:dyDescent="0.2">
      <c r="A2527">
        <v>6384</v>
      </c>
      <c r="B2527" s="10">
        <v>219148</v>
      </c>
      <c r="C2527" s="10">
        <v>40872</v>
      </c>
      <c r="D2527" s="10" t="s">
        <v>270</v>
      </c>
    </row>
  </sheetData>
  <autoFilter ref="A3:Y2527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C1943"/>
  <sheetViews>
    <sheetView workbookViewId="0">
      <pane ySplit="3" topLeftCell="A1895" activePane="bottomLeft" state="frozen"/>
      <selection pane="bottomLeft" activeCell="M14" sqref="M14"/>
    </sheetView>
  </sheetViews>
  <sheetFormatPr defaultRowHeight="12.75" x14ac:dyDescent="0.2"/>
  <cols>
    <col min="1" max="1" width="18.7109375" customWidth="1"/>
    <col min="2" max="2" width="14.28515625" bestFit="1" customWidth="1"/>
    <col min="3" max="3" width="14.85546875" bestFit="1" customWidth="1"/>
  </cols>
  <sheetData>
    <row r="3" spans="1:3" ht="13.5" thickBot="1" x14ac:dyDescent="0.25">
      <c r="A3" s="13" t="s">
        <v>343</v>
      </c>
      <c r="B3" s="13" t="s">
        <v>351</v>
      </c>
      <c r="C3" s="13" t="s">
        <v>168</v>
      </c>
    </row>
    <row r="4" spans="1:3" x14ac:dyDescent="0.2">
      <c r="A4" s="91" t="s">
        <v>2289</v>
      </c>
      <c r="B4" s="92" t="s">
        <v>270</v>
      </c>
      <c r="C4" s="111">
        <v>10910.56</v>
      </c>
    </row>
    <row r="5" spans="1:3" x14ac:dyDescent="0.2">
      <c r="A5" s="91" t="s">
        <v>128</v>
      </c>
      <c r="B5" s="92" t="s">
        <v>270</v>
      </c>
      <c r="C5" s="111">
        <v>346827.09</v>
      </c>
    </row>
    <row r="6" spans="1:3" x14ac:dyDescent="0.2">
      <c r="A6" s="91" t="s">
        <v>1685</v>
      </c>
      <c r="B6" s="92" t="s">
        <v>270</v>
      </c>
      <c r="C6" s="111">
        <v>4252938000</v>
      </c>
    </row>
    <row r="7" spans="1:3" x14ac:dyDescent="0.2">
      <c r="A7" s="91" t="s">
        <v>1717</v>
      </c>
      <c r="B7" s="92" t="s">
        <v>270</v>
      </c>
      <c r="C7" s="111">
        <v>8505876000</v>
      </c>
    </row>
    <row r="8" spans="1:3" x14ac:dyDescent="0.2">
      <c r="A8" s="91" t="s">
        <v>433</v>
      </c>
      <c r="B8" s="92" t="s">
        <v>270</v>
      </c>
      <c r="C8" s="111">
        <v>28421145000</v>
      </c>
    </row>
    <row r="9" spans="1:3" x14ac:dyDescent="0.2">
      <c r="A9" s="91" t="s">
        <v>398</v>
      </c>
      <c r="B9" s="92" t="s">
        <v>270</v>
      </c>
      <c r="C9" s="111">
        <v>6315810000</v>
      </c>
    </row>
    <row r="10" spans="1:3" x14ac:dyDescent="0.2">
      <c r="A10" s="91" t="s">
        <v>2106</v>
      </c>
      <c r="B10" s="92" t="s">
        <v>270</v>
      </c>
      <c r="C10" s="111">
        <v>1634262308.8</v>
      </c>
    </row>
    <row r="11" spans="1:3" x14ac:dyDescent="0.2">
      <c r="A11" s="91" t="s">
        <v>2095</v>
      </c>
      <c r="B11" s="92" t="s">
        <v>270</v>
      </c>
      <c r="C11" s="111">
        <v>8197921380</v>
      </c>
    </row>
    <row r="12" spans="1:3" x14ac:dyDescent="0.2">
      <c r="A12" s="91" t="s">
        <v>2101</v>
      </c>
      <c r="B12" s="92" t="s">
        <v>270</v>
      </c>
      <c r="C12" s="111">
        <v>610423036.5</v>
      </c>
    </row>
    <row r="13" spans="1:3" x14ac:dyDescent="0.2">
      <c r="A13" s="91" t="s">
        <v>2099</v>
      </c>
      <c r="B13" s="92" t="s">
        <v>270</v>
      </c>
      <c r="C13" s="111">
        <v>1677163345.5</v>
      </c>
    </row>
    <row r="14" spans="1:3" x14ac:dyDescent="0.2">
      <c r="A14" s="91" t="s">
        <v>2094</v>
      </c>
      <c r="B14" s="92" t="s">
        <v>270</v>
      </c>
      <c r="C14" s="111">
        <v>3492011349</v>
      </c>
    </row>
    <row r="15" spans="1:3" x14ac:dyDescent="0.2">
      <c r="A15" s="91" t="s">
        <v>2103</v>
      </c>
      <c r="B15" s="92" t="s">
        <v>270</v>
      </c>
      <c r="C15" s="111">
        <v>35368536000</v>
      </c>
    </row>
    <row r="16" spans="1:3" x14ac:dyDescent="0.2">
      <c r="A16" s="91" t="s">
        <v>2098</v>
      </c>
      <c r="B16" s="92" t="s">
        <v>270</v>
      </c>
      <c r="C16" s="111">
        <v>31579050000</v>
      </c>
    </row>
    <row r="17" spans="1:3" x14ac:dyDescent="0.2">
      <c r="A17" s="91" t="s">
        <v>2053</v>
      </c>
      <c r="B17" s="92" t="s">
        <v>270</v>
      </c>
      <c r="C17" s="111">
        <v>2336849.7000000002</v>
      </c>
    </row>
    <row r="18" spans="1:3" x14ac:dyDescent="0.2">
      <c r="A18" s="91" t="s">
        <v>2104</v>
      </c>
      <c r="B18" s="92" t="s">
        <v>270</v>
      </c>
      <c r="C18" s="111">
        <v>1956511621.8</v>
      </c>
    </row>
    <row r="19" spans="1:3" x14ac:dyDescent="0.2">
      <c r="A19" s="91" t="s">
        <v>2107</v>
      </c>
      <c r="B19" s="92" t="s">
        <v>270</v>
      </c>
      <c r="C19" s="111">
        <v>30124977.5</v>
      </c>
    </row>
    <row r="20" spans="1:3" x14ac:dyDescent="0.2">
      <c r="A20" s="91" t="s">
        <v>2097</v>
      </c>
      <c r="B20" s="92" t="s">
        <v>270</v>
      </c>
      <c r="C20" s="111">
        <v>50526480000</v>
      </c>
    </row>
    <row r="21" spans="1:3" x14ac:dyDescent="0.2">
      <c r="A21" s="91" t="s">
        <v>2102</v>
      </c>
      <c r="B21" s="92" t="s">
        <v>270</v>
      </c>
      <c r="C21" s="111">
        <v>50526480000</v>
      </c>
    </row>
    <row r="22" spans="1:3" x14ac:dyDescent="0.2">
      <c r="A22" s="91" t="s">
        <v>2105</v>
      </c>
      <c r="B22" s="92" t="s">
        <v>270</v>
      </c>
      <c r="C22" s="111">
        <v>50526480000</v>
      </c>
    </row>
    <row r="23" spans="1:3" x14ac:dyDescent="0.2">
      <c r="A23" s="91" t="s">
        <v>2062</v>
      </c>
      <c r="B23" s="92" t="s">
        <v>273</v>
      </c>
      <c r="C23" s="111">
        <v>478053827.35000002</v>
      </c>
    </row>
    <row r="24" spans="1:3" x14ac:dyDescent="0.2">
      <c r="A24" s="91" t="s">
        <v>2063</v>
      </c>
      <c r="B24" s="92" t="s">
        <v>270</v>
      </c>
      <c r="C24" s="111">
        <v>631581000</v>
      </c>
    </row>
    <row r="25" spans="1:3" x14ac:dyDescent="0.2">
      <c r="A25" s="91" t="s">
        <v>1121</v>
      </c>
      <c r="B25" s="92" t="s">
        <v>270</v>
      </c>
      <c r="C25" s="111">
        <v>37894860000</v>
      </c>
    </row>
    <row r="26" spans="1:3" x14ac:dyDescent="0.2">
      <c r="A26" s="91" t="s">
        <v>659</v>
      </c>
      <c r="B26" s="92" t="s">
        <v>270</v>
      </c>
      <c r="C26" s="111">
        <v>75789720000</v>
      </c>
    </row>
    <row r="27" spans="1:3" x14ac:dyDescent="0.2">
      <c r="A27" s="91" t="s">
        <v>251</v>
      </c>
      <c r="B27" s="92" t="s">
        <v>270</v>
      </c>
      <c r="C27" s="111">
        <v>6315810000</v>
      </c>
    </row>
    <row r="28" spans="1:3" x14ac:dyDescent="0.2">
      <c r="A28" s="91" t="s">
        <v>457</v>
      </c>
      <c r="B28" s="92" t="s">
        <v>270</v>
      </c>
      <c r="C28" s="111">
        <v>15000000000</v>
      </c>
    </row>
    <row r="29" spans="1:3" x14ac:dyDescent="0.2">
      <c r="A29" s="91" t="s">
        <v>461</v>
      </c>
      <c r="B29" s="92" t="s">
        <v>270</v>
      </c>
      <c r="C29" s="111">
        <v>3000000000</v>
      </c>
    </row>
    <row r="30" spans="1:3" x14ac:dyDescent="0.2">
      <c r="A30" s="91" t="s">
        <v>421</v>
      </c>
      <c r="B30" s="92" t="s">
        <v>270</v>
      </c>
      <c r="C30" s="111">
        <v>40000000000</v>
      </c>
    </row>
    <row r="31" spans="1:3" x14ac:dyDescent="0.2">
      <c r="A31" s="91" t="s">
        <v>143</v>
      </c>
      <c r="B31" s="92" t="s">
        <v>270</v>
      </c>
      <c r="C31" s="111">
        <v>10000000000</v>
      </c>
    </row>
    <row r="32" spans="1:3" x14ac:dyDescent="0.2">
      <c r="A32" s="91" t="s">
        <v>1114</v>
      </c>
      <c r="B32" s="92" t="s">
        <v>270</v>
      </c>
      <c r="C32" s="111">
        <v>10000000000</v>
      </c>
    </row>
    <row r="33" spans="1:3" x14ac:dyDescent="0.2">
      <c r="A33" s="91" t="s">
        <v>771</v>
      </c>
      <c r="B33" s="92" t="s">
        <v>270</v>
      </c>
      <c r="C33" s="111">
        <v>2930000000</v>
      </c>
    </row>
    <row r="34" spans="1:3" x14ac:dyDescent="0.2">
      <c r="A34" s="91" t="s">
        <v>1123</v>
      </c>
      <c r="B34" s="92" t="s">
        <v>270</v>
      </c>
      <c r="C34" s="111">
        <v>643544149.95000005</v>
      </c>
    </row>
    <row r="35" spans="1:3" x14ac:dyDescent="0.2">
      <c r="A35" s="91" t="s">
        <v>2175</v>
      </c>
      <c r="B35" s="92" t="s">
        <v>270</v>
      </c>
      <c r="C35" s="111">
        <v>2903931711.2199998</v>
      </c>
    </row>
    <row r="36" spans="1:3" x14ac:dyDescent="0.2">
      <c r="A36" s="91" t="s">
        <v>2179</v>
      </c>
      <c r="B36" s="92" t="s">
        <v>270</v>
      </c>
      <c r="C36" s="111">
        <v>2903931415.6399999</v>
      </c>
    </row>
    <row r="37" spans="1:3" x14ac:dyDescent="0.2">
      <c r="A37" s="91" t="s">
        <v>1987</v>
      </c>
      <c r="B37" s="92" t="s">
        <v>270</v>
      </c>
      <c r="C37" s="111">
        <v>2903931415.6399999</v>
      </c>
    </row>
    <row r="38" spans="1:3" x14ac:dyDescent="0.2">
      <c r="A38" s="91" t="s">
        <v>2176</v>
      </c>
      <c r="B38" s="92" t="s">
        <v>270</v>
      </c>
      <c r="C38" s="111">
        <v>2903931415.6399999</v>
      </c>
    </row>
    <row r="39" spans="1:3" x14ac:dyDescent="0.2">
      <c r="A39" s="91" t="s">
        <v>2178</v>
      </c>
      <c r="B39" s="92" t="s">
        <v>270</v>
      </c>
      <c r="C39" s="111">
        <v>2903931415.6399999</v>
      </c>
    </row>
    <row r="40" spans="1:3" x14ac:dyDescent="0.2">
      <c r="A40" s="91" t="s">
        <v>2181</v>
      </c>
      <c r="B40" s="92" t="s">
        <v>270</v>
      </c>
      <c r="C40" s="111">
        <v>2903931415.6399999</v>
      </c>
    </row>
    <row r="41" spans="1:3" x14ac:dyDescent="0.2">
      <c r="A41" s="91" t="s">
        <v>2174</v>
      </c>
      <c r="B41" s="92" t="s">
        <v>270</v>
      </c>
      <c r="C41" s="111">
        <v>2903931415.6399999</v>
      </c>
    </row>
    <row r="42" spans="1:3" x14ac:dyDescent="0.2">
      <c r="A42" s="91" t="s">
        <v>2177</v>
      </c>
      <c r="B42" s="92" t="s">
        <v>270</v>
      </c>
      <c r="C42" s="111">
        <v>2903931415.6399999</v>
      </c>
    </row>
    <row r="43" spans="1:3" x14ac:dyDescent="0.2">
      <c r="A43" s="91" t="s">
        <v>2180</v>
      </c>
      <c r="B43" s="92" t="s">
        <v>270</v>
      </c>
      <c r="C43" s="111">
        <v>2903931415.6399999</v>
      </c>
    </row>
    <row r="44" spans="1:3" x14ac:dyDescent="0.2">
      <c r="A44" s="91" t="s">
        <v>2173</v>
      </c>
      <c r="B44" s="92" t="s">
        <v>270</v>
      </c>
      <c r="C44" s="111">
        <v>2903931415.6399999</v>
      </c>
    </row>
    <row r="45" spans="1:3" x14ac:dyDescent="0.2">
      <c r="A45" s="91" t="s">
        <v>45</v>
      </c>
      <c r="B45" s="92" t="s">
        <v>270</v>
      </c>
      <c r="C45" s="111">
        <v>180572147.5</v>
      </c>
    </row>
    <row r="46" spans="1:3" x14ac:dyDescent="0.2">
      <c r="A46" s="91" t="s">
        <v>1533</v>
      </c>
      <c r="B46" s="92" t="s">
        <v>273</v>
      </c>
      <c r="C46" s="111">
        <v>9500000</v>
      </c>
    </row>
    <row r="47" spans="1:3" x14ac:dyDescent="0.2">
      <c r="A47" s="91" t="s">
        <v>1508</v>
      </c>
      <c r="B47" s="92" t="s">
        <v>273</v>
      </c>
      <c r="C47" s="111">
        <v>30417.66</v>
      </c>
    </row>
    <row r="48" spans="1:3" x14ac:dyDescent="0.2">
      <c r="A48" s="91" t="s">
        <v>2037</v>
      </c>
      <c r="B48" s="92" t="s">
        <v>270</v>
      </c>
      <c r="C48" s="111">
        <v>2422745000</v>
      </c>
    </row>
    <row r="49" spans="1:3" x14ac:dyDescent="0.2">
      <c r="A49" s="91" t="s">
        <v>1387</v>
      </c>
      <c r="B49" s="92" t="s">
        <v>268</v>
      </c>
      <c r="C49" s="111">
        <v>7000000000</v>
      </c>
    </row>
    <row r="50" spans="1:3" x14ac:dyDescent="0.2">
      <c r="A50" s="91" t="s">
        <v>860</v>
      </c>
      <c r="B50" s="92" t="s">
        <v>268</v>
      </c>
      <c r="C50" s="111">
        <v>22105335000</v>
      </c>
    </row>
    <row r="51" spans="1:3" x14ac:dyDescent="0.2">
      <c r="A51" s="91" t="s">
        <v>861</v>
      </c>
      <c r="B51" s="92" t="s">
        <v>268</v>
      </c>
      <c r="C51" s="111">
        <v>15789525000</v>
      </c>
    </row>
    <row r="52" spans="1:3" x14ac:dyDescent="0.2">
      <c r="A52" s="91" t="s">
        <v>1470</v>
      </c>
      <c r="B52" s="92" t="s">
        <v>268</v>
      </c>
      <c r="C52" s="111">
        <v>4961761000</v>
      </c>
    </row>
    <row r="53" spans="1:3" x14ac:dyDescent="0.2">
      <c r="A53" s="91" t="s">
        <v>426</v>
      </c>
      <c r="B53" s="92" t="s">
        <v>268</v>
      </c>
      <c r="C53" s="111">
        <v>500000000</v>
      </c>
    </row>
    <row r="54" spans="1:3" x14ac:dyDescent="0.2">
      <c r="A54" s="91" t="s">
        <v>560</v>
      </c>
      <c r="B54" s="92" t="s">
        <v>268</v>
      </c>
      <c r="C54" s="111">
        <v>1500000000</v>
      </c>
    </row>
    <row r="55" spans="1:3" x14ac:dyDescent="0.2">
      <c r="A55" s="91" t="s">
        <v>962</v>
      </c>
      <c r="B55" s="92" t="s">
        <v>268</v>
      </c>
      <c r="C55" s="111">
        <v>2000000000</v>
      </c>
    </row>
    <row r="56" spans="1:3" x14ac:dyDescent="0.2">
      <c r="A56" s="91" t="s">
        <v>1856</v>
      </c>
      <c r="B56" s="92" t="s">
        <v>538</v>
      </c>
      <c r="C56" s="111">
        <v>2043484515.97</v>
      </c>
    </row>
    <row r="57" spans="1:3" x14ac:dyDescent="0.2">
      <c r="A57" s="91" t="s">
        <v>1857</v>
      </c>
      <c r="B57" s="92" t="s">
        <v>538</v>
      </c>
      <c r="C57" s="111">
        <v>2651989631.8800001</v>
      </c>
    </row>
    <row r="58" spans="1:3" x14ac:dyDescent="0.2">
      <c r="A58" s="91" t="s">
        <v>1858</v>
      </c>
      <c r="B58" s="92" t="s">
        <v>538</v>
      </c>
      <c r="C58" s="111">
        <v>4755085.08</v>
      </c>
    </row>
    <row r="59" spans="1:3" x14ac:dyDescent="0.2">
      <c r="A59" s="91" t="s">
        <v>1859</v>
      </c>
      <c r="B59" s="92" t="s">
        <v>538</v>
      </c>
      <c r="C59" s="111">
        <v>46814295.140000001</v>
      </c>
    </row>
    <row r="60" spans="1:3" x14ac:dyDescent="0.2">
      <c r="A60" s="91" t="s">
        <v>1860</v>
      </c>
      <c r="B60" s="92" t="s">
        <v>538</v>
      </c>
      <c r="C60" s="111">
        <v>1431689071.26</v>
      </c>
    </row>
    <row r="61" spans="1:3" x14ac:dyDescent="0.2">
      <c r="A61" s="91" t="s">
        <v>1861</v>
      </c>
      <c r="B61" s="92" t="s">
        <v>538</v>
      </c>
      <c r="C61" s="111">
        <v>164407524.93000001</v>
      </c>
    </row>
    <row r="62" spans="1:3" x14ac:dyDescent="0.2">
      <c r="A62" s="91" t="s">
        <v>1862</v>
      </c>
      <c r="B62" s="92" t="s">
        <v>538</v>
      </c>
      <c r="C62" s="111">
        <v>93563177.609999999</v>
      </c>
    </row>
    <row r="63" spans="1:3" x14ac:dyDescent="0.2">
      <c r="A63" s="91" t="s">
        <v>1252</v>
      </c>
      <c r="B63" s="92" t="s">
        <v>268</v>
      </c>
      <c r="C63" s="111">
        <v>66090353740.32</v>
      </c>
    </row>
    <row r="64" spans="1:3" x14ac:dyDescent="0.2">
      <c r="A64" s="91" t="s">
        <v>2188</v>
      </c>
      <c r="B64" s="92" t="s">
        <v>268</v>
      </c>
      <c r="C64" s="111">
        <v>9800000000</v>
      </c>
    </row>
    <row r="65" spans="1:3" x14ac:dyDescent="0.2">
      <c r="A65" s="91" t="s">
        <v>1324</v>
      </c>
      <c r="B65" s="92" t="s">
        <v>268</v>
      </c>
      <c r="C65" s="111">
        <v>875396405</v>
      </c>
    </row>
    <row r="66" spans="1:3" x14ac:dyDescent="0.2">
      <c r="A66" s="91" t="s">
        <v>1800</v>
      </c>
      <c r="B66" s="92" t="s">
        <v>268</v>
      </c>
      <c r="C66" s="111">
        <v>11917617679.5</v>
      </c>
    </row>
    <row r="67" spans="1:3" x14ac:dyDescent="0.2">
      <c r="A67" s="91" t="s">
        <v>84</v>
      </c>
      <c r="B67" s="92" t="s">
        <v>268</v>
      </c>
      <c r="C67" s="111">
        <v>3850000000</v>
      </c>
    </row>
    <row r="68" spans="1:3" x14ac:dyDescent="0.2">
      <c r="A68" s="91" t="s">
        <v>1231</v>
      </c>
      <c r="B68" s="92" t="s">
        <v>268</v>
      </c>
      <c r="C68" s="111">
        <v>5000000000</v>
      </c>
    </row>
    <row r="69" spans="1:3" x14ac:dyDescent="0.2">
      <c r="A69" s="91" t="s">
        <v>1232</v>
      </c>
      <c r="B69" s="92" t="s">
        <v>268</v>
      </c>
      <c r="C69" s="111">
        <v>5000000000</v>
      </c>
    </row>
    <row r="70" spans="1:3" x14ac:dyDescent="0.2">
      <c r="A70" s="91" t="s">
        <v>1233</v>
      </c>
      <c r="B70" s="92" t="s">
        <v>268</v>
      </c>
      <c r="C70" s="111">
        <v>5000000000</v>
      </c>
    </row>
    <row r="71" spans="1:3" x14ac:dyDescent="0.2">
      <c r="A71" s="91" t="s">
        <v>1234</v>
      </c>
      <c r="B71" s="92" t="s">
        <v>268</v>
      </c>
      <c r="C71" s="111">
        <v>4000000000</v>
      </c>
    </row>
    <row r="72" spans="1:3" x14ac:dyDescent="0.2">
      <c r="A72" s="91" t="s">
        <v>1235</v>
      </c>
      <c r="B72" s="92" t="s">
        <v>268</v>
      </c>
      <c r="C72" s="111">
        <v>4000000000</v>
      </c>
    </row>
    <row r="73" spans="1:3" x14ac:dyDescent="0.2">
      <c r="A73" s="91" t="s">
        <v>1236</v>
      </c>
      <c r="B73" s="92" t="s">
        <v>268</v>
      </c>
      <c r="C73" s="111">
        <v>4000000000</v>
      </c>
    </row>
    <row r="74" spans="1:3" x14ac:dyDescent="0.2">
      <c r="A74" s="91" t="s">
        <v>1361</v>
      </c>
      <c r="B74" s="92" t="s">
        <v>268</v>
      </c>
      <c r="C74" s="111">
        <v>5500000000</v>
      </c>
    </row>
    <row r="75" spans="1:3" x14ac:dyDescent="0.2">
      <c r="A75" s="91" t="s">
        <v>1362</v>
      </c>
      <c r="B75" s="92" t="s">
        <v>268</v>
      </c>
      <c r="C75" s="111">
        <v>7000000000</v>
      </c>
    </row>
    <row r="76" spans="1:3" x14ac:dyDescent="0.2">
      <c r="A76" s="91" t="s">
        <v>1765</v>
      </c>
      <c r="B76" s="92" t="s">
        <v>268</v>
      </c>
      <c r="C76" s="111">
        <v>1813641784.21</v>
      </c>
    </row>
    <row r="77" spans="1:3" x14ac:dyDescent="0.2">
      <c r="A77" s="91" t="s">
        <v>1130</v>
      </c>
      <c r="B77" s="92" t="s">
        <v>268</v>
      </c>
      <c r="C77" s="111">
        <v>7442641500</v>
      </c>
    </row>
    <row r="78" spans="1:3" x14ac:dyDescent="0.2">
      <c r="A78" s="91" t="s">
        <v>959</v>
      </c>
      <c r="B78" s="92" t="s">
        <v>268</v>
      </c>
      <c r="C78" s="111">
        <v>254628770.49000001</v>
      </c>
    </row>
    <row r="79" spans="1:3" x14ac:dyDescent="0.2">
      <c r="A79" s="91" t="s">
        <v>158</v>
      </c>
      <c r="B79" s="92" t="s">
        <v>268</v>
      </c>
      <c r="C79" s="111">
        <v>29309603.84</v>
      </c>
    </row>
    <row r="80" spans="1:3" x14ac:dyDescent="0.2">
      <c r="A80" s="91" t="s">
        <v>159</v>
      </c>
      <c r="B80" s="92" t="s">
        <v>268</v>
      </c>
      <c r="C80" s="111">
        <v>19356091.210000001</v>
      </c>
    </row>
    <row r="81" spans="1:3" x14ac:dyDescent="0.2">
      <c r="A81" s="91" t="s">
        <v>516</v>
      </c>
      <c r="B81" s="92" t="s">
        <v>268</v>
      </c>
      <c r="C81" s="111">
        <v>112956501.7</v>
      </c>
    </row>
    <row r="82" spans="1:3" x14ac:dyDescent="0.2">
      <c r="A82" s="91" t="s">
        <v>0</v>
      </c>
      <c r="B82" s="92" t="s">
        <v>268</v>
      </c>
      <c r="C82" s="111">
        <v>37429555.979999997</v>
      </c>
    </row>
    <row r="83" spans="1:3" x14ac:dyDescent="0.2">
      <c r="A83" s="91" t="s">
        <v>1</v>
      </c>
      <c r="B83" s="92" t="s">
        <v>268</v>
      </c>
      <c r="C83" s="111">
        <v>52569315.539999999</v>
      </c>
    </row>
    <row r="84" spans="1:3" x14ac:dyDescent="0.2">
      <c r="A84" s="91" t="s">
        <v>2</v>
      </c>
      <c r="B84" s="92" t="s">
        <v>268</v>
      </c>
      <c r="C84" s="111">
        <v>21770122.039999999</v>
      </c>
    </row>
    <row r="85" spans="1:3" x14ac:dyDescent="0.2">
      <c r="A85" s="91" t="s">
        <v>3</v>
      </c>
      <c r="B85" s="92" t="s">
        <v>268</v>
      </c>
      <c r="C85" s="111">
        <v>511427250.06999999</v>
      </c>
    </row>
    <row r="86" spans="1:3" x14ac:dyDescent="0.2">
      <c r="A86" s="91" t="s">
        <v>454</v>
      </c>
      <c r="B86" s="92" t="s">
        <v>268</v>
      </c>
      <c r="C86" s="111">
        <v>836213132.24000001</v>
      </c>
    </row>
    <row r="87" spans="1:3" x14ac:dyDescent="0.2">
      <c r="A87" s="91" t="s">
        <v>455</v>
      </c>
      <c r="B87" s="92" t="s">
        <v>268</v>
      </c>
      <c r="C87" s="111">
        <v>933728469.84000003</v>
      </c>
    </row>
    <row r="88" spans="1:3" x14ac:dyDescent="0.2">
      <c r="A88" s="91" t="s">
        <v>63</v>
      </c>
      <c r="B88" s="92" t="s">
        <v>268</v>
      </c>
      <c r="C88" s="111">
        <v>677819141.39999998</v>
      </c>
    </row>
    <row r="89" spans="1:3" x14ac:dyDescent="0.2">
      <c r="A89" s="91" t="s">
        <v>382</v>
      </c>
      <c r="B89" s="92" t="s">
        <v>268</v>
      </c>
      <c r="C89" s="111">
        <v>63314842.07</v>
      </c>
    </row>
    <row r="90" spans="1:3" x14ac:dyDescent="0.2">
      <c r="A90" s="91" t="s">
        <v>466</v>
      </c>
      <c r="B90" s="92" t="s">
        <v>268</v>
      </c>
      <c r="C90" s="111">
        <v>1173994160.8800001</v>
      </c>
    </row>
    <row r="91" spans="1:3" x14ac:dyDescent="0.2">
      <c r="A91" s="91" t="s">
        <v>408</v>
      </c>
      <c r="B91" s="92" t="s">
        <v>268</v>
      </c>
      <c r="C91" s="111">
        <v>170061242.72</v>
      </c>
    </row>
    <row r="92" spans="1:3" x14ac:dyDescent="0.2">
      <c r="A92" s="91" t="s">
        <v>409</v>
      </c>
      <c r="B92" s="92" t="s">
        <v>268</v>
      </c>
      <c r="C92" s="111">
        <v>317878704.61000001</v>
      </c>
    </row>
    <row r="93" spans="1:3" x14ac:dyDescent="0.2">
      <c r="A93" s="91" t="s">
        <v>48</v>
      </c>
      <c r="B93" s="92" t="s">
        <v>268</v>
      </c>
      <c r="C93" s="111">
        <v>1373568521.03</v>
      </c>
    </row>
    <row r="94" spans="1:3" x14ac:dyDescent="0.2">
      <c r="A94" s="91" t="s">
        <v>49</v>
      </c>
      <c r="B94" s="92" t="s">
        <v>268</v>
      </c>
      <c r="C94" s="111">
        <v>41880913.390000001</v>
      </c>
    </row>
    <row r="95" spans="1:3" x14ac:dyDescent="0.2">
      <c r="A95" s="91" t="s">
        <v>162</v>
      </c>
      <c r="B95" s="92" t="s">
        <v>268</v>
      </c>
      <c r="C95" s="111">
        <v>1556523215.0599999</v>
      </c>
    </row>
    <row r="96" spans="1:3" x14ac:dyDescent="0.2">
      <c r="A96" s="91" t="s">
        <v>304</v>
      </c>
      <c r="B96" s="92" t="s">
        <v>268</v>
      </c>
      <c r="C96" s="111">
        <v>288536383.30000001</v>
      </c>
    </row>
    <row r="97" spans="1:3" x14ac:dyDescent="0.2">
      <c r="A97" s="91" t="s">
        <v>320</v>
      </c>
      <c r="B97" s="92" t="s">
        <v>268</v>
      </c>
      <c r="C97" s="111">
        <v>177737665.16999999</v>
      </c>
    </row>
    <row r="98" spans="1:3" x14ac:dyDescent="0.2">
      <c r="A98" s="91" t="s">
        <v>350</v>
      </c>
      <c r="B98" s="92" t="s">
        <v>268</v>
      </c>
      <c r="C98" s="111">
        <v>58237771.590000004</v>
      </c>
    </row>
    <row r="99" spans="1:3" x14ac:dyDescent="0.2">
      <c r="A99" s="91" t="s">
        <v>1448</v>
      </c>
      <c r="B99" s="92" t="s">
        <v>268</v>
      </c>
      <c r="C99" s="111">
        <v>545868225.69000006</v>
      </c>
    </row>
    <row r="100" spans="1:3" x14ac:dyDescent="0.2">
      <c r="A100" s="91" t="s">
        <v>1449</v>
      </c>
      <c r="B100" s="92" t="s">
        <v>268</v>
      </c>
      <c r="C100" s="111">
        <v>465055108.80000001</v>
      </c>
    </row>
    <row r="101" spans="1:3" x14ac:dyDescent="0.2">
      <c r="A101" s="91" t="s">
        <v>410</v>
      </c>
      <c r="B101" s="92" t="s">
        <v>268</v>
      </c>
      <c r="C101" s="111">
        <v>8250000000</v>
      </c>
    </row>
    <row r="102" spans="1:3" x14ac:dyDescent="0.2">
      <c r="A102" s="91" t="s">
        <v>99</v>
      </c>
      <c r="B102" s="92" t="s">
        <v>268</v>
      </c>
      <c r="C102" s="111">
        <v>23001627219.48</v>
      </c>
    </row>
    <row r="103" spans="1:3" x14ac:dyDescent="0.2">
      <c r="A103" s="91" t="s">
        <v>1638</v>
      </c>
      <c r="B103" s="92" t="s">
        <v>268</v>
      </c>
      <c r="C103" s="111">
        <v>1511913547.76</v>
      </c>
    </row>
    <row r="104" spans="1:3" x14ac:dyDescent="0.2">
      <c r="A104" s="91" t="s">
        <v>148</v>
      </c>
      <c r="B104" s="92" t="s">
        <v>268</v>
      </c>
      <c r="C104" s="111">
        <v>30000000000</v>
      </c>
    </row>
    <row r="105" spans="1:3" x14ac:dyDescent="0.2">
      <c r="A105" s="91" t="s">
        <v>1221</v>
      </c>
      <c r="B105" s="92" t="s">
        <v>268</v>
      </c>
      <c r="C105" s="111">
        <v>4021914754.6300001</v>
      </c>
    </row>
    <row r="106" spans="1:3" x14ac:dyDescent="0.2">
      <c r="A106" s="91" t="s">
        <v>1237</v>
      </c>
      <c r="B106" s="92" t="s">
        <v>268</v>
      </c>
      <c r="C106" s="111">
        <v>8000000000</v>
      </c>
    </row>
    <row r="107" spans="1:3" x14ac:dyDescent="0.2">
      <c r="A107" s="91" t="s">
        <v>1297</v>
      </c>
      <c r="B107" s="92" t="s">
        <v>268</v>
      </c>
      <c r="C107" s="111">
        <v>11000000000</v>
      </c>
    </row>
    <row r="108" spans="1:3" x14ac:dyDescent="0.2">
      <c r="A108" s="91" t="s">
        <v>1451</v>
      </c>
      <c r="B108" s="92" t="s">
        <v>268</v>
      </c>
      <c r="C108" s="111">
        <v>20000000000</v>
      </c>
    </row>
    <row r="109" spans="1:3" x14ac:dyDescent="0.2">
      <c r="A109" s="91" t="s">
        <v>2002</v>
      </c>
      <c r="B109" s="92" t="s">
        <v>268</v>
      </c>
      <c r="C109" s="111">
        <v>113861330.62</v>
      </c>
    </row>
    <row r="110" spans="1:3" x14ac:dyDescent="0.2">
      <c r="A110" s="91" t="s">
        <v>964</v>
      </c>
      <c r="B110" s="92" t="s">
        <v>268</v>
      </c>
      <c r="C110" s="111">
        <v>1345267530</v>
      </c>
    </row>
    <row r="111" spans="1:3" x14ac:dyDescent="0.2">
      <c r="A111" s="91" t="s">
        <v>965</v>
      </c>
      <c r="B111" s="92" t="s">
        <v>268</v>
      </c>
      <c r="C111" s="111">
        <v>6315810000</v>
      </c>
    </row>
    <row r="112" spans="1:3" x14ac:dyDescent="0.2">
      <c r="A112" s="91" t="s">
        <v>1060</v>
      </c>
      <c r="B112" s="92" t="s">
        <v>268</v>
      </c>
      <c r="C112" s="111">
        <v>808000000</v>
      </c>
    </row>
    <row r="113" spans="1:3" x14ac:dyDescent="0.2">
      <c r="A113" s="91" t="s">
        <v>1394</v>
      </c>
      <c r="B113" s="92" t="s">
        <v>268</v>
      </c>
      <c r="C113" s="111">
        <v>750000000</v>
      </c>
    </row>
    <row r="114" spans="1:3" x14ac:dyDescent="0.2">
      <c r="A114" s="91" t="s">
        <v>1397</v>
      </c>
      <c r="B114" s="92" t="s">
        <v>268</v>
      </c>
      <c r="C114" s="111">
        <v>2400007800</v>
      </c>
    </row>
    <row r="115" spans="1:3" x14ac:dyDescent="0.2">
      <c r="A115" s="91" t="s">
        <v>1718</v>
      </c>
      <c r="B115" s="92" t="s">
        <v>268</v>
      </c>
      <c r="C115" s="111">
        <v>633600000</v>
      </c>
    </row>
    <row r="116" spans="1:3" x14ac:dyDescent="0.2">
      <c r="A116" s="91" t="s">
        <v>1967</v>
      </c>
      <c r="B116" s="92" t="s">
        <v>268</v>
      </c>
      <c r="C116" s="111">
        <v>620500000</v>
      </c>
    </row>
    <row r="117" spans="1:3" x14ac:dyDescent="0.2">
      <c r="A117" s="91" t="s">
        <v>1943</v>
      </c>
      <c r="B117" s="92" t="s">
        <v>268</v>
      </c>
      <c r="C117" s="111">
        <v>445500000</v>
      </c>
    </row>
    <row r="118" spans="1:3" x14ac:dyDescent="0.2">
      <c r="A118" s="91" t="s">
        <v>85</v>
      </c>
      <c r="B118" s="92" t="s">
        <v>268</v>
      </c>
      <c r="C118" s="111">
        <v>9168527126.3199997</v>
      </c>
    </row>
    <row r="119" spans="1:3" x14ac:dyDescent="0.2">
      <c r="A119" s="91" t="s">
        <v>893</v>
      </c>
      <c r="B119" s="92" t="s">
        <v>268</v>
      </c>
      <c r="C119" s="111">
        <v>3277684539.5900002</v>
      </c>
    </row>
    <row r="120" spans="1:3" x14ac:dyDescent="0.2">
      <c r="A120" s="91" t="s">
        <v>1336</v>
      </c>
      <c r="B120" s="92" t="s">
        <v>268</v>
      </c>
      <c r="C120" s="111">
        <v>5115806100</v>
      </c>
    </row>
    <row r="121" spans="1:3" x14ac:dyDescent="0.2">
      <c r="A121" s="91" t="s">
        <v>1086</v>
      </c>
      <c r="B121" s="92" t="s">
        <v>268</v>
      </c>
      <c r="C121" s="111">
        <v>12000000000</v>
      </c>
    </row>
    <row r="122" spans="1:3" x14ac:dyDescent="0.2">
      <c r="A122" s="91" t="s">
        <v>2034</v>
      </c>
      <c r="B122" s="92" t="s">
        <v>268</v>
      </c>
      <c r="C122" s="111">
        <v>2000000000</v>
      </c>
    </row>
    <row r="123" spans="1:3" x14ac:dyDescent="0.2">
      <c r="A123" s="91" t="s">
        <v>139</v>
      </c>
      <c r="B123" s="92" t="s">
        <v>268</v>
      </c>
      <c r="C123" s="111">
        <v>6804426072.21</v>
      </c>
    </row>
    <row r="124" spans="1:3" x14ac:dyDescent="0.2">
      <c r="A124" s="91" t="s">
        <v>314</v>
      </c>
      <c r="B124" s="92" t="s">
        <v>268</v>
      </c>
      <c r="C124" s="111">
        <v>834234264.51999998</v>
      </c>
    </row>
    <row r="125" spans="1:3" x14ac:dyDescent="0.2">
      <c r="A125" s="91" t="s">
        <v>1134</v>
      </c>
      <c r="B125" s="92" t="s">
        <v>268</v>
      </c>
      <c r="C125" s="111">
        <v>5818336163.0799999</v>
      </c>
    </row>
    <row r="126" spans="1:3" x14ac:dyDescent="0.2">
      <c r="A126" s="91" t="s">
        <v>884</v>
      </c>
      <c r="B126" s="92" t="s">
        <v>268</v>
      </c>
      <c r="C126" s="111">
        <v>1439088871.76</v>
      </c>
    </row>
    <row r="127" spans="1:3" x14ac:dyDescent="0.2">
      <c r="A127" s="91" t="s">
        <v>944</v>
      </c>
      <c r="B127" s="92" t="s">
        <v>268</v>
      </c>
      <c r="C127" s="111">
        <v>186047938.34</v>
      </c>
    </row>
    <row r="128" spans="1:3" x14ac:dyDescent="0.2">
      <c r="A128" s="91" t="s">
        <v>1534</v>
      </c>
      <c r="B128" s="92" t="s">
        <v>268</v>
      </c>
      <c r="C128" s="111">
        <v>1643459737.8599999</v>
      </c>
    </row>
    <row r="129" spans="1:3" x14ac:dyDescent="0.2">
      <c r="A129" s="91" t="s">
        <v>2091</v>
      </c>
      <c r="B129" s="92" t="s">
        <v>270</v>
      </c>
      <c r="C129" s="111">
        <v>9646140</v>
      </c>
    </row>
    <row r="130" spans="1:3" x14ac:dyDescent="0.2">
      <c r="A130" s="91" t="s">
        <v>1096</v>
      </c>
      <c r="B130" s="92" t="s">
        <v>268</v>
      </c>
      <c r="C130" s="111">
        <v>20000000000</v>
      </c>
    </row>
    <row r="131" spans="1:3" x14ac:dyDescent="0.2">
      <c r="A131" s="91" t="s">
        <v>86</v>
      </c>
      <c r="B131" s="92" t="s">
        <v>268</v>
      </c>
      <c r="C131" s="111">
        <v>8840000000</v>
      </c>
    </row>
    <row r="132" spans="1:3" x14ac:dyDescent="0.2">
      <c r="A132" s="91" t="s">
        <v>87</v>
      </c>
      <c r="B132" s="92" t="s">
        <v>268</v>
      </c>
      <c r="C132" s="111">
        <v>1428100000</v>
      </c>
    </row>
    <row r="133" spans="1:3" x14ac:dyDescent="0.2">
      <c r="A133" s="91" t="s">
        <v>606</v>
      </c>
      <c r="B133" s="92" t="s">
        <v>268</v>
      </c>
      <c r="C133" s="111">
        <v>8555124000</v>
      </c>
    </row>
    <row r="134" spans="1:3" x14ac:dyDescent="0.2">
      <c r="A134" s="91" t="s">
        <v>828</v>
      </c>
      <c r="B134" s="92" t="s">
        <v>268</v>
      </c>
      <c r="C134" s="111">
        <v>2000000000</v>
      </c>
    </row>
    <row r="135" spans="1:3" x14ac:dyDescent="0.2">
      <c r="A135" s="91" t="s">
        <v>1125</v>
      </c>
      <c r="B135" s="92" t="s">
        <v>268</v>
      </c>
      <c r="C135" s="111">
        <v>1150863820</v>
      </c>
    </row>
    <row r="136" spans="1:3" x14ac:dyDescent="0.2">
      <c r="A136" s="91" t="s">
        <v>1126</v>
      </c>
      <c r="B136" s="92" t="s">
        <v>268</v>
      </c>
      <c r="C136" s="111">
        <v>956882010</v>
      </c>
    </row>
    <row r="137" spans="1:3" x14ac:dyDescent="0.2">
      <c r="A137" s="91" t="s">
        <v>1164</v>
      </c>
      <c r="B137" s="92" t="s">
        <v>268</v>
      </c>
      <c r="C137" s="111">
        <v>150000000</v>
      </c>
    </row>
    <row r="138" spans="1:3" x14ac:dyDescent="0.2">
      <c r="A138" s="91" t="s">
        <v>1165</v>
      </c>
      <c r="B138" s="92" t="s">
        <v>268</v>
      </c>
      <c r="C138" s="111">
        <v>200000000</v>
      </c>
    </row>
    <row r="139" spans="1:3" x14ac:dyDescent="0.2">
      <c r="A139" s="91" t="s">
        <v>1166</v>
      </c>
      <c r="B139" s="92" t="s">
        <v>268</v>
      </c>
      <c r="C139" s="111">
        <v>85300000</v>
      </c>
    </row>
    <row r="140" spans="1:3" x14ac:dyDescent="0.2">
      <c r="A140" s="91" t="s">
        <v>1314</v>
      </c>
      <c r="B140" s="92" t="s">
        <v>268</v>
      </c>
      <c r="C140" s="111">
        <v>1310600000</v>
      </c>
    </row>
    <row r="141" spans="1:3" x14ac:dyDescent="0.2">
      <c r="A141" s="91" t="s">
        <v>1315</v>
      </c>
      <c r="B141" s="92" t="s">
        <v>268</v>
      </c>
      <c r="C141" s="111">
        <v>1630000000</v>
      </c>
    </row>
    <row r="142" spans="1:3" x14ac:dyDescent="0.2">
      <c r="A142" s="91" t="s">
        <v>1312</v>
      </c>
      <c r="B142" s="92" t="s">
        <v>268</v>
      </c>
      <c r="C142" s="111">
        <v>9150160</v>
      </c>
    </row>
    <row r="143" spans="1:3" x14ac:dyDescent="0.2">
      <c r="A143" s="91" t="s">
        <v>1719</v>
      </c>
      <c r="B143" s="92" t="s">
        <v>268</v>
      </c>
      <c r="C143" s="111">
        <v>50000000</v>
      </c>
    </row>
    <row r="144" spans="1:3" x14ac:dyDescent="0.2">
      <c r="A144" s="91" t="s">
        <v>1936</v>
      </c>
      <c r="B144" s="92" t="s">
        <v>268</v>
      </c>
      <c r="C144" s="111">
        <v>785672080</v>
      </c>
    </row>
    <row r="145" spans="1:3" x14ac:dyDescent="0.2">
      <c r="A145" s="91" t="s">
        <v>1937</v>
      </c>
      <c r="B145" s="92" t="s">
        <v>268</v>
      </c>
      <c r="C145" s="111">
        <v>554368080</v>
      </c>
    </row>
    <row r="146" spans="1:3" x14ac:dyDescent="0.2">
      <c r="A146" s="91" t="s">
        <v>1938</v>
      </c>
      <c r="B146" s="92" t="s">
        <v>268</v>
      </c>
      <c r="C146" s="111">
        <v>37905390</v>
      </c>
    </row>
    <row r="147" spans="1:3" x14ac:dyDescent="0.2">
      <c r="A147" s="91" t="s">
        <v>1135</v>
      </c>
      <c r="B147" s="92" t="s">
        <v>268</v>
      </c>
      <c r="C147" s="111">
        <v>44770317385.480003</v>
      </c>
    </row>
    <row r="148" spans="1:3" x14ac:dyDescent="0.2">
      <c r="A148" s="91" t="s">
        <v>362</v>
      </c>
      <c r="B148" s="92" t="s">
        <v>270</v>
      </c>
      <c r="C148" s="111">
        <v>41989022097.980003</v>
      </c>
    </row>
    <row r="149" spans="1:3" x14ac:dyDescent="0.2">
      <c r="A149" s="91" t="s">
        <v>138</v>
      </c>
      <c r="B149" s="92" t="s">
        <v>270</v>
      </c>
      <c r="C149" s="111">
        <v>14044463827.27</v>
      </c>
    </row>
    <row r="150" spans="1:3" x14ac:dyDescent="0.2">
      <c r="A150" s="91" t="s">
        <v>482</v>
      </c>
      <c r="B150" s="92" t="s">
        <v>270</v>
      </c>
      <c r="C150" s="111">
        <v>6694956051.8900003</v>
      </c>
    </row>
    <row r="151" spans="1:3" x14ac:dyDescent="0.2">
      <c r="A151" s="91" t="s">
        <v>2064</v>
      </c>
      <c r="B151" s="92" t="s">
        <v>273</v>
      </c>
      <c r="C151" s="111">
        <v>3697148857.8000002</v>
      </c>
    </row>
    <row r="152" spans="1:3" x14ac:dyDescent="0.2">
      <c r="A152" s="91" t="s">
        <v>607</v>
      </c>
      <c r="B152" s="92" t="s">
        <v>268</v>
      </c>
      <c r="C152" s="111">
        <v>12500000000</v>
      </c>
    </row>
    <row r="153" spans="1:3" x14ac:dyDescent="0.2">
      <c r="A153" s="91" t="s">
        <v>1348</v>
      </c>
      <c r="B153" s="92" t="s">
        <v>268</v>
      </c>
      <c r="C153" s="111">
        <v>15000000000</v>
      </c>
    </row>
    <row r="154" spans="1:3" x14ac:dyDescent="0.2">
      <c r="A154" s="91" t="s">
        <v>1349</v>
      </c>
      <c r="B154" s="92" t="s">
        <v>268</v>
      </c>
      <c r="C154" s="111">
        <v>20000000000</v>
      </c>
    </row>
    <row r="155" spans="1:3" x14ac:dyDescent="0.2">
      <c r="A155" s="91" t="s">
        <v>1350</v>
      </c>
      <c r="B155" s="92" t="s">
        <v>268</v>
      </c>
      <c r="C155" s="111">
        <v>15000000000</v>
      </c>
    </row>
    <row r="156" spans="1:3" x14ac:dyDescent="0.2">
      <c r="A156" s="91" t="s">
        <v>1371</v>
      </c>
      <c r="B156" s="92" t="s">
        <v>268</v>
      </c>
      <c r="C156" s="111">
        <v>10000000000</v>
      </c>
    </row>
    <row r="157" spans="1:3" x14ac:dyDescent="0.2">
      <c r="A157" s="91" t="s">
        <v>1372</v>
      </c>
      <c r="B157" s="92" t="s">
        <v>268</v>
      </c>
      <c r="C157" s="111">
        <v>10000000000</v>
      </c>
    </row>
    <row r="158" spans="1:3" x14ac:dyDescent="0.2">
      <c r="A158" s="91" t="s">
        <v>1373</v>
      </c>
      <c r="B158" s="92" t="s">
        <v>268</v>
      </c>
      <c r="C158" s="111">
        <v>20000000000</v>
      </c>
    </row>
    <row r="159" spans="1:3" x14ac:dyDescent="0.2">
      <c r="A159" s="91" t="s">
        <v>1374</v>
      </c>
      <c r="B159" s="92" t="s">
        <v>268</v>
      </c>
      <c r="C159" s="111">
        <v>10000000000</v>
      </c>
    </row>
    <row r="160" spans="1:3" x14ac:dyDescent="0.2">
      <c r="A160" s="91" t="s">
        <v>359</v>
      </c>
      <c r="B160" s="92" t="s">
        <v>270</v>
      </c>
      <c r="C160" s="111">
        <v>322106310</v>
      </c>
    </row>
    <row r="161" spans="1:3" x14ac:dyDescent="0.2">
      <c r="A161" s="91" t="s">
        <v>305</v>
      </c>
      <c r="B161" s="92" t="s">
        <v>270</v>
      </c>
      <c r="C161" s="111">
        <v>315790500</v>
      </c>
    </row>
    <row r="162" spans="1:3" x14ac:dyDescent="0.2">
      <c r="A162" s="91" t="s">
        <v>473</v>
      </c>
      <c r="B162" s="92" t="s">
        <v>270</v>
      </c>
      <c r="C162" s="111">
        <v>694739100</v>
      </c>
    </row>
    <row r="163" spans="1:3" x14ac:dyDescent="0.2">
      <c r="A163" s="91" t="s">
        <v>1823</v>
      </c>
      <c r="B163" s="92" t="s">
        <v>270</v>
      </c>
      <c r="C163" s="111">
        <v>350000000</v>
      </c>
    </row>
    <row r="164" spans="1:3" x14ac:dyDescent="0.2">
      <c r="A164" s="91" t="s">
        <v>1467</v>
      </c>
      <c r="B164" s="92" t="s">
        <v>270</v>
      </c>
      <c r="C164" s="111">
        <v>1231582950</v>
      </c>
    </row>
    <row r="165" spans="1:3" x14ac:dyDescent="0.2">
      <c r="A165" s="91" t="s">
        <v>1466</v>
      </c>
      <c r="B165" s="92" t="s">
        <v>270</v>
      </c>
      <c r="C165" s="111">
        <v>978950550</v>
      </c>
    </row>
    <row r="166" spans="1:3" x14ac:dyDescent="0.2">
      <c r="A166" s="91" t="s">
        <v>1684</v>
      </c>
      <c r="B166" s="92" t="s">
        <v>270</v>
      </c>
      <c r="C166" s="111">
        <v>25714179.989999998</v>
      </c>
    </row>
    <row r="167" spans="1:3" x14ac:dyDescent="0.2">
      <c r="A167" s="91" t="s">
        <v>2065</v>
      </c>
      <c r="B167" s="92" t="s">
        <v>270</v>
      </c>
      <c r="C167" s="111">
        <v>442106700</v>
      </c>
    </row>
    <row r="168" spans="1:3" x14ac:dyDescent="0.2">
      <c r="A168" s="91" t="s">
        <v>1117</v>
      </c>
      <c r="B168" s="92" t="s">
        <v>270</v>
      </c>
      <c r="C168" s="111">
        <v>94737150</v>
      </c>
    </row>
    <row r="169" spans="1:3" x14ac:dyDescent="0.2">
      <c r="A169" s="91" t="s">
        <v>100</v>
      </c>
      <c r="B169" s="92" t="s">
        <v>270</v>
      </c>
      <c r="C169" s="111">
        <v>757897200</v>
      </c>
    </row>
    <row r="170" spans="1:3" x14ac:dyDescent="0.2">
      <c r="A170" s="91" t="s">
        <v>570</v>
      </c>
      <c r="B170" s="92" t="s">
        <v>270</v>
      </c>
      <c r="C170" s="111">
        <v>15789525</v>
      </c>
    </row>
    <row r="171" spans="1:3" x14ac:dyDescent="0.2">
      <c r="A171" s="91" t="s">
        <v>578</v>
      </c>
      <c r="B171" s="92" t="s">
        <v>270</v>
      </c>
      <c r="C171" s="111">
        <v>11368458</v>
      </c>
    </row>
    <row r="172" spans="1:3" x14ac:dyDescent="0.2">
      <c r="A172" s="91" t="s">
        <v>577</v>
      </c>
      <c r="B172" s="92" t="s">
        <v>270</v>
      </c>
      <c r="C172" s="111">
        <v>13073726.699999999</v>
      </c>
    </row>
    <row r="173" spans="1:3" x14ac:dyDescent="0.2">
      <c r="A173" s="91" t="s">
        <v>571</v>
      </c>
      <c r="B173" s="92" t="s">
        <v>270</v>
      </c>
      <c r="C173" s="111">
        <v>14210572.5</v>
      </c>
    </row>
    <row r="174" spans="1:3" x14ac:dyDescent="0.2">
      <c r="A174" s="91" t="s">
        <v>579</v>
      </c>
      <c r="B174" s="92" t="s">
        <v>270</v>
      </c>
      <c r="C174" s="111">
        <v>16673738.4</v>
      </c>
    </row>
    <row r="175" spans="1:3" x14ac:dyDescent="0.2">
      <c r="A175" s="91" t="s">
        <v>576</v>
      </c>
      <c r="B175" s="92" t="s">
        <v>270</v>
      </c>
      <c r="C175" s="111">
        <v>93031881.299999997</v>
      </c>
    </row>
    <row r="176" spans="1:3" x14ac:dyDescent="0.2">
      <c r="A176" s="91" t="s">
        <v>572</v>
      </c>
      <c r="B176" s="92" t="s">
        <v>270</v>
      </c>
      <c r="C176" s="111">
        <v>11810564.699999999</v>
      </c>
    </row>
    <row r="177" spans="1:3" x14ac:dyDescent="0.2">
      <c r="A177" s="91" t="s">
        <v>575</v>
      </c>
      <c r="B177" s="92" t="s">
        <v>270</v>
      </c>
      <c r="C177" s="111">
        <v>12947410.5</v>
      </c>
    </row>
    <row r="178" spans="1:3" x14ac:dyDescent="0.2">
      <c r="A178" s="91" t="s">
        <v>573</v>
      </c>
      <c r="B178" s="92" t="s">
        <v>270</v>
      </c>
      <c r="C178" s="111">
        <v>13073726.699999999</v>
      </c>
    </row>
    <row r="179" spans="1:3" x14ac:dyDescent="0.2">
      <c r="A179" s="91" t="s">
        <v>574</v>
      </c>
      <c r="B179" s="92" t="s">
        <v>270</v>
      </c>
      <c r="C179" s="111">
        <v>15284260.199999999</v>
      </c>
    </row>
    <row r="180" spans="1:3" x14ac:dyDescent="0.2">
      <c r="A180" s="91" t="s">
        <v>783</v>
      </c>
      <c r="B180" s="92" t="s">
        <v>270</v>
      </c>
      <c r="C180" s="111">
        <v>126400000</v>
      </c>
    </row>
    <row r="181" spans="1:3" x14ac:dyDescent="0.2">
      <c r="A181" s="91" t="s">
        <v>805</v>
      </c>
      <c r="B181" s="92" t="s">
        <v>270</v>
      </c>
      <c r="C181" s="111">
        <v>6940879.4000000004</v>
      </c>
    </row>
    <row r="182" spans="1:3" x14ac:dyDescent="0.2">
      <c r="A182" s="91" t="s">
        <v>806</v>
      </c>
      <c r="B182" s="92" t="s">
        <v>270</v>
      </c>
      <c r="C182" s="111">
        <v>6940879.4000000004</v>
      </c>
    </row>
    <row r="183" spans="1:3" x14ac:dyDescent="0.2">
      <c r="A183" s="91" t="s">
        <v>811</v>
      </c>
      <c r="B183" s="92" t="s">
        <v>270</v>
      </c>
      <c r="C183" s="111">
        <v>6940879.4000000004</v>
      </c>
    </row>
    <row r="184" spans="1:3" x14ac:dyDescent="0.2">
      <c r="A184" s="91" t="s">
        <v>807</v>
      </c>
      <c r="B184" s="92" t="s">
        <v>270</v>
      </c>
      <c r="C184" s="111">
        <v>6940879.4000000004</v>
      </c>
    </row>
    <row r="185" spans="1:3" x14ac:dyDescent="0.2">
      <c r="A185" s="91" t="s">
        <v>810</v>
      </c>
      <c r="B185" s="92" t="s">
        <v>270</v>
      </c>
      <c r="C185" s="111">
        <v>6940879.4000000004</v>
      </c>
    </row>
    <row r="186" spans="1:3" x14ac:dyDescent="0.2">
      <c r="A186" s="91" t="s">
        <v>808</v>
      </c>
      <c r="B186" s="92" t="s">
        <v>270</v>
      </c>
      <c r="C186" s="111">
        <v>4627252.93</v>
      </c>
    </row>
    <row r="187" spans="1:3" x14ac:dyDescent="0.2">
      <c r="A187" s="91" t="s">
        <v>809</v>
      </c>
      <c r="B187" s="92" t="s">
        <v>270</v>
      </c>
      <c r="C187" s="111">
        <v>3691782.31</v>
      </c>
    </row>
    <row r="188" spans="1:3" x14ac:dyDescent="0.2">
      <c r="A188" s="91" t="s">
        <v>1683</v>
      </c>
      <c r="B188" s="92" t="s">
        <v>270</v>
      </c>
      <c r="C188" s="111">
        <v>188685985.86000001</v>
      </c>
    </row>
    <row r="189" spans="1:3" x14ac:dyDescent="0.2">
      <c r="A189" s="91" t="s">
        <v>1687</v>
      </c>
      <c r="B189" s="92" t="s">
        <v>270</v>
      </c>
      <c r="C189" s="111">
        <v>49271372.549999997</v>
      </c>
    </row>
    <row r="190" spans="1:3" x14ac:dyDescent="0.2">
      <c r="A190" s="91" t="s">
        <v>1688</v>
      </c>
      <c r="B190" s="92" t="s">
        <v>270</v>
      </c>
      <c r="C190" s="111">
        <v>51897346.770000003</v>
      </c>
    </row>
    <row r="191" spans="1:3" x14ac:dyDescent="0.2">
      <c r="A191" s="91" t="s">
        <v>1689</v>
      </c>
      <c r="B191" s="92" t="s">
        <v>270</v>
      </c>
      <c r="C191" s="111">
        <v>54089952.210000001</v>
      </c>
    </row>
    <row r="192" spans="1:3" x14ac:dyDescent="0.2">
      <c r="A192" s="91" t="s">
        <v>1686</v>
      </c>
      <c r="B192" s="92" t="s">
        <v>270</v>
      </c>
      <c r="C192" s="111">
        <v>56985672.780000001</v>
      </c>
    </row>
    <row r="193" spans="1:3" x14ac:dyDescent="0.2">
      <c r="A193" s="91" t="s">
        <v>1696</v>
      </c>
      <c r="B193" s="92" t="s">
        <v>270</v>
      </c>
      <c r="C193" s="111">
        <v>59370104.530000001</v>
      </c>
    </row>
    <row r="194" spans="1:3" x14ac:dyDescent="0.2">
      <c r="A194" s="91" t="s">
        <v>1691</v>
      </c>
      <c r="B194" s="92" t="s">
        <v>270</v>
      </c>
      <c r="C194" s="111">
        <v>121254870.92</v>
      </c>
    </row>
    <row r="195" spans="1:3" x14ac:dyDescent="0.2">
      <c r="A195" s="91" t="s">
        <v>1693</v>
      </c>
      <c r="B195" s="92" t="s">
        <v>270</v>
      </c>
      <c r="C195" s="111">
        <v>56367195.82</v>
      </c>
    </row>
    <row r="196" spans="1:3" x14ac:dyDescent="0.2">
      <c r="A196" s="91" t="s">
        <v>1692</v>
      </c>
      <c r="B196" s="92" t="s">
        <v>270</v>
      </c>
      <c r="C196" s="111">
        <v>50355439.649999999</v>
      </c>
    </row>
    <row r="197" spans="1:3" x14ac:dyDescent="0.2">
      <c r="A197" s="91" t="s">
        <v>1697</v>
      </c>
      <c r="B197" s="92" t="s">
        <v>270</v>
      </c>
      <c r="C197" s="111">
        <v>34935958.590000004</v>
      </c>
    </row>
    <row r="198" spans="1:3" x14ac:dyDescent="0.2">
      <c r="A198" s="91" t="s">
        <v>1694</v>
      </c>
      <c r="B198" s="92" t="s">
        <v>270</v>
      </c>
      <c r="C198" s="111">
        <v>36560844.719999999</v>
      </c>
    </row>
    <row r="199" spans="1:3" x14ac:dyDescent="0.2">
      <c r="A199" s="91" t="s">
        <v>1695</v>
      </c>
      <c r="B199" s="92" t="s">
        <v>270</v>
      </c>
      <c r="C199" s="111">
        <v>38241675.649999999</v>
      </c>
    </row>
    <row r="200" spans="1:3" x14ac:dyDescent="0.2">
      <c r="A200" s="91" t="s">
        <v>1698</v>
      </c>
      <c r="B200" s="92" t="s">
        <v>270</v>
      </c>
      <c r="C200" s="111">
        <v>33241122.98</v>
      </c>
    </row>
    <row r="201" spans="1:3" x14ac:dyDescent="0.2">
      <c r="A201" s="91" t="s">
        <v>1115</v>
      </c>
      <c r="B201" s="92" t="s">
        <v>270</v>
      </c>
      <c r="C201" s="111">
        <v>161053155</v>
      </c>
    </row>
    <row r="202" spans="1:3" x14ac:dyDescent="0.2">
      <c r="A202" s="91" t="s">
        <v>1116</v>
      </c>
      <c r="B202" s="92" t="s">
        <v>270</v>
      </c>
      <c r="C202" s="111">
        <v>101179276.2</v>
      </c>
    </row>
    <row r="203" spans="1:3" x14ac:dyDescent="0.2">
      <c r="A203" s="91" t="s">
        <v>1799</v>
      </c>
      <c r="B203" s="92" t="s">
        <v>270</v>
      </c>
      <c r="C203" s="111">
        <v>284211450</v>
      </c>
    </row>
    <row r="204" spans="1:3" x14ac:dyDescent="0.2">
      <c r="A204" s="91" t="s">
        <v>1961</v>
      </c>
      <c r="B204" s="92" t="s">
        <v>270</v>
      </c>
      <c r="C204" s="111">
        <v>347369550</v>
      </c>
    </row>
    <row r="205" spans="1:3" x14ac:dyDescent="0.2">
      <c r="A205" s="91" t="s">
        <v>1958</v>
      </c>
      <c r="B205" s="92" t="s">
        <v>270</v>
      </c>
      <c r="C205" s="111">
        <v>157895250</v>
      </c>
    </row>
    <row r="206" spans="1:3" x14ac:dyDescent="0.2">
      <c r="A206" s="91" t="s">
        <v>1959</v>
      </c>
      <c r="B206" s="92" t="s">
        <v>270</v>
      </c>
      <c r="C206" s="111">
        <v>136421496</v>
      </c>
    </row>
    <row r="207" spans="1:3" x14ac:dyDescent="0.2">
      <c r="A207" s="91" t="s">
        <v>1960</v>
      </c>
      <c r="B207" s="92" t="s">
        <v>270</v>
      </c>
      <c r="C207" s="111">
        <v>98084529.299999997</v>
      </c>
    </row>
    <row r="208" spans="1:3" x14ac:dyDescent="0.2">
      <c r="A208" s="91" t="s">
        <v>1957</v>
      </c>
      <c r="B208" s="92" t="s">
        <v>270</v>
      </c>
      <c r="C208" s="111">
        <v>126000409.5</v>
      </c>
    </row>
    <row r="209" spans="1:3" x14ac:dyDescent="0.2">
      <c r="A209" s="91" t="s">
        <v>1962</v>
      </c>
      <c r="B209" s="92" t="s">
        <v>270</v>
      </c>
      <c r="C209" s="111">
        <v>67073902.200000003</v>
      </c>
    </row>
    <row r="210" spans="1:3" x14ac:dyDescent="0.2">
      <c r="A210" s="91" t="s">
        <v>1963</v>
      </c>
      <c r="B210" s="92" t="s">
        <v>270</v>
      </c>
      <c r="C210" s="111">
        <v>94737150</v>
      </c>
    </row>
    <row r="211" spans="1:3" x14ac:dyDescent="0.2">
      <c r="A211" s="91" t="s">
        <v>1535</v>
      </c>
      <c r="B211" s="92" t="s">
        <v>268</v>
      </c>
      <c r="C211" s="111">
        <v>1719765859.3399999</v>
      </c>
    </row>
    <row r="212" spans="1:3" x14ac:dyDescent="0.2">
      <c r="A212" s="91" t="s">
        <v>111</v>
      </c>
      <c r="B212" s="92" t="s">
        <v>268</v>
      </c>
      <c r="C212" s="111">
        <v>180776586.99000001</v>
      </c>
    </row>
    <row r="213" spans="1:3" x14ac:dyDescent="0.2">
      <c r="A213" s="91" t="s">
        <v>112</v>
      </c>
      <c r="B213" s="92" t="s">
        <v>268</v>
      </c>
      <c r="C213" s="111">
        <v>29869370.949999999</v>
      </c>
    </row>
    <row r="214" spans="1:3" x14ac:dyDescent="0.2">
      <c r="A214" s="91" t="s">
        <v>113</v>
      </c>
      <c r="B214" s="92" t="s">
        <v>268</v>
      </c>
      <c r="C214" s="111">
        <v>144968501.91999999</v>
      </c>
    </row>
    <row r="215" spans="1:3" x14ac:dyDescent="0.2">
      <c r="A215" s="91" t="s">
        <v>114</v>
      </c>
      <c r="B215" s="92" t="s">
        <v>268</v>
      </c>
      <c r="C215" s="111">
        <v>174051434.37</v>
      </c>
    </row>
    <row r="216" spans="1:3" x14ac:dyDescent="0.2">
      <c r="A216" s="91" t="s">
        <v>115</v>
      </c>
      <c r="B216" s="92" t="s">
        <v>268</v>
      </c>
      <c r="C216" s="111">
        <v>160177069.13</v>
      </c>
    </row>
    <row r="217" spans="1:3" x14ac:dyDescent="0.2">
      <c r="A217" s="91" t="s">
        <v>116</v>
      </c>
      <c r="B217" s="92" t="s">
        <v>268</v>
      </c>
      <c r="C217" s="111">
        <v>1834326062.72</v>
      </c>
    </row>
    <row r="218" spans="1:3" x14ac:dyDescent="0.2">
      <c r="A218" s="91" t="s">
        <v>531</v>
      </c>
      <c r="B218" s="92" t="s">
        <v>268</v>
      </c>
      <c r="C218" s="111">
        <v>320291755.89999998</v>
      </c>
    </row>
    <row r="219" spans="1:3" x14ac:dyDescent="0.2">
      <c r="A219" s="91" t="s">
        <v>532</v>
      </c>
      <c r="B219" s="92" t="s">
        <v>268</v>
      </c>
      <c r="C219" s="111">
        <v>2404552699.2600002</v>
      </c>
    </row>
    <row r="220" spans="1:3" x14ac:dyDescent="0.2">
      <c r="A220" s="91" t="s">
        <v>445</v>
      </c>
      <c r="B220" s="92" t="s">
        <v>268</v>
      </c>
      <c r="C220" s="111">
        <v>379593531.56</v>
      </c>
    </row>
    <row r="221" spans="1:3" x14ac:dyDescent="0.2">
      <c r="A221" s="91" t="s">
        <v>446</v>
      </c>
      <c r="B221" s="92" t="s">
        <v>268</v>
      </c>
      <c r="C221" s="111">
        <v>1125000000</v>
      </c>
    </row>
    <row r="222" spans="1:3" x14ac:dyDescent="0.2">
      <c r="A222" s="91" t="s">
        <v>447</v>
      </c>
      <c r="B222" s="92" t="s">
        <v>268</v>
      </c>
      <c r="C222" s="111">
        <v>1869858265</v>
      </c>
    </row>
    <row r="223" spans="1:3" x14ac:dyDescent="0.2">
      <c r="A223" s="91" t="s">
        <v>395</v>
      </c>
      <c r="B223" s="92" t="s">
        <v>268</v>
      </c>
      <c r="C223" s="111">
        <v>626064372.12</v>
      </c>
    </row>
    <row r="224" spans="1:3" x14ac:dyDescent="0.2">
      <c r="A224" s="91" t="s">
        <v>2169</v>
      </c>
      <c r="B224" s="92" t="s">
        <v>270</v>
      </c>
      <c r="C224" s="111">
        <v>295449031.79000002</v>
      </c>
    </row>
    <row r="225" spans="1:3" x14ac:dyDescent="0.2">
      <c r="A225" s="91" t="s">
        <v>2129</v>
      </c>
      <c r="B225" s="92" t="s">
        <v>270</v>
      </c>
      <c r="C225" s="111">
        <v>295449031.79000002</v>
      </c>
    </row>
    <row r="226" spans="1:3" x14ac:dyDescent="0.2">
      <c r="A226" s="91" t="s">
        <v>2145</v>
      </c>
      <c r="B226" s="92" t="s">
        <v>270</v>
      </c>
      <c r="C226" s="111">
        <v>295449031.79000002</v>
      </c>
    </row>
    <row r="227" spans="1:3" x14ac:dyDescent="0.2">
      <c r="A227" s="91" t="s">
        <v>2161</v>
      </c>
      <c r="B227" s="92" t="s">
        <v>270</v>
      </c>
      <c r="C227" s="111">
        <v>295449031.79000002</v>
      </c>
    </row>
    <row r="228" spans="1:3" x14ac:dyDescent="0.2">
      <c r="A228" s="91" t="s">
        <v>2130</v>
      </c>
      <c r="B228" s="92" t="s">
        <v>270</v>
      </c>
      <c r="C228" s="111">
        <v>295449031.79000002</v>
      </c>
    </row>
    <row r="229" spans="1:3" x14ac:dyDescent="0.2">
      <c r="A229" s="91" t="s">
        <v>2146</v>
      </c>
      <c r="B229" s="92" t="s">
        <v>270</v>
      </c>
      <c r="C229" s="111">
        <v>295449031.79000002</v>
      </c>
    </row>
    <row r="230" spans="1:3" x14ac:dyDescent="0.2">
      <c r="A230" s="91" t="s">
        <v>2066</v>
      </c>
      <c r="B230" s="92" t="s">
        <v>270</v>
      </c>
      <c r="C230" s="111">
        <v>227759397.47999999</v>
      </c>
    </row>
    <row r="231" spans="1:3" x14ac:dyDescent="0.2">
      <c r="A231" s="91" t="s">
        <v>2160</v>
      </c>
      <c r="B231" s="92" t="s">
        <v>270</v>
      </c>
      <c r="C231" s="111">
        <v>296375735.43000001</v>
      </c>
    </row>
    <row r="232" spans="1:3" x14ac:dyDescent="0.2">
      <c r="A232" s="91" t="s">
        <v>2122</v>
      </c>
      <c r="B232" s="92" t="s">
        <v>270</v>
      </c>
      <c r="C232" s="111">
        <v>296375735.43000001</v>
      </c>
    </row>
    <row r="233" spans="1:3" x14ac:dyDescent="0.2">
      <c r="A233" s="91" t="s">
        <v>2162</v>
      </c>
      <c r="B233" s="92" t="s">
        <v>270</v>
      </c>
      <c r="C233" s="111">
        <v>296375735.43000001</v>
      </c>
    </row>
    <row r="234" spans="1:3" x14ac:dyDescent="0.2">
      <c r="A234" s="91" t="s">
        <v>2123</v>
      </c>
      <c r="B234" s="92" t="s">
        <v>270</v>
      </c>
      <c r="C234" s="111">
        <v>296375735.43000001</v>
      </c>
    </row>
    <row r="235" spans="1:3" x14ac:dyDescent="0.2">
      <c r="A235" s="91" t="s">
        <v>2138</v>
      </c>
      <c r="B235" s="92" t="s">
        <v>270</v>
      </c>
      <c r="C235" s="111">
        <v>296375735.43000001</v>
      </c>
    </row>
    <row r="236" spans="1:3" x14ac:dyDescent="0.2">
      <c r="A236" s="91" t="s">
        <v>2155</v>
      </c>
      <c r="B236" s="92" t="s">
        <v>270</v>
      </c>
      <c r="C236" s="111">
        <v>296375735.43000001</v>
      </c>
    </row>
    <row r="237" spans="1:3" x14ac:dyDescent="0.2">
      <c r="A237" s="91" t="s">
        <v>671</v>
      </c>
      <c r="B237" s="92" t="s">
        <v>268</v>
      </c>
      <c r="C237" s="111">
        <v>3000000000</v>
      </c>
    </row>
    <row r="238" spans="1:3" x14ac:dyDescent="0.2">
      <c r="A238" s="91" t="s">
        <v>877</v>
      </c>
      <c r="B238" s="92" t="s">
        <v>268</v>
      </c>
      <c r="C238" s="111">
        <v>3000000000</v>
      </c>
    </row>
    <row r="239" spans="1:3" x14ac:dyDescent="0.2">
      <c r="A239" s="91" t="s">
        <v>364</v>
      </c>
      <c r="B239" s="92" t="s">
        <v>268</v>
      </c>
      <c r="C239" s="111">
        <v>320049600</v>
      </c>
    </row>
    <row r="240" spans="1:3" x14ac:dyDescent="0.2">
      <c r="A240" s="91" t="s">
        <v>317</v>
      </c>
      <c r="B240" s="92" t="s">
        <v>268</v>
      </c>
      <c r="C240" s="111">
        <v>1690379107.9400001</v>
      </c>
    </row>
    <row r="241" spans="1:3" x14ac:dyDescent="0.2">
      <c r="A241" s="91" t="s">
        <v>318</v>
      </c>
      <c r="B241" s="92" t="s">
        <v>268</v>
      </c>
      <c r="C241" s="111">
        <v>1432912579.8800001</v>
      </c>
    </row>
    <row r="242" spans="1:3" x14ac:dyDescent="0.2">
      <c r="A242" s="91" t="s">
        <v>319</v>
      </c>
      <c r="B242" s="92" t="s">
        <v>268</v>
      </c>
      <c r="C242" s="111">
        <v>4999033722.3900003</v>
      </c>
    </row>
    <row r="243" spans="1:3" x14ac:dyDescent="0.2">
      <c r="A243" s="91" t="s">
        <v>110</v>
      </c>
      <c r="B243" s="92" t="s">
        <v>268</v>
      </c>
      <c r="C243" s="111">
        <v>9450000000</v>
      </c>
    </row>
    <row r="244" spans="1:3" x14ac:dyDescent="0.2">
      <c r="A244" s="91" t="s">
        <v>1720</v>
      </c>
      <c r="B244" s="92" t="s">
        <v>268</v>
      </c>
      <c r="C244" s="111">
        <v>5150000000</v>
      </c>
    </row>
    <row r="245" spans="1:3" x14ac:dyDescent="0.2">
      <c r="A245" s="91" t="s">
        <v>245</v>
      </c>
      <c r="B245" s="92" t="s">
        <v>268</v>
      </c>
      <c r="C245" s="111">
        <v>1142535387.96</v>
      </c>
    </row>
    <row r="246" spans="1:3" x14ac:dyDescent="0.2">
      <c r="A246" s="91" t="s">
        <v>569</v>
      </c>
      <c r="B246" s="92" t="s">
        <v>222</v>
      </c>
      <c r="C246" s="111">
        <v>233333333.36000001</v>
      </c>
    </row>
    <row r="247" spans="1:3" x14ac:dyDescent="0.2">
      <c r="A247" s="91" t="s">
        <v>1514</v>
      </c>
      <c r="B247" s="92" t="s">
        <v>222</v>
      </c>
      <c r="C247" s="111">
        <v>341916666.63999999</v>
      </c>
    </row>
    <row r="248" spans="1:3" x14ac:dyDescent="0.2">
      <c r="A248" s="91" t="s">
        <v>1012</v>
      </c>
      <c r="B248" s="92" t="s">
        <v>222</v>
      </c>
      <c r="C248" s="111">
        <v>100000000</v>
      </c>
    </row>
    <row r="249" spans="1:3" x14ac:dyDescent="0.2">
      <c r="A249" s="91" t="s">
        <v>1084</v>
      </c>
      <c r="B249" s="92" t="s">
        <v>222</v>
      </c>
      <c r="C249" s="111">
        <v>50000000</v>
      </c>
    </row>
    <row r="250" spans="1:3" x14ac:dyDescent="0.2">
      <c r="A250" s="91" t="s">
        <v>1515</v>
      </c>
      <c r="B250" s="92" t="s">
        <v>222</v>
      </c>
      <c r="C250" s="111">
        <v>50000000</v>
      </c>
    </row>
    <row r="251" spans="1:3" x14ac:dyDescent="0.2">
      <c r="A251" s="91" t="s">
        <v>182</v>
      </c>
      <c r="B251" s="92" t="s">
        <v>538</v>
      </c>
      <c r="C251" s="111">
        <v>17873122.989999998</v>
      </c>
    </row>
    <row r="252" spans="1:3" x14ac:dyDescent="0.2">
      <c r="A252" s="91" t="s">
        <v>183</v>
      </c>
      <c r="B252" s="92" t="s">
        <v>538</v>
      </c>
      <c r="C252" s="111">
        <v>1</v>
      </c>
    </row>
    <row r="253" spans="1:3" x14ac:dyDescent="0.2">
      <c r="A253" s="91" t="s">
        <v>184</v>
      </c>
      <c r="B253" s="92" t="s">
        <v>538</v>
      </c>
      <c r="C253" s="111">
        <v>12934516.060000001</v>
      </c>
    </row>
    <row r="254" spans="1:3" x14ac:dyDescent="0.2">
      <c r="A254" s="91" t="s">
        <v>1102</v>
      </c>
      <c r="B254" s="92" t="s">
        <v>268</v>
      </c>
      <c r="C254" s="111">
        <v>24000000000</v>
      </c>
    </row>
    <row r="255" spans="1:3" x14ac:dyDescent="0.2">
      <c r="A255" s="91" t="s">
        <v>1709</v>
      </c>
      <c r="B255" s="92" t="s">
        <v>268</v>
      </c>
      <c r="C255" s="111">
        <v>815554597.69000006</v>
      </c>
    </row>
    <row r="256" spans="1:3" x14ac:dyDescent="0.2">
      <c r="A256" s="91" t="s">
        <v>1536</v>
      </c>
      <c r="B256" s="92" t="s">
        <v>268</v>
      </c>
      <c r="C256" s="111">
        <v>234368434.28</v>
      </c>
    </row>
    <row r="257" spans="1:3" x14ac:dyDescent="0.2">
      <c r="A257" s="91" t="s">
        <v>221</v>
      </c>
      <c r="B257" s="92" t="s">
        <v>268</v>
      </c>
      <c r="C257" s="111">
        <v>2765358105.02</v>
      </c>
    </row>
    <row r="258" spans="1:3" x14ac:dyDescent="0.2">
      <c r="A258" s="91" t="s">
        <v>729</v>
      </c>
      <c r="B258" s="92" t="s">
        <v>268</v>
      </c>
      <c r="C258" s="111">
        <v>5000000000</v>
      </c>
    </row>
    <row r="259" spans="1:3" x14ac:dyDescent="0.2">
      <c r="A259" s="91" t="s">
        <v>752</v>
      </c>
      <c r="B259" s="92" t="s">
        <v>268</v>
      </c>
      <c r="C259" s="111">
        <v>5000000000</v>
      </c>
    </row>
    <row r="260" spans="1:3" x14ac:dyDescent="0.2">
      <c r="A260" s="91" t="s">
        <v>432</v>
      </c>
      <c r="B260" s="92" t="s">
        <v>268</v>
      </c>
      <c r="C260" s="111">
        <v>12000000000</v>
      </c>
    </row>
    <row r="261" spans="1:3" x14ac:dyDescent="0.2">
      <c r="A261" s="91" t="s">
        <v>596</v>
      </c>
      <c r="B261" s="92" t="s">
        <v>268</v>
      </c>
      <c r="C261" s="111">
        <v>17900000000</v>
      </c>
    </row>
    <row r="262" spans="1:3" x14ac:dyDescent="0.2">
      <c r="A262" s="91" t="s">
        <v>961</v>
      </c>
      <c r="B262" s="92" t="s">
        <v>538</v>
      </c>
      <c r="C262" s="111">
        <v>394935407.98000002</v>
      </c>
    </row>
    <row r="263" spans="1:3" x14ac:dyDescent="0.2">
      <c r="A263" s="91" t="s">
        <v>989</v>
      </c>
      <c r="B263" s="92" t="s">
        <v>268</v>
      </c>
      <c r="C263" s="111">
        <v>8025000000</v>
      </c>
    </row>
    <row r="264" spans="1:3" x14ac:dyDescent="0.2">
      <c r="A264" s="91" t="s">
        <v>1171</v>
      </c>
      <c r="B264" s="92" t="s">
        <v>222</v>
      </c>
      <c r="C264" s="111">
        <v>135871720.97999999</v>
      </c>
    </row>
    <row r="265" spans="1:3" x14ac:dyDescent="0.2">
      <c r="A265" s="91" t="s">
        <v>1308</v>
      </c>
      <c r="B265" s="92" t="s">
        <v>222</v>
      </c>
      <c r="C265" s="111">
        <v>250000000</v>
      </c>
    </row>
    <row r="266" spans="1:3" x14ac:dyDescent="0.2">
      <c r="A266" s="91" t="s">
        <v>1378</v>
      </c>
      <c r="B266" s="92" t="s">
        <v>222</v>
      </c>
      <c r="C266" s="111">
        <v>200000000</v>
      </c>
    </row>
    <row r="267" spans="1:3" x14ac:dyDescent="0.2">
      <c r="A267" s="91" t="s">
        <v>1375</v>
      </c>
      <c r="B267" s="92" t="s">
        <v>222</v>
      </c>
      <c r="C267" s="111">
        <v>150000000</v>
      </c>
    </row>
    <row r="268" spans="1:3" x14ac:dyDescent="0.2">
      <c r="A268" s="91" t="s">
        <v>1633</v>
      </c>
      <c r="B268" s="92" t="s">
        <v>222</v>
      </c>
      <c r="C268" s="111">
        <v>483128279.01999998</v>
      </c>
    </row>
    <row r="269" spans="1:3" x14ac:dyDescent="0.2">
      <c r="A269" s="91" t="s">
        <v>1904</v>
      </c>
      <c r="B269" s="92" t="s">
        <v>222</v>
      </c>
      <c r="C269" s="111">
        <v>150000000</v>
      </c>
    </row>
    <row r="270" spans="1:3" x14ac:dyDescent="0.2">
      <c r="A270" s="91" t="s">
        <v>40</v>
      </c>
      <c r="B270" s="92" t="s">
        <v>268</v>
      </c>
      <c r="C270" s="111">
        <v>4416272692.0600004</v>
      </c>
    </row>
    <row r="271" spans="1:3" x14ac:dyDescent="0.2">
      <c r="A271" s="91" t="s">
        <v>667</v>
      </c>
      <c r="B271" s="92" t="s">
        <v>268</v>
      </c>
      <c r="C271" s="111">
        <v>160500000</v>
      </c>
    </row>
    <row r="272" spans="1:3" x14ac:dyDescent="0.2">
      <c r="A272" s="91" t="s">
        <v>894</v>
      </c>
      <c r="B272" s="92" t="s">
        <v>268</v>
      </c>
      <c r="C272" s="111">
        <v>25738919853.810001</v>
      </c>
    </row>
    <row r="273" spans="1:3" x14ac:dyDescent="0.2">
      <c r="A273" s="91" t="s">
        <v>1355</v>
      </c>
      <c r="B273" s="92" t="s">
        <v>270</v>
      </c>
      <c r="C273" s="111">
        <v>29052726000</v>
      </c>
    </row>
    <row r="274" spans="1:3" x14ac:dyDescent="0.2">
      <c r="A274" s="91" t="s">
        <v>2261</v>
      </c>
      <c r="B274" s="92" t="s">
        <v>270</v>
      </c>
      <c r="C274" s="111">
        <v>180184899.91</v>
      </c>
    </row>
    <row r="275" spans="1:3" x14ac:dyDescent="0.2">
      <c r="A275" s="91" t="s">
        <v>2278</v>
      </c>
      <c r="B275" s="92" t="s">
        <v>270</v>
      </c>
      <c r="C275" s="111">
        <v>180184899.91</v>
      </c>
    </row>
    <row r="276" spans="1:3" x14ac:dyDescent="0.2">
      <c r="A276" s="91" t="s">
        <v>2240</v>
      </c>
      <c r="B276" s="92" t="s">
        <v>270</v>
      </c>
      <c r="C276" s="111">
        <v>180184899.91</v>
      </c>
    </row>
    <row r="277" spans="1:3" x14ac:dyDescent="0.2">
      <c r="A277" s="91" t="s">
        <v>2247</v>
      </c>
      <c r="B277" s="92" t="s">
        <v>270</v>
      </c>
      <c r="C277" s="111">
        <v>127644632.11</v>
      </c>
    </row>
    <row r="278" spans="1:3" x14ac:dyDescent="0.2">
      <c r="A278" s="91" t="s">
        <v>2248</v>
      </c>
      <c r="B278" s="92" t="s">
        <v>270</v>
      </c>
      <c r="C278" s="111">
        <v>164855035.78</v>
      </c>
    </row>
    <row r="279" spans="1:3" x14ac:dyDescent="0.2">
      <c r="A279" s="91" t="s">
        <v>2265</v>
      </c>
      <c r="B279" s="92" t="s">
        <v>270</v>
      </c>
      <c r="C279" s="111">
        <v>164855035.78</v>
      </c>
    </row>
    <row r="280" spans="1:3" x14ac:dyDescent="0.2">
      <c r="A280" s="91" t="s">
        <v>2282</v>
      </c>
      <c r="B280" s="92" t="s">
        <v>270</v>
      </c>
      <c r="C280" s="111">
        <v>100561571.67</v>
      </c>
    </row>
    <row r="281" spans="1:3" x14ac:dyDescent="0.2">
      <c r="A281" s="91" t="s">
        <v>2195</v>
      </c>
      <c r="B281" s="92" t="s">
        <v>270</v>
      </c>
      <c r="C281" s="111">
        <v>1599406632.6199999</v>
      </c>
    </row>
    <row r="282" spans="1:3" x14ac:dyDescent="0.2">
      <c r="A282" s="91" t="s">
        <v>2207</v>
      </c>
      <c r="B282" s="92" t="s">
        <v>270</v>
      </c>
      <c r="C282" s="111">
        <v>983714534.79999995</v>
      </c>
    </row>
    <row r="283" spans="1:3" x14ac:dyDescent="0.2">
      <c r="A283" s="91" t="s">
        <v>2218</v>
      </c>
      <c r="B283" s="92" t="s">
        <v>270</v>
      </c>
      <c r="C283" s="111">
        <v>1401097677.0899999</v>
      </c>
    </row>
    <row r="284" spans="1:3" x14ac:dyDescent="0.2">
      <c r="A284" s="91" t="s">
        <v>2196</v>
      </c>
      <c r="B284" s="92" t="s">
        <v>270</v>
      </c>
      <c r="C284" s="111">
        <v>245178405.91</v>
      </c>
    </row>
    <row r="285" spans="1:3" x14ac:dyDescent="0.2">
      <c r="A285" s="91" t="s">
        <v>2208</v>
      </c>
      <c r="B285" s="92" t="s">
        <v>270</v>
      </c>
      <c r="C285" s="111">
        <v>316076370.63</v>
      </c>
    </row>
    <row r="286" spans="1:3" x14ac:dyDescent="0.2">
      <c r="A286" s="91" t="s">
        <v>2219</v>
      </c>
      <c r="B286" s="92" t="s">
        <v>270</v>
      </c>
      <c r="C286" s="111">
        <v>1651178040.0699999</v>
      </c>
    </row>
    <row r="287" spans="1:3" x14ac:dyDescent="0.2">
      <c r="A287" s="91" t="s">
        <v>2229</v>
      </c>
      <c r="B287" s="92" t="s">
        <v>270</v>
      </c>
      <c r="C287" s="111">
        <v>883918575.51999998</v>
      </c>
    </row>
    <row r="288" spans="1:3" x14ac:dyDescent="0.2">
      <c r="A288" s="91" t="s">
        <v>2203</v>
      </c>
      <c r="B288" s="92" t="s">
        <v>270</v>
      </c>
      <c r="C288" s="111">
        <v>1395339303.2</v>
      </c>
    </row>
    <row r="289" spans="1:3" x14ac:dyDescent="0.2">
      <c r="A289" s="91" t="s">
        <v>2215</v>
      </c>
      <c r="B289" s="92" t="s">
        <v>270</v>
      </c>
      <c r="C289" s="111">
        <v>1235231550.4300001</v>
      </c>
    </row>
    <row r="290" spans="1:3" x14ac:dyDescent="0.2">
      <c r="A290" s="91" t="s">
        <v>2226</v>
      </c>
      <c r="B290" s="92" t="s">
        <v>270</v>
      </c>
      <c r="C290" s="111">
        <v>1189112647.5</v>
      </c>
    </row>
    <row r="291" spans="1:3" x14ac:dyDescent="0.2">
      <c r="A291" s="91" t="s">
        <v>2200</v>
      </c>
      <c r="B291" s="92" t="s">
        <v>270</v>
      </c>
      <c r="C291" s="111">
        <v>1022892600</v>
      </c>
    </row>
    <row r="292" spans="1:3" x14ac:dyDescent="0.2">
      <c r="A292" s="91" t="s">
        <v>2211</v>
      </c>
      <c r="B292" s="92" t="s">
        <v>270</v>
      </c>
      <c r="C292" s="111">
        <v>1599406632.6199999</v>
      </c>
    </row>
    <row r="293" spans="1:3" x14ac:dyDescent="0.2">
      <c r="A293" s="91" t="s">
        <v>2222</v>
      </c>
      <c r="B293" s="92" t="s">
        <v>270</v>
      </c>
      <c r="C293" s="111">
        <v>588163245</v>
      </c>
    </row>
    <row r="294" spans="1:3" x14ac:dyDescent="0.2">
      <c r="A294" s="91" t="s">
        <v>2234</v>
      </c>
      <c r="B294" s="92" t="s">
        <v>270</v>
      </c>
      <c r="C294" s="111">
        <v>72812215.379999995</v>
      </c>
    </row>
    <row r="295" spans="1:3" x14ac:dyDescent="0.2">
      <c r="A295" s="91" t="s">
        <v>2199</v>
      </c>
      <c r="B295" s="92" t="s">
        <v>270</v>
      </c>
      <c r="C295" s="111">
        <v>300000000</v>
      </c>
    </row>
    <row r="296" spans="1:3" x14ac:dyDescent="0.2">
      <c r="A296" s="91" t="s">
        <v>2210</v>
      </c>
      <c r="B296" s="92" t="s">
        <v>270</v>
      </c>
      <c r="C296" s="111">
        <v>300000000</v>
      </c>
    </row>
    <row r="297" spans="1:3" x14ac:dyDescent="0.2">
      <c r="A297" s="91" t="s">
        <v>2277</v>
      </c>
      <c r="B297" s="92" t="s">
        <v>270</v>
      </c>
      <c r="C297" s="111">
        <v>4757999.67</v>
      </c>
    </row>
    <row r="298" spans="1:3" x14ac:dyDescent="0.2">
      <c r="A298" s="91" t="s">
        <v>2239</v>
      </c>
      <c r="B298" s="92" t="s">
        <v>270</v>
      </c>
      <c r="C298" s="111">
        <v>486613604.23000002</v>
      </c>
    </row>
    <row r="299" spans="1:3" x14ac:dyDescent="0.2">
      <c r="A299" s="91" t="s">
        <v>2254</v>
      </c>
      <c r="B299" s="92" t="s">
        <v>270</v>
      </c>
      <c r="C299" s="111">
        <v>180227260.68000001</v>
      </c>
    </row>
    <row r="300" spans="1:3" x14ac:dyDescent="0.2">
      <c r="A300" s="91" t="s">
        <v>2271</v>
      </c>
      <c r="B300" s="92" t="s">
        <v>270</v>
      </c>
      <c r="C300" s="111">
        <v>720909043.37</v>
      </c>
    </row>
    <row r="301" spans="1:3" x14ac:dyDescent="0.2">
      <c r="A301" s="91" t="s">
        <v>2272</v>
      </c>
      <c r="B301" s="92" t="s">
        <v>270</v>
      </c>
      <c r="C301" s="111">
        <v>266736345.84</v>
      </c>
    </row>
    <row r="302" spans="1:3" x14ac:dyDescent="0.2">
      <c r="A302" s="91" t="s">
        <v>2235</v>
      </c>
      <c r="B302" s="92" t="s">
        <v>270</v>
      </c>
      <c r="C302" s="111">
        <v>216272713.19999999</v>
      </c>
    </row>
    <row r="303" spans="1:3" x14ac:dyDescent="0.2">
      <c r="A303" s="91" t="s">
        <v>2249</v>
      </c>
      <c r="B303" s="92" t="s">
        <v>270</v>
      </c>
      <c r="C303" s="111">
        <v>216272713.19999999</v>
      </c>
    </row>
    <row r="304" spans="1:3" x14ac:dyDescent="0.2">
      <c r="A304" s="91" t="s">
        <v>2266</v>
      </c>
      <c r="B304" s="92" t="s">
        <v>270</v>
      </c>
      <c r="C304" s="111">
        <v>315790500</v>
      </c>
    </row>
    <row r="305" spans="1:3" x14ac:dyDescent="0.2">
      <c r="A305" s="91" t="s">
        <v>2283</v>
      </c>
      <c r="B305" s="92" t="s">
        <v>270</v>
      </c>
      <c r="C305" s="111">
        <v>315790500</v>
      </c>
    </row>
    <row r="306" spans="1:3" x14ac:dyDescent="0.2">
      <c r="A306" s="91" t="s">
        <v>2238</v>
      </c>
      <c r="B306" s="92" t="s">
        <v>270</v>
      </c>
      <c r="C306" s="111">
        <v>261754610.49000001</v>
      </c>
    </row>
    <row r="307" spans="1:3" x14ac:dyDescent="0.2">
      <c r="A307" s="91" t="s">
        <v>2253</v>
      </c>
      <c r="B307" s="92" t="s">
        <v>270</v>
      </c>
      <c r="C307" s="111">
        <v>261754610.49000001</v>
      </c>
    </row>
    <row r="308" spans="1:3" x14ac:dyDescent="0.2">
      <c r="A308" s="91" t="s">
        <v>2228</v>
      </c>
      <c r="B308" s="92" t="s">
        <v>270</v>
      </c>
      <c r="C308" s="111">
        <v>128965824.05</v>
      </c>
    </row>
    <row r="309" spans="1:3" x14ac:dyDescent="0.2">
      <c r="A309" s="91" t="s">
        <v>2202</v>
      </c>
      <c r="B309" s="92" t="s">
        <v>270</v>
      </c>
      <c r="C309" s="111">
        <v>484833925</v>
      </c>
    </row>
    <row r="310" spans="1:3" x14ac:dyDescent="0.2">
      <c r="A310" s="91" t="s">
        <v>2214</v>
      </c>
      <c r="B310" s="92" t="s">
        <v>270</v>
      </c>
      <c r="C310" s="111">
        <v>484833925</v>
      </c>
    </row>
    <row r="311" spans="1:3" x14ac:dyDescent="0.2">
      <c r="A311" s="91" t="s">
        <v>2225</v>
      </c>
      <c r="B311" s="92" t="s">
        <v>270</v>
      </c>
      <c r="C311" s="111">
        <v>114243357.08</v>
      </c>
    </row>
    <row r="312" spans="1:3" x14ac:dyDescent="0.2">
      <c r="A312" s="91" t="s">
        <v>2270</v>
      </c>
      <c r="B312" s="92" t="s">
        <v>270</v>
      </c>
      <c r="C312" s="111">
        <v>190758950.91</v>
      </c>
    </row>
    <row r="313" spans="1:3" x14ac:dyDescent="0.2">
      <c r="A313" s="91" t="s">
        <v>2233</v>
      </c>
      <c r="B313" s="92" t="s">
        <v>270</v>
      </c>
      <c r="C313" s="111">
        <v>190758950.91</v>
      </c>
    </row>
    <row r="314" spans="1:3" x14ac:dyDescent="0.2">
      <c r="A314" s="91" t="s">
        <v>2244</v>
      </c>
      <c r="B314" s="92" t="s">
        <v>270</v>
      </c>
      <c r="C314" s="111">
        <v>341320279.18000001</v>
      </c>
    </row>
    <row r="315" spans="1:3" x14ac:dyDescent="0.2">
      <c r="A315" s="91" t="s">
        <v>2260</v>
      </c>
      <c r="B315" s="92" t="s">
        <v>270</v>
      </c>
      <c r="C315" s="111">
        <v>341320279.18000001</v>
      </c>
    </row>
    <row r="316" spans="1:3" x14ac:dyDescent="0.2">
      <c r="A316" s="91" t="s">
        <v>2217</v>
      </c>
      <c r="B316" s="92" t="s">
        <v>270</v>
      </c>
      <c r="C316" s="111">
        <v>451985954.25</v>
      </c>
    </row>
    <row r="317" spans="1:3" x14ac:dyDescent="0.2">
      <c r="A317" s="91" t="s">
        <v>2209</v>
      </c>
      <c r="B317" s="92" t="s">
        <v>270</v>
      </c>
      <c r="C317" s="111">
        <v>94968558.799999997</v>
      </c>
    </row>
    <row r="318" spans="1:3" x14ac:dyDescent="0.2">
      <c r="A318" s="91" t="s">
        <v>2220</v>
      </c>
      <c r="B318" s="92" t="s">
        <v>270</v>
      </c>
      <c r="C318" s="111">
        <v>179185960</v>
      </c>
    </row>
    <row r="319" spans="1:3" x14ac:dyDescent="0.2">
      <c r="A319" s="91" t="s">
        <v>2231</v>
      </c>
      <c r="B319" s="92" t="s">
        <v>270</v>
      </c>
      <c r="C319" s="111">
        <v>223982450</v>
      </c>
    </row>
    <row r="320" spans="1:3" x14ac:dyDescent="0.2">
      <c r="A320" s="91" t="s">
        <v>2205</v>
      </c>
      <c r="B320" s="92" t="s">
        <v>270</v>
      </c>
      <c r="C320" s="111">
        <v>404245317.62</v>
      </c>
    </row>
    <row r="321" spans="1:3" x14ac:dyDescent="0.2">
      <c r="A321" s="91" t="s">
        <v>2243</v>
      </c>
      <c r="B321" s="92" t="s">
        <v>270</v>
      </c>
      <c r="C321" s="111">
        <v>146967813.63999999</v>
      </c>
    </row>
    <row r="322" spans="1:3" x14ac:dyDescent="0.2">
      <c r="A322" s="91" t="s">
        <v>2259</v>
      </c>
      <c r="B322" s="92" t="s">
        <v>270</v>
      </c>
      <c r="C322" s="111">
        <v>153091472.69999999</v>
      </c>
    </row>
    <row r="323" spans="1:3" x14ac:dyDescent="0.2">
      <c r="A323" s="91" t="s">
        <v>2276</v>
      </c>
      <c r="B323" s="92" t="s">
        <v>270</v>
      </c>
      <c r="C323" s="111">
        <v>199508807.13999999</v>
      </c>
    </row>
    <row r="324" spans="1:3" x14ac:dyDescent="0.2">
      <c r="A324" s="91" t="s">
        <v>2255</v>
      </c>
      <c r="B324" s="92" t="s">
        <v>270</v>
      </c>
      <c r="C324" s="111">
        <v>306182945.41000003</v>
      </c>
    </row>
    <row r="325" spans="1:3" x14ac:dyDescent="0.2">
      <c r="A325" s="91" t="s">
        <v>2216</v>
      </c>
      <c r="B325" s="92" t="s">
        <v>270</v>
      </c>
      <c r="C325" s="111">
        <v>451144075</v>
      </c>
    </row>
    <row r="326" spans="1:3" x14ac:dyDescent="0.2">
      <c r="A326" s="91" t="s">
        <v>2227</v>
      </c>
      <c r="B326" s="92" t="s">
        <v>270</v>
      </c>
      <c r="C326" s="111">
        <v>451144075</v>
      </c>
    </row>
    <row r="327" spans="1:3" x14ac:dyDescent="0.2">
      <c r="A327" s="91" t="s">
        <v>2201</v>
      </c>
      <c r="B327" s="92" t="s">
        <v>270</v>
      </c>
      <c r="C327" s="111">
        <v>240422798.16</v>
      </c>
    </row>
    <row r="328" spans="1:3" x14ac:dyDescent="0.2">
      <c r="A328" s="91" t="s">
        <v>2212</v>
      </c>
      <c r="B328" s="92" t="s">
        <v>270</v>
      </c>
      <c r="C328" s="111">
        <v>451144075</v>
      </c>
    </row>
    <row r="329" spans="1:3" x14ac:dyDescent="0.2">
      <c r="A329" s="91" t="s">
        <v>2223</v>
      </c>
      <c r="B329" s="92" t="s">
        <v>270</v>
      </c>
      <c r="C329" s="111">
        <v>451144075</v>
      </c>
    </row>
    <row r="330" spans="1:3" x14ac:dyDescent="0.2">
      <c r="A330" s="91" t="s">
        <v>2197</v>
      </c>
      <c r="B330" s="92" t="s">
        <v>270</v>
      </c>
      <c r="C330" s="111">
        <v>451144075</v>
      </c>
    </row>
    <row r="331" spans="1:3" x14ac:dyDescent="0.2">
      <c r="A331" s="91" t="s">
        <v>2213</v>
      </c>
      <c r="B331" s="92" t="s">
        <v>270</v>
      </c>
      <c r="C331" s="111">
        <v>451144075</v>
      </c>
    </row>
    <row r="332" spans="1:3" x14ac:dyDescent="0.2">
      <c r="A332" s="91" t="s">
        <v>2224</v>
      </c>
      <c r="B332" s="92" t="s">
        <v>270</v>
      </c>
      <c r="C332" s="111">
        <v>94087901.420000002</v>
      </c>
    </row>
    <row r="333" spans="1:3" x14ac:dyDescent="0.2">
      <c r="A333" s="91" t="s">
        <v>2198</v>
      </c>
      <c r="B333" s="92" t="s">
        <v>270</v>
      </c>
      <c r="C333" s="111">
        <v>91379740</v>
      </c>
    </row>
    <row r="334" spans="1:3" x14ac:dyDescent="0.2">
      <c r="A334" s="91" t="s">
        <v>2285</v>
      </c>
      <c r="B334" s="92" t="s">
        <v>270</v>
      </c>
      <c r="C334" s="111">
        <v>3183804400</v>
      </c>
    </row>
    <row r="335" spans="1:3" x14ac:dyDescent="0.2">
      <c r="A335" s="91" t="s">
        <v>2286</v>
      </c>
      <c r="B335" s="92" t="s">
        <v>270</v>
      </c>
      <c r="C335" s="111">
        <v>2984816625</v>
      </c>
    </row>
    <row r="336" spans="1:3" x14ac:dyDescent="0.2">
      <c r="A336" s="91" t="s">
        <v>2284</v>
      </c>
      <c r="B336" s="92" t="s">
        <v>270</v>
      </c>
      <c r="C336" s="111">
        <v>2984816625</v>
      </c>
    </row>
    <row r="337" spans="1:3" x14ac:dyDescent="0.2">
      <c r="A337" s="91" t="s">
        <v>2221</v>
      </c>
      <c r="B337" s="92" t="s">
        <v>270</v>
      </c>
      <c r="C337" s="111">
        <v>2994802125</v>
      </c>
    </row>
    <row r="338" spans="1:3" x14ac:dyDescent="0.2">
      <c r="A338" s="91" t="s">
        <v>1995</v>
      </c>
      <c r="B338" s="92" t="s">
        <v>270</v>
      </c>
      <c r="C338" s="111">
        <v>2994802125</v>
      </c>
    </row>
    <row r="339" spans="1:3" x14ac:dyDescent="0.2">
      <c r="A339" s="91" t="s">
        <v>2206</v>
      </c>
      <c r="B339" s="92" t="s">
        <v>270</v>
      </c>
      <c r="C339" s="111">
        <v>3194455600</v>
      </c>
    </row>
    <row r="340" spans="1:3" x14ac:dyDescent="0.2">
      <c r="A340" s="91" t="s">
        <v>2230</v>
      </c>
      <c r="B340" s="92" t="s">
        <v>270</v>
      </c>
      <c r="C340" s="111">
        <v>407769640</v>
      </c>
    </row>
    <row r="341" spans="1:3" x14ac:dyDescent="0.2">
      <c r="A341" s="91" t="s">
        <v>2204</v>
      </c>
      <c r="B341" s="92" t="s">
        <v>270</v>
      </c>
      <c r="C341" s="111">
        <v>407769640</v>
      </c>
    </row>
    <row r="342" spans="1:3" x14ac:dyDescent="0.2">
      <c r="A342" s="91" t="s">
        <v>2264</v>
      </c>
      <c r="B342" s="92" t="s">
        <v>270</v>
      </c>
      <c r="C342" s="111">
        <v>328021415.95999998</v>
      </c>
    </row>
    <row r="343" spans="1:3" x14ac:dyDescent="0.2">
      <c r="A343" s="91" t="s">
        <v>2281</v>
      </c>
      <c r="B343" s="92" t="s">
        <v>270</v>
      </c>
      <c r="C343" s="111">
        <v>328021415.95999998</v>
      </c>
    </row>
    <row r="344" spans="1:3" x14ac:dyDescent="0.2">
      <c r="A344" s="91" t="s">
        <v>2287</v>
      </c>
      <c r="B344" s="92" t="s">
        <v>270</v>
      </c>
      <c r="C344" s="111">
        <v>25263240000</v>
      </c>
    </row>
    <row r="345" spans="1:3" x14ac:dyDescent="0.2">
      <c r="A345" s="91" t="s">
        <v>2288</v>
      </c>
      <c r="B345" s="92" t="s">
        <v>270</v>
      </c>
      <c r="C345" s="111">
        <v>25263240000</v>
      </c>
    </row>
    <row r="346" spans="1:3" x14ac:dyDescent="0.2">
      <c r="A346" s="91" t="s">
        <v>2268</v>
      </c>
      <c r="B346" s="92" t="s">
        <v>270</v>
      </c>
      <c r="C346" s="111">
        <v>191030753.69</v>
      </c>
    </row>
    <row r="347" spans="1:3" x14ac:dyDescent="0.2">
      <c r="A347" s="91" t="s">
        <v>2067</v>
      </c>
      <c r="B347" s="92" t="s">
        <v>270</v>
      </c>
      <c r="C347" s="111">
        <v>191030753.69</v>
      </c>
    </row>
    <row r="348" spans="1:3" x14ac:dyDescent="0.2">
      <c r="A348" s="91" t="s">
        <v>2245</v>
      </c>
      <c r="B348" s="92" t="s">
        <v>270</v>
      </c>
      <c r="C348" s="111">
        <v>191030753.69</v>
      </c>
    </row>
    <row r="349" spans="1:3" x14ac:dyDescent="0.2">
      <c r="A349" s="91" t="s">
        <v>2262</v>
      </c>
      <c r="B349" s="92" t="s">
        <v>270</v>
      </c>
      <c r="C349" s="111">
        <v>191030753.69</v>
      </c>
    </row>
    <row r="350" spans="1:3" x14ac:dyDescent="0.2">
      <c r="A350" s="91" t="s">
        <v>2279</v>
      </c>
      <c r="B350" s="92" t="s">
        <v>270</v>
      </c>
      <c r="C350" s="111">
        <v>191030753.69</v>
      </c>
    </row>
    <row r="351" spans="1:3" x14ac:dyDescent="0.2">
      <c r="A351" s="91" t="s">
        <v>2241</v>
      </c>
      <c r="B351" s="92" t="s">
        <v>270</v>
      </c>
      <c r="C351" s="111">
        <v>191030753.69</v>
      </c>
    </row>
    <row r="352" spans="1:3" x14ac:dyDescent="0.2">
      <c r="A352" s="91" t="s">
        <v>2257</v>
      </c>
      <c r="B352" s="92" t="s">
        <v>270</v>
      </c>
      <c r="C352" s="111">
        <v>191030753.69</v>
      </c>
    </row>
    <row r="353" spans="1:3" x14ac:dyDescent="0.2">
      <c r="A353" s="91" t="s">
        <v>2237</v>
      </c>
      <c r="B353" s="92" t="s">
        <v>270</v>
      </c>
      <c r="C353" s="111">
        <v>49667995.950000003</v>
      </c>
    </row>
    <row r="354" spans="1:3" x14ac:dyDescent="0.2">
      <c r="A354" s="91" t="s">
        <v>2252</v>
      </c>
      <c r="B354" s="92" t="s">
        <v>270</v>
      </c>
      <c r="C354" s="111">
        <v>191030753.69</v>
      </c>
    </row>
    <row r="355" spans="1:3" x14ac:dyDescent="0.2">
      <c r="A355" s="91" t="s">
        <v>2269</v>
      </c>
      <c r="B355" s="92" t="s">
        <v>270</v>
      </c>
      <c r="C355" s="111">
        <v>191030753.69</v>
      </c>
    </row>
    <row r="356" spans="1:3" x14ac:dyDescent="0.2">
      <c r="A356" s="91" t="s">
        <v>2232</v>
      </c>
      <c r="B356" s="92" t="s">
        <v>270</v>
      </c>
      <c r="C356" s="111">
        <v>191030753.69</v>
      </c>
    </row>
    <row r="357" spans="1:3" x14ac:dyDescent="0.2">
      <c r="A357" s="91" t="s">
        <v>2246</v>
      </c>
      <c r="B357" s="92" t="s">
        <v>270</v>
      </c>
      <c r="C357" s="111">
        <v>191030753.69</v>
      </c>
    </row>
    <row r="358" spans="1:3" x14ac:dyDescent="0.2">
      <c r="A358" s="91" t="s">
        <v>2263</v>
      </c>
      <c r="B358" s="92" t="s">
        <v>270</v>
      </c>
      <c r="C358" s="111">
        <v>191030753.69</v>
      </c>
    </row>
    <row r="359" spans="1:3" x14ac:dyDescent="0.2">
      <c r="A359" s="91" t="s">
        <v>2280</v>
      </c>
      <c r="B359" s="92" t="s">
        <v>270</v>
      </c>
      <c r="C359" s="111">
        <v>191030753.69</v>
      </c>
    </row>
    <row r="360" spans="1:3" x14ac:dyDescent="0.2">
      <c r="A360" s="91" t="s">
        <v>2242</v>
      </c>
      <c r="B360" s="92" t="s">
        <v>270</v>
      </c>
      <c r="C360" s="111">
        <v>191030753.69</v>
      </c>
    </row>
    <row r="361" spans="1:3" x14ac:dyDescent="0.2">
      <c r="A361" s="91" t="s">
        <v>2258</v>
      </c>
      <c r="B361" s="92" t="s">
        <v>270</v>
      </c>
      <c r="C361" s="111">
        <v>191030753.69</v>
      </c>
    </row>
    <row r="362" spans="1:3" x14ac:dyDescent="0.2">
      <c r="A362" s="91" t="s">
        <v>2274</v>
      </c>
      <c r="B362" s="92" t="s">
        <v>270</v>
      </c>
      <c r="C362" s="111">
        <v>59251583.939999998</v>
      </c>
    </row>
    <row r="363" spans="1:3" x14ac:dyDescent="0.2">
      <c r="A363" s="91" t="s">
        <v>2275</v>
      </c>
      <c r="B363" s="92" t="s">
        <v>270</v>
      </c>
      <c r="C363" s="111">
        <v>57001972.619999997</v>
      </c>
    </row>
    <row r="364" spans="1:3" x14ac:dyDescent="0.2">
      <c r="A364" s="91" t="s">
        <v>1657</v>
      </c>
      <c r="B364" s="92" t="s">
        <v>222</v>
      </c>
      <c r="C364" s="111">
        <v>3000000</v>
      </c>
    </row>
    <row r="365" spans="1:3" x14ac:dyDescent="0.2">
      <c r="A365" s="91" t="s">
        <v>1475</v>
      </c>
      <c r="B365" s="92" t="s">
        <v>222</v>
      </c>
      <c r="C365" s="111">
        <v>252783297.75999999</v>
      </c>
    </row>
    <row r="366" spans="1:3" x14ac:dyDescent="0.2">
      <c r="A366" s="91" t="s">
        <v>1908</v>
      </c>
      <c r="B366" s="92" t="s">
        <v>222</v>
      </c>
      <c r="C366" s="111">
        <v>269056220.23000002</v>
      </c>
    </row>
    <row r="367" spans="1:3" x14ac:dyDescent="0.2">
      <c r="A367" s="91" t="s">
        <v>1298</v>
      </c>
      <c r="B367" s="92" t="s">
        <v>222</v>
      </c>
      <c r="C367" s="111">
        <v>103376230.70999999</v>
      </c>
    </row>
    <row r="368" spans="1:3" x14ac:dyDescent="0.2">
      <c r="A368" s="91" t="s">
        <v>2038</v>
      </c>
      <c r="B368" s="92" t="s">
        <v>270</v>
      </c>
      <c r="C368" s="111">
        <v>357828063.76999998</v>
      </c>
    </row>
    <row r="369" spans="1:3" x14ac:dyDescent="0.2">
      <c r="A369" s="91" t="s">
        <v>1087</v>
      </c>
      <c r="B369" s="92" t="s">
        <v>222</v>
      </c>
      <c r="C369" s="111">
        <v>45000000</v>
      </c>
    </row>
    <row r="370" spans="1:3" x14ac:dyDescent="0.2">
      <c r="A370" s="91" t="s">
        <v>1482</v>
      </c>
      <c r="B370" s="92" t="s">
        <v>222</v>
      </c>
      <c r="C370" s="111">
        <v>27142717.16</v>
      </c>
    </row>
    <row r="371" spans="1:3" x14ac:dyDescent="0.2">
      <c r="A371" s="91" t="s">
        <v>1093</v>
      </c>
      <c r="B371" s="92" t="s">
        <v>268</v>
      </c>
      <c r="C371" s="111">
        <v>173344723.40000001</v>
      </c>
    </row>
    <row r="372" spans="1:3" x14ac:dyDescent="0.2">
      <c r="A372" s="91" t="s">
        <v>753</v>
      </c>
      <c r="B372" s="92" t="s">
        <v>268</v>
      </c>
      <c r="C372" s="111">
        <v>118897838.39</v>
      </c>
    </row>
    <row r="373" spans="1:3" x14ac:dyDescent="0.2">
      <c r="A373" s="91" t="s">
        <v>1441</v>
      </c>
      <c r="B373" s="92" t="s">
        <v>222</v>
      </c>
      <c r="C373" s="111">
        <v>3747066.25</v>
      </c>
    </row>
    <row r="374" spans="1:3" x14ac:dyDescent="0.2">
      <c r="A374" s="91" t="s">
        <v>2273</v>
      </c>
      <c r="B374" s="92" t="s">
        <v>270</v>
      </c>
      <c r="C374" s="111">
        <v>348173659.35000002</v>
      </c>
    </row>
    <row r="375" spans="1:3" x14ac:dyDescent="0.2">
      <c r="A375" s="91" t="s">
        <v>2251</v>
      </c>
      <c r="B375" s="92" t="s">
        <v>270</v>
      </c>
      <c r="C375" s="111">
        <v>221053350</v>
      </c>
    </row>
    <row r="376" spans="1:3" x14ac:dyDescent="0.2">
      <c r="A376" s="91" t="s">
        <v>2250</v>
      </c>
      <c r="B376" s="92" t="s">
        <v>270</v>
      </c>
      <c r="C376" s="111">
        <v>196450700.78</v>
      </c>
    </row>
    <row r="377" spans="1:3" x14ac:dyDescent="0.2">
      <c r="A377" s="91" t="s">
        <v>2256</v>
      </c>
      <c r="B377" s="92" t="s">
        <v>270</v>
      </c>
      <c r="C377" s="111">
        <v>266632128.03</v>
      </c>
    </row>
    <row r="378" spans="1:3" x14ac:dyDescent="0.2">
      <c r="A378" s="91" t="s">
        <v>2068</v>
      </c>
      <c r="B378" s="92" t="s">
        <v>270</v>
      </c>
      <c r="C378" s="111">
        <v>28589237.760000002</v>
      </c>
    </row>
    <row r="379" spans="1:3" x14ac:dyDescent="0.2">
      <c r="A379" s="91" t="s">
        <v>2236</v>
      </c>
      <c r="B379" s="92" t="s">
        <v>270</v>
      </c>
      <c r="C379" s="111">
        <v>360948541.5</v>
      </c>
    </row>
    <row r="380" spans="1:3" x14ac:dyDescent="0.2">
      <c r="A380" s="91" t="s">
        <v>2267</v>
      </c>
      <c r="B380" s="92" t="s">
        <v>270</v>
      </c>
      <c r="C380" s="111">
        <v>215148067.65000001</v>
      </c>
    </row>
    <row r="381" spans="1:3" x14ac:dyDescent="0.2">
      <c r="A381" s="91" t="s">
        <v>459</v>
      </c>
      <c r="B381" s="92" t="s">
        <v>270</v>
      </c>
      <c r="C381" s="111">
        <v>1894743000</v>
      </c>
    </row>
    <row r="382" spans="1:3" x14ac:dyDescent="0.2">
      <c r="A382" s="91" t="s">
        <v>691</v>
      </c>
      <c r="B382" s="92" t="s">
        <v>270</v>
      </c>
      <c r="C382" s="111">
        <v>1178160.04</v>
      </c>
    </row>
    <row r="383" spans="1:3" x14ac:dyDescent="0.2">
      <c r="A383" s="91" t="s">
        <v>708</v>
      </c>
      <c r="B383" s="92" t="s">
        <v>270</v>
      </c>
      <c r="C383" s="111">
        <v>1208168.98</v>
      </c>
    </row>
    <row r="384" spans="1:3" x14ac:dyDescent="0.2">
      <c r="A384" s="91" t="s">
        <v>682</v>
      </c>
      <c r="B384" s="92" t="s">
        <v>270</v>
      </c>
      <c r="C384" s="111">
        <v>1486528.83</v>
      </c>
    </row>
    <row r="385" spans="1:3" x14ac:dyDescent="0.2">
      <c r="A385" s="91" t="s">
        <v>705</v>
      </c>
      <c r="B385" s="92" t="s">
        <v>270</v>
      </c>
      <c r="C385" s="111">
        <v>708462.09</v>
      </c>
    </row>
    <row r="386" spans="1:3" x14ac:dyDescent="0.2">
      <c r="A386" s="91" t="s">
        <v>724</v>
      </c>
      <c r="B386" s="92" t="s">
        <v>270</v>
      </c>
      <c r="C386" s="111">
        <v>560195.29</v>
      </c>
    </row>
    <row r="387" spans="1:3" x14ac:dyDescent="0.2">
      <c r="A387" s="91" t="s">
        <v>740</v>
      </c>
      <c r="B387" s="92" t="s">
        <v>270</v>
      </c>
      <c r="C387" s="111">
        <v>454025.27</v>
      </c>
    </row>
    <row r="388" spans="1:3" x14ac:dyDescent="0.2">
      <c r="A388" s="91" t="s">
        <v>859</v>
      </c>
      <c r="B388" s="92" t="s">
        <v>270</v>
      </c>
      <c r="C388" s="111">
        <v>955246.76</v>
      </c>
    </row>
    <row r="389" spans="1:3" x14ac:dyDescent="0.2">
      <c r="A389" s="91" t="s">
        <v>681</v>
      </c>
      <c r="B389" s="92" t="s">
        <v>270</v>
      </c>
      <c r="C389" s="111">
        <v>2982804.22</v>
      </c>
    </row>
    <row r="390" spans="1:3" x14ac:dyDescent="0.2">
      <c r="A390" s="91" t="s">
        <v>672</v>
      </c>
      <c r="B390" s="92" t="s">
        <v>270</v>
      </c>
      <c r="C390" s="111">
        <v>2144584.44</v>
      </c>
    </row>
    <row r="391" spans="1:3" x14ac:dyDescent="0.2">
      <c r="A391" s="91" t="s">
        <v>830</v>
      </c>
      <c r="B391" s="92" t="s">
        <v>270</v>
      </c>
      <c r="C391" s="111">
        <v>5035818.76</v>
      </c>
    </row>
    <row r="392" spans="1:3" x14ac:dyDescent="0.2">
      <c r="A392" s="91" t="s">
        <v>851</v>
      </c>
      <c r="B392" s="92" t="s">
        <v>270</v>
      </c>
      <c r="C392" s="111">
        <v>2482102.33</v>
      </c>
    </row>
    <row r="393" spans="1:3" x14ac:dyDescent="0.2">
      <c r="A393" s="91" t="s">
        <v>857</v>
      </c>
      <c r="B393" s="92" t="s">
        <v>270</v>
      </c>
      <c r="C393" s="111">
        <v>778159.96</v>
      </c>
    </row>
    <row r="394" spans="1:3" x14ac:dyDescent="0.2">
      <c r="A394" s="91" t="s">
        <v>979</v>
      </c>
      <c r="B394" s="92" t="s">
        <v>270</v>
      </c>
      <c r="C394" s="111">
        <v>1183584.7</v>
      </c>
    </row>
    <row r="395" spans="1:3" x14ac:dyDescent="0.2">
      <c r="A395" s="91" t="s">
        <v>820</v>
      </c>
      <c r="B395" s="92" t="s">
        <v>270</v>
      </c>
      <c r="C395" s="111">
        <v>3507723.92</v>
      </c>
    </row>
    <row r="396" spans="1:3" x14ac:dyDescent="0.2">
      <c r="A396" s="91" t="s">
        <v>829</v>
      </c>
      <c r="B396" s="92" t="s">
        <v>270</v>
      </c>
      <c r="C396" s="111">
        <v>2307363.2400000002</v>
      </c>
    </row>
    <row r="397" spans="1:3" x14ac:dyDescent="0.2">
      <c r="A397" s="91" t="s">
        <v>1480</v>
      </c>
      <c r="B397" s="92" t="s">
        <v>273</v>
      </c>
      <c r="C397" s="111">
        <v>9710875.0999999996</v>
      </c>
    </row>
    <row r="398" spans="1:3" x14ac:dyDescent="0.2">
      <c r="A398" s="91" t="s">
        <v>1956</v>
      </c>
      <c r="B398" s="92" t="s">
        <v>270</v>
      </c>
      <c r="C398" s="111">
        <v>1244693188</v>
      </c>
    </row>
    <row r="399" spans="1:3" x14ac:dyDescent="0.2">
      <c r="A399" s="91" t="s">
        <v>1521</v>
      </c>
      <c r="B399" s="92" t="s">
        <v>270</v>
      </c>
      <c r="C399" s="111">
        <v>4235000</v>
      </c>
    </row>
    <row r="400" spans="1:3" x14ac:dyDescent="0.2">
      <c r="A400" s="91" t="s">
        <v>1523</v>
      </c>
      <c r="B400" s="92" t="s">
        <v>270</v>
      </c>
      <c r="C400" s="111">
        <v>4235000</v>
      </c>
    </row>
    <row r="401" spans="1:3" x14ac:dyDescent="0.2">
      <c r="A401" s="91" t="s">
        <v>1178</v>
      </c>
      <c r="B401" s="92" t="s">
        <v>270</v>
      </c>
      <c r="C401" s="111">
        <v>2877009.57</v>
      </c>
    </row>
    <row r="402" spans="1:3" x14ac:dyDescent="0.2">
      <c r="A402" s="91" t="s">
        <v>1517</v>
      </c>
      <c r="B402" s="92" t="s">
        <v>270</v>
      </c>
      <c r="C402" s="111">
        <v>4234980</v>
      </c>
    </row>
    <row r="403" spans="1:3" x14ac:dyDescent="0.2">
      <c r="A403" s="91" t="s">
        <v>2112</v>
      </c>
      <c r="B403" s="92" t="s">
        <v>270</v>
      </c>
      <c r="C403" s="111">
        <v>5000000</v>
      </c>
    </row>
    <row r="404" spans="1:3" x14ac:dyDescent="0.2">
      <c r="A404" s="91" t="s">
        <v>2108</v>
      </c>
      <c r="B404" s="92" t="s">
        <v>270</v>
      </c>
      <c r="C404" s="111">
        <v>4000000</v>
      </c>
    </row>
    <row r="405" spans="1:3" x14ac:dyDescent="0.2">
      <c r="A405" s="91" t="s">
        <v>2109</v>
      </c>
      <c r="B405" s="92" t="s">
        <v>270</v>
      </c>
      <c r="C405" s="111">
        <v>8000000</v>
      </c>
    </row>
    <row r="406" spans="1:3" x14ac:dyDescent="0.2">
      <c r="A406" s="91" t="s">
        <v>1524</v>
      </c>
      <c r="B406" s="92" t="s">
        <v>270</v>
      </c>
      <c r="C406" s="111">
        <v>8400000</v>
      </c>
    </row>
    <row r="407" spans="1:3" x14ac:dyDescent="0.2">
      <c r="A407" s="91" t="s">
        <v>1520</v>
      </c>
      <c r="B407" s="92" t="s">
        <v>270</v>
      </c>
      <c r="C407" s="111">
        <v>7913000</v>
      </c>
    </row>
    <row r="408" spans="1:3" x14ac:dyDescent="0.2">
      <c r="A408" s="91" t="s">
        <v>1180</v>
      </c>
      <c r="B408" s="92" t="s">
        <v>270</v>
      </c>
      <c r="C408" s="111">
        <v>15077552.35</v>
      </c>
    </row>
    <row r="409" spans="1:3" x14ac:dyDescent="0.2">
      <c r="A409" s="91" t="s">
        <v>1955</v>
      </c>
      <c r="B409" s="92" t="s">
        <v>270</v>
      </c>
      <c r="C409" s="111">
        <v>165864582</v>
      </c>
    </row>
    <row r="410" spans="1:3" x14ac:dyDescent="0.2">
      <c r="A410" s="91" t="s">
        <v>1519</v>
      </c>
      <c r="B410" s="92" t="s">
        <v>270</v>
      </c>
      <c r="C410" s="111">
        <v>627000</v>
      </c>
    </row>
    <row r="411" spans="1:3" x14ac:dyDescent="0.2">
      <c r="A411" s="91" t="s">
        <v>1954</v>
      </c>
      <c r="B411" s="92" t="s">
        <v>270</v>
      </c>
      <c r="C411" s="111">
        <v>20000000</v>
      </c>
    </row>
    <row r="412" spans="1:3" x14ac:dyDescent="0.2">
      <c r="A412" s="91" t="s">
        <v>1522</v>
      </c>
      <c r="B412" s="92" t="s">
        <v>270</v>
      </c>
      <c r="C412" s="111">
        <v>7877100</v>
      </c>
    </row>
    <row r="413" spans="1:3" x14ac:dyDescent="0.2">
      <c r="A413" s="91" t="s">
        <v>1518</v>
      </c>
      <c r="B413" s="92" t="s">
        <v>270</v>
      </c>
      <c r="C413" s="111">
        <v>4230000</v>
      </c>
    </row>
    <row r="414" spans="1:3" x14ac:dyDescent="0.2">
      <c r="A414" s="91" t="s">
        <v>2111</v>
      </c>
      <c r="B414" s="92" t="s">
        <v>270</v>
      </c>
      <c r="C414" s="111">
        <v>7000000</v>
      </c>
    </row>
    <row r="415" spans="1:3" x14ac:dyDescent="0.2">
      <c r="A415" s="91" t="s">
        <v>714</v>
      </c>
      <c r="B415" s="92" t="s">
        <v>270</v>
      </c>
      <c r="C415" s="111">
        <v>145000000</v>
      </c>
    </row>
    <row r="416" spans="1:3" x14ac:dyDescent="0.2">
      <c r="A416" s="91" t="s">
        <v>730</v>
      </c>
      <c r="B416" s="92" t="s">
        <v>270</v>
      </c>
      <c r="C416" s="111">
        <v>1765809.93</v>
      </c>
    </row>
    <row r="417" spans="1:3" x14ac:dyDescent="0.2">
      <c r="A417" s="91" t="s">
        <v>651</v>
      </c>
      <c r="B417" s="92" t="s">
        <v>270</v>
      </c>
      <c r="C417" s="111">
        <v>4534495.96</v>
      </c>
    </row>
    <row r="418" spans="1:3" x14ac:dyDescent="0.2">
      <c r="A418" s="91" t="s">
        <v>643</v>
      </c>
      <c r="B418" s="92" t="s">
        <v>270</v>
      </c>
      <c r="C418" s="111">
        <v>173966054.65000001</v>
      </c>
    </row>
    <row r="419" spans="1:3" x14ac:dyDescent="0.2">
      <c r="A419" s="91" t="s">
        <v>642</v>
      </c>
      <c r="B419" s="92" t="s">
        <v>270</v>
      </c>
      <c r="C419" s="111">
        <v>173966054.02000001</v>
      </c>
    </row>
    <row r="420" spans="1:3" x14ac:dyDescent="0.2">
      <c r="A420" s="91" t="s">
        <v>644</v>
      </c>
      <c r="B420" s="92" t="s">
        <v>270</v>
      </c>
      <c r="C420" s="111">
        <v>15508245.98</v>
      </c>
    </row>
    <row r="421" spans="1:3" x14ac:dyDescent="0.2">
      <c r="A421" s="91" t="s">
        <v>645</v>
      </c>
      <c r="B421" s="92" t="s">
        <v>270</v>
      </c>
      <c r="C421" s="111">
        <v>15508245.35</v>
      </c>
    </row>
    <row r="422" spans="1:3" x14ac:dyDescent="0.2">
      <c r="A422" s="91" t="s">
        <v>652</v>
      </c>
      <c r="B422" s="92" t="s">
        <v>270</v>
      </c>
      <c r="C422" s="111">
        <v>75000000</v>
      </c>
    </row>
    <row r="423" spans="1:3" x14ac:dyDescent="0.2">
      <c r="A423" s="91" t="s">
        <v>683</v>
      </c>
      <c r="B423" s="92" t="s">
        <v>270</v>
      </c>
      <c r="C423" s="111">
        <v>259240812.63999999</v>
      </c>
    </row>
    <row r="424" spans="1:3" x14ac:dyDescent="0.2">
      <c r="A424" s="91" t="s">
        <v>1242</v>
      </c>
      <c r="B424" s="92" t="s">
        <v>270</v>
      </c>
      <c r="C424" s="111">
        <v>19356393.829999998</v>
      </c>
    </row>
    <row r="425" spans="1:3" x14ac:dyDescent="0.2">
      <c r="A425" s="91" t="s">
        <v>1247</v>
      </c>
      <c r="B425" s="92" t="s">
        <v>270</v>
      </c>
      <c r="C425" s="111">
        <v>3430000</v>
      </c>
    </row>
    <row r="426" spans="1:3" x14ac:dyDescent="0.2">
      <c r="A426" s="91" t="s">
        <v>1182</v>
      </c>
      <c r="B426" s="92" t="s">
        <v>270</v>
      </c>
      <c r="C426" s="111">
        <v>2015891.14</v>
      </c>
    </row>
    <row r="427" spans="1:3" x14ac:dyDescent="0.2">
      <c r="A427" s="91" t="s">
        <v>1240</v>
      </c>
      <c r="B427" s="92" t="s">
        <v>270</v>
      </c>
      <c r="C427" s="111">
        <v>2585027.9500000002</v>
      </c>
    </row>
    <row r="428" spans="1:3" x14ac:dyDescent="0.2">
      <c r="A428" s="91" t="s">
        <v>1241</v>
      </c>
      <c r="B428" s="92" t="s">
        <v>270</v>
      </c>
      <c r="C428" s="111">
        <v>825140.83</v>
      </c>
    </row>
    <row r="429" spans="1:3" x14ac:dyDescent="0.2">
      <c r="A429" s="91" t="s">
        <v>1250</v>
      </c>
      <c r="B429" s="92" t="s">
        <v>270</v>
      </c>
      <c r="C429" s="111">
        <v>4181620.95</v>
      </c>
    </row>
    <row r="430" spans="1:3" x14ac:dyDescent="0.2">
      <c r="A430" s="91" t="s">
        <v>1249</v>
      </c>
      <c r="B430" s="92" t="s">
        <v>270</v>
      </c>
      <c r="C430" s="111">
        <v>525133.62</v>
      </c>
    </row>
    <row r="431" spans="1:3" x14ac:dyDescent="0.2">
      <c r="A431" s="91" t="s">
        <v>1251</v>
      </c>
      <c r="B431" s="92" t="s">
        <v>270</v>
      </c>
      <c r="C431" s="111">
        <v>4695790.29</v>
      </c>
    </row>
    <row r="432" spans="1:3" x14ac:dyDescent="0.2">
      <c r="A432" s="91" t="s">
        <v>1179</v>
      </c>
      <c r="B432" s="92" t="s">
        <v>270</v>
      </c>
      <c r="C432" s="111">
        <v>3125000</v>
      </c>
    </row>
    <row r="433" spans="1:3" x14ac:dyDescent="0.2">
      <c r="A433" s="91" t="s">
        <v>1181</v>
      </c>
      <c r="B433" s="92" t="s">
        <v>270</v>
      </c>
      <c r="C433" s="111">
        <v>2100000</v>
      </c>
    </row>
    <row r="434" spans="1:3" x14ac:dyDescent="0.2">
      <c r="A434" s="91" t="s">
        <v>1248</v>
      </c>
      <c r="B434" s="92" t="s">
        <v>270</v>
      </c>
      <c r="C434" s="111">
        <v>10473464.810000001</v>
      </c>
    </row>
    <row r="435" spans="1:3" x14ac:dyDescent="0.2">
      <c r="A435" s="91" t="s">
        <v>1356</v>
      </c>
      <c r="B435" s="92" t="s">
        <v>270</v>
      </c>
      <c r="C435" s="111">
        <v>1150243.6100000001</v>
      </c>
    </row>
    <row r="436" spans="1:3" x14ac:dyDescent="0.2">
      <c r="A436" s="91" t="s">
        <v>1317</v>
      </c>
      <c r="B436" s="92" t="s">
        <v>270</v>
      </c>
      <c r="C436" s="111">
        <v>1402125</v>
      </c>
    </row>
    <row r="437" spans="1:3" x14ac:dyDescent="0.2">
      <c r="A437" s="91" t="s">
        <v>1357</v>
      </c>
      <c r="B437" s="92" t="s">
        <v>270</v>
      </c>
      <c r="C437" s="111">
        <v>14081096.67</v>
      </c>
    </row>
    <row r="438" spans="1:3" x14ac:dyDescent="0.2">
      <c r="A438" s="91" t="s">
        <v>1322</v>
      </c>
      <c r="B438" s="92" t="s">
        <v>270</v>
      </c>
      <c r="C438" s="111">
        <v>221053350</v>
      </c>
    </row>
    <row r="439" spans="1:3" x14ac:dyDescent="0.2">
      <c r="A439" s="91" t="s">
        <v>1403</v>
      </c>
      <c r="B439" s="92" t="s">
        <v>270</v>
      </c>
      <c r="C439" s="111">
        <v>10000000</v>
      </c>
    </row>
    <row r="440" spans="1:3" x14ac:dyDescent="0.2">
      <c r="A440" s="91" t="s">
        <v>1402</v>
      </c>
      <c r="B440" s="92" t="s">
        <v>270</v>
      </c>
      <c r="C440" s="111">
        <v>8000000</v>
      </c>
    </row>
    <row r="441" spans="1:3" x14ac:dyDescent="0.2">
      <c r="A441" s="91" t="s">
        <v>956</v>
      </c>
      <c r="B441" s="92" t="s">
        <v>270</v>
      </c>
      <c r="C441" s="111">
        <v>9385429.1199999992</v>
      </c>
    </row>
    <row r="442" spans="1:3" x14ac:dyDescent="0.2">
      <c r="A442" s="91" t="s">
        <v>1318</v>
      </c>
      <c r="B442" s="92" t="s">
        <v>270</v>
      </c>
      <c r="C442" s="111">
        <v>4000000</v>
      </c>
    </row>
    <row r="443" spans="1:3" x14ac:dyDescent="0.2">
      <c r="A443" s="91" t="s">
        <v>761</v>
      </c>
      <c r="B443" s="92" t="s">
        <v>270</v>
      </c>
      <c r="C443" s="111">
        <v>60789473.68</v>
      </c>
    </row>
    <row r="444" spans="1:3" x14ac:dyDescent="0.2">
      <c r="A444" s="91" t="s">
        <v>764</v>
      </c>
      <c r="B444" s="92" t="s">
        <v>270</v>
      </c>
      <c r="C444" s="111">
        <v>228000000</v>
      </c>
    </row>
    <row r="445" spans="1:3" x14ac:dyDescent="0.2">
      <c r="A445" s="91" t="s">
        <v>1465</v>
      </c>
      <c r="B445" s="92" t="s">
        <v>270</v>
      </c>
      <c r="C445" s="111">
        <v>15000000</v>
      </c>
    </row>
    <row r="446" spans="1:3" x14ac:dyDescent="0.2">
      <c r="A446" s="91" t="s">
        <v>1462</v>
      </c>
      <c r="B446" s="92" t="s">
        <v>270</v>
      </c>
      <c r="C446" s="111">
        <v>15000000</v>
      </c>
    </row>
    <row r="447" spans="1:3" x14ac:dyDescent="0.2">
      <c r="A447" s="91" t="s">
        <v>1461</v>
      </c>
      <c r="B447" s="92" t="s">
        <v>270</v>
      </c>
      <c r="C447" s="111">
        <v>61500000</v>
      </c>
    </row>
    <row r="448" spans="1:3" x14ac:dyDescent="0.2">
      <c r="A448" s="91" t="s">
        <v>1788</v>
      </c>
      <c r="B448" s="92" t="s">
        <v>270</v>
      </c>
      <c r="C448" s="111">
        <v>291890246.44999999</v>
      </c>
    </row>
    <row r="449" spans="1:3" x14ac:dyDescent="0.2">
      <c r="A449" s="91" t="s">
        <v>1785</v>
      </c>
      <c r="B449" s="92" t="s">
        <v>270</v>
      </c>
      <c r="C449" s="111">
        <v>157633134.62</v>
      </c>
    </row>
    <row r="450" spans="1:3" x14ac:dyDescent="0.2">
      <c r="A450" s="91" t="s">
        <v>1787</v>
      </c>
      <c r="B450" s="92" t="s">
        <v>270</v>
      </c>
      <c r="C450" s="111">
        <v>1103637411</v>
      </c>
    </row>
    <row r="451" spans="1:3" x14ac:dyDescent="0.2">
      <c r="A451" s="91" t="s">
        <v>1796</v>
      </c>
      <c r="B451" s="92" t="s">
        <v>270</v>
      </c>
      <c r="C451" s="111">
        <v>164776134.66999999</v>
      </c>
    </row>
    <row r="452" spans="1:3" x14ac:dyDescent="0.2">
      <c r="A452" s="91" t="s">
        <v>1789</v>
      </c>
      <c r="B452" s="92" t="s">
        <v>270</v>
      </c>
      <c r="C452" s="111">
        <v>330003995.85000002</v>
      </c>
    </row>
    <row r="453" spans="1:3" x14ac:dyDescent="0.2">
      <c r="A453" s="91" t="s">
        <v>1797</v>
      </c>
      <c r="B453" s="92" t="s">
        <v>270</v>
      </c>
      <c r="C453" s="111">
        <v>55642605.5</v>
      </c>
    </row>
    <row r="454" spans="1:3" x14ac:dyDescent="0.2">
      <c r="A454" s="91" t="s">
        <v>1790</v>
      </c>
      <c r="B454" s="92" t="s">
        <v>270</v>
      </c>
      <c r="C454" s="111">
        <v>598955435</v>
      </c>
    </row>
    <row r="455" spans="1:3" x14ac:dyDescent="0.2">
      <c r="A455" s="91" t="s">
        <v>1791</v>
      </c>
      <c r="B455" s="92" t="s">
        <v>270</v>
      </c>
      <c r="C455" s="111">
        <v>441156601.66000003</v>
      </c>
    </row>
    <row r="456" spans="1:3" x14ac:dyDescent="0.2">
      <c r="A456" s="91" t="s">
        <v>1792</v>
      </c>
      <c r="B456" s="92" t="s">
        <v>270</v>
      </c>
      <c r="C456" s="111">
        <v>360344612.19</v>
      </c>
    </row>
    <row r="457" spans="1:3" x14ac:dyDescent="0.2">
      <c r="A457" s="91" t="s">
        <v>1793</v>
      </c>
      <c r="B457" s="92" t="s">
        <v>270</v>
      </c>
      <c r="C457" s="111">
        <v>299190516.60000002</v>
      </c>
    </row>
    <row r="458" spans="1:3" x14ac:dyDescent="0.2">
      <c r="A458" s="91" t="s">
        <v>1784</v>
      </c>
      <c r="B458" s="92" t="s">
        <v>270</v>
      </c>
      <c r="C458" s="111">
        <v>288900000</v>
      </c>
    </row>
    <row r="459" spans="1:3" x14ac:dyDescent="0.2">
      <c r="A459" s="91" t="s">
        <v>1786</v>
      </c>
      <c r="B459" s="92" t="s">
        <v>270</v>
      </c>
      <c r="C459" s="111">
        <v>21781976.27</v>
      </c>
    </row>
    <row r="460" spans="1:3" x14ac:dyDescent="0.2">
      <c r="A460" s="91" t="s">
        <v>1794</v>
      </c>
      <c r="B460" s="92" t="s">
        <v>270</v>
      </c>
      <c r="C460" s="111">
        <v>3972597.09</v>
      </c>
    </row>
    <row r="461" spans="1:3" x14ac:dyDescent="0.2">
      <c r="A461" s="91" t="s">
        <v>1783</v>
      </c>
      <c r="B461" s="92" t="s">
        <v>270</v>
      </c>
      <c r="C461" s="111">
        <v>19220308.370000001</v>
      </c>
    </row>
    <row r="462" spans="1:3" x14ac:dyDescent="0.2">
      <c r="A462" s="91" t="s">
        <v>1795</v>
      </c>
      <c r="B462" s="92" t="s">
        <v>270</v>
      </c>
      <c r="C462" s="111">
        <v>29235929.870000001</v>
      </c>
    </row>
    <row r="463" spans="1:3" x14ac:dyDescent="0.2">
      <c r="A463" s="91" t="s">
        <v>1244</v>
      </c>
      <c r="B463" s="92" t="s">
        <v>270</v>
      </c>
      <c r="C463" s="111">
        <v>5961846.9199999999</v>
      </c>
    </row>
    <row r="464" spans="1:3" x14ac:dyDescent="0.2">
      <c r="A464" s="91" t="s">
        <v>1246</v>
      </c>
      <c r="B464" s="92" t="s">
        <v>270</v>
      </c>
      <c r="C464" s="111">
        <v>13000000</v>
      </c>
    </row>
    <row r="465" spans="1:3" x14ac:dyDescent="0.2">
      <c r="A465" s="91" t="s">
        <v>1243</v>
      </c>
      <c r="B465" s="92" t="s">
        <v>270</v>
      </c>
      <c r="C465" s="111">
        <v>398194</v>
      </c>
    </row>
    <row r="466" spans="1:3" x14ac:dyDescent="0.2">
      <c r="A466" s="91" t="s">
        <v>1319</v>
      </c>
      <c r="B466" s="92" t="s">
        <v>270</v>
      </c>
      <c r="C466" s="111">
        <v>3224540.87</v>
      </c>
    </row>
    <row r="467" spans="1:3" x14ac:dyDescent="0.2">
      <c r="A467" s="91" t="s">
        <v>1321</v>
      </c>
      <c r="B467" s="92" t="s">
        <v>270</v>
      </c>
      <c r="C467" s="111">
        <v>7000000</v>
      </c>
    </row>
    <row r="468" spans="1:3" x14ac:dyDescent="0.2">
      <c r="A468" s="91" t="s">
        <v>1245</v>
      </c>
      <c r="B468" s="92" t="s">
        <v>270</v>
      </c>
      <c r="C468" s="111">
        <v>4941567.4400000004</v>
      </c>
    </row>
    <row r="469" spans="1:3" x14ac:dyDescent="0.2">
      <c r="A469" s="91" t="s">
        <v>1320</v>
      </c>
      <c r="B469" s="92" t="s">
        <v>270</v>
      </c>
      <c r="C469" s="111">
        <v>1580000</v>
      </c>
    </row>
    <row r="470" spans="1:3" x14ac:dyDescent="0.2">
      <c r="A470" s="91" t="s">
        <v>1401</v>
      </c>
      <c r="B470" s="92" t="s">
        <v>270</v>
      </c>
      <c r="C470" s="111">
        <v>5000000</v>
      </c>
    </row>
    <row r="471" spans="1:3" x14ac:dyDescent="0.2">
      <c r="A471" s="91" t="s">
        <v>1463</v>
      </c>
      <c r="B471" s="92" t="s">
        <v>270</v>
      </c>
      <c r="C471" s="111">
        <v>18500000</v>
      </c>
    </row>
    <row r="472" spans="1:3" x14ac:dyDescent="0.2">
      <c r="A472" s="91" t="s">
        <v>1464</v>
      </c>
      <c r="B472" s="92" t="s">
        <v>270</v>
      </c>
      <c r="C472" s="111">
        <v>30000000</v>
      </c>
    </row>
    <row r="473" spans="1:3" x14ac:dyDescent="0.2">
      <c r="A473" s="91" t="s">
        <v>2110</v>
      </c>
      <c r="B473" s="92" t="s">
        <v>270</v>
      </c>
      <c r="C473" s="111">
        <v>1000000</v>
      </c>
    </row>
    <row r="474" spans="1:3" x14ac:dyDescent="0.2">
      <c r="A474" s="91" t="s">
        <v>1177</v>
      </c>
      <c r="B474" s="92" t="s">
        <v>270</v>
      </c>
      <c r="C474" s="111">
        <v>7793387.5099999998</v>
      </c>
    </row>
    <row r="475" spans="1:3" x14ac:dyDescent="0.2">
      <c r="A475" s="91" t="s">
        <v>2113</v>
      </c>
      <c r="B475" s="92" t="s">
        <v>270</v>
      </c>
      <c r="C475" s="111">
        <v>2890719.82</v>
      </c>
    </row>
    <row r="476" spans="1:3" x14ac:dyDescent="0.2">
      <c r="A476" s="91" t="s">
        <v>2114</v>
      </c>
      <c r="B476" s="92" t="s">
        <v>270</v>
      </c>
      <c r="C476" s="111">
        <v>2594980.7999999998</v>
      </c>
    </row>
    <row r="477" spans="1:3" x14ac:dyDescent="0.2">
      <c r="A477" s="91" t="s">
        <v>2115</v>
      </c>
      <c r="B477" s="92" t="s">
        <v>270</v>
      </c>
      <c r="C477" s="111">
        <v>25000000</v>
      </c>
    </row>
    <row r="478" spans="1:3" x14ac:dyDescent="0.2">
      <c r="A478" s="91" t="s">
        <v>2116</v>
      </c>
      <c r="B478" s="92" t="s">
        <v>270</v>
      </c>
      <c r="C478" s="111">
        <v>5000000</v>
      </c>
    </row>
    <row r="479" spans="1:3" x14ac:dyDescent="0.2">
      <c r="A479" s="91" t="s">
        <v>2042</v>
      </c>
      <c r="B479" s="92" t="s">
        <v>270</v>
      </c>
      <c r="C479" s="111">
        <v>2838006040</v>
      </c>
    </row>
    <row r="480" spans="1:3" x14ac:dyDescent="0.2">
      <c r="A480" s="91" t="s">
        <v>1886</v>
      </c>
      <c r="B480" s="92" t="s">
        <v>268</v>
      </c>
      <c r="C480" s="111">
        <v>283961606.83999997</v>
      </c>
    </row>
    <row r="481" spans="1:3" x14ac:dyDescent="0.2">
      <c r="A481" s="91" t="s">
        <v>43</v>
      </c>
      <c r="B481" s="92" t="s">
        <v>268</v>
      </c>
      <c r="C481" s="111">
        <v>9070995618.1200008</v>
      </c>
    </row>
    <row r="482" spans="1:3" x14ac:dyDescent="0.2">
      <c r="A482" s="91" t="s">
        <v>65</v>
      </c>
      <c r="B482" s="92" t="s">
        <v>268</v>
      </c>
      <c r="C482" s="111">
        <v>26571491555.32</v>
      </c>
    </row>
    <row r="483" spans="1:3" x14ac:dyDescent="0.2">
      <c r="A483" s="91" t="s">
        <v>1302</v>
      </c>
      <c r="B483" s="92" t="s">
        <v>268</v>
      </c>
      <c r="C483" s="111">
        <v>12820326381.860001</v>
      </c>
    </row>
    <row r="484" spans="1:3" x14ac:dyDescent="0.2">
      <c r="A484" s="91" t="s">
        <v>649</v>
      </c>
      <c r="B484" s="92" t="s">
        <v>268</v>
      </c>
      <c r="C484" s="111">
        <v>1923106579.0799999</v>
      </c>
    </row>
    <row r="485" spans="1:3" x14ac:dyDescent="0.2">
      <c r="A485" s="91" t="s">
        <v>1103</v>
      </c>
      <c r="B485" s="92" t="s">
        <v>268</v>
      </c>
      <c r="C485" s="111">
        <v>1900000000</v>
      </c>
    </row>
    <row r="486" spans="1:3" x14ac:dyDescent="0.2">
      <c r="A486" s="91" t="s">
        <v>1104</v>
      </c>
      <c r="B486" s="92" t="s">
        <v>268</v>
      </c>
      <c r="C486" s="111">
        <v>1900000000</v>
      </c>
    </row>
    <row r="487" spans="1:3" x14ac:dyDescent="0.2">
      <c r="A487" s="91" t="s">
        <v>1105</v>
      </c>
      <c r="B487" s="92" t="s">
        <v>268</v>
      </c>
      <c r="C487" s="111">
        <v>1900000000</v>
      </c>
    </row>
    <row r="488" spans="1:3" x14ac:dyDescent="0.2">
      <c r="A488" s="91" t="s">
        <v>1169</v>
      </c>
      <c r="B488" s="92" t="s">
        <v>268</v>
      </c>
      <c r="C488" s="111">
        <v>1900000000</v>
      </c>
    </row>
    <row r="489" spans="1:3" x14ac:dyDescent="0.2">
      <c r="A489" s="91" t="s">
        <v>1941</v>
      </c>
      <c r="B489" s="92" t="s">
        <v>222</v>
      </c>
      <c r="C489" s="111">
        <v>182596090.61000001</v>
      </c>
    </row>
    <row r="490" spans="1:3" x14ac:dyDescent="0.2">
      <c r="A490" s="91" t="s">
        <v>2069</v>
      </c>
      <c r="B490" s="92" t="s">
        <v>270</v>
      </c>
      <c r="C490" s="111">
        <v>175551763.34999999</v>
      </c>
    </row>
    <row r="491" spans="1:3" x14ac:dyDescent="0.2">
      <c r="A491" s="91" t="s">
        <v>122</v>
      </c>
      <c r="B491" s="92" t="s">
        <v>268</v>
      </c>
      <c r="C491" s="111">
        <v>641800000</v>
      </c>
    </row>
    <row r="492" spans="1:3" x14ac:dyDescent="0.2">
      <c r="A492" s="91" t="s">
        <v>1442</v>
      </c>
      <c r="B492" s="92" t="s">
        <v>538</v>
      </c>
      <c r="C492" s="111">
        <v>793957854.14999998</v>
      </c>
    </row>
    <row r="493" spans="1:3" x14ac:dyDescent="0.2">
      <c r="A493" s="91" t="s">
        <v>1498</v>
      </c>
      <c r="B493" s="92" t="s">
        <v>538</v>
      </c>
      <c r="C493" s="111">
        <v>494282933.38</v>
      </c>
    </row>
    <row r="494" spans="1:3" x14ac:dyDescent="0.2">
      <c r="A494" s="91" t="s">
        <v>1537</v>
      </c>
      <c r="B494" s="92" t="s">
        <v>268</v>
      </c>
      <c r="C494" s="111">
        <v>233598468.66999999</v>
      </c>
    </row>
    <row r="495" spans="1:3" x14ac:dyDescent="0.2">
      <c r="A495" s="91" t="s">
        <v>1538</v>
      </c>
      <c r="B495" s="92" t="s">
        <v>321</v>
      </c>
      <c r="C495" s="111">
        <v>354765816.36000001</v>
      </c>
    </row>
    <row r="496" spans="1:3" x14ac:dyDescent="0.2">
      <c r="A496" s="91" t="s">
        <v>1539</v>
      </c>
      <c r="B496" s="92" t="s">
        <v>321</v>
      </c>
      <c r="C496" s="111">
        <v>206458991.25999999</v>
      </c>
    </row>
    <row r="497" spans="1:3" x14ac:dyDescent="0.2">
      <c r="A497" s="91" t="s">
        <v>1710</v>
      </c>
      <c r="B497" s="92" t="s">
        <v>321</v>
      </c>
      <c r="C497" s="111">
        <v>100000</v>
      </c>
    </row>
    <row r="498" spans="1:3" x14ac:dyDescent="0.2">
      <c r="A498" s="91" t="s">
        <v>1540</v>
      </c>
      <c r="B498" s="92" t="s">
        <v>268</v>
      </c>
      <c r="C498" s="111">
        <v>5544076643.8199997</v>
      </c>
    </row>
    <row r="499" spans="1:3" x14ac:dyDescent="0.2">
      <c r="A499" s="91" t="s">
        <v>126</v>
      </c>
      <c r="B499" s="92" t="s">
        <v>268</v>
      </c>
      <c r="C499" s="111">
        <v>11383750000</v>
      </c>
    </row>
    <row r="500" spans="1:3" x14ac:dyDescent="0.2">
      <c r="A500" s="91" t="s">
        <v>199</v>
      </c>
      <c r="B500" s="92" t="s">
        <v>268</v>
      </c>
      <c r="C500" s="111">
        <v>16002981968.219999</v>
      </c>
    </row>
    <row r="501" spans="1:3" x14ac:dyDescent="0.2">
      <c r="A501" s="91" t="s">
        <v>209</v>
      </c>
      <c r="B501" s="92" t="s">
        <v>268</v>
      </c>
      <c r="C501" s="111">
        <v>13076098468.67</v>
      </c>
    </row>
    <row r="502" spans="1:3" x14ac:dyDescent="0.2">
      <c r="A502" s="91" t="s">
        <v>1541</v>
      </c>
      <c r="B502" s="92" t="s">
        <v>268</v>
      </c>
      <c r="C502" s="111">
        <v>11199433275.879999</v>
      </c>
    </row>
    <row r="503" spans="1:3" x14ac:dyDescent="0.2">
      <c r="A503" s="91" t="s">
        <v>1542</v>
      </c>
      <c r="B503" s="92" t="s">
        <v>268</v>
      </c>
      <c r="C503" s="111">
        <v>10341170631.33</v>
      </c>
    </row>
    <row r="504" spans="1:3" x14ac:dyDescent="0.2">
      <c r="A504" s="91" t="s">
        <v>1097</v>
      </c>
      <c r="B504" s="92" t="s">
        <v>222</v>
      </c>
      <c r="C504" s="111">
        <v>47000000</v>
      </c>
    </row>
    <row r="505" spans="1:3" x14ac:dyDescent="0.2">
      <c r="A505" s="91" t="s">
        <v>1279</v>
      </c>
      <c r="B505" s="92" t="s">
        <v>222</v>
      </c>
      <c r="C505" s="111">
        <v>44999999.969999999</v>
      </c>
    </row>
    <row r="506" spans="1:3" x14ac:dyDescent="0.2">
      <c r="A506" s="91" t="s">
        <v>1290</v>
      </c>
      <c r="B506" s="92" t="s">
        <v>222</v>
      </c>
      <c r="C506" s="111">
        <v>101232697.34999999</v>
      </c>
    </row>
    <row r="507" spans="1:3" x14ac:dyDescent="0.2">
      <c r="A507" s="91" t="s">
        <v>1639</v>
      </c>
      <c r="B507" s="92" t="s">
        <v>222</v>
      </c>
      <c r="C507" s="111">
        <v>33000000</v>
      </c>
    </row>
    <row r="508" spans="1:3" x14ac:dyDescent="0.2">
      <c r="A508" s="91" t="s">
        <v>1721</v>
      </c>
      <c r="B508" s="92" t="s">
        <v>222</v>
      </c>
      <c r="C508" s="111">
        <v>50000000</v>
      </c>
    </row>
    <row r="509" spans="1:3" x14ac:dyDescent="0.2">
      <c r="A509" s="91" t="s">
        <v>479</v>
      </c>
      <c r="B509" s="92" t="s">
        <v>270</v>
      </c>
      <c r="C509" s="111">
        <v>189474300</v>
      </c>
    </row>
    <row r="510" spans="1:3" x14ac:dyDescent="0.2">
      <c r="A510" s="91" t="s">
        <v>480</v>
      </c>
      <c r="B510" s="92" t="s">
        <v>270</v>
      </c>
      <c r="C510" s="111">
        <v>78947625</v>
      </c>
    </row>
    <row r="511" spans="1:3" x14ac:dyDescent="0.2">
      <c r="A511" s="91" t="s">
        <v>235</v>
      </c>
      <c r="B511" s="92" t="s">
        <v>270</v>
      </c>
      <c r="C511" s="111">
        <v>34072910.740000002</v>
      </c>
    </row>
    <row r="512" spans="1:3" x14ac:dyDescent="0.2">
      <c r="A512" s="91" t="s">
        <v>257</v>
      </c>
      <c r="B512" s="92" t="s">
        <v>270</v>
      </c>
      <c r="C512" s="111">
        <v>13690970.810000001</v>
      </c>
    </row>
    <row r="513" spans="1:3" x14ac:dyDescent="0.2">
      <c r="A513" s="91" t="s">
        <v>555</v>
      </c>
      <c r="B513" s="92" t="s">
        <v>270</v>
      </c>
      <c r="C513" s="111">
        <v>11093657.109999999</v>
      </c>
    </row>
    <row r="514" spans="1:3" x14ac:dyDescent="0.2">
      <c r="A514" s="91" t="s">
        <v>556</v>
      </c>
      <c r="B514" s="92" t="s">
        <v>270</v>
      </c>
      <c r="C514" s="111">
        <v>13245643.050000001</v>
      </c>
    </row>
    <row r="515" spans="1:3" x14ac:dyDescent="0.2">
      <c r="A515" s="91" t="s">
        <v>133</v>
      </c>
      <c r="B515" s="92" t="s">
        <v>270</v>
      </c>
      <c r="C515" s="111">
        <v>29012431.129999999</v>
      </c>
    </row>
    <row r="516" spans="1:3" x14ac:dyDescent="0.2">
      <c r="A516" s="91" t="s">
        <v>371</v>
      </c>
      <c r="B516" s="92" t="s">
        <v>270</v>
      </c>
      <c r="C516" s="111">
        <v>30315888</v>
      </c>
    </row>
    <row r="517" spans="1:3" x14ac:dyDescent="0.2">
      <c r="A517" s="91" t="s">
        <v>11</v>
      </c>
      <c r="B517" s="92" t="s">
        <v>270</v>
      </c>
      <c r="C517" s="111">
        <v>29368516.5</v>
      </c>
    </row>
    <row r="518" spans="1:3" x14ac:dyDescent="0.2">
      <c r="A518" s="91" t="s">
        <v>151</v>
      </c>
      <c r="B518" s="92" t="s">
        <v>270</v>
      </c>
      <c r="C518" s="111">
        <v>37010646.600000001</v>
      </c>
    </row>
    <row r="519" spans="1:3" x14ac:dyDescent="0.2">
      <c r="A519" s="91" t="s">
        <v>368</v>
      </c>
      <c r="B519" s="92" t="s">
        <v>270</v>
      </c>
      <c r="C519" s="111">
        <v>36450813.200000003</v>
      </c>
    </row>
    <row r="520" spans="1:3" x14ac:dyDescent="0.2">
      <c r="A520" s="91" t="s">
        <v>246</v>
      </c>
      <c r="B520" s="92" t="s">
        <v>270</v>
      </c>
      <c r="C520" s="111">
        <v>11480184.68</v>
      </c>
    </row>
    <row r="521" spans="1:3" x14ac:dyDescent="0.2">
      <c r="A521" s="91" t="s">
        <v>429</v>
      </c>
      <c r="B521" s="92" t="s">
        <v>270</v>
      </c>
      <c r="C521" s="111">
        <v>18781703.149999999</v>
      </c>
    </row>
    <row r="522" spans="1:3" x14ac:dyDescent="0.2">
      <c r="A522" s="91" t="s">
        <v>423</v>
      </c>
      <c r="B522" s="92" t="s">
        <v>270</v>
      </c>
      <c r="C522" s="111">
        <v>72741267.989999995</v>
      </c>
    </row>
    <row r="523" spans="1:3" x14ac:dyDescent="0.2">
      <c r="A523" s="91" t="s">
        <v>469</v>
      </c>
      <c r="B523" s="92" t="s">
        <v>270</v>
      </c>
      <c r="C523" s="111">
        <v>82105530</v>
      </c>
    </row>
    <row r="524" spans="1:3" x14ac:dyDescent="0.2">
      <c r="A524" s="91" t="s">
        <v>458</v>
      </c>
      <c r="B524" s="92" t="s">
        <v>270</v>
      </c>
      <c r="C524" s="111">
        <v>6957685.7699999996</v>
      </c>
    </row>
    <row r="525" spans="1:3" x14ac:dyDescent="0.2">
      <c r="A525" s="91" t="s">
        <v>132</v>
      </c>
      <c r="B525" s="92" t="s">
        <v>270</v>
      </c>
      <c r="C525" s="111">
        <v>52153306.340000004</v>
      </c>
    </row>
    <row r="526" spans="1:3" x14ac:dyDescent="0.2">
      <c r="A526" s="91" t="s">
        <v>130</v>
      </c>
      <c r="B526" s="92" t="s">
        <v>270</v>
      </c>
      <c r="C526" s="111">
        <v>9473715</v>
      </c>
    </row>
    <row r="527" spans="1:3" x14ac:dyDescent="0.2">
      <c r="A527" s="91" t="s">
        <v>131</v>
      </c>
      <c r="B527" s="92" t="s">
        <v>270</v>
      </c>
      <c r="C527" s="111">
        <v>44210670</v>
      </c>
    </row>
    <row r="528" spans="1:3" x14ac:dyDescent="0.2">
      <c r="A528" s="91" t="s">
        <v>505</v>
      </c>
      <c r="B528" s="92" t="s">
        <v>270</v>
      </c>
      <c r="C528" s="111">
        <v>11712985.439999999</v>
      </c>
    </row>
    <row r="529" spans="1:3" x14ac:dyDescent="0.2">
      <c r="A529" s="91" t="s">
        <v>27</v>
      </c>
      <c r="B529" s="92" t="s">
        <v>270</v>
      </c>
      <c r="C529" s="111">
        <v>14815563.939999999</v>
      </c>
    </row>
    <row r="530" spans="1:3" x14ac:dyDescent="0.2">
      <c r="A530" s="91" t="s">
        <v>73</v>
      </c>
      <c r="B530" s="92" t="s">
        <v>270</v>
      </c>
      <c r="C530" s="111">
        <v>15391439.5</v>
      </c>
    </row>
    <row r="531" spans="1:3" x14ac:dyDescent="0.2">
      <c r="A531" s="91" t="s">
        <v>74</v>
      </c>
      <c r="B531" s="92" t="s">
        <v>270</v>
      </c>
      <c r="C531" s="111">
        <v>26509349.309999999</v>
      </c>
    </row>
    <row r="532" spans="1:3" x14ac:dyDescent="0.2">
      <c r="A532" s="91" t="s">
        <v>75</v>
      </c>
      <c r="B532" s="92" t="s">
        <v>270</v>
      </c>
      <c r="C532" s="111">
        <v>14521878.77</v>
      </c>
    </row>
    <row r="533" spans="1:3" x14ac:dyDescent="0.2">
      <c r="A533" s="91" t="s">
        <v>76</v>
      </c>
      <c r="B533" s="92" t="s">
        <v>270</v>
      </c>
      <c r="C533" s="111">
        <v>21639101.91</v>
      </c>
    </row>
    <row r="534" spans="1:3" x14ac:dyDescent="0.2">
      <c r="A534" s="91" t="s">
        <v>77</v>
      </c>
      <c r="B534" s="92" t="s">
        <v>270</v>
      </c>
      <c r="C534" s="111">
        <v>5747955.5199999996</v>
      </c>
    </row>
    <row r="535" spans="1:3" x14ac:dyDescent="0.2">
      <c r="A535" s="91" t="s">
        <v>78</v>
      </c>
      <c r="B535" s="92" t="s">
        <v>270</v>
      </c>
      <c r="C535" s="111">
        <v>4003086.69</v>
      </c>
    </row>
    <row r="536" spans="1:3" x14ac:dyDescent="0.2">
      <c r="A536" s="91" t="s">
        <v>324</v>
      </c>
      <c r="B536" s="92" t="s">
        <v>270</v>
      </c>
      <c r="C536" s="111">
        <v>4003086.69</v>
      </c>
    </row>
    <row r="537" spans="1:3" x14ac:dyDescent="0.2">
      <c r="A537" s="91" t="s">
        <v>325</v>
      </c>
      <c r="B537" s="92" t="s">
        <v>270</v>
      </c>
      <c r="C537" s="111">
        <v>6097725.0800000001</v>
      </c>
    </row>
    <row r="538" spans="1:3" x14ac:dyDescent="0.2">
      <c r="A538" s="91" t="s">
        <v>326</v>
      </c>
      <c r="B538" s="92" t="s">
        <v>270</v>
      </c>
      <c r="C538" s="111">
        <v>7004801.71</v>
      </c>
    </row>
    <row r="539" spans="1:3" x14ac:dyDescent="0.2">
      <c r="A539" s="91" t="s">
        <v>327</v>
      </c>
      <c r="B539" s="92" t="s">
        <v>270</v>
      </c>
      <c r="C539" s="111">
        <v>7577456.21</v>
      </c>
    </row>
    <row r="540" spans="1:3" x14ac:dyDescent="0.2">
      <c r="A540" s="91" t="s">
        <v>328</v>
      </c>
      <c r="B540" s="92" t="s">
        <v>270</v>
      </c>
      <c r="C540" s="111">
        <v>6475915.7800000003</v>
      </c>
    </row>
    <row r="541" spans="1:3" x14ac:dyDescent="0.2">
      <c r="A541" s="91" t="s">
        <v>329</v>
      </c>
      <c r="B541" s="92" t="s">
        <v>270</v>
      </c>
      <c r="C541" s="111">
        <v>8178089.7400000002</v>
      </c>
    </row>
    <row r="542" spans="1:3" x14ac:dyDescent="0.2">
      <c r="A542" s="91" t="s">
        <v>330</v>
      </c>
      <c r="B542" s="92" t="s">
        <v>270</v>
      </c>
      <c r="C542" s="111">
        <v>18809871.66</v>
      </c>
    </row>
    <row r="543" spans="1:3" x14ac:dyDescent="0.2">
      <c r="A543" s="91" t="s">
        <v>82</v>
      </c>
      <c r="B543" s="92" t="s">
        <v>270</v>
      </c>
      <c r="C543" s="111">
        <v>12866820.76</v>
      </c>
    </row>
    <row r="544" spans="1:3" x14ac:dyDescent="0.2">
      <c r="A544" s="91" t="s">
        <v>12</v>
      </c>
      <c r="B544" s="92" t="s">
        <v>270</v>
      </c>
      <c r="C544" s="111">
        <v>24580311.460000001</v>
      </c>
    </row>
    <row r="545" spans="1:3" x14ac:dyDescent="0.2">
      <c r="A545" s="91" t="s">
        <v>91</v>
      </c>
      <c r="B545" s="92" t="s">
        <v>270</v>
      </c>
      <c r="C545" s="111">
        <v>4097823.84</v>
      </c>
    </row>
    <row r="546" spans="1:3" x14ac:dyDescent="0.2">
      <c r="A546" s="91" t="s">
        <v>92</v>
      </c>
      <c r="B546" s="92" t="s">
        <v>270</v>
      </c>
      <c r="C546" s="111">
        <v>5655049.96</v>
      </c>
    </row>
    <row r="547" spans="1:3" x14ac:dyDescent="0.2">
      <c r="A547" s="91" t="s">
        <v>93</v>
      </c>
      <c r="B547" s="92" t="s">
        <v>270</v>
      </c>
      <c r="C547" s="111">
        <v>4075339.56</v>
      </c>
    </row>
    <row r="548" spans="1:3" x14ac:dyDescent="0.2">
      <c r="A548" s="91" t="s">
        <v>94</v>
      </c>
      <c r="B548" s="92" t="s">
        <v>270</v>
      </c>
      <c r="C548" s="111">
        <v>21905224.879999999</v>
      </c>
    </row>
    <row r="549" spans="1:3" x14ac:dyDescent="0.2">
      <c r="A549" s="91" t="s">
        <v>95</v>
      </c>
      <c r="B549" s="92" t="s">
        <v>270</v>
      </c>
      <c r="C549" s="111">
        <v>23484013.16</v>
      </c>
    </row>
    <row r="550" spans="1:3" x14ac:dyDescent="0.2">
      <c r="A550" s="91" t="s">
        <v>238</v>
      </c>
      <c r="B550" s="92" t="s">
        <v>270</v>
      </c>
      <c r="C550" s="111">
        <v>13854108.18</v>
      </c>
    </row>
    <row r="551" spans="1:3" x14ac:dyDescent="0.2">
      <c r="A551" s="91" t="s">
        <v>239</v>
      </c>
      <c r="B551" s="92" t="s">
        <v>270</v>
      </c>
      <c r="C551" s="111">
        <v>7356023.9100000001</v>
      </c>
    </row>
    <row r="552" spans="1:3" x14ac:dyDescent="0.2">
      <c r="A552" s="91" t="s">
        <v>365</v>
      </c>
      <c r="B552" s="92" t="s">
        <v>270</v>
      </c>
      <c r="C552" s="111">
        <v>10824729.92</v>
      </c>
    </row>
    <row r="553" spans="1:3" x14ac:dyDescent="0.2">
      <c r="A553" s="91" t="s">
        <v>366</v>
      </c>
      <c r="B553" s="92" t="s">
        <v>270</v>
      </c>
      <c r="C553" s="111">
        <v>26214274.670000002</v>
      </c>
    </row>
    <row r="554" spans="1:3" x14ac:dyDescent="0.2">
      <c r="A554" s="91" t="s">
        <v>201</v>
      </c>
      <c r="B554" s="92" t="s">
        <v>270</v>
      </c>
      <c r="C554" s="111">
        <v>10668097.83</v>
      </c>
    </row>
    <row r="555" spans="1:3" x14ac:dyDescent="0.2">
      <c r="A555" s="91" t="s">
        <v>202</v>
      </c>
      <c r="B555" s="92" t="s">
        <v>270</v>
      </c>
      <c r="C555" s="111">
        <v>12013996.939999999</v>
      </c>
    </row>
    <row r="556" spans="1:3" x14ac:dyDescent="0.2">
      <c r="A556" s="91" t="s">
        <v>203</v>
      </c>
      <c r="B556" s="92" t="s">
        <v>270</v>
      </c>
      <c r="C556" s="111">
        <v>31486460.23</v>
      </c>
    </row>
    <row r="557" spans="1:3" x14ac:dyDescent="0.2">
      <c r="A557" s="91" t="s">
        <v>520</v>
      </c>
      <c r="B557" s="92" t="s">
        <v>270</v>
      </c>
      <c r="C557" s="111">
        <v>15217375.77</v>
      </c>
    </row>
    <row r="558" spans="1:3" x14ac:dyDescent="0.2">
      <c r="A558" s="91" t="s">
        <v>521</v>
      </c>
      <c r="B558" s="92" t="s">
        <v>270</v>
      </c>
      <c r="C558" s="111">
        <v>36136980.600000001</v>
      </c>
    </row>
    <row r="559" spans="1:3" x14ac:dyDescent="0.2">
      <c r="A559" s="91" t="s">
        <v>160</v>
      </c>
      <c r="B559" s="92" t="s">
        <v>270</v>
      </c>
      <c r="C559" s="111">
        <v>15546366.32</v>
      </c>
    </row>
    <row r="560" spans="1:3" x14ac:dyDescent="0.2">
      <c r="A560" s="91" t="s">
        <v>161</v>
      </c>
      <c r="B560" s="92" t="s">
        <v>270</v>
      </c>
      <c r="C560" s="111">
        <v>41880072.950000003</v>
      </c>
    </row>
    <row r="561" spans="1:3" x14ac:dyDescent="0.2">
      <c r="A561" s="91" t="s">
        <v>18</v>
      </c>
      <c r="B561" s="92" t="s">
        <v>270</v>
      </c>
      <c r="C561" s="111">
        <v>7824467.5300000003</v>
      </c>
    </row>
    <row r="562" spans="1:3" x14ac:dyDescent="0.2">
      <c r="A562" s="91" t="s">
        <v>19</v>
      </c>
      <c r="B562" s="92" t="s">
        <v>270</v>
      </c>
      <c r="C562" s="111">
        <v>8862091.9600000009</v>
      </c>
    </row>
    <row r="563" spans="1:3" x14ac:dyDescent="0.2">
      <c r="A563" s="91" t="s">
        <v>20</v>
      </c>
      <c r="B563" s="92" t="s">
        <v>270</v>
      </c>
      <c r="C563" s="111">
        <v>6975875.2999999998</v>
      </c>
    </row>
    <row r="564" spans="1:3" x14ac:dyDescent="0.2">
      <c r="A564" s="91" t="s">
        <v>14</v>
      </c>
      <c r="B564" s="92" t="s">
        <v>270</v>
      </c>
      <c r="C564" s="111">
        <v>7978573.2999999998</v>
      </c>
    </row>
    <row r="565" spans="1:3" x14ac:dyDescent="0.2">
      <c r="A565" s="91" t="s">
        <v>15</v>
      </c>
      <c r="B565" s="92" t="s">
        <v>270</v>
      </c>
      <c r="C565" s="111">
        <v>8469438.0500000007</v>
      </c>
    </row>
    <row r="566" spans="1:3" x14ac:dyDescent="0.2">
      <c r="A566" s="91" t="s">
        <v>16</v>
      </c>
      <c r="B566" s="92" t="s">
        <v>270</v>
      </c>
      <c r="C566" s="111">
        <v>8990492.3800000008</v>
      </c>
    </row>
    <row r="567" spans="1:3" x14ac:dyDescent="0.2">
      <c r="A567" s="91" t="s">
        <v>17</v>
      </c>
      <c r="B567" s="92" t="s">
        <v>270</v>
      </c>
      <c r="C567" s="111">
        <v>11190289</v>
      </c>
    </row>
    <row r="568" spans="1:3" x14ac:dyDescent="0.2">
      <c r="A568" s="91" t="s">
        <v>500</v>
      </c>
      <c r="B568" s="92" t="s">
        <v>270</v>
      </c>
      <c r="C568" s="111">
        <v>7180760.1799999997</v>
      </c>
    </row>
    <row r="569" spans="1:3" x14ac:dyDescent="0.2">
      <c r="A569" s="91" t="s">
        <v>501</v>
      </c>
      <c r="B569" s="92" t="s">
        <v>270</v>
      </c>
      <c r="C569" s="111">
        <v>7622487.9299999997</v>
      </c>
    </row>
    <row r="570" spans="1:3" x14ac:dyDescent="0.2">
      <c r="A570" s="91" t="s">
        <v>502</v>
      </c>
      <c r="B570" s="92" t="s">
        <v>270</v>
      </c>
      <c r="C570" s="111">
        <v>8091436.8200000003</v>
      </c>
    </row>
    <row r="571" spans="1:3" x14ac:dyDescent="0.2">
      <c r="A571" s="91" t="s">
        <v>503</v>
      </c>
      <c r="B571" s="92" t="s">
        <v>270</v>
      </c>
      <c r="C571" s="111">
        <v>10071253.779999999</v>
      </c>
    </row>
    <row r="572" spans="1:3" x14ac:dyDescent="0.2">
      <c r="A572" s="91" t="s">
        <v>383</v>
      </c>
      <c r="B572" s="92" t="s">
        <v>270</v>
      </c>
      <c r="C572" s="111">
        <v>8256405.7800000003</v>
      </c>
    </row>
    <row r="573" spans="1:3" x14ac:dyDescent="0.2">
      <c r="A573" s="91" t="s">
        <v>384</v>
      </c>
      <c r="B573" s="92" t="s">
        <v>270</v>
      </c>
      <c r="C573" s="111">
        <v>8828997.1199999992</v>
      </c>
    </row>
    <row r="574" spans="1:3" x14ac:dyDescent="0.2">
      <c r="A574" s="91" t="s">
        <v>385</v>
      </c>
      <c r="B574" s="92" t="s">
        <v>270</v>
      </c>
      <c r="C574" s="111">
        <v>9308051.3000000007</v>
      </c>
    </row>
    <row r="575" spans="1:3" x14ac:dyDescent="0.2">
      <c r="A575" s="91" t="s">
        <v>386</v>
      </c>
      <c r="B575" s="92" t="s">
        <v>270</v>
      </c>
      <c r="C575" s="111">
        <v>10598750.24</v>
      </c>
    </row>
    <row r="576" spans="1:3" x14ac:dyDescent="0.2">
      <c r="A576" s="91" t="s">
        <v>66</v>
      </c>
      <c r="B576" s="92" t="s">
        <v>270</v>
      </c>
      <c r="C576" s="111">
        <v>27574636.989999998</v>
      </c>
    </row>
    <row r="577" spans="1:3" x14ac:dyDescent="0.2">
      <c r="A577" s="91" t="s">
        <v>67</v>
      </c>
      <c r="B577" s="92" t="s">
        <v>270</v>
      </c>
      <c r="C577" s="111">
        <v>21922808.09</v>
      </c>
    </row>
    <row r="578" spans="1:3" x14ac:dyDescent="0.2">
      <c r="A578" s="91" t="s">
        <v>68</v>
      </c>
      <c r="B578" s="92" t="s">
        <v>270</v>
      </c>
      <c r="C578" s="111">
        <v>62502076.82</v>
      </c>
    </row>
    <row r="579" spans="1:3" x14ac:dyDescent="0.2">
      <c r="A579" s="91" t="s">
        <v>449</v>
      </c>
      <c r="B579" s="92" t="s">
        <v>270</v>
      </c>
      <c r="C579" s="111">
        <v>21551754.25</v>
      </c>
    </row>
    <row r="580" spans="1:3" x14ac:dyDescent="0.2">
      <c r="A580" s="91" t="s">
        <v>450</v>
      </c>
      <c r="B580" s="92" t="s">
        <v>270</v>
      </c>
      <c r="C580" s="111">
        <v>17293319.359999999</v>
      </c>
    </row>
    <row r="581" spans="1:3" x14ac:dyDescent="0.2">
      <c r="A581" s="91" t="s">
        <v>96</v>
      </c>
      <c r="B581" s="92" t="s">
        <v>270</v>
      </c>
      <c r="C581" s="111">
        <v>16292137.16</v>
      </c>
    </row>
    <row r="582" spans="1:3" x14ac:dyDescent="0.2">
      <c r="A582" s="91" t="s">
        <v>97</v>
      </c>
      <c r="B582" s="92" t="s">
        <v>270</v>
      </c>
      <c r="C582" s="111">
        <v>15347986.720000001</v>
      </c>
    </row>
    <row r="583" spans="1:3" x14ac:dyDescent="0.2">
      <c r="A583" s="91" t="s">
        <v>376</v>
      </c>
      <c r="B583" s="92" t="s">
        <v>270</v>
      </c>
      <c r="C583" s="111">
        <v>10266917.58</v>
      </c>
    </row>
    <row r="584" spans="1:3" x14ac:dyDescent="0.2">
      <c r="A584" s="91" t="s">
        <v>377</v>
      </c>
      <c r="B584" s="92" t="s">
        <v>270</v>
      </c>
      <c r="C584" s="111">
        <v>27397099.57</v>
      </c>
    </row>
    <row r="585" spans="1:3" x14ac:dyDescent="0.2">
      <c r="A585" s="91" t="s">
        <v>378</v>
      </c>
      <c r="B585" s="92" t="s">
        <v>270</v>
      </c>
      <c r="C585" s="111">
        <v>14815058.68</v>
      </c>
    </row>
    <row r="586" spans="1:3" x14ac:dyDescent="0.2">
      <c r="A586" s="91" t="s">
        <v>379</v>
      </c>
      <c r="B586" s="92" t="s">
        <v>270</v>
      </c>
      <c r="C586" s="111">
        <v>44643050.350000001</v>
      </c>
    </row>
    <row r="587" spans="1:3" x14ac:dyDescent="0.2">
      <c r="A587" s="91" t="s">
        <v>380</v>
      </c>
      <c r="B587" s="92" t="s">
        <v>270</v>
      </c>
      <c r="C587" s="111">
        <v>11288626.16</v>
      </c>
    </row>
    <row r="588" spans="1:3" x14ac:dyDescent="0.2">
      <c r="A588" s="91" t="s">
        <v>381</v>
      </c>
      <c r="B588" s="92" t="s">
        <v>270</v>
      </c>
      <c r="C588" s="111">
        <v>51781873.549999997</v>
      </c>
    </row>
    <row r="589" spans="1:3" x14ac:dyDescent="0.2">
      <c r="A589" s="91" t="s">
        <v>356</v>
      </c>
      <c r="B589" s="92" t="s">
        <v>270</v>
      </c>
      <c r="C589" s="111">
        <v>7346297.5599999996</v>
      </c>
    </row>
    <row r="590" spans="1:3" x14ac:dyDescent="0.2">
      <c r="A590" s="91" t="s">
        <v>357</v>
      </c>
      <c r="B590" s="92" t="s">
        <v>270</v>
      </c>
      <c r="C590" s="111">
        <v>28962788.870000001</v>
      </c>
    </row>
    <row r="591" spans="1:3" x14ac:dyDescent="0.2">
      <c r="A591" s="91" t="s">
        <v>309</v>
      </c>
      <c r="B591" s="92" t="s">
        <v>270</v>
      </c>
      <c r="C591" s="111">
        <v>2605713.73</v>
      </c>
    </row>
    <row r="592" spans="1:3" x14ac:dyDescent="0.2">
      <c r="A592" s="91" t="s">
        <v>310</v>
      </c>
      <c r="B592" s="92" t="s">
        <v>270</v>
      </c>
      <c r="C592" s="111">
        <v>2854367.17</v>
      </c>
    </row>
    <row r="593" spans="1:3" x14ac:dyDescent="0.2">
      <c r="A593" s="91" t="s">
        <v>152</v>
      </c>
      <c r="B593" s="92" t="s">
        <v>270</v>
      </c>
      <c r="C593" s="111">
        <v>15569229.550000001</v>
      </c>
    </row>
    <row r="594" spans="1:3" x14ac:dyDescent="0.2">
      <c r="A594" s="91" t="s">
        <v>153</v>
      </c>
      <c r="B594" s="92" t="s">
        <v>270</v>
      </c>
      <c r="C594" s="111">
        <v>38474777.670000002</v>
      </c>
    </row>
    <row r="595" spans="1:3" x14ac:dyDescent="0.2">
      <c r="A595" s="91" t="s">
        <v>22</v>
      </c>
      <c r="B595" s="92" t="s">
        <v>270</v>
      </c>
      <c r="C595" s="111">
        <v>19629726.949999999</v>
      </c>
    </row>
    <row r="596" spans="1:3" x14ac:dyDescent="0.2">
      <c r="A596" s="91" t="s">
        <v>23</v>
      </c>
      <c r="B596" s="92" t="s">
        <v>270</v>
      </c>
      <c r="C596" s="111">
        <v>24740796.199999999</v>
      </c>
    </row>
    <row r="597" spans="1:3" x14ac:dyDescent="0.2">
      <c r="A597" s="91" t="s">
        <v>24</v>
      </c>
      <c r="B597" s="92" t="s">
        <v>270</v>
      </c>
      <c r="C597" s="111">
        <v>16645759.359999999</v>
      </c>
    </row>
    <row r="598" spans="1:3" x14ac:dyDescent="0.2">
      <c r="A598" s="91" t="s">
        <v>25</v>
      </c>
      <c r="B598" s="92" t="s">
        <v>270</v>
      </c>
      <c r="C598" s="111">
        <v>16631485.630000001</v>
      </c>
    </row>
    <row r="599" spans="1:3" x14ac:dyDescent="0.2">
      <c r="A599" s="91" t="s">
        <v>236</v>
      </c>
      <c r="B599" s="92" t="s">
        <v>270</v>
      </c>
      <c r="C599" s="111">
        <v>72619120.219999999</v>
      </c>
    </row>
    <row r="600" spans="1:3" x14ac:dyDescent="0.2">
      <c r="A600" s="91" t="s">
        <v>237</v>
      </c>
      <c r="B600" s="92" t="s">
        <v>270</v>
      </c>
      <c r="C600" s="111">
        <v>21240384.82</v>
      </c>
    </row>
    <row r="601" spans="1:3" x14ac:dyDescent="0.2">
      <c r="A601" s="91" t="s">
        <v>258</v>
      </c>
      <c r="B601" s="92" t="s">
        <v>270</v>
      </c>
      <c r="C601" s="111">
        <v>18594376.219999999</v>
      </c>
    </row>
    <row r="602" spans="1:3" x14ac:dyDescent="0.2">
      <c r="A602" s="91" t="s">
        <v>259</v>
      </c>
      <c r="B602" s="92" t="s">
        <v>270</v>
      </c>
      <c r="C602" s="111">
        <v>23461276.25</v>
      </c>
    </row>
    <row r="603" spans="1:3" x14ac:dyDescent="0.2">
      <c r="A603" s="91" t="s">
        <v>260</v>
      </c>
      <c r="B603" s="92" t="s">
        <v>270</v>
      </c>
      <c r="C603" s="111">
        <v>14052235.140000001</v>
      </c>
    </row>
    <row r="604" spans="1:3" x14ac:dyDescent="0.2">
      <c r="A604" s="91" t="s">
        <v>261</v>
      </c>
      <c r="B604" s="92" t="s">
        <v>270</v>
      </c>
      <c r="C604" s="111">
        <v>14887374.699999999</v>
      </c>
    </row>
    <row r="605" spans="1:3" x14ac:dyDescent="0.2">
      <c r="A605" s="91" t="s">
        <v>557</v>
      </c>
      <c r="B605" s="92" t="s">
        <v>270</v>
      </c>
      <c r="C605" s="111">
        <v>24364563.399999999</v>
      </c>
    </row>
    <row r="606" spans="1:3" x14ac:dyDescent="0.2">
      <c r="A606" s="91" t="s">
        <v>558</v>
      </c>
      <c r="B606" s="92" t="s">
        <v>270</v>
      </c>
      <c r="C606" s="111">
        <v>18064100.809999999</v>
      </c>
    </row>
    <row r="607" spans="1:3" x14ac:dyDescent="0.2">
      <c r="A607" s="91" t="s">
        <v>200</v>
      </c>
      <c r="B607" s="92" t="s">
        <v>270</v>
      </c>
      <c r="C607" s="111">
        <v>16818433.609999999</v>
      </c>
    </row>
    <row r="608" spans="1:3" x14ac:dyDescent="0.2">
      <c r="A608" s="91" t="s">
        <v>412</v>
      </c>
      <c r="B608" s="92" t="s">
        <v>270</v>
      </c>
      <c r="C608" s="111">
        <v>15843714.65</v>
      </c>
    </row>
    <row r="609" spans="1:3" x14ac:dyDescent="0.2">
      <c r="A609" s="91" t="s">
        <v>413</v>
      </c>
      <c r="B609" s="92" t="s">
        <v>270</v>
      </c>
      <c r="C609" s="111">
        <v>14925522.189999999</v>
      </c>
    </row>
    <row r="610" spans="1:3" x14ac:dyDescent="0.2">
      <c r="A610" s="91" t="s">
        <v>414</v>
      </c>
      <c r="B610" s="92" t="s">
        <v>270</v>
      </c>
      <c r="C610" s="111">
        <v>14060508.85</v>
      </c>
    </row>
    <row r="611" spans="1:3" x14ac:dyDescent="0.2">
      <c r="A611" s="91" t="s">
        <v>435</v>
      </c>
      <c r="B611" s="92" t="s">
        <v>270</v>
      </c>
      <c r="C611" s="111">
        <v>69464436.290000007</v>
      </c>
    </row>
    <row r="612" spans="1:3" x14ac:dyDescent="0.2">
      <c r="A612" s="91" t="s">
        <v>134</v>
      </c>
      <c r="B612" s="92" t="s">
        <v>270</v>
      </c>
      <c r="C612" s="111">
        <v>49537108.359999999</v>
      </c>
    </row>
    <row r="613" spans="1:3" x14ac:dyDescent="0.2">
      <c r="A613" s="91" t="s">
        <v>135</v>
      </c>
      <c r="B613" s="92" t="s">
        <v>270</v>
      </c>
      <c r="C613" s="111">
        <v>18296143.670000002</v>
      </c>
    </row>
    <row r="614" spans="1:3" x14ac:dyDescent="0.2">
      <c r="A614" s="91" t="s">
        <v>136</v>
      </c>
      <c r="B614" s="92" t="s">
        <v>270</v>
      </c>
      <c r="C614" s="111">
        <v>24212920.800000001</v>
      </c>
    </row>
    <row r="615" spans="1:3" x14ac:dyDescent="0.2">
      <c r="A615" s="91" t="s">
        <v>499</v>
      </c>
      <c r="B615" s="92" t="s">
        <v>270</v>
      </c>
      <c r="C615" s="111">
        <v>16000788.84</v>
      </c>
    </row>
    <row r="616" spans="1:3" x14ac:dyDescent="0.2">
      <c r="A616" s="91" t="s">
        <v>497</v>
      </c>
      <c r="B616" s="92" t="s">
        <v>270</v>
      </c>
      <c r="C616" s="111">
        <v>43758647.479999997</v>
      </c>
    </row>
    <row r="617" spans="1:3" x14ac:dyDescent="0.2">
      <c r="A617" s="91" t="s">
        <v>498</v>
      </c>
      <c r="B617" s="92" t="s">
        <v>270</v>
      </c>
      <c r="C617" s="111">
        <v>14836342.949999999</v>
      </c>
    </row>
    <row r="618" spans="1:3" x14ac:dyDescent="0.2">
      <c r="A618" s="91" t="s">
        <v>144</v>
      </c>
      <c r="B618" s="92" t="s">
        <v>270</v>
      </c>
      <c r="C618" s="111">
        <v>52827645.369999997</v>
      </c>
    </row>
    <row r="619" spans="1:3" x14ac:dyDescent="0.2">
      <c r="A619" s="91" t="s">
        <v>145</v>
      </c>
      <c r="B619" s="92" t="s">
        <v>270</v>
      </c>
      <c r="C619" s="111">
        <v>19235304.620000001</v>
      </c>
    </row>
    <row r="620" spans="1:3" x14ac:dyDescent="0.2">
      <c r="A620" s="91" t="s">
        <v>146</v>
      </c>
      <c r="B620" s="92" t="s">
        <v>270</v>
      </c>
      <c r="C620" s="111">
        <v>69361109.629999995</v>
      </c>
    </row>
    <row r="621" spans="1:3" x14ac:dyDescent="0.2">
      <c r="A621" s="91" t="s">
        <v>437</v>
      </c>
      <c r="B621" s="92" t="s">
        <v>270</v>
      </c>
      <c r="C621" s="111">
        <v>60623186.5</v>
      </c>
    </row>
    <row r="622" spans="1:3" x14ac:dyDescent="0.2">
      <c r="A622" s="91" t="s">
        <v>438</v>
      </c>
      <c r="B622" s="92" t="s">
        <v>270</v>
      </c>
      <c r="C622" s="111">
        <v>35742495.109999999</v>
      </c>
    </row>
    <row r="623" spans="1:3" x14ac:dyDescent="0.2">
      <c r="A623" s="91" t="s">
        <v>439</v>
      </c>
      <c r="B623" s="92" t="s">
        <v>270</v>
      </c>
      <c r="C623" s="111">
        <v>31365891.41</v>
      </c>
    </row>
    <row r="624" spans="1:3" x14ac:dyDescent="0.2">
      <c r="A624" s="91" t="s">
        <v>440</v>
      </c>
      <c r="B624" s="92" t="s">
        <v>270</v>
      </c>
      <c r="C624" s="111">
        <v>31771492.73</v>
      </c>
    </row>
    <row r="625" spans="1:3" x14ac:dyDescent="0.2">
      <c r="A625" s="91" t="s">
        <v>581</v>
      </c>
      <c r="B625" s="92" t="s">
        <v>270</v>
      </c>
      <c r="C625" s="111">
        <v>15193628.33</v>
      </c>
    </row>
    <row r="626" spans="1:3" x14ac:dyDescent="0.2">
      <c r="A626" s="91" t="s">
        <v>699</v>
      </c>
      <c r="B626" s="92" t="s">
        <v>270</v>
      </c>
      <c r="C626" s="111">
        <v>8745123.1600000001</v>
      </c>
    </row>
    <row r="627" spans="1:3" x14ac:dyDescent="0.2">
      <c r="A627" s="91" t="s">
        <v>702</v>
      </c>
      <c r="B627" s="92" t="s">
        <v>270</v>
      </c>
      <c r="C627" s="111">
        <v>6618716.25</v>
      </c>
    </row>
    <row r="628" spans="1:3" x14ac:dyDescent="0.2">
      <c r="A628" s="91" t="s">
        <v>703</v>
      </c>
      <c r="B628" s="92" t="s">
        <v>270</v>
      </c>
      <c r="C628" s="111">
        <v>9837884.5999999996</v>
      </c>
    </row>
    <row r="629" spans="1:3" x14ac:dyDescent="0.2">
      <c r="A629" s="91" t="s">
        <v>704</v>
      </c>
      <c r="B629" s="92" t="s">
        <v>270</v>
      </c>
      <c r="C629" s="111">
        <v>7458150.5499999998</v>
      </c>
    </row>
    <row r="630" spans="1:3" x14ac:dyDescent="0.2">
      <c r="A630" s="91" t="s">
        <v>701</v>
      </c>
      <c r="B630" s="92" t="s">
        <v>270</v>
      </c>
      <c r="C630" s="111">
        <v>9515399.3499999996</v>
      </c>
    </row>
    <row r="631" spans="1:3" x14ac:dyDescent="0.2">
      <c r="A631" s="91" t="s">
        <v>700</v>
      </c>
      <c r="B631" s="92" t="s">
        <v>270</v>
      </c>
      <c r="C631" s="111">
        <v>5860313.7800000003</v>
      </c>
    </row>
    <row r="632" spans="1:3" x14ac:dyDescent="0.2">
      <c r="A632" s="91" t="s">
        <v>710</v>
      </c>
      <c r="B632" s="92" t="s">
        <v>270</v>
      </c>
      <c r="C632" s="111">
        <v>52747939.850000001</v>
      </c>
    </row>
    <row r="633" spans="1:3" x14ac:dyDescent="0.2">
      <c r="A633" s="91" t="s">
        <v>711</v>
      </c>
      <c r="B633" s="92" t="s">
        <v>270</v>
      </c>
      <c r="C633" s="111">
        <v>57037638</v>
      </c>
    </row>
    <row r="634" spans="1:3" x14ac:dyDescent="0.2">
      <c r="A634" s="91" t="s">
        <v>713</v>
      </c>
      <c r="B634" s="92" t="s">
        <v>270</v>
      </c>
      <c r="C634" s="111">
        <v>13274190.51</v>
      </c>
    </row>
    <row r="635" spans="1:3" x14ac:dyDescent="0.2">
      <c r="A635" s="91" t="s">
        <v>712</v>
      </c>
      <c r="B635" s="92" t="s">
        <v>270</v>
      </c>
      <c r="C635" s="111">
        <v>7892236.1799999997</v>
      </c>
    </row>
    <row r="636" spans="1:3" x14ac:dyDescent="0.2">
      <c r="A636" s="91" t="s">
        <v>733</v>
      </c>
      <c r="B636" s="92" t="s">
        <v>270</v>
      </c>
      <c r="C636" s="111">
        <v>3062662.59</v>
      </c>
    </row>
    <row r="637" spans="1:3" x14ac:dyDescent="0.2">
      <c r="A637" s="91" t="s">
        <v>692</v>
      </c>
      <c r="B637" s="92" t="s">
        <v>270</v>
      </c>
      <c r="C637" s="111">
        <v>60661333.990000002</v>
      </c>
    </row>
    <row r="638" spans="1:3" x14ac:dyDescent="0.2">
      <c r="A638" s="91" t="s">
        <v>693</v>
      </c>
      <c r="B638" s="92" t="s">
        <v>270</v>
      </c>
      <c r="C638" s="111">
        <v>3197568.29</v>
      </c>
    </row>
    <row r="639" spans="1:3" x14ac:dyDescent="0.2">
      <c r="A639" s="91" t="s">
        <v>707</v>
      </c>
      <c r="B639" s="92" t="s">
        <v>270</v>
      </c>
      <c r="C639" s="111">
        <v>45919366.289999999</v>
      </c>
    </row>
    <row r="640" spans="1:3" x14ac:dyDescent="0.2">
      <c r="A640" s="91" t="s">
        <v>706</v>
      </c>
      <c r="B640" s="92" t="s">
        <v>270</v>
      </c>
      <c r="C640" s="111">
        <v>49225330.93</v>
      </c>
    </row>
    <row r="641" spans="1:3" x14ac:dyDescent="0.2">
      <c r="A641" s="91" t="s">
        <v>709</v>
      </c>
      <c r="B641" s="92" t="s">
        <v>270</v>
      </c>
      <c r="C641" s="111">
        <v>7687288.1399999997</v>
      </c>
    </row>
    <row r="642" spans="1:3" x14ac:dyDescent="0.2">
      <c r="A642" s="91" t="s">
        <v>732</v>
      </c>
      <c r="B642" s="92" t="s">
        <v>270</v>
      </c>
      <c r="C642" s="111">
        <v>32983307.199999999</v>
      </c>
    </row>
    <row r="643" spans="1:3" x14ac:dyDescent="0.2">
      <c r="A643" s="91" t="s">
        <v>735</v>
      </c>
      <c r="B643" s="92" t="s">
        <v>270</v>
      </c>
      <c r="C643" s="111">
        <v>14230593.619999999</v>
      </c>
    </row>
    <row r="644" spans="1:3" x14ac:dyDescent="0.2">
      <c r="A644" s="91" t="s">
        <v>734</v>
      </c>
      <c r="B644" s="92" t="s">
        <v>270</v>
      </c>
      <c r="C644" s="111">
        <v>15076280.58</v>
      </c>
    </row>
    <row r="645" spans="1:3" x14ac:dyDescent="0.2">
      <c r="A645" s="91" t="s">
        <v>731</v>
      </c>
      <c r="B645" s="92" t="s">
        <v>270</v>
      </c>
      <c r="C645" s="111">
        <v>31083385.23</v>
      </c>
    </row>
    <row r="646" spans="1:3" x14ac:dyDescent="0.2">
      <c r="A646" s="91" t="s">
        <v>872</v>
      </c>
      <c r="B646" s="92" t="s">
        <v>270</v>
      </c>
      <c r="C646" s="111">
        <v>4430772.51</v>
      </c>
    </row>
    <row r="647" spans="1:3" x14ac:dyDescent="0.2">
      <c r="A647" s="91" t="s">
        <v>873</v>
      </c>
      <c r="B647" s="92" t="s">
        <v>270</v>
      </c>
      <c r="C647" s="111">
        <v>3937323.95</v>
      </c>
    </row>
    <row r="648" spans="1:3" x14ac:dyDescent="0.2">
      <c r="A648" s="91" t="s">
        <v>874</v>
      </c>
      <c r="B648" s="92" t="s">
        <v>270</v>
      </c>
      <c r="C648" s="111">
        <v>4720688.3899999997</v>
      </c>
    </row>
    <row r="649" spans="1:3" x14ac:dyDescent="0.2">
      <c r="A649" s="91" t="s">
        <v>875</v>
      </c>
      <c r="B649" s="92" t="s">
        <v>270</v>
      </c>
      <c r="C649" s="111">
        <v>4595634.09</v>
      </c>
    </row>
    <row r="650" spans="1:3" x14ac:dyDescent="0.2">
      <c r="A650" s="91" t="s">
        <v>881</v>
      </c>
      <c r="B650" s="92" t="s">
        <v>270</v>
      </c>
      <c r="C650" s="111">
        <v>76920000</v>
      </c>
    </row>
    <row r="651" spans="1:3" x14ac:dyDescent="0.2">
      <c r="A651" s="91" t="s">
        <v>628</v>
      </c>
      <c r="B651" s="92" t="s">
        <v>270</v>
      </c>
      <c r="C651" s="111">
        <v>35012955.899999999</v>
      </c>
    </row>
    <row r="652" spans="1:3" x14ac:dyDescent="0.2">
      <c r="A652" s="91" t="s">
        <v>646</v>
      </c>
      <c r="B652" s="92" t="s">
        <v>270</v>
      </c>
      <c r="C652" s="111">
        <v>60234574.710000001</v>
      </c>
    </row>
    <row r="653" spans="1:3" x14ac:dyDescent="0.2">
      <c r="A653" s="91" t="s">
        <v>647</v>
      </c>
      <c r="B653" s="92" t="s">
        <v>270</v>
      </c>
      <c r="C653" s="111">
        <v>1572636.69</v>
      </c>
    </row>
    <row r="654" spans="1:3" x14ac:dyDescent="0.2">
      <c r="A654" s="91" t="s">
        <v>612</v>
      </c>
      <c r="B654" s="92" t="s">
        <v>270</v>
      </c>
      <c r="C654" s="111">
        <v>5670397.3799999999</v>
      </c>
    </row>
    <row r="655" spans="1:3" x14ac:dyDescent="0.2">
      <c r="A655" s="91" t="s">
        <v>611</v>
      </c>
      <c r="B655" s="92" t="s">
        <v>270</v>
      </c>
      <c r="C655" s="111">
        <v>10148875.09</v>
      </c>
    </row>
    <row r="656" spans="1:3" x14ac:dyDescent="0.2">
      <c r="A656" s="91" t="s">
        <v>580</v>
      </c>
      <c r="B656" s="92" t="s">
        <v>270</v>
      </c>
      <c r="C656" s="111">
        <v>30578373.059999999</v>
      </c>
    </row>
    <row r="657" spans="1:3" x14ac:dyDescent="0.2">
      <c r="A657" s="91" t="s">
        <v>584</v>
      </c>
      <c r="B657" s="92" t="s">
        <v>270</v>
      </c>
      <c r="C657" s="111">
        <v>13617833.73</v>
      </c>
    </row>
    <row r="658" spans="1:3" x14ac:dyDescent="0.2">
      <c r="A658" s="91" t="s">
        <v>583</v>
      </c>
      <c r="B658" s="92" t="s">
        <v>270</v>
      </c>
      <c r="C658" s="111">
        <v>39093790.210000001</v>
      </c>
    </row>
    <row r="659" spans="1:3" x14ac:dyDescent="0.2">
      <c r="A659" s="91" t="s">
        <v>582</v>
      </c>
      <c r="B659" s="92" t="s">
        <v>270</v>
      </c>
      <c r="C659" s="111">
        <v>25569998.890000001</v>
      </c>
    </row>
    <row r="660" spans="1:3" x14ac:dyDescent="0.2">
      <c r="A660" s="91" t="s">
        <v>587</v>
      </c>
      <c r="B660" s="92" t="s">
        <v>270</v>
      </c>
      <c r="C660" s="111">
        <v>17216455.949999999</v>
      </c>
    </row>
    <row r="661" spans="1:3" x14ac:dyDescent="0.2">
      <c r="A661" s="91" t="s">
        <v>586</v>
      </c>
      <c r="B661" s="92" t="s">
        <v>270</v>
      </c>
      <c r="C661" s="111">
        <v>19369262.949999999</v>
      </c>
    </row>
    <row r="662" spans="1:3" x14ac:dyDescent="0.2">
      <c r="A662" s="91" t="s">
        <v>637</v>
      </c>
      <c r="B662" s="92" t="s">
        <v>270</v>
      </c>
      <c r="C662" s="111">
        <v>27073224.829999998</v>
      </c>
    </row>
    <row r="663" spans="1:3" x14ac:dyDescent="0.2">
      <c r="A663" s="91" t="s">
        <v>627</v>
      </c>
      <c r="B663" s="92" t="s">
        <v>270</v>
      </c>
      <c r="C663" s="111">
        <v>27607479.199999999</v>
      </c>
    </row>
    <row r="664" spans="1:3" x14ac:dyDescent="0.2">
      <c r="A664" s="91" t="s">
        <v>629</v>
      </c>
      <c r="B664" s="92" t="s">
        <v>270</v>
      </c>
      <c r="C664" s="111">
        <v>31090522.100000001</v>
      </c>
    </row>
    <row r="665" spans="1:3" x14ac:dyDescent="0.2">
      <c r="A665" s="91" t="s">
        <v>630</v>
      </c>
      <c r="B665" s="92" t="s">
        <v>270</v>
      </c>
      <c r="C665" s="111">
        <v>39430296.57</v>
      </c>
    </row>
    <row r="666" spans="1:3" x14ac:dyDescent="0.2">
      <c r="A666" s="91" t="s">
        <v>638</v>
      </c>
      <c r="B666" s="92" t="s">
        <v>270</v>
      </c>
      <c r="C666" s="111">
        <v>1627647.4</v>
      </c>
    </row>
    <row r="667" spans="1:3" x14ac:dyDescent="0.2">
      <c r="A667" s="91" t="s">
        <v>680</v>
      </c>
      <c r="B667" s="92" t="s">
        <v>270</v>
      </c>
      <c r="C667" s="111">
        <v>44404881.159999996</v>
      </c>
    </row>
    <row r="668" spans="1:3" x14ac:dyDescent="0.2">
      <c r="A668" s="91" t="s">
        <v>679</v>
      </c>
      <c r="B668" s="92" t="s">
        <v>270</v>
      </c>
      <c r="C668" s="111">
        <v>9779589.6799999997</v>
      </c>
    </row>
    <row r="669" spans="1:3" x14ac:dyDescent="0.2">
      <c r="A669" s="91" t="s">
        <v>678</v>
      </c>
      <c r="B669" s="92" t="s">
        <v>270</v>
      </c>
      <c r="C669" s="111">
        <v>10381233.74</v>
      </c>
    </row>
    <row r="670" spans="1:3" x14ac:dyDescent="0.2">
      <c r="A670" s="91" t="s">
        <v>677</v>
      </c>
      <c r="B670" s="92" t="s">
        <v>270</v>
      </c>
      <c r="C670" s="111">
        <v>9212808.8900000006</v>
      </c>
    </row>
    <row r="671" spans="1:3" x14ac:dyDescent="0.2">
      <c r="A671" s="91" t="s">
        <v>676</v>
      </c>
      <c r="B671" s="92" t="s">
        <v>270</v>
      </c>
      <c r="C671" s="111">
        <v>8678933.4700000007</v>
      </c>
    </row>
    <row r="672" spans="1:3" x14ac:dyDescent="0.2">
      <c r="A672" s="91" t="s">
        <v>585</v>
      </c>
      <c r="B672" s="92" t="s">
        <v>270</v>
      </c>
      <c r="C672" s="111">
        <v>8241689.9400000004</v>
      </c>
    </row>
    <row r="673" spans="1:3" x14ac:dyDescent="0.2">
      <c r="A673" s="91" t="s">
        <v>588</v>
      </c>
      <c r="B673" s="92" t="s">
        <v>270</v>
      </c>
      <c r="C673" s="111">
        <v>7115896.8099999996</v>
      </c>
    </row>
    <row r="674" spans="1:3" x14ac:dyDescent="0.2">
      <c r="A674" s="91" t="s">
        <v>664</v>
      </c>
      <c r="B674" s="92" t="s">
        <v>270</v>
      </c>
      <c r="C674" s="111">
        <v>61568448.520000003</v>
      </c>
    </row>
    <row r="675" spans="1:3" x14ac:dyDescent="0.2">
      <c r="A675" s="91" t="s">
        <v>665</v>
      </c>
      <c r="B675" s="92" t="s">
        <v>270</v>
      </c>
      <c r="C675" s="111">
        <v>57174798.450000003</v>
      </c>
    </row>
    <row r="676" spans="1:3" x14ac:dyDescent="0.2">
      <c r="A676" s="91" t="s">
        <v>641</v>
      </c>
      <c r="B676" s="92" t="s">
        <v>270</v>
      </c>
      <c r="C676" s="111">
        <v>3657106.62</v>
      </c>
    </row>
    <row r="677" spans="1:3" x14ac:dyDescent="0.2">
      <c r="A677" s="91" t="s">
        <v>670</v>
      </c>
      <c r="B677" s="92" t="s">
        <v>270</v>
      </c>
      <c r="C677" s="111">
        <v>4673130.9800000004</v>
      </c>
    </row>
    <row r="678" spans="1:3" x14ac:dyDescent="0.2">
      <c r="A678" s="91" t="s">
        <v>669</v>
      </c>
      <c r="B678" s="92" t="s">
        <v>270</v>
      </c>
      <c r="C678" s="111">
        <v>59664446.539999999</v>
      </c>
    </row>
    <row r="679" spans="1:3" x14ac:dyDescent="0.2">
      <c r="A679" s="91" t="s">
        <v>655</v>
      </c>
      <c r="B679" s="92" t="s">
        <v>270</v>
      </c>
      <c r="C679" s="111">
        <v>68843276.370000005</v>
      </c>
    </row>
    <row r="680" spans="1:3" x14ac:dyDescent="0.2">
      <c r="A680" s="91" t="s">
        <v>656</v>
      </c>
      <c r="B680" s="92" t="s">
        <v>270</v>
      </c>
      <c r="C680" s="111">
        <v>4074013.24</v>
      </c>
    </row>
    <row r="681" spans="1:3" x14ac:dyDescent="0.2">
      <c r="A681" s="91" t="s">
        <v>662</v>
      </c>
      <c r="B681" s="92" t="s">
        <v>270</v>
      </c>
      <c r="C681" s="111">
        <v>55512200.619999997</v>
      </c>
    </row>
    <row r="682" spans="1:3" x14ac:dyDescent="0.2">
      <c r="A682" s="91" t="s">
        <v>660</v>
      </c>
      <c r="B682" s="92" t="s">
        <v>270</v>
      </c>
      <c r="C682" s="111">
        <v>76869247.930000007</v>
      </c>
    </row>
    <row r="683" spans="1:3" x14ac:dyDescent="0.2">
      <c r="A683" s="91" t="s">
        <v>663</v>
      </c>
      <c r="B683" s="92" t="s">
        <v>270</v>
      </c>
      <c r="C683" s="111">
        <v>71266457.510000005</v>
      </c>
    </row>
    <row r="684" spans="1:3" x14ac:dyDescent="0.2">
      <c r="A684" s="91" t="s">
        <v>661</v>
      </c>
      <c r="B684" s="92" t="s">
        <v>270</v>
      </c>
      <c r="C684" s="111">
        <v>77855534.290000007</v>
      </c>
    </row>
    <row r="685" spans="1:3" x14ac:dyDescent="0.2">
      <c r="A685" s="91" t="s">
        <v>674</v>
      </c>
      <c r="B685" s="92" t="s">
        <v>270</v>
      </c>
      <c r="C685" s="111">
        <v>7702067.1399999997</v>
      </c>
    </row>
    <row r="686" spans="1:3" x14ac:dyDescent="0.2">
      <c r="A686" s="91" t="s">
        <v>675</v>
      </c>
      <c r="B686" s="92" t="s">
        <v>270</v>
      </c>
      <c r="C686" s="111">
        <v>8175942.3600000003</v>
      </c>
    </row>
    <row r="687" spans="1:3" x14ac:dyDescent="0.2">
      <c r="A687" s="91" t="s">
        <v>684</v>
      </c>
      <c r="B687" s="92" t="s">
        <v>270</v>
      </c>
      <c r="C687" s="111">
        <v>4075402.72</v>
      </c>
    </row>
    <row r="688" spans="1:3" x14ac:dyDescent="0.2">
      <c r="A688" s="91" t="s">
        <v>793</v>
      </c>
      <c r="B688" s="92" t="s">
        <v>270</v>
      </c>
      <c r="C688" s="111">
        <v>26058879.850000001</v>
      </c>
    </row>
    <row r="689" spans="1:3" x14ac:dyDescent="0.2">
      <c r="A689" s="91" t="s">
        <v>792</v>
      </c>
      <c r="B689" s="92" t="s">
        <v>270</v>
      </c>
      <c r="C689" s="111">
        <v>7802214.4100000001</v>
      </c>
    </row>
    <row r="690" spans="1:3" x14ac:dyDescent="0.2">
      <c r="A690" s="91" t="s">
        <v>788</v>
      </c>
      <c r="B690" s="92" t="s">
        <v>270</v>
      </c>
      <c r="C690" s="111">
        <v>10659220.960000001</v>
      </c>
    </row>
    <row r="691" spans="1:3" x14ac:dyDescent="0.2">
      <c r="A691" s="91" t="s">
        <v>787</v>
      </c>
      <c r="B691" s="92" t="s">
        <v>270</v>
      </c>
      <c r="C691" s="111">
        <v>11371108.109999999</v>
      </c>
    </row>
    <row r="692" spans="1:3" x14ac:dyDescent="0.2">
      <c r="A692" s="91" t="s">
        <v>797</v>
      </c>
      <c r="B692" s="92" t="s">
        <v>270</v>
      </c>
      <c r="C692" s="111">
        <v>12130539.42</v>
      </c>
    </row>
    <row r="693" spans="1:3" x14ac:dyDescent="0.2">
      <c r="A693" s="91" t="s">
        <v>796</v>
      </c>
      <c r="B693" s="92" t="s">
        <v>270</v>
      </c>
      <c r="C693" s="111">
        <v>12940690.48</v>
      </c>
    </row>
    <row r="694" spans="1:3" x14ac:dyDescent="0.2">
      <c r="A694" s="91" t="s">
        <v>834</v>
      </c>
      <c r="B694" s="92" t="s">
        <v>270</v>
      </c>
      <c r="C694" s="111">
        <v>15046017.109999999</v>
      </c>
    </row>
    <row r="695" spans="1:3" x14ac:dyDescent="0.2">
      <c r="A695" s="91" t="s">
        <v>837</v>
      </c>
      <c r="B695" s="92" t="s">
        <v>270</v>
      </c>
      <c r="C695" s="111">
        <v>14191623.18</v>
      </c>
    </row>
    <row r="696" spans="1:3" x14ac:dyDescent="0.2">
      <c r="A696" s="91" t="s">
        <v>835</v>
      </c>
      <c r="B696" s="92" t="s">
        <v>270</v>
      </c>
      <c r="C696" s="111">
        <v>16050881.43</v>
      </c>
    </row>
    <row r="697" spans="1:3" x14ac:dyDescent="0.2">
      <c r="A697" s="91" t="s">
        <v>836</v>
      </c>
      <c r="B697" s="92" t="s">
        <v>270</v>
      </c>
      <c r="C697" s="111">
        <v>14104062.68</v>
      </c>
    </row>
    <row r="698" spans="1:3" x14ac:dyDescent="0.2">
      <c r="A698" s="91" t="s">
        <v>831</v>
      </c>
      <c r="B698" s="92" t="s">
        <v>270</v>
      </c>
      <c r="C698" s="111">
        <v>15342679.550000001</v>
      </c>
    </row>
    <row r="699" spans="1:3" x14ac:dyDescent="0.2">
      <c r="A699" s="91" t="s">
        <v>833</v>
      </c>
      <c r="B699" s="92" t="s">
        <v>270</v>
      </c>
      <c r="C699" s="111">
        <v>12260551.640000001</v>
      </c>
    </row>
    <row r="700" spans="1:3" x14ac:dyDescent="0.2">
      <c r="A700" s="91" t="s">
        <v>832</v>
      </c>
      <c r="B700" s="92" t="s">
        <v>270</v>
      </c>
      <c r="C700" s="111">
        <v>11492981.140000001</v>
      </c>
    </row>
    <row r="701" spans="1:3" x14ac:dyDescent="0.2">
      <c r="A701" s="91" t="s">
        <v>821</v>
      </c>
      <c r="B701" s="92" t="s">
        <v>270</v>
      </c>
      <c r="C701" s="111">
        <v>56629694.149999999</v>
      </c>
    </row>
    <row r="702" spans="1:3" x14ac:dyDescent="0.2">
      <c r="A702" s="91" t="s">
        <v>823</v>
      </c>
      <c r="B702" s="92" t="s">
        <v>270</v>
      </c>
      <c r="C702" s="111">
        <v>52566180.310000002</v>
      </c>
    </row>
    <row r="703" spans="1:3" x14ac:dyDescent="0.2">
      <c r="A703" s="91" t="s">
        <v>824</v>
      </c>
      <c r="B703" s="92" t="s">
        <v>270</v>
      </c>
      <c r="C703" s="111">
        <v>36788398.93</v>
      </c>
    </row>
    <row r="704" spans="1:3" x14ac:dyDescent="0.2">
      <c r="A704" s="91" t="s">
        <v>822</v>
      </c>
      <c r="B704" s="92" t="s">
        <v>270</v>
      </c>
      <c r="C704" s="111">
        <v>49138797.380000003</v>
      </c>
    </row>
    <row r="705" spans="1:3" x14ac:dyDescent="0.2">
      <c r="A705" s="91" t="s">
        <v>846</v>
      </c>
      <c r="B705" s="92" t="s">
        <v>270</v>
      </c>
      <c r="C705" s="111">
        <v>23330545.93</v>
      </c>
    </row>
    <row r="706" spans="1:3" x14ac:dyDescent="0.2">
      <c r="A706" s="91" t="s">
        <v>847</v>
      </c>
      <c r="B706" s="92" t="s">
        <v>270</v>
      </c>
      <c r="C706" s="111">
        <v>25379431.32</v>
      </c>
    </row>
    <row r="707" spans="1:3" x14ac:dyDescent="0.2">
      <c r="A707" s="91" t="s">
        <v>848</v>
      </c>
      <c r="B707" s="92" t="s">
        <v>270</v>
      </c>
      <c r="C707" s="111">
        <v>22301148.48</v>
      </c>
    </row>
    <row r="708" spans="1:3" x14ac:dyDescent="0.2">
      <c r="A708" s="91" t="s">
        <v>843</v>
      </c>
      <c r="B708" s="92" t="s">
        <v>270</v>
      </c>
      <c r="C708" s="111">
        <v>14930400.52</v>
      </c>
    </row>
    <row r="709" spans="1:3" x14ac:dyDescent="0.2">
      <c r="A709" s="91" t="s">
        <v>844</v>
      </c>
      <c r="B709" s="92" t="s">
        <v>270</v>
      </c>
      <c r="C709" s="111">
        <v>19596232.32</v>
      </c>
    </row>
    <row r="710" spans="1:3" x14ac:dyDescent="0.2">
      <c r="A710" s="91" t="s">
        <v>845</v>
      </c>
      <c r="B710" s="92" t="s">
        <v>270</v>
      </c>
      <c r="C710" s="111">
        <v>13119485.380000001</v>
      </c>
    </row>
    <row r="711" spans="1:3" x14ac:dyDescent="0.2">
      <c r="A711" s="91" t="s">
        <v>849</v>
      </c>
      <c r="B711" s="92" t="s">
        <v>270</v>
      </c>
      <c r="C711" s="111">
        <v>16991280.27</v>
      </c>
    </row>
    <row r="712" spans="1:3" x14ac:dyDescent="0.2">
      <c r="A712" s="91" t="s">
        <v>862</v>
      </c>
      <c r="B712" s="92" t="s">
        <v>270</v>
      </c>
      <c r="C712" s="111">
        <v>19958637.289999999</v>
      </c>
    </row>
    <row r="713" spans="1:3" x14ac:dyDescent="0.2">
      <c r="A713" s="91" t="s">
        <v>863</v>
      </c>
      <c r="B713" s="92" t="s">
        <v>270</v>
      </c>
      <c r="C713" s="111">
        <v>21291595.93</v>
      </c>
    </row>
    <row r="714" spans="1:3" x14ac:dyDescent="0.2">
      <c r="A714" s="91" t="s">
        <v>864</v>
      </c>
      <c r="B714" s="92" t="s">
        <v>270</v>
      </c>
      <c r="C714" s="111">
        <v>22713577.82</v>
      </c>
    </row>
    <row r="715" spans="1:3" x14ac:dyDescent="0.2">
      <c r="A715" s="91" t="s">
        <v>866</v>
      </c>
      <c r="B715" s="92" t="s">
        <v>270</v>
      </c>
      <c r="C715" s="111">
        <v>24230528.010000002</v>
      </c>
    </row>
    <row r="716" spans="1:3" x14ac:dyDescent="0.2">
      <c r="A716" s="91" t="s">
        <v>865</v>
      </c>
      <c r="B716" s="92" t="s">
        <v>270</v>
      </c>
      <c r="C716" s="111">
        <v>25848789.48</v>
      </c>
    </row>
    <row r="717" spans="1:3" x14ac:dyDescent="0.2">
      <c r="A717" s="91" t="s">
        <v>867</v>
      </c>
      <c r="B717" s="92" t="s">
        <v>270</v>
      </c>
      <c r="C717" s="111">
        <v>27575127.719999999</v>
      </c>
    </row>
    <row r="718" spans="1:3" x14ac:dyDescent="0.2">
      <c r="A718" s="91" t="s">
        <v>868</v>
      </c>
      <c r="B718" s="92" t="s">
        <v>270</v>
      </c>
      <c r="C718" s="111">
        <v>34507122.039999999</v>
      </c>
    </row>
    <row r="719" spans="1:3" x14ac:dyDescent="0.2">
      <c r="A719" s="91" t="s">
        <v>901</v>
      </c>
      <c r="B719" s="92" t="s">
        <v>270</v>
      </c>
      <c r="C719" s="111">
        <v>63306407.850000001</v>
      </c>
    </row>
    <row r="720" spans="1:3" x14ac:dyDescent="0.2">
      <c r="A720" s="91" t="s">
        <v>905</v>
      </c>
      <c r="B720" s="92" t="s">
        <v>270</v>
      </c>
      <c r="C720" s="111">
        <v>43063856.590000004</v>
      </c>
    </row>
    <row r="721" spans="1:3" x14ac:dyDescent="0.2">
      <c r="A721" s="91" t="s">
        <v>900</v>
      </c>
      <c r="B721" s="92" t="s">
        <v>270</v>
      </c>
      <c r="C721" s="111">
        <v>72934189.459999993</v>
      </c>
    </row>
    <row r="722" spans="1:3" x14ac:dyDescent="0.2">
      <c r="A722" s="91" t="s">
        <v>902</v>
      </c>
      <c r="B722" s="92" t="s">
        <v>270</v>
      </c>
      <c r="C722" s="111">
        <v>35215566.450000003</v>
      </c>
    </row>
    <row r="723" spans="1:3" x14ac:dyDescent="0.2">
      <c r="A723" s="91" t="s">
        <v>903</v>
      </c>
      <c r="B723" s="92" t="s">
        <v>270</v>
      </c>
      <c r="C723" s="111">
        <v>37172929.439999998</v>
      </c>
    </row>
    <row r="724" spans="1:3" x14ac:dyDescent="0.2">
      <c r="A724" s="91" t="s">
        <v>904</v>
      </c>
      <c r="B724" s="92" t="s">
        <v>270</v>
      </c>
      <c r="C724" s="111">
        <v>33495581.280000001</v>
      </c>
    </row>
    <row r="725" spans="1:3" x14ac:dyDescent="0.2">
      <c r="A725" s="91" t="s">
        <v>784</v>
      </c>
      <c r="B725" s="92" t="s">
        <v>270</v>
      </c>
      <c r="C725" s="111">
        <v>9077712.8399999999</v>
      </c>
    </row>
    <row r="726" spans="1:3" x14ac:dyDescent="0.2">
      <c r="A726" s="91" t="s">
        <v>789</v>
      </c>
      <c r="B726" s="92" t="s">
        <v>270</v>
      </c>
      <c r="C726" s="111">
        <v>13804947.810000001</v>
      </c>
    </row>
    <row r="727" spans="1:3" x14ac:dyDescent="0.2">
      <c r="A727" s="91" t="s">
        <v>791</v>
      </c>
      <c r="B727" s="92" t="s">
        <v>270</v>
      </c>
      <c r="C727" s="111">
        <v>14726925.970000001</v>
      </c>
    </row>
    <row r="728" spans="1:3" x14ac:dyDescent="0.2">
      <c r="A728" s="91" t="s">
        <v>790</v>
      </c>
      <c r="B728" s="92" t="s">
        <v>270</v>
      </c>
      <c r="C728" s="111">
        <v>18429064.949999999</v>
      </c>
    </row>
    <row r="729" spans="1:3" x14ac:dyDescent="0.2">
      <c r="A729" s="91" t="s">
        <v>795</v>
      </c>
      <c r="B729" s="92" t="s">
        <v>270</v>
      </c>
      <c r="C729" s="111">
        <v>8822620.0399999991</v>
      </c>
    </row>
    <row r="730" spans="1:3" x14ac:dyDescent="0.2">
      <c r="A730" s="91" t="s">
        <v>794</v>
      </c>
      <c r="B730" s="92" t="s">
        <v>270</v>
      </c>
      <c r="C730" s="111">
        <v>9468984.4600000009</v>
      </c>
    </row>
    <row r="731" spans="1:3" x14ac:dyDescent="0.2">
      <c r="A731" s="91" t="s">
        <v>1022</v>
      </c>
      <c r="B731" s="92" t="s">
        <v>270</v>
      </c>
      <c r="C731" s="111">
        <v>5479723.0700000003</v>
      </c>
    </row>
    <row r="732" spans="1:3" x14ac:dyDescent="0.2">
      <c r="A732" s="91" t="s">
        <v>1025</v>
      </c>
      <c r="B732" s="92" t="s">
        <v>270</v>
      </c>
      <c r="C732" s="111">
        <v>5786924.0700000003</v>
      </c>
    </row>
    <row r="733" spans="1:3" x14ac:dyDescent="0.2">
      <c r="A733" s="91" t="s">
        <v>1027</v>
      </c>
      <c r="B733" s="92" t="s">
        <v>270</v>
      </c>
      <c r="C733" s="111">
        <v>6205283.3300000001</v>
      </c>
    </row>
    <row r="734" spans="1:3" x14ac:dyDescent="0.2">
      <c r="A734" s="91" t="s">
        <v>1028</v>
      </c>
      <c r="B734" s="92" t="s">
        <v>270</v>
      </c>
      <c r="C734" s="111">
        <v>6603495.1500000004</v>
      </c>
    </row>
    <row r="735" spans="1:3" x14ac:dyDescent="0.2">
      <c r="A735" s="91" t="s">
        <v>1032</v>
      </c>
      <c r="B735" s="92" t="s">
        <v>270</v>
      </c>
      <c r="C735" s="111">
        <v>7045033.4199999999</v>
      </c>
    </row>
    <row r="736" spans="1:3" x14ac:dyDescent="0.2">
      <c r="A736" s="91" t="s">
        <v>1035</v>
      </c>
      <c r="B736" s="92" t="s">
        <v>270</v>
      </c>
      <c r="C736" s="111">
        <v>7513350.7300000004</v>
      </c>
    </row>
    <row r="737" spans="1:3" x14ac:dyDescent="0.2">
      <c r="A737" s="91" t="s">
        <v>1029</v>
      </c>
      <c r="B737" s="92" t="s">
        <v>270</v>
      </c>
      <c r="C737" s="111">
        <v>8017352.3700000001</v>
      </c>
    </row>
    <row r="738" spans="1:3" x14ac:dyDescent="0.2">
      <c r="A738" s="91" t="s">
        <v>1031</v>
      </c>
      <c r="B738" s="92" t="s">
        <v>270</v>
      </c>
      <c r="C738" s="111">
        <v>8495648.6600000001</v>
      </c>
    </row>
    <row r="739" spans="1:3" x14ac:dyDescent="0.2">
      <c r="A739" s="91" t="s">
        <v>1063</v>
      </c>
      <c r="B739" s="92" t="s">
        <v>270</v>
      </c>
      <c r="C739" s="111">
        <v>22526146.68</v>
      </c>
    </row>
    <row r="740" spans="1:3" x14ac:dyDescent="0.2">
      <c r="A740" s="91" t="s">
        <v>1061</v>
      </c>
      <c r="B740" s="92" t="s">
        <v>270</v>
      </c>
      <c r="C740" s="111">
        <v>23865988.300000001</v>
      </c>
    </row>
    <row r="741" spans="1:3" x14ac:dyDescent="0.2">
      <c r="A741" s="91" t="s">
        <v>987</v>
      </c>
      <c r="B741" s="92" t="s">
        <v>270</v>
      </c>
      <c r="C741" s="111">
        <v>300000000</v>
      </c>
    </row>
    <row r="742" spans="1:3" x14ac:dyDescent="0.2">
      <c r="A742" s="91" t="s">
        <v>1062</v>
      </c>
      <c r="B742" s="92" t="s">
        <v>270</v>
      </c>
      <c r="C742" s="111">
        <v>24539763.329999998</v>
      </c>
    </row>
    <row r="743" spans="1:3" x14ac:dyDescent="0.2">
      <c r="A743" s="91" t="s">
        <v>1075</v>
      </c>
      <c r="B743" s="92" t="s">
        <v>270</v>
      </c>
      <c r="C743" s="111">
        <v>26798528.780000001</v>
      </c>
    </row>
    <row r="744" spans="1:3" x14ac:dyDescent="0.2">
      <c r="A744" s="91" t="s">
        <v>1065</v>
      </c>
      <c r="B744" s="92" t="s">
        <v>270</v>
      </c>
      <c r="C744" s="111">
        <v>27149636.030000001</v>
      </c>
    </row>
    <row r="745" spans="1:3" x14ac:dyDescent="0.2">
      <c r="A745" s="91" t="s">
        <v>1071</v>
      </c>
      <c r="B745" s="92" t="s">
        <v>270</v>
      </c>
      <c r="C745" s="111">
        <v>28887271.989999998</v>
      </c>
    </row>
    <row r="746" spans="1:3" x14ac:dyDescent="0.2">
      <c r="A746" s="91" t="s">
        <v>1076</v>
      </c>
      <c r="B746" s="92" t="s">
        <v>270</v>
      </c>
      <c r="C746" s="111">
        <v>29888775.030000001</v>
      </c>
    </row>
    <row r="747" spans="1:3" x14ac:dyDescent="0.2">
      <c r="A747" s="91" t="s">
        <v>1074</v>
      </c>
      <c r="B747" s="92" t="s">
        <v>270</v>
      </c>
      <c r="C747" s="111">
        <v>31289435.370000001</v>
      </c>
    </row>
    <row r="748" spans="1:3" x14ac:dyDescent="0.2">
      <c r="A748" s="91" t="s">
        <v>1072</v>
      </c>
      <c r="B748" s="92" t="s">
        <v>270</v>
      </c>
      <c r="C748" s="111">
        <v>29830891.899999999</v>
      </c>
    </row>
    <row r="749" spans="1:3" x14ac:dyDescent="0.2">
      <c r="A749" s="91" t="s">
        <v>1064</v>
      </c>
      <c r="B749" s="92" t="s">
        <v>270</v>
      </c>
      <c r="C749" s="111">
        <v>31600537.02</v>
      </c>
    </row>
    <row r="750" spans="1:3" x14ac:dyDescent="0.2">
      <c r="A750" s="91" t="s">
        <v>1070</v>
      </c>
      <c r="B750" s="92" t="s">
        <v>270</v>
      </c>
      <c r="C750" s="111">
        <v>32496340.559999999</v>
      </c>
    </row>
    <row r="751" spans="1:3" x14ac:dyDescent="0.2">
      <c r="A751" s="91" t="s">
        <v>1068</v>
      </c>
      <c r="B751" s="92" t="s">
        <v>270</v>
      </c>
      <c r="C751" s="111">
        <v>34620639.890000001</v>
      </c>
    </row>
    <row r="752" spans="1:3" x14ac:dyDescent="0.2">
      <c r="A752" s="91" t="s">
        <v>1078</v>
      </c>
      <c r="B752" s="92" t="s">
        <v>270</v>
      </c>
      <c r="C752" s="111">
        <v>35816469.670000002</v>
      </c>
    </row>
    <row r="753" spans="1:3" x14ac:dyDescent="0.2">
      <c r="A753" s="91" t="s">
        <v>1066</v>
      </c>
      <c r="B753" s="92" t="s">
        <v>270</v>
      </c>
      <c r="C753" s="111">
        <v>37331889.539999999</v>
      </c>
    </row>
    <row r="754" spans="1:3" x14ac:dyDescent="0.2">
      <c r="A754" s="91" t="s">
        <v>1073</v>
      </c>
      <c r="B754" s="92" t="s">
        <v>270</v>
      </c>
      <c r="C754" s="111">
        <v>38532272.390000001</v>
      </c>
    </row>
    <row r="755" spans="1:3" x14ac:dyDescent="0.2">
      <c r="A755" s="91" t="s">
        <v>1069</v>
      </c>
      <c r="B755" s="92" t="s">
        <v>270</v>
      </c>
      <c r="C755" s="111">
        <v>40031420.840000004</v>
      </c>
    </row>
    <row r="756" spans="1:3" x14ac:dyDescent="0.2">
      <c r="A756" s="91" t="s">
        <v>1077</v>
      </c>
      <c r="B756" s="92" t="s">
        <v>270</v>
      </c>
      <c r="C756" s="111">
        <v>40020596.170000002</v>
      </c>
    </row>
    <row r="757" spans="1:3" x14ac:dyDescent="0.2">
      <c r="A757" s="91" t="s">
        <v>1067</v>
      </c>
      <c r="B757" s="92" t="s">
        <v>270</v>
      </c>
      <c r="C757" s="111">
        <v>34237406.009999998</v>
      </c>
    </row>
    <row r="758" spans="1:3" x14ac:dyDescent="0.2">
      <c r="A758" s="91" t="s">
        <v>1024</v>
      </c>
      <c r="B758" s="92" t="s">
        <v>270</v>
      </c>
      <c r="C758" s="111">
        <v>34872366.600000001</v>
      </c>
    </row>
    <row r="759" spans="1:3" x14ac:dyDescent="0.2">
      <c r="A759" s="91" t="s">
        <v>1026</v>
      </c>
      <c r="B759" s="92" t="s">
        <v>270</v>
      </c>
      <c r="C759" s="111">
        <v>35062979.640000001</v>
      </c>
    </row>
    <row r="760" spans="1:3" x14ac:dyDescent="0.2">
      <c r="A760" s="91" t="s">
        <v>1021</v>
      </c>
      <c r="B760" s="92" t="s">
        <v>270</v>
      </c>
      <c r="C760" s="111">
        <v>22651023.510000002</v>
      </c>
    </row>
    <row r="761" spans="1:3" x14ac:dyDescent="0.2">
      <c r="A761" s="91" t="s">
        <v>1023</v>
      </c>
      <c r="B761" s="92" t="s">
        <v>270</v>
      </c>
      <c r="C761" s="111">
        <v>23506026.920000002</v>
      </c>
    </row>
    <row r="762" spans="1:3" x14ac:dyDescent="0.2">
      <c r="A762" s="91" t="s">
        <v>1036</v>
      </c>
      <c r="B762" s="92" t="s">
        <v>270</v>
      </c>
      <c r="C762" s="111">
        <v>15013324.58</v>
      </c>
    </row>
    <row r="763" spans="1:3" x14ac:dyDescent="0.2">
      <c r="A763" s="91" t="s">
        <v>1030</v>
      </c>
      <c r="B763" s="92" t="s">
        <v>270</v>
      </c>
      <c r="C763" s="111">
        <v>15678356.01</v>
      </c>
    </row>
    <row r="764" spans="1:3" x14ac:dyDescent="0.2">
      <c r="A764" s="91" t="s">
        <v>1033</v>
      </c>
      <c r="B764" s="92" t="s">
        <v>270</v>
      </c>
      <c r="C764" s="111">
        <v>15501760.279999999</v>
      </c>
    </row>
    <row r="765" spans="1:3" x14ac:dyDescent="0.2">
      <c r="A765" s="91" t="s">
        <v>1034</v>
      </c>
      <c r="B765" s="92" t="s">
        <v>270</v>
      </c>
      <c r="C765" s="111">
        <v>14109939.539999999</v>
      </c>
    </row>
    <row r="766" spans="1:3" x14ac:dyDescent="0.2">
      <c r="A766" s="91" t="s">
        <v>1883</v>
      </c>
      <c r="B766" s="92" t="s">
        <v>270</v>
      </c>
      <c r="C766" s="111">
        <v>1100000000</v>
      </c>
    </row>
    <row r="767" spans="1:3" x14ac:dyDescent="0.2">
      <c r="A767" s="91" t="s">
        <v>1690</v>
      </c>
      <c r="B767" s="92" t="s">
        <v>270</v>
      </c>
      <c r="C767" s="111">
        <v>122436306.23</v>
      </c>
    </row>
    <row r="768" spans="1:3" x14ac:dyDescent="0.2">
      <c r="A768" s="91" t="s">
        <v>198</v>
      </c>
      <c r="B768" s="92" t="s">
        <v>268</v>
      </c>
      <c r="C768" s="111">
        <v>13982456123.01</v>
      </c>
    </row>
    <row r="769" spans="1:3" x14ac:dyDescent="0.2">
      <c r="A769" s="91" t="s">
        <v>400</v>
      </c>
      <c r="B769" s="92" t="s">
        <v>268</v>
      </c>
      <c r="C769" s="111">
        <v>5611745550</v>
      </c>
    </row>
    <row r="770" spans="1:3" x14ac:dyDescent="0.2">
      <c r="A770" s="91" t="s">
        <v>1313</v>
      </c>
      <c r="B770" s="92" t="s">
        <v>268</v>
      </c>
      <c r="C770" s="111">
        <v>1216325204</v>
      </c>
    </row>
    <row r="771" spans="1:3" x14ac:dyDescent="0.2">
      <c r="A771" s="91" t="s">
        <v>1722</v>
      </c>
      <c r="B771" s="92" t="s">
        <v>222</v>
      </c>
      <c r="C771" s="111">
        <v>250000000</v>
      </c>
    </row>
    <row r="772" spans="1:3" x14ac:dyDescent="0.2">
      <c r="A772" s="91" t="s">
        <v>223</v>
      </c>
      <c r="B772" s="92" t="s">
        <v>268</v>
      </c>
      <c r="C772" s="111">
        <v>7320450000</v>
      </c>
    </row>
    <row r="773" spans="1:3" x14ac:dyDescent="0.2">
      <c r="A773" s="91" t="s">
        <v>224</v>
      </c>
      <c r="B773" s="92" t="s">
        <v>268</v>
      </c>
      <c r="C773" s="111">
        <v>5588180000</v>
      </c>
    </row>
    <row r="774" spans="1:3" x14ac:dyDescent="0.2">
      <c r="A774" s="91" t="s">
        <v>541</v>
      </c>
      <c r="B774" s="92" t="s">
        <v>268</v>
      </c>
      <c r="C774" s="111">
        <v>4000000000</v>
      </c>
    </row>
    <row r="775" spans="1:3" x14ac:dyDescent="0.2">
      <c r="A775" s="91" t="s">
        <v>542</v>
      </c>
      <c r="B775" s="92" t="s">
        <v>268</v>
      </c>
      <c r="C775" s="111">
        <v>756436995.49000001</v>
      </c>
    </row>
    <row r="776" spans="1:3" x14ac:dyDescent="0.2">
      <c r="A776" s="91" t="s">
        <v>517</v>
      </c>
      <c r="B776" s="92" t="s">
        <v>268</v>
      </c>
      <c r="C776" s="111">
        <v>18508215490</v>
      </c>
    </row>
    <row r="777" spans="1:3" x14ac:dyDescent="0.2">
      <c r="A777" s="91" t="s">
        <v>372</v>
      </c>
      <c r="B777" s="92" t="s">
        <v>268</v>
      </c>
      <c r="C777" s="111">
        <v>1979358866.97</v>
      </c>
    </row>
    <row r="778" spans="1:3" x14ac:dyDescent="0.2">
      <c r="A778" s="91" t="s">
        <v>373</v>
      </c>
      <c r="B778" s="92" t="s">
        <v>268</v>
      </c>
      <c r="C778" s="111">
        <v>2370000000</v>
      </c>
    </row>
    <row r="779" spans="1:3" x14ac:dyDescent="0.2">
      <c r="A779" s="91" t="s">
        <v>227</v>
      </c>
      <c r="B779" s="92" t="s">
        <v>268</v>
      </c>
      <c r="C779" s="111">
        <v>2740080000</v>
      </c>
    </row>
    <row r="780" spans="1:3" x14ac:dyDescent="0.2">
      <c r="A780" s="91" t="s">
        <v>467</v>
      </c>
      <c r="B780" s="92" t="s">
        <v>268</v>
      </c>
      <c r="C780" s="111">
        <v>9600000000</v>
      </c>
    </row>
    <row r="781" spans="1:3" x14ac:dyDescent="0.2">
      <c r="A781" s="91" t="s">
        <v>374</v>
      </c>
      <c r="B781" s="92" t="s">
        <v>268</v>
      </c>
      <c r="C781" s="111">
        <v>980000000</v>
      </c>
    </row>
    <row r="782" spans="1:3" x14ac:dyDescent="0.2">
      <c r="A782" s="91" t="s">
        <v>331</v>
      </c>
      <c r="B782" s="92" t="s">
        <v>268</v>
      </c>
      <c r="C782" s="111">
        <v>3600000000</v>
      </c>
    </row>
    <row r="783" spans="1:3" x14ac:dyDescent="0.2">
      <c r="A783" s="91" t="s">
        <v>1238</v>
      </c>
      <c r="B783" s="92" t="s">
        <v>538</v>
      </c>
      <c r="C783" s="111">
        <v>9505529709.4200001</v>
      </c>
    </row>
    <row r="784" spans="1:3" x14ac:dyDescent="0.2">
      <c r="A784" s="91" t="s">
        <v>529</v>
      </c>
      <c r="B784" s="92" t="s">
        <v>538</v>
      </c>
      <c r="C784" s="111">
        <v>319096631.49000001</v>
      </c>
    </row>
    <row r="785" spans="1:3" x14ac:dyDescent="0.2">
      <c r="A785" s="91" t="s">
        <v>509</v>
      </c>
      <c r="B785" s="92" t="s">
        <v>538</v>
      </c>
      <c r="C785" s="111">
        <v>1013832183.38</v>
      </c>
    </row>
    <row r="786" spans="1:3" x14ac:dyDescent="0.2">
      <c r="A786" s="91" t="s">
        <v>510</v>
      </c>
      <c r="B786" s="92" t="s">
        <v>538</v>
      </c>
      <c r="C786" s="111">
        <v>226807289.06</v>
      </c>
    </row>
    <row r="787" spans="1:3" x14ac:dyDescent="0.2">
      <c r="A787" s="91" t="s">
        <v>931</v>
      </c>
      <c r="B787" s="92" t="s">
        <v>538</v>
      </c>
      <c r="C787" s="111">
        <v>722637132.64999998</v>
      </c>
    </row>
    <row r="788" spans="1:3" x14ac:dyDescent="0.2">
      <c r="A788" s="91" t="s">
        <v>1187</v>
      </c>
      <c r="B788" s="92" t="s">
        <v>538</v>
      </c>
      <c r="C788" s="111">
        <v>412846974.83999997</v>
      </c>
    </row>
    <row r="789" spans="1:3" x14ac:dyDescent="0.2">
      <c r="A789" s="91" t="s">
        <v>1188</v>
      </c>
      <c r="B789" s="92" t="s">
        <v>538</v>
      </c>
      <c r="C789" s="111">
        <v>5783378</v>
      </c>
    </row>
    <row r="790" spans="1:3" x14ac:dyDescent="0.2">
      <c r="A790" s="91" t="s">
        <v>1189</v>
      </c>
      <c r="B790" s="92" t="s">
        <v>538</v>
      </c>
      <c r="C790" s="111">
        <v>5919811.5800000001</v>
      </c>
    </row>
    <row r="791" spans="1:3" x14ac:dyDescent="0.2">
      <c r="A791" s="91" t="s">
        <v>1190</v>
      </c>
      <c r="B791" s="92" t="s">
        <v>538</v>
      </c>
      <c r="C791" s="111">
        <v>16053810.98</v>
      </c>
    </row>
    <row r="792" spans="1:3" x14ac:dyDescent="0.2">
      <c r="A792" s="91" t="s">
        <v>1191</v>
      </c>
      <c r="B792" s="92" t="s">
        <v>538</v>
      </c>
      <c r="C792" s="111">
        <v>24115275.68</v>
      </c>
    </row>
    <row r="793" spans="1:3" x14ac:dyDescent="0.2">
      <c r="A793" s="91" t="s">
        <v>1192</v>
      </c>
      <c r="B793" s="92" t="s">
        <v>538</v>
      </c>
      <c r="C793" s="111">
        <v>8879717.3800000008</v>
      </c>
    </row>
    <row r="794" spans="1:3" x14ac:dyDescent="0.2">
      <c r="A794" s="91" t="s">
        <v>1193</v>
      </c>
      <c r="B794" s="92" t="s">
        <v>538</v>
      </c>
      <c r="C794" s="111">
        <v>8915522.6899999995</v>
      </c>
    </row>
    <row r="795" spans="1:3" x14ac:dyDescent="0.2">
      <c r="A795" s="91" t="s">
        <v>1194</v>
      </c>
      <c r="B795" s="92" t="s">
        <v>538</v>
      </c>
      <c r="C795" s="111">
        <v>9076646.5899999999</v>
      </c>
    </row>
    <row r="796" spans="1:3" x14ac:dyDescent="0.2">
      <c r="A796" s="91" t="s">
        <v>1195</v>
      </c>
      <c r="B796" s="92" t="s">
        <v>538</v>
      </c>
      <c r="C796" s="111">
        <v>183298332.63999999</v>
      </c>
    </row>
    <row r="797" spans="1:3" x14ac:dyDescent="0.2">
      <c r="A797" s="91" t="s">
        <v>1196</v>
      </c>
      <c r="B797" s="92" t="s">
        <v>538</v>
      </c>
      <c r="C797" s="111">
        <v>6393983.3200000003</v>
      </c>
    </row>
    <row r="798" spans="1:3" x14ac:dyDescent="0.2">
      <c r="A798" s="91" t="s">
        <v>1197</v>
      </c>
      <c r="B798" s="92" t="s">
        <v>538</v>
      </c>
      <c r="C798" s="111">
        <v>3425747.82</v>
      </c>
    </row>
    <row r="799" spans="1:3" x14ac:dyDescent="0.2">
      <c r="A799" s="91" t="s">
        <v>1198</v>
      </c>
      <c r="B799" s="92" t="s">
        <v>538</v>
      </c>
      <c r="C799" s="111">
        <v>16480511.43</v>
      </c>
    </row>
    <row r="800" spans="1:3" x14ac:dyDescent="0.2">
      <c r="A800" s="91" t="s">
        <v>1199</v>
      </c>
      <c r="B800" s="92" t="s">
        <v>538</v>
      </c>
      <c r="C800" s="111">
        <v>11191541.720000001</v>
      </c>
    </row>
    <row r="801" spans="1:3" x14ac:dyDescent="0.2">
      <c r="A801" s="91" t="s">
        <v>1200</v>
      </c>
      <c r="B801" s="92" t="s">
        <v>538</v>
      </c>
      <c r="C801" s="111">
        <v>6593050.9199999999</v>
      </c>
    </row>
    <row r="802" spans="1:3" x14ac:dyDescent="0.2">
      <c r="A802" s="91" t="s">
        <v>932</v>
      </c>
      <c r="B802" s="92" t="s">
        <v>538</v>
      </c>
      <c r="C802" s="111">
        <v>400000000</v>
      </c>
    </row>
    <row r="803" spans="1:3" x14ac:dyDescent="0.2">
      <c r="A803" s="91" t="s">
        <v>1309</v>
      </c>
      <c r="B803" s="92" t="s">
        <v>538</v>
      </c>
      <c r="C803" s="111">
        <v>31089745.620000001</v>
      </c>
    </row>
    <row r="804" spans="1:3" x14ac:dyDescent="0.2">
      <c r="A804" s="91" t="s">
        <v>980</v>
      </c>
      <c r="B804" s="92" t="s">
        <v>538</v>
      </c>
      <c r="C804" s="111">
        <v>602145161.29999995</v>
      </c>
    </row>
    <row r="805" spans="1:3" x14ac:dyDescent="0.2">
      <c r="A805" s="91" t="s">
        <v>1168</v>
      </c>
      <c r="B805" s="92" t="s">
        <v>268</v>
      </c>
      <c r="C805" s="111">
        <v>7999730407.0900002</v>
      </c>
    </row>
    <row r="806" spans="1:3" x14ac:dyDescent="0.2">
      <c r="A806" s="91" t="s">
        <v>1499</v>
      </c>
      <c r="B806" s="92" t="s">
        <v>268</v>
      </c>
      <c r="C806" s="111">
        <v>11981443423.4</v>
      </c>
    </row>
    <row r="807" spans="1:3" x14ac:dyDescent="0.2">
      <c r="A807" s="91" t="s">
        <v>909</v>
      </c>
      <c r="B807" s="92" t="s">
        <v>268</v>
      </c>
      <c r="C807" s="111">
        <v>2159870300</v>
      </c>
    </row>
    <row r="808" spans="1:3" x14ac:dyDescent="0.2">
      <c r="A808" s="91" t="s">
        <v>1770</v>
      </c>
      <c r="B808" s="92" t="s">
        <v>268</v>
      </c>
      <c r="C808" s="111">
        <v>131243230.31</v>
      </c>
    </row>
    <row r="809" spans="1:3" x14ac:dyDescent="0.2">
      <c r="A809" s="91" t="s">
        <v>1782</v>
      </c>
      <c r="B809" s="92" t="s">
        <v>268</v>
      </c>
      <c r="C809" s="111">
        <v>13342333081.82</v>
      </c>
    </row>
    <row r="810" spans="1:3" x14ac:dyDescent="0.2">
      <c r="A810" s="91" t="s">
        <v>1543</v>
      </c>
      <c r="B810" s="92" t="s">
        <v>268</v>
      </c>
      <c r="C810" s="111">
        <v>10740000000</v>
      </c>
    </row>
    <row r="811" spans="1:3" x14ac:dyDescent="0.2">
      <c r="A811" s="91" t="s">
        <v>1766</v>
      </c>
      <c r="B811" s="92" t="s">
        <v>321</v>
      </c>
      <c r="C811" s="111">
        <v>144737270.38999999</v>
      </c>
    </row>
    <row r="812" spans="1:3" x14ac:dyDescent="0.2">
      <c r="A812" s="91" t="s">
        <v>1767</v>
      </c>
      <c r="B812" s="92" t="s">
        <v>321</v>
      </c>
      <c r="C812" s="111">
        <v>144737270.38999999</v>
      </c>
    </row>
    <row r="813" spans="1:3" x14ac:dyDescent="0.2">
      <c r="A813" s="91" t="s">
        <v>1768</v>
      </c>
      <c r="B813" s="92" t="s">
        <v>321</v>
      </c>
      <c r="C813" s="111">
        <v>217255021.87</v>
      </c>
    </row>
    <row r="814" spans="1:3" x14ac:dyDescent="0.2">
      <c r="A814" s="91" t="s">
        <v>1769</v>
      </c>
      <c r="B814" s="92" t="s">
        <v>321</v>
      </c>
      <c r="C814" s="111">
        <v>46355960.969999999</v>
      </c>
    </row>
    <row r="815" spans="1:3" x14ac:dyDescent="0.2">
      <c r="A815" s="91" t="s">
        <v>1500</v>
      </c>
      <c r="B815" s="92" t="s">
        <v>268</v>
      </c>
      <c r="C815" s="111">
        <v>4861888742.0600004</v>
      </c>
    </row>
    <row r="816" spans="1:3" x14ac:dyDescent="0.2">
      <c r="A816" s="91" t="s">
        <v>871</v>
      </c>
      <c r="B816" s="92" t="s">
        <v>270</v>
      </c>
      <c r="C816" s="111">
        <v>141.75</v>
      </c>
    </row>
    <row r="817" spans="1:3" x14ac:dyDescent="0.2">
      <c r="A817" s="91" t="s">
        <v>2290</v>
      </c>
      <c r="B817" s="92" t="s">
        <v>270</v>
      </c>
      <c r="C817" s="111">
        <v>40610.660000000003</v>
      </c>
    </row>
    <row r="818" spans="1:3" x14ac:dyDescent="0.2">
      <c r="A818" s="91" t="s">
        <v>2291</v>
      </c>
      <c r="B818" s="92" t="s">
        <v>270</v>
      </c>
      <c r="C818" s="111">
        <v>50510.69</v>
      </c>
    </row>
    <row r="819" spans="1:3" x14ac:dyDescent="0.2">
      <c r="A819" s="91" t="s">
        <v>722</v>
      </c>
      <c r="B819" s="92" t="s">
        <v>268</v>
      </c>
      <c r="C819" s="111">
        <v>7000000000</v>
      </c>
    </row>
    <row r="820" spans="1:3" x14ac:dyDescent="0.2">
      <c r="A820" s="91" t="s">
        <v>803</v>
      </c>
      <c r="B820" s="92" t="s">
        <v>268</v>
      </c>
      <c r="C820" s="111">
        <v>4186666666.6799998</v>
      </c>
    </row>
    <row r="821" spans="1:3" x14ac:dyDescent="0.2">
      <c r="A821" s="91" t="s">
        <v>998</v>
      </c>
      <c r="B821" s="92" t="s">
        <v>268</v>
      </c>
      <c r="C821" s="111">
        <v>13333333333.32</v>
      </c>
    </row>
    <row r="822" spans="1:3" x14ac:dyDescent="0.2">
      <c r="A822" s="91" t="s">
        <v>1310</v>
      </c>
      <c r="B822" s="92" t="s">
        <v>268</v>
      </c>
      <c r="C822" s="111">
        <v>4380000000</v>
      </c>
    </row>
    <row r="823" spans="1:3" x14ac:dyDescent="0.2">
      <c r="A823" s="91" t="s">
        <v>1487</v>
      </c>
      <c r="B823" s="92" t="s">
        <v>268</v>
      </c>
      <c r="C823" s="111">
        <v>1550000000</v>
      </c>
    </row>
    <row r="824" spans="1:3" x14ac:dyDescent="0.2">
      <c r="A824" s="91" t="s">
        <v>1544</v>
      </c>
      <c r="B824" s="92" t="s">
        <v>268</v>
      </c>
      <c r="C824" s="111">
        <v>2208869178.1500001</v>
      </c>
    </row>
    <row r="825" spans="1:3" x14ac:dyDescent="0.2">
      <c r="A825" s="91" t="s">
        <v>1607</v>
      </c>
      <c r="B825" s="92" t="s">
        <v>268</v>
      </c>
      <c r="C825" s="111">
        <v>472030014.00999999</v>
      </c>
    </row>
    <row r="826" spans="1:3" x14ac:dyDescent="0.2">
      <c r="A826" s="91" t="s">
        <v>1608</v>
      </c>
      <c r="B826" s="92" t="s">
        <v>268</v>
      </c>
      <c r="C826" s="111">
        <v>14085725823.76</v>
      </c>
    </row>
    <row r="827" spans="1:3" x14ac:dyDescent="0.2">
      <c r="A827" s="91" t="s">
        <v>1609</v>
      </c>
      <c r="B827" s="92" t="s">
        <v>268</v>
      </c>
      <c r="C827" s="111">
        <v>259985990.33000001</v>
      </c>
    </row>
    <row r="828" spans="1:3" x14ac:dyDescent="0.2">
      <c r="A828" s="91" t="s">
        <v>1610</v>
      </c>
      <c r="B828" s="92" t="s">
        <v>268</v>
      </c>
      <c r="C828" s="111">
        <v>1987775.8</v>
      </c>
    </row>
    <row r="829" spans="1:3" x14ac:dyDescent="0.2">
      <c r="A829" s="91" t="s">
        <v>1611</v>
      </c>
      <c r="B829" s="92" t="s">
        <v>268</v>
      </c>
      <c r="C829" s="111">
        <v>215331094.87</v>
      </c>
    </row>
    <row r="830" spans="1:3" x14ac:dyDescent="0.2">
      <c r="A830" s="91" t="s">
        <v>1612</v>
      </c>
      <c r="B830" s="92" t="s">
        <v>268</v>
      </c>
      <c r="C830" s="111">
        <v>33328509.77</v>
      </c>
    </row>
    <row r="831" spans="1:3" x14ac:dyDescent="0.2">
      <c r="A831" s="91" t="s">
        <v>1613</v>
      </c>
      <c r="B831" s="92" t="s">
        <v>268</v>
      </c>
      <c r="C831" s="111">
        <v>25048913.41</v>
      </c>
    </row>
    <row r="832" spans="1:3" x14ac:dyDescent="0.2">
      <c r="A832" s="91" t="s">
        <v>1614</v>
      </c>
      <c r="B832" s="92" t="s">
        <v>268</v>
      </c>
      <c r="C832" s="111">
        <v>22665381.710000001</v>
      </c>
    </row>
    <row r="833" spans="1:3" x14ac:dyDescent="0.2">
      <c r="A833" s="91" t="s">
        <v>1615</v>
      </c>
      <c r="B833" s="92" t="s">
        <v>268</v>
      </c>
      <c r="C833" s="111">
        <v>85646701.260000005</v>
      </c>
    </row>
    <row r="834" spans="1:3" x14ac:dyDescent="0.2">
      <c r="A834" s="91" t="s">
        <v>1616</v>
      </c>
      <c r="B834" s="92" t="s">
        <v>268</v>
      </c>
      <c r="C834" s="111">
        <v>215097961.24000001</v>
      </c>
    </row>
    <row r="835" spans="1:3" x14ac:dyDescent="0.2">
      <c r="A835" s="91" t="s">
        <v>1617</v>
      </c>
      <c r="B835" s="92" t="s">
        <v>268</v>
      </c>
      <c r="C835" s="111">
        <v>41632450.479999997</v>
      </c>
    </row>
    <row r="836" spans="1:3" x14ac:dyDescent="0.2">
      <c r="A836" s="91" t="s">
        <v>1618</v>
      </c>
      <c r="B836" s="92" t="s">
        <v>268</v>
      </c>
      <c r="C836" s="111">
        <v>35969982.780000001</v>
      </c>
    </row>
    <row r="837" spans="1:3" x14ac:dyDescent="0.2">
      <c r="A837" s="91" t="s">
        <v>1619</v>
      </c>
      <c r="B837" s="92" t="s">
        <v>268</v>
      </c>
      <c r="C837" s="111">
        <v>5610311.4900000002</v>
      </c>
    </row>
    <row r="838" spans="1:3" x14ac:dyDescent="0.2">
      <c r="A838" s="91" t="s">
        <v>1620</v>
      </c>
      <c r="B838" s="92" t="s">
        <v>268</v>
      </c>
      <c r="C838" s="111">
        <v>58654706.219999999</v>
      </c>
    </row>
    <row r="839" spans="1:3" x14ac:dyDescent="0.2">
      <c r="A839" s="91" t="s">
        <v>1621</v>
      </c>
      <c r="B839" s="92" t="s">
        <v>268</v>
      </c>
      <c r="C839" s="111">
        <v>233951102.83000001</v>
      </c>
    </row>
    <row r="840" spans="1:3" x14ac:dyDescent="0.2">
      <c r="A840" s="91" t="s">
        <v>1622</v>
      </c>
      <c r="B840" s="92" t="s">
        <v>268</v>
      </c>
      <c r="C840" s="111">
        <v>225429810.56999999</v>
      </c>
    </row>
    <row r="841" spans="1:3" x14ac:dyDescent="0.2">
      <c r="A841" s="91" t="s">
        <v>1623</v>
      </c>
      <c r="B841" s="92" t="s">
        <v>268</v>
      </c>
      <c r="C841" s="111">
        <v>459003141.42000002</v>
      </c>
    </row>
    <row r="842" spans="1:3" x14ac:dyDescent="0.2">
      <c r="A842" s="91" t="s">
        <v>1624</v>
      </c>
      <c r="B842" s="92" t="s">
        <v>268</v>
      </c>
      <c r="C842" s="111">
        <v>64755249.579999998</v>
      </c>
    </row>
    <row r="843" spans="1:3" x14ac:dyDescent="0.2">
      <c r="A843" s="91" t="s">
        <v>1625</v>
      </c>
      <c r="B843" s="92" t="s">
        <v>268</v>
      </c>
      <c r="C843" s="111">
        <v>37635543.420000002</v>
      </c>
    </row>
    <row r="844" spans="1:3" x14ac:dyDescent="0.2">
      <c r="A844" s="91" t="s">
        <v>1626</v>
      </c>
      <c r="B844" s="92" t="s">
        <v>268</v>
      </c>
      <c r="C844" s="111">
        <v>394115670.35000002</v>
      </c>
    </row>
    <row r="845" spans="1:3" x14ac:dyDescent="0.2">
      <c r="A845" s="91" t="s">
        <v>1545</v>
      </c>
      <c r="B845" s="92" t="s">
        <v>268</v>
      </c>
      <c r="C845" s="111">
        <v>39432000</v>
      </c>
    </row>
    <row r="846" spans="1:3" x14ac:dyDescent="0.2">
      <c r="A846" s="91" t="s">
        <v>452</v>
      </c>
      <c r="B846" s="92" t="s">
        <v>538</v>
      </c>
      <c r="C846" s="111">
        <v>114000000</v>
      </c>
    </row>
    <row r="847" spans="1:3" x14ac:dyDescent="0.2">
      <c r="A847" s="91" t="s">
        <v>453</v>
      </c>
      <c r="B847" s="92" t="s">
        <v>538</v>
      </c>
      <c r="C847" s="111">
        <v>215000000</v>
      </c>
    </row>
    <row r="848" spans="1:3" x14ac:dyDescent="0.2">
      <c r="A848" s="91" t="s">
        <v>353</v>
      </c>
      <c r="B848" s="92" t="s">
        <v>538</v>
      </c>
      <c r="C848" s="111">
        <v>444109742.89999998</v>
      </c>
    </row>
    <row r="849" spans="1:3" x14ac:dyDescent="0.2">
      <c r="A849" s="91" t="s">
        <v>354</v>
      </c>
      <c r="B849" s="92" t="s">
        <v>538</v>
      </c>
      <c r="C849" s="111">
        <v>111000000</v>
      </c>
    </row>
    <row r="850" spans="1:3" x14ac:dyDescent="0.2">
      <c r="A850" s="91" t="s">
        <v>355</v>
      </c>
      <c r="B850" s="92" t="s">
        <v>538</v>
      </c>
      <c r="C850" s="111">
        <v>65000000</v>
      </c>
    </row>
    <row r="851" spans="1:3" x14ac:dyDescent="0.2">
      <c r="A851" s="91" t="s">
        <v>312</v>
      </c>
      <c r="B851" s="92" t="s">
        <v>538</v>
      </c>
      <c r="C851" s="111">
        <v>79793428.180000007</v>
      </c>
    </row>
    <row r="852" spans="1:3" x14ac:dyDescent="0.2">
      <c r="A852" s="91" t="s">
        <v>1122</v>
      </c>
      <c r="B852" s="92" t="s">
        <v>268</v>
      </c>
      <c r="C852" s="111">
        <v>37212752520</v>
      </c>
    </row>
    <row r="853" spans="1:3" x14ac:dyDescent="0.2">
      <c r="A853" s="91" t="s">
        <v>885</v>
      </c>
      <c r="B853" s="92" t="s">
        <v>268</v>
      </c>
      <c r="C853" s="111">
        <v>4054750020</v>
      </c>
    </row>
    <row r="854" spans="1:3" x14ac:dyDescent="0.2">
      <c r="A854" s="91" t="s">
        <v>1327</v>
      </c>
      <c r="B854" s="92" t="s">
        <v>268</v>
      </c>
      <c r="C854" s="111">
        <v>36871698780</v>
      </c>
    </row>
    <row r="855" spans="1:3" x14ac:dyDescent="0.2">
      <c r="A855" s="91" t="s">
        <v>799</v>
      </c>
      <c r="B855" s="92" t="s">
        <v>268</v>
      </c>
      <c r="C855" s="111">
        <v>18947430000</v>
      </c>
    </row>
    <row r="856" spans="1:3" x14ac:dyDescent="0.2">
      <c r="A856" s="91" t="s">
        <v>954</v>
      </c>
      <c r="B856" s="92" t="s">
        <v>538</v>
      </c>
      <c r="C856" s="111">
        <v>113885775.88</v>
      </c>
    </row>
    <row r="857" spans="1:3" x14ac:dyDescent="0.2">
      <c r="A857" s="91" t="s">
        <v>955</v>
      </c>
      <c r="B857" s="92" t="s">
        <v>538</v>
      </c>
      <c r="C857" s="111">
        <v>106775827.45999999</v>
      </c>
    </row>
    <row r="858" spans="1:3" x14ac:dyDescent="0.2">
      <c r="A858" s="91" t="s">
        <v>757</v>
      </c>
      <c r="B858" s="92" t="s">
        <v>538</v>
      </c>
      <c r="C858" s="111">
        <v>521921558.77999997</v>
      </c>
    </row>
    <row r="859" spans="1:3" x14ac:dyDescent="0.2">
      <c r="A859" s="91" t="s">
        <v>1091</v>
      </c>
      <c r="B859" s="92" t="s">
        <v>538</v>
      </c>
      <c r="C859" s="111">
        <v>9166771.5</v>
      </c>
    </row>
    <row r="860" spans="1:3" x14ac:dyDescent="0.2">
      <c r="A860" s="91" t="s">
        <v>697</v>
      </c>
      <c r="B860" s="92" t="s">
        <v>538</v>
      </c>
      <c r="C860" s="111">
        <v>38770488000</v>
      </c>
    </row>
    <row r="861" spans="1:3" x14ac:dyDescent="0.2">
      <c r="A861" s="91" t="s">
        <v>137</v>
      </c>
      <c r="B861" s="92" t="s">
        <v>538</v>
      </c>
      <c r="C861" s="111">
        <v>9358712585.7700005</v>
      </c>
    </row>
    <row r="862" spans="1:3" x14ac:dyDescent="0.2">
      <c r="A862" s="91" t="s">
        <v>1398</v>
      </c>
      <c r="B862" s="92" t="s">
        <v>222</v>
      </c>
      <c r="C862" s="111">
        <v>54697643.170000002</v>
      </c>
    </row>
    <row r="863" spans="1:3" x14ac:dyDescent="0.2">
      <c r="A863" s="91" t="s">
        <v>1905</v>
      </c>
      <c r="B863" s="92" t="s">
        <v>222</v>
      </c>
      <c r="C863" s="111">
        <v>43060043.710000001</v>
      </c>
    </row>
    <row r="864" spans="1:3" x14ac:dyDescent="0.2">
      <c r="A864" s="91" t="s">
        <v>1852</v>
      </c>
      <c r="B864" s="92" t="s">
        <v>222</v>
      </c>
      <c r="C864" s="111">
        <v>49830080.43</v>
      </c>
    </row>
    <row r="865" spans="1:3" x14ac:dyDescent="0.2">
      <c r="A865" s="91" t="s">
        <v>1759</v>
      </c>
      <c r="B865" s="92" t="s">
        <v>222</v>
      </c>
      <c r="C865" s="111">
        <v>34500000</v>
      </c>
    </row>
    <row r="866" spans="1:3" x14ac:dyDescent="0.2">
      <c r="A866" s="91" t="s">
        <v>2054</v>
      </c>
      <c r="B866" s="92" t="s">
        <v>222</v>
      </c>
      <c r="C866" s="111">
        <v>7612887</v>
      </c>
    </row>
    <row r="867" spans="1:3" x14ac:dyDescent="0.2">
      <c r="A867" s="91" t="s">
        <v>1281</v>
      </c>
      <c r="B867" s="92" t="s">
        <v>222</v>
      </c>
      <c r="C867" s="111">
        <v>79998490.700000003</v>
      </c>
    </row>
    <row r="868" spans="1:3" x14ac:dyDescent="0.2">
      <c r="A868" s="91" t="s">
        <v>1108</v>
      </c>
      <c r="B868" s="92" t="s">
        <v>538</v>
      </c>
      <c r="C868" s="111">
        <v>1426033171</v>
      </c>
    </row>
    <row r="869" spans="1:3" x14ac:dyDescent="0.2">
      <c r="A869" s="91" t="s">
        <v>2055</v>
      </c>
      <c r="B869" s="92" t="s">
        <v>538</v>
      </c>
      <c r="C869" s="111">
        <v>670676208.72000003</v>
      </c>
    </row>
    <row r="870" spans="1:3" x14ac:dyDescent="0.2">
      <c r="A870" s="91" t="s">
        <v>1801</v>
      </c>
      <c r="B870" s="92" t="s">
        <v>268</v>
      </c>
      <c r="C870" s="111">
        <v>95045000</v>
      </c>
    </row>
    <row r="871" spans="1:3" x14ac:dyDescent="0.2">
      <c r="A871" s="91" t="s">
        <v>1546</v>
      </c>
      <c r="B871" s="92" t="s">
        <v>268</v>
      </c>
      <c r="C871" s="111">
        <v>609732.12</v>
      </c>
    </row>
    <row r="872" spans="1:3" x14ac:dyDescent="0.2">
      <c r="A872" s="91" t="s">
        <v>1802</v>
      </c>
      <c r="B872" s="92" t="s">
        <v>268</v>
      </c>
      <c r="C872" s="111">
        <v>92058779.099999994</v>
      </c>
    </row>
    <row r="873" spans="1:3" x14ac:dyDescent="0.2">
      <c r="A873" s="91" t="s">
        <v>1803</v>
      </c>
      <c r="B873" s="92" t="s">
        <v>268</v>
      </c>
      <c r="C873" s="111">
        <v>10057671.01</v>
      </c>
    </row>
    <row r="874" spans="1:3" x14ac:dyDescent="0.2">
      <c r="A874" s="91" t="s">
        <v>1547</v>
      </c>
      <c r="B874" s="92" t="s">
        <v>268</v>
      </c>
      <c r="C874" s="111">
        <v>2975318.57</v>
      </c>
    </row>
    <row r="875" spans="1:3" x14ac:dyDescent="0.2">
      <c r="A875" s="91" t="s">
        <v>1804</v>
      </c>
      <c r="B875" s="92" t="s">
        <v>268</v>
      </c>
      <c r="C875" s="111">
        <v>259438788.53</v>
      </c>
    </row>
    <row r="876" spans="1:3" x14ac:dyDescent="0.2">
      <c r="A876" s="91" t="s">
        <v>1627</v>
      </c>
      <c r="B876" s="92" t="s">
        <v>268</v>
      </c>
      <c r="C876" s="111">
        <v>259438789.94999999</v>
      </c>
    </row>
    <row r="877" spans="1:3" x14ac:dyDescent="0.2">
      <c r="A877" s="91" t="s">
        <v>1805</v>
      </c>
      <c r="B877" s="92" t="s">
        <v>268</v>
      </c>
      <c r="C877" s="111">
        <v>37316979.189999998</v>
      </c>
    </row>
    <row r="878" spans="1:3" x14ac:dyDescent="0.2">
      <c r="A878" s="91" t="s">
        <v>1628</v>
      </c>
      <c r="B878" s="92" t="s">
        <v>268</v>
      </c>
      <c r="C878" s="111">
        <v>36367930.399999999</v>
      </c>
    </row>
    <row r="879" spans="1:3" x14ac:dyDescent="0.2">
      <c r="A879" s="91" t="s">
        <v>1806</v>
      </c>
      <c r="B879" s="92" t="s">
        <v>268</v>
      </c>
      <c r="C879" s="111">
        <v>89829246.530000001</v>
      </c>
    </row>
    <row r="880" spans="1:3" x14ac:dyDescent="0.2">
      <c r="A880" s="91" t="s">
        <v>1629</v>
      </c>
      <c r="B880" s="92" t="s">
        <v>268</v>
      </c>
      <c r="C880" s="111">
        <v>43838693.75</v>
      </c>
    </row>
    <row r="881" spans="1:3" x14ac:dyDescent="0.2">
      <c r="A881" s="91" t="s">
        <v>1771</v>
      </c>
      <c r="B881" s="92" t="s">
        <v>321</v>
      </c>
      <c r="C881" s="111">
        <v>133364195.44</v>
      </c>
    </row>
    <row r="882" spans="1:3" x14ac:dyDescent="0.2">
      <c r="A882" s="91" t="s">
        <v>1772</v>
      </c>
      <c r="B882" s="92" t="s">
        <v>321</v>
      </c>
      <c r="C882" s="111">
        <v>44357790.350000001</v>
      </c>
    </row>
    <row r="883" spans="1:3" x14ac:dyDescent="0.2">
      <c r="A883" s="91" t="s">
        <v>1773</v>
      </c>
      <c r="B883" s="92" t="s">
        <v>321</v>
      </c>
      <c r="C883" s="111">
        <v>256142853.72999999</v>
      </c>
    </row>
    <row r="884" spans="1:3" x14ac:dyDescent="0.2">
      <c r="A884" s="91" t="s">
        <v>1287</v>
      </c>
      <c r="B884" s="92" t="s">
        <v>538</v>
      </c>
      <c r="C884" s="111">
        <v>9000000000</v>
      </c>
    </row>
    <row r="885" spans="1:3" x14ac:dyDescent="0.2">
      <c r="A885" s="91" t="s">
        <v>1288</v>
      </c>
      <c r="B885" s="92" t="s">
        <v>538</v>
      </c>
      <c r="C885" s="111">
        <v>1500000000</v>
      </c>
    </row>
    <row r="886" spans="1:3" x14ac:dyDescent="0.2">
      <c r="A886" s="91" t="s">
        <v>1156</v>
      </c>
      <c r="B886" s="92" t="s">
        <v>538</v>
      </c>
      <c r="C886" s="111">
        <v>705627032.98000002</v>
      </c>
    </row>
    <row r="887" spans="1:3" x14ac:dyDescent="0.2">
      <c r="A887" s="91" t="s">
        <v>1157</v>
      </c>
      <c r="B887" s="92" t="s">
        <v>538</v>
      </c>
      <c r="C887" s="111">
        <v>1498419538.5999999</v>
      </c>
    </row>
    <row r="888" spans="1:3" x14ac:dyDescent="0.2">
      <c r="A888" s="91" t="s">
        <v>1774</v>
      </c>
      <c r="B888" s="92" t="s">
        <v>268</v>
      </c>
      <c r="C888" s="111">
        <v>99936868.920000002</v>
      </c>
    </row>
    <row r="889" spans="1:3" x14ac:dyDescent="0.2">
      <c r="A889" s="91" t="s">
        <v>348</v>
      </c>
      <c r="B889" s="92" t="s">
        <v>268</v>
      </c>
      <c r="C889" s="111">
        <v>13273376360.440001</v>
      </c>
    </row>
    <row r="890" spans="1:3" x14ac:dyDescent="0.2">
      <c r="A890" s="91" t="s">
        <v>347</v>
      </c>
      <c r="B890" s="92" t="s">
        <v>268</v>
      </c>
      <c r="C890" s="111">
        <v>4334377203.1000004</v>
      </c>
    </row>
    <row r="891" spans="1:3" x14ac:dyDescent="0.2">
      <c r="A891" s="91" t="s">
        <v>996</v>
      </c>
      <c r="B891" s="92" t="s">
        <v>268</v>
      </c>
      <c r="C891" s="111">
        <v>19498366925.060001</v>
      </c>
    </row>
    <row r="892" spans="1:3" x14ac:dyDescent="0.2">
      <c r="A892" s="91" t="s">
        <v>1384</v>
      </c>
      <c r="B892" s="92" t="s">
        <v>222</v>
      </c>
      <c r="C892" s="111">
        <v>100000000</v>
      </c>
    </row>
    <row r="893" spans="1:3" x14ac:dyDescent="0.2">
      <c r="A893" s="91" t="s">
        <v>906</v>
      </c>
      <c r="B893" s="92" t="s">
        <v>268</v>
      </c>
      <c r="C893" s="111">
        <v>810525484.80999994</v>
      </c>
    </row>
    <row r="894" spans="1:3" x14ac:dyDescent="0.2">
      <c r="A894" s="91" t="s">
        <v>1353</v>
      </c>
      <c r="B894" s="92" t="s">
        <v>268</v>
      </c>
      <c r="C894" s="111">
        <v>560413199.47000003</v>
      </c>
    </row>
    <row r="895" spans="1:3" x14ac:dyDescent="0.2">
      <c r="A895" s="91" t="s">
        <v>907</v>
      </c>
      <c r="B895" s="92" t="s">
        <v>268</v>
      </c>
      <c r="C895" s="111">
        <v>2800000000</v>
      </c>
    </row>
    <row r="896" spans="1:3" x14ac:dyDescent="0.2">
      <c r="A896" s="91" t="s">
        <v>208</v>
      </c>
      <c r="B896" s="92" t="s">
        <v>268</v>
      </c>
      <c r="C896" s="111">
        <v>5041375000</v>
      </c>
    </row>
    <row r="897" spans="1:3" x14ac:dyDescent="0.2">
      <c r="A897" s="91" t="s">
        <v>813</v>
      </c>
      <c r="B897" s="92" t="s">
        <v>268</v>
      </c>
      <c r="C897" s="111">
        <v>263639404.80000001</v>
      </c>
    </row>
    <row r="898" spans="1:3" x14ac:dyDescent="0.2">
      <c r="A898" s="91" t="s">
        <v>814</v>
      </c>
      <c r="B898" s="92" t="s">
        <v>268</v>
      </c>
      <c r="C898" s="111">
        <v>84920668.900000006</v>
      </c>
    </row>
    <row r="899" spans="1:3" x14ac:dyDescent="0.2">
      <c r="A899" s="91" t="s">
        <v>953</v>
      </c>
      <c r="B899" s="92" t="s">
        <v>268</v>
      </c>
      <c r="C899" s="111">
        <v>97769600</v>
      </c>
    </row>
    <row r="900" spans="1:3" x14ac:dyDescent="0.2">
      <c r="A900" s="91" t="s">
        <v>815</v>
      </c>
      <c r="B900" s="92" t="s">
        <v>268</v>
      </c>
      <c r="C900" s="111">
        <v>960138000</v>
      </c>
    </row>
    <row r="901" spans="1:3" x14ac:dyDescent="0.2">
      <c r="A901" s="91" t="s">
        <v>878</v>
      </c>
      <c r="B901" s="92" t="s">
        <v>222</v>
      </c>
      <c r="C901" s="111">
        <v>187549695.46000001</v>
      </c>
    </row>
    <row r="902" spans="1:3" x14ac:dyDescent="0.2">
      <c r="A902" s="91" t="s">
        <v>1283</v>
      </c>
      <c r="B902" s="92" t="s">
        <v>268</v>
      </c>
      <c r="C902" s="111">
        <v>13508195085.91</v>
      </c>
    </row>
    <row r="903" spans="1:3" x14ac:dyDescent="0.2">
      <c r="A903" s="91" t="s">
        <v>971</v>
      </c>
      <c r="B903" s="92" t="s">
        <v>538</v>
      </c>
      <c r="C903" s="111">
        <v>143976404</v>
      </c>
    </row>
    <row r="904" spans="1:3" x14ac:dyDescent="0.2">
      <c r="A904" s="91" t="s">
        <v>2121</v>
      </c>
      <c r="B904" s="92" t="s">
        <v>270</v>
      </c>
      <c r="C904" s="111">
        <v>662593861.63</v>
      </c>
    </row>
    <row r="905" spans="1:3" x14ac:dyDescent="0.2">
      <c r="A905" s="91" t="s">
        <v>2131</v>
      </c>
      <c r="B905" s="92" t="s">
        <v>270</v>
      </c>
      <c r="C905" s="111">
        <v>383887184.47000003</v>
      </c>
    </row>
    <row r="906" spans="1:3" x14ac:dyDescent="0.2">
      <c r="A906" s="91" t="s">
        <v>2070</v>
      </c>
      <c r="B906" s="92" t="s">
        <v>270</v>
      </c>
      <c r="C906" s="111">
        <v>445415763.81</v>
      </c>
    </row>
    <row r="907" spans="1:3" x14ac:dyDescent="0.2">
      <c r="A907" s="91" t="s">
        <v>2149</v>
      </c>
      <c r="B907" s="92" t="s">
        <v>270</v>
      </c>
      <c r="C907" s="111">
        <v>618531634.00999999</v>
      </c>
    </row>
    <row r="908" spans="1:3" x14ac:dyDescent="0.2">
      <c r="A908" s="91" t="s">
        <v>2166</v>
      </c>
      <c r="B908" s="92" t="s">
        <v>270</v>
      </c>
      <c r="C908" s="111">
        <v>631154728.92999995</v>
      </c>
    </row>
    <row r="909" spans="1:3" x14ac:dyDescent="0.2">
      <c r="A909" s="91" t="s">
        <v>2126</v>
      </c>
      <c r="B909" s="92" t="s">
        <v>270</v>
      </c>
      <c r="C909" s="111">
        <v>631154728.92999995</v>
      </c>
    </row>
    <row r="910" spans="1:3" x14ac:dyDescent="0.2">
      <c r="A910" s="91" t="s">
        <v>2141</v>
      </c>
      <c r="B910" s="92" t="s">
        <v>270</v>
      </c>
      <c r="C910" s="111">
        <v>290508058.67000002</v>
      </c>
    </row>
    <row r="911" spans="1:3" x14ac:dyDescent="0.2">
      <c r="A911" s="91" t="s">
        <v>2139</v>
      </c>
      <c r="B911" s="92" t="s">
        <v>270</v>
      </c>
      <c r="C911" s="111">
        <v>322386118.69999999</v>
      </c>
    </row>
    <row r="912" spans="1:3" x14ac:dyDescent="0.2">
      <c r="A912" s="91" t="s">
        <v>2125</v>
      </c>
      <c r="B912" s="92" t="s">
        <v>270</v>
      </c>
      <c r="C912" s="111">
        <v>321199150</v>
      </c>
    </row>
    <row r="913" spans="1:3" x14ac:dyDescent="0.2">
      <c r="A913" s="91" t="s">
        <v>2163</v>
      </c>
      <c r="B913" s="92" t="s">
        <v>270</v>
      </c>
      <c r="C913" s="111">
        <v>629096887.72000003</v>
      </c>
    </row>
    <row r="914" spans="1:3" x14ac:dyDescent="0.2">
      <c r="A914" s="91" t="s">
        <v>2124</v>
      </c>
      <c r="B914" s="92" t="s">
        <v>270</v>
      </c>
      <c r="C914" s="111">
        <v>779765592.97000003</v>
      </c>
    </row>
    <row r="915" spans="1:3" x14ac:dyDescent="0.2">
      <c r="A915" s="91" t="s">
        <v>2134</v>
      </c>
      <c r="B915" s="92" t="s">
        <v>270</v>
      </c>
      <c r="C915" s="111">
        <v>315592713.45999998</v>
      </c>
    </row>
    <row r="916" spans="1:3" x14ac:dyDescent="0.2">
      <c r="A916" s="91" t="s">
        <v>2118</v>
      </c>
      <c r="B916" s="92" t="s">
        <v>270</v>
      </c>
      <c r="C916" s="111">
        <v>299963201.39999998</v>
      </c>
    </row>
    <row r="917" spans="1:3" x14ac:dyDescent="0.2">
      <c r="A917" s="91" t="s">
        <v>2152</v>
      </c>
      <c r="B917" s="92" t="s">
        <v>270</v>
      </c>
      <c r="C917" s="111">
        <v>475585041.00999999</v>
      </c>
    </row>
    <row r="918" spans="1:3" x14ac:dyDescent="0.2">
      <c r="A918" s="91" t="s">
        <v>2164</v>
      </c>
      <c r="B918" s="92" t="s">
        <v>270</v>
      </c>
      <c r="C918" s="111">
        <v>87721545.090000004</v>
      </c>
    </row>
    <row r="919" spans="1:3" x14ac:dyDescent="0.2">
      <c r="A919" s="91" t="s">
        <v>2153</v>
      </c>
      <c r="B919" s="92" t="s">
        <v>270</v>
      </c>
      <c r="C919" s="111">
        <v>599564706.47000003</v>
      </c>
    </row>
    <row r="920" spans="1:3" x14ac:dyDescent="0.2">
      <c r="A920" s="91" t="s">
        <v>2172</v>
      </c>
      <c r="B920" s="92" t="s">
        <v>270</v>
      </c>
      <c r="C920" s="111">
        <v>629542941.79999995</v>
      </c>
    </row>
    <row r="921" spans="1:3" x14ac:dyDescent="0.2">
      <c r="A921" s="91" t="s">
        <v>2133</v>
      </c>
      <c r="B921" s="92" t="s">
        <v>270</v>
      </c>
      <c r="C921" s="111">
        <v>629542941.79999995</v>
      </c>
    </row>
    <row r="922" spans="1:3" x14ac:dyDescent="0.2">
      <c r="A922" s="91" t="s">
        <v>2142</v>
      </c>
      <c r="B922" s="92" t="s">
        <v>270</v>
      </c>
      <c r="C922" s="111">
        <v>571507976.75999999</v>
      </c>
    </row>
    <row r="923" spans="1:3" x14ac:dyDescent="0.2">
      <c r="A923" s="91" t="s">
        <v>2167</v>
      </c>
      <c r="B923" s="92" t="s">
        <v>270</v>
      </c>
      <c r="C923" s="111">
        <v>454005936.14999998</v>
      </c>
    </row>
    <row r="924" spans="1:3" x14ac:dyDescent="0.2">
      <c r="A924" s="91" t="s">
        <v>2127</v>
      </c>
      <c r="B924" s="92" t="s">
        <v>270</v>
      </c>
      <c r="C924" s="111">
        <v>335418031.57999998</v>
      </c>
    </row>
    <row r="925" spans="1:3" x14ac:dyDescent="0.2">
      <c r="A925" s="91" t="s">
        <v>2143</v>
      </c>
      <c r="B925" s="92" t="s">
        <v>270</v>
      </c>
      <c r="C925" s="111">
        <v>571507976.75999999</v>
      </c>
    </row>
    <row r="926" spans="1:3" x14ac:dyDescent="0.2">
      <c r="A926" s="91" t="s">
        <v>2159</v>
      </c>
      <c r="B926" s="92" t="s">
        <v>270</v>
      </c>
      <c r="C926" s="111">
        <v>571507976.75999999</v>
      </c>
    </row>
    <row r="927" spans="1:3" x14ac:dyDescent="0.2">
      <c r="A927" s="91" t="s">
        <v>2158</v>
      </c>
      <c r="B927" s="92" t="s">
        <v>270</v>
      </c>
      <c r="C927" s="111">
        <v>734000083.60000002</v>
      </c>
    </row>
    <row r="928" spans="1:3" x14ac:dyDescent="0.2">
      <c r="A928" s="91" t="s">
        <v>2170</v>
      </c>
      <c r="B928" s="92" t="s">
        <v>270</v>
      </c>
      <c r="C928" s="111">
        <v>218693253.06999999</v>
      </c>
    </row>
    <row r="929" spans="1:3" x14ac:dyDescent="0.2">
      <c r="A929" s="91" t="s">
        <v>2171</v>
      </c>
      <c r="B929" s="92" t="s">
        <v>270</v>
      </c>
      <c r="C929" s="111">
        <v>820099699</v>
      </c>
    </row>
    <row r="930" spans="1:3" x14ac:dyDescent="0.2">
      <c r="A930" s="91" t="s">
        <v>2132</v>
      </c>
      <c r="B930" s="92" t="s">
        <v>270</v>
      </c>
      <c r="C930" s="111">
        <v>365764465.36000001</v>
      </c>
    </row>
    <row r="931" spans="1:3" x14ac:dyDescent="0.2">
      <c r="A931" s="91" t="s">
        <v>2120</v>
      </c>
      <c r="B931" s="92" t="s">
        <v>270</v>
      </c>
      <c r="C931" s="111">
        <v>365764465.36000001</v>
      </c>
    </row>
    <row r="932" spans="1:3" x14ac:dyDescent="0.2">
      <c r="A932" s="91" t="s">
        <v>2136</v>
      </c>
      <c r="B932" s="92" t="s">
        <v>270</v>
      </c>
      <c r="C932" s="111">
        <v>820099699</v>
      </c>
    </row>
    <row r="933" spans="1:3" x14ac:dyDescent="0.2">
      <c r="A933" s="91" t="s">
        <v>2148</v>
      </c>
      <c r="B933" s="92" t="s">
        <v>270</v>
      </c>
      <c r="C933" s="111">
        <v>454335233.63999999</v>
      </c>
    </row>
    <row r="934" spans="1:3" x14ac:dyDescent="0.2">
      <c r="A934" s="91" t="s">
        <v>2156</v>
      </c>
      <c r="B934" s="92" t="s">
        <v>270</v>
      </c>
      <c r="C934" s="111">
        <v>82041888.739999995</v>
      </c>
    </row>
    <row r="935" spans="1:3" x14ac:dyDescent="0.2">
      <c r="A935" s="91" t="s">
        <v>2147</v>
      </c>
      <c r="B935" s="92" t="s">
        <v>270</v>
      </c>
      <c r="C935" s="111">
        <v>677605228.95000005</v>
      </c>
    </row>
    <row r="936" spans="1:3" x14ac:dyDescent="0.2">
      <c r="A936" s="91" t="s">
        <v>2137</v>
      </c>
      <c r="B936" s="92" t="s">
        <v>270</v>
      </c>
      <c r="C936" s="111">
        <v>562751814.83000004</v>
      </c>
    </row>
    <row r="937" spans="1:3" x14ac:dyDescent="0.2">
      <c r="A937" s="91" t="s">
        <v>2154</v>
      </c>
      <c r="B937" s="92" t="s">
        <v>270</v>
      </c>
      <c r="C937" s="111">
        <v>135060435.78999999</v>
      </c>
    </row>
    <row r="938" spans="1:3" x14ac:dyDescent="0.2">
      <c r="A938" s="91" t="s">
        <v>2150</v>
      </c>
      <c r="B938" s="92" t="s">
        <v>270</v>
      </c>
      <c r="C938" s="111">
        <v>499487928.17000002</v>
      </c>
    </row>
    <row r="939" spans="1:3" x14ac:dyDescent="0.2">
      <c r="A939" s="91" t="s">
        <v>2117</v>
      </c>
      <c r="B939" s="92" t="s">
        <v>270</v>
      </c>
      <c r="C939" s="111">
        <v>454721323.51999998</v>
      </c>
    </row>
    <row r="940" spans="1:3" x14ac:dyDescent="0.2">
      <c r="A940" s="91" t="s">
        <v>2135</v>
      </c>
      <c r="B940" s="92" t="s">
        <v>270</v>
      </c>
      <c r="C940" s="111">
        <v>645962763.78999996</v>
      </c>
    </row>
    <row r="941" spans="1:3" x14ac:dyDescent="0.2">
      <c r="A941" s="91" t="s">
        <v>2168</v>
      </c>
      <c r="B941" s="92" t="s">
        <v>270</v>
      </c>
      <c r="C941" s="111">
        <v>624359910.85000002</v>
      </c>
    </row>
    <row r="942" spans="1:3" x14ac:dyDescent="0.2">
      <c r="A942" s="91" t="s">
        <v>2140</v>
      </c>
      <c r="B942" s="92" t="s">
        <v>270</v>
      </c>
      <c r="C942" s="111">
        <v>625231222.94000006</v>
      </c>
    </row>
    <row r="943" spans="1:3" x14ac:dyDescent="0.2">
      <c r="A943" s="91" t="s">
        <v>2157</v>
      </c>
      <c r="B943" s="92" t="s">
        <v>270</v>
      </c>
      <c r="C943" s="111">
        <v>625231222.94000006</v>
      </c>
    </row>
    <row r="944" spans="1:3" x14ac:dyDescent="0.2">
      <c r="A944" s="91" t="s">
        <v>2119</v>
      </c>
      <c r="B944" s="92" t="s">
        <v>270</v>
      </c>
      <c r="C944" s="111">
        <v>625231222.94000006</v>
      </c>
    </row>
    <row r="945" spans="1:3" x14ac:dyDescent="0.2">
      <c r="A945" s="91" t="s">
        <v>2165</v>
      </c>
      <c r="B945" s="92" t="s">
        <v>270</v>
      </c>
      <c r="C945" s="111">
        <v>306363299.05000001</v>
      </c>
    </row>
    <row r="946" spans="1:3" x14ac:dyDescent="0.2">
      <c r="A946" s="91" t="s">
        <v>2151</v>
      </c>
      <c r="B946" s="92" t="s">
        <v>270</v>
      </c>
      <c r="C946" s="111">
        <v>170741549.43000001</v>
      </c>
    </row>
    <row r="947" spans="1:3" x14ac:dyDescent="0.2">
      <c r="A947" s="91" t="s">
        <v>2128</v>
      </c>
      <c r="B947" s="92" t="s">
        <v>270</v>
      </c>
      <c r="C947" s="111">
        <v>629694833.24000001</v>
      </c>
    </row>
    <row r="948" spans="1:3" x14ac:dyDescent="0.2">
      <c r="A948" s="91" t="s">
        <v>2144</v>
      </c>
      <c r="B948" s="92" t="s">
        <v>270</v>
      </c>
      <c r="C948" s="111">
        <v>378135617.56999999</v>
      </c>
    </row>
    <row r="949" spans="1:3" x14ac:dyDescent="0.2">
      <c r="A949" s="91" t="s">
        <v>302</v>
      </c>
      <c r="B949" s="92" t="s">
        <v>268</v>
      </c>
      <c r="C949" s="111">
        <v>393500000</v>
      </c>
    </row>
    <row r="950" spans="1:3" x14ac:dyDescent="0.2">
      <c r="A950" s="91" t="s">
        <v>1548</v>
      </c>
      <c r="B950" s="92" t="s">
        <v>268</v>
      </c>
      <c r="C950" s="111">
        <v>679654689.62</v>
      </c>
    </row>
    <row r="951" spans="1:3" x14ac:dyDescent="0.2">
      <c r="A951" s="91" t="s">
        <v>303</v>
      </c>
      <c r="B951" s="92" t="s">
        <v>268</v>
      </c>
      <c r="C951" s="111">
        <v>17487568706.41</v>
      </c>
    </row>
    <row r="952" spans="1:3" x14ac:dyDescent="0.2">
      <c r="A952" s="91" t="s">
        <v>26</v>
      </c>
      <c r="B952" s="92" t="s">
        <v>268</v>
      </c>
      <c r="C952" s="111">
        <v>8317289666.6599998</v>
      </c>
    </row>
    <row r="953" spans="1:3" x14ac:dyDescent="0.2">
      <c r="A953" s="91" t="s">
        <v>601</v>
      </c>
      <c r="B953" s="92" t="s">
        <v>268</v>
      </c>
      <c r="C953" s="111">
        <v>1333333333.3399999</v>
      </c>
    </row>
    <row r="954" spans="1:3" x14ac:dyDescent="0.2">
      <c r="A954" s="91" t="s">
        <v>1391</v>
      </c>
      <c r="B954" s="92" t="s">
        <v>268</v>
      </c>
      <c r="C954" s="111">
        <v>3421586311.8800001</v>
      </c>
    </row>
    <row r="955" spans="1:3" x14ac:dyDescent="0.2">
      <c r="A955" s="91" t="s">
        <v>1392</v>
      </c>
      <c r="B955" s="92" t="s">
        <v>268</v>
      </c>
      <c r="C955" s="111">
        <v>8023382868.6999998</v>
      </c>
    </row>
    <row r="956" spans="1:3" x14ac:dyDescent="0.2">
      <c r="A956" s="91" t="s">
        <v>149</v>
      </c>
      <c r="B956" s="92" t="s">
        <v>270</v>
      </c>
      <c r="C956" s="111">
        <v>4214000000</v>
      </c>
    </row>
    <row r="957" spans="1:3" x14ac:dyDescent="0.2">
      <c r="A957" s="91" t="s">
        <v>2071</v>
      </c>
      <c r="B957" s="92" t="s">
        <v>270</v>
      </c>
      <c r="C957" s="111">
        <v>132015150</v>
      </c>
    </row>
    <row r="958" spans="1:3" x14ac:dyDescent="0.2">
      <c r="A958" s="91" t="s">
        <v>2072</v>
      </c>
      <c r="B958" s="92" t="s">
        <v>270</v>
      </c>
      <c r="C958" s="111">
        <v>61162380.399999999</v>
      </c>
    </row>
    <row r="959" spans="1:3" x14ac:dyDescent="0.2">
      <c r="A959" s="91" t="s">
        <v>2073</v>
      </c>
      <c r="B959" s="92" t="s">
        <v>270</v>
      </c>
      <c r="C959" s="111">
        <v>99527067.900000006</v>
      </c>
    </row>
    <row r="960" spans="1:3" x14ac:dyDescent="0.2">
      <c r="A960" s="91" t="s">
        <v>2050</v>
      </c>
      <c r="B960" s="92" t="s">
        <v>270</v>
      </c>
      <c r="C960" s="111">
        <v>94292500</v>
      </c>
    </row>
    <row r="961" spans="1:3" x14ac:dyDescent="0.2">
      <c r="A961" s="91" t="s">
        <v>562</v>
      </c>
      <c r="B961" s="92" t="s">
        <v>270</v>
      </c>
      <c r="C961" s="111">
        <v>45106943.960000001</v>
      </c>
    </row>
    <row r="962" spans="1:3" x14ac:dyDescent="0.2">
      <c r="A962" s="91" t="s">
        <v>561</v>
      </c>
      <c r="B962" s="92" t="s">
        <v>270</v>
      </c>
      <c r="C962" s="111">
        <v>45106660.43</v>
      </c>
    </row>
    <row r="963" spans="1:3" x14ac:dyDescent="0.2">
      <c r="A963" s="91" t="s">
        <v>1323</v>
      </c>
      <c r="B963" s="92" t="s">
        <v>270</v>
      </c>
      <c r="C963" s="111">
        <v>1500000000</v>
      </c>
    </row>
    <row r="964" spans="1:3" x14ac:dyDescent="0.2">
      <c r="A964" s="91" t="s">
        <v>759</v>
      </c>
      <c r="B964" s="92" t="s">
        <v>270</v>
      </c>
      <c r="C964" s="111">
        <v>1000000000</v>
      </c>
    </row>
    <row r="965" spans="1:3" x14ac:dyDescent="0.2">
      <c r="A965" s="91" t="s">
        <v>1000</v>
      </c>
      <c r="B965" s="92" t="s">
        <v>538</v>
      </c>
      <c r="C965" s="111">
        <v>56903672.329999998</v>
      </c>
    </row>
    <row r="966" spans="1:3" x14ac:dyDescent="0.2">
      <c r="A966" s="91" t="s">
        <v>1001</v>
      </c>
      <c r="B966" s="92" t="s">
        <v>538</v>
      </c>
      <c r="C966" s="111">
        <v>20000000</v>
      </c>
    </row>
    <row r="967" spans="1:3" x14ac:dyDescent="0.2">
      <c r="A967" s="91" t="s">
        <v>1003</v>
      </c>
      <c r="B967" s="92" t="s">
        <v>538</v>
      </c>
      <c r="C967" s="111">
        <v>45000000</v>
      </c>
    </row>
    <row r="968" spans="1:3" x14ac:dyDescent="0.2">
      <c r="A968" s="91" t="s">
        <v>1046</v>
      </c>
      <c r="B968" s="92" t="s">
        <v>538</v>
      </c>
      <c r="C968" s="111">
        <v>50000000</v>
      </c>
    </row>
    <row r="969" spans="1:3" x14ac:dyDescent="0.2">
      <c r="A969" s="91" t="s">
        <v>1002</v>
      </c>
      <c r="B969" s="92" t="s">
        <v>538</v>
      </c>
      <c r="C969" s="111">
        <v>37285907.609999999</v>
      </c>
    </row>
    <row r="970" spans="1:3" x14ac:dyDescent="0.2">
      <c r="A970" s="91" t="s">
        <v>1047</v>
      </c>
      <c r="B970" s="92" t="s">
        <v>538</v>
      </c>
      <c r="C970" s="111">
        <v>334000000</v>
      </c>
    </row>
    <row r="971" spans="1:3" x14ac:dyDescent="0.2">
      <c r="A971" s="91" t="s">
        <v>1048</v>
      </c>
      <c r="B971" s="92" t="s">
        <v>538</v>
      </c>
      <c r="C971" s="111">
        <v>6500000</v>
      </c>
    </row>
    <row r="972" spans="1:3" x14ac:dyDescent="0.2">
      <c r="A972" s="91" t="s">
        <v>1516</v>
      </c>
      <c r="B972" s="92" t="s">
        <v>268</v>
      </c>
      <c r="C972" s="111">
        <v>13888888888</v>
      </c>
    </row>
    <row r="973" spans="1:3" x14ac:dyDescent="0.2">
      <c r="A973" s="91" t="s">
        <v>1262</v>
      </c>
      <c r="B973" s="92" t="s">
        <v>222</v>
      </c>
      <c r="C973" s="111">
        <v>65046078</v>
      </c>
    </row>
    <row r="974" spans="1:3" x14ac:dyDescent="0.2">
      <c r="A974" s="91" t="s">
        <v>1996</v>
      </c>
      <c r="B974" s="92" t="s">
        <v>222</v>
      </c>
      <c r="C974" s="111">
        <v>34953922</v>
      </c>
    </row>
    <row r="975" spans="1:3" x14ac:dyDescent="0.2">
      <c r="A975" s="91" t="s">
        <v>1351</v>
      </c>
      <c r="B975" s="92" t="s">
        <v>222</v>
      </c>
      <c r="C975" s="111">
        <v>19913104.32</v>
      </c>
    </row>
    <row r="976" spans="1:3" x14ac:dyDescent="0.2">
      <c r="A976" s="91" t="s">
        <v>2008</v>
      </c>
      <c r="B976" s="92" t="s">
        <v>222</v>
      </c>
      <c r="C976" s="111">
        <v>80000000</v>
      </c>
    </row>
    <row r="977" spans="1:3" x14ac:dyDescent="0.2">
      <c r="A977" s="91" t="s">
        <v>90</v>
      </c>
      <c r="B977" s="92" t="s">
        <v>268</v>
      </c>
      <c r="C977" s="111">
        <v>2488895788.0100002</v>
      </c>
    </row>
    <row r="978" spans="1:3" x14ac:dyDescent="0.2">
      <c r="A978" s="91" t="s">
        <v>21</v>
      </c>
      <c r="B978" s="92" t="s">
        <v>268</v>
      </c>
      <c r="C978" s="111">
        <v>111104211.98999999</v>
      </c>
    </row>
    <row r="979" spans="1:3" x14ac:dyDescent="0.2">
      <c r="A979" s="91" t="s">
        <v>1292</v>
      </c>
      <c r="B979" s="92" t="s">
        <v>268</v>
      </c>
      <c r="C979" s="111">
        <v>12224721728.67</v>
      </c>
    </row>
    <row r="980" spans="1:3" x14ac:dyDescent="0.2">
      <c r="A980" s="91" t="s">
        <v>2184</v>
      </c>
      <c r="B980" s="92" t="s">
        <v>268</v>
      </c>
      <c r="C980" s="111">
        <v>29190000000</v>
      </c>
    </row>
    <row r="981" spans="1:3" x14ac:dyDescent="0.2">
      <c r="A981" s="91" t="s">
        <v>565</v>
      </c>
      <c r="B981" s="92" t="s">
        <v>268</v>
      </c>
      <c r="C981" s="111">
        <v>66435000000</v>
      </c>
    </row>
    <row r="982" spans="1:3" x14ac:dyDescent="0.2">
      <c r="A982" s="91" t="s">
        <v>1775</v>
      </c>
      <c r="B982" s="92" t="s">
        <v>268</v>
      </c>
      <c r="C982" s="111">
        <v>1846697807.9400001</v>
      </c>
    </row>
    <row r="983" spans="1:3" x14ac:dyDescent="0.2">
      <c r="A983" s="91" t="s">
        <v>1549</v>
      </c>
      <c r="B983" s="92" t="s">
        <v>270</v>
      </c>
      <c r="C983" s="111">
        <v>11504644543.809999</v>
      </c>
    </row>
    <row r="984" spans="1:3" x14ac:dyDescent="0.2">
      <c r="A984" s="91" t="s">
        <v>1158</v>
      </c>
      <c r="B984" s="92" t="s">
        <v>222</v>
      </c>
      <c r="C984" s="111">
        <v>148150705.30000001</v>
      </c>
    </row>
    <row r="985" spans="1:3" x14ac:dyDescent="0.2">
      <c r="A985" s="91" t="s">
        <v>451</v>
      </c>
      <c r="B985" s="92" t="s">
        <v>268</v>
      </c>
      <c r="C985" s="111">
        <v>664716754.29999995</v>
      </c>
    </row>
    <row r="986" spans="1:3" x14ac:dyDescent="0.2">
      <c r="A986" s="91" t="s">
        <v>407</v>
      </c>
      <c r="B986" s="92" t="s">
        <v>268</v>
      </c>
      <c r="C986" s="111">
        <v>6000000000</v>
      </c>
    </row>
    <row r="987" spans="1:3" x14ac:dyDescent="0.2">
      <c r="A987" s="91" t="s">
        <v>614</v>
      </c>
      <c r="B987" s="92" t="s">
        <v>268</v>
      </c>
      <c r="C987" s="111">
        <v>10492008100</v>
      </c>
    </row>
    <row r="988" spans="1:3" x14ac:dyDescent="0.2">
      <c r="A988" s="91" t="s">
        <v>639</v>
      </c>
      <c r="B988" s="92" t="s">
        <v>268</v>
      </c>
      <c r="C988" s="111">
        <v>17874516145.830002</v>
      </c>
    </row>
    <row r="989" spans="1:3" x14ac:dyDescent="0.2">
      <c r="A989" s="91" t="s">
        <v>1550</v>
      </c>
      <c r="B989" s="92" t="s">
        <v>270</v>
      </c>
      <c r="C989" s="111">
        <v>1304597260.27</v>
      </c>
    </row>
    <row r="990" spans="1:3" x14ac:dyDescent="0.2">
      <c r="A990" s="91" t="s">
        <v>1699</v>
      </c>
      <c r="B990" s="92" t="s">
        <v>268</v>
      </c>
      <c r="C990" s="111">
        <v>4105276500</v>
      </c>
    </row>
    <row r="991" spans="1:3" x14ac:dyDescent="0.2">
      <c r="A991" s="91" t="s">
        <v>1209</v>
      </c>
      <c r="B991" s="92" t="s">
        <v>268</v>
      </c>
      <c r="C991" s="111">
        <v>21789544500</v>
      </c>
    </row>
    <row r="992" spans="1:3" x14ac:dyDescent="0.2">
      <c r="A992" s="91" t="s">
        <v>1511</v>
      </c>
      <c r="B992" s="92" t="s">
        <v>268</v>
      </c>
      <c r="C992" s="111">
        <v>15726366900</v>
      </c>
    </row>
    <row r="993" spans="1:3" x14ac:dyDescent="0.2">
      <c r="A993" s="91" t="s">
        <v>313</v>
      </c>
      <c r="B993" s="92" t="s">
        <v>268</v>
      </c>
      <c r="C993" s="111">
        <v>834234264.51999998</v>
      </c>
    </row>
    <row r="994" spans="1:3" x14ac:dyDescent="0.2">
      <c r="A994" s="91" t="s">
        <v>1136</v>
      </c>
      <c r="B994" s="92" t="s">
        <v>268</v>
      </c>
      <c r="C994" s="111">
        <v>10007537959.18</v>
      </c>
    </row>
    <row r="995" spans="1:3" x14ac:dyDescent="0.2">
      <c r="A995" s="91" t="s">
        <v>854</v>
      </c>
      <c r="B995" s="92" t="s">
        <v>268</v>
      </c>
      <c r="C995" s="111">
        <v>1599692368.8699999</v>
      </c>
    </row>
    <row r="996" spans="1:3" x14ac:dyDescent="0.2">
      <c r="A996" s="91" t="s">
        <v>1137</v>
      </c>
      <c r="B996" s="92" t="s">
        <v>268</v>
      </c>
      <c r="C996" s="111">
        <v>44859320.890000001</v>
      </c>
    </row>
    <row r="997" spans="1:3" x14ac:dyDescent="0.2">
      <c r="A997" s="91" t="s">
        <v>886</v>
      </c>
      <c r="B997" s="92" t="s">
        <v>268</v>
      </c>
      <c r="C997" s="111">
        <v>2261425369.1900001</v>
      </c>
    </row>
    <row r="998" spans="1:3" x14ac:dyDescent="0.2">
      <c r="A998" s="91" t="s">
        <v>945</v>
      </c>
      <c r="B998" s="92" t="s">
        <v>268</v>
      </c>
      <c r="C998" s="111">
        <v>186047944.65000001</v>
      </c>
    </row>
    <row r="999" spans="1:3" x14ac:dyDescent="0.2">
      <c r="A999" s="91" t="s">
        <v>1551</v>
      </c>
      <c r="B999" s="92" t="s">
        <v>268</v>
      </c>
      <c r="C999" s="111">
        <v>1643459737.23</v>
      </c>
    </row>
    <row r="1000" spans="1:3" x14ac:dyDescent="0.2">
      <c r="A1000" s="91" t="s">
        <v>233</v>
      </c>
      <c r="B1000" s="92" t="s">
        <v>268</v>
      </c>
      <c r="C1000" s="111">
        <v>919000000</v>
      </c>
    </row>
    <row r="1001" spans="1:3" x14ac:dyDescent="0.2">
      <c r="A1001" s="91" t="s">
        <v>164</v>
      </c>
      <c r="B1001" s="92" t="s">
        <v>268</v>
      </c>
      <c r="C1001" s="111">
        <v>1776541280.4100001</v>
      </c>
    </row>
    <row r="1002" spans="1:3" x14ac:dyDescent="0.2">
      <c r="A1002" s="91" t="s">
        <v>950</v>
      </c>
      <c r="B1002" s="92" t="s">
        <v>268</v>
      </c>
      <c r="C1002" s="111">
        <v>461641142.44</v>
      </c>
    </row>
    <row r="1003" spans="1:3" x14ac:dyDescent="0.2">
      <c r="A1003" s="91" t="s">
        <v>1388</v>
      </c>
      <c r="B1003" s="92" t="s">
        <v>268</v>
      </c>
      <c r="C1003" s="111">
        <v>504729980.85000002</v>
      </c>
    </row>
    <row r="1004" spans="1:3" x14ac:dyDescent="0.2">
      <c r="A1004" s="91" t="s">
        <v>2074</v>
      </c>
      <c r="B1004" s="92" t="s">
        <v>270</v>
      </c>
      <c r="C1004" s="111">
        <v>1565142553.8499999</v>
      </c>
    </row>
    <row r="1005" spans="1:3" x14ac:dyDescent="0.2">
      <c r="A1005" s="91" t="s">
        <v>1552</v>
      </c>
      <c r="B1005" s="92" t="s">
        <v>268</v>
      </c>
      <c r="C1005" s="111">
        <v>11500000000</v>
      </c>
    </row>
    <row r="1006" spans="1:3" x14ac:dyDescent="0.2">
      <c r="A1006" s="91" t="s">
        <v>349</v>
      </c>
      <c r="B1006" s="92" t="s">
        <v>268</v>
      </c>
      <c r="C1006" s="111">
        <v>15040912510.200001</v>
      </c>
    </row>
    <row r="1007" spans="1:3" x14ac:dyDescent="0.2">
      <c r="A1007" s="91" t="s">
        <v>346</v>
      </c>
      <c r="B1007" s="92" t="s">
        <v>270</v>
      </c>
      <c r="C1007" s="111">
        <v>109410509.92</v>
      </c>
    </row>
    <row r="1008" spans="1:3" x14ac:dyDescent="0.2">
      <c r="A1008" s="91" t="s">
        <v>399</v>
      </c>
      <c r="B1008" s="92" t="s">
        <v>268</v>
      </c>
      <c r="C1008" s="111">
        <v>20000000000</v>
      </c>
    </row>
    <row r="1009" spans="1:3" x14ac:dyDescent="0.2">
      <c r="A1009" s="91" t="s">
        <v>1389</v>
      </c>
      <c r="B1009" s="92" t="s">
        <v>268</v>
      </c>
      <c r="C1009" s="111">
        <v>30000000000</v>
      </c>
    </row>
    <row r="1010" spans="1:3" x14ac:dyDescent="0.2">
      <c r="A1010" s="91" t="s">
        <v>602</v>
      </c>
      <c r="B1010" s="92" t="s">
        <v>268</v>
      </c>
      <c r="C1010" s="111">
        <v>8915740747.4699993</v>
      </c>
    </row>
    <row r="1011" spans="1:3" x14ac:dyDescent="0.2">
      <c r="A1011" s="91" t="s">
        <v>417</v>
      </c>
      <c r="B1011" s="92" t="s">
        <v>268</v>
      </c>
      <c r="C1011" s="111">
        <v>660635000</v>
      </c>
    </row>
    <row r="1012" spans="1:3" x14ac:dyDescent="0.2">
      <c r="A1012" s="91" t="s">
        <v>418</v>
      </c>
      <c r="B1012" s="92" t="s">
        <v>268</v>
      </c>
      <c r="C1012" s="111">
        <v>489159484.5</v>
      </c>
    </row>
    <row r="1013" spans="1:3" x14ac:dyDescent="0.2">
      <c r="A1013" s="91" t="s">
        <v>958</v>
      </c>
      <c r="B1013" s="92" t="s">
        <v>268</v>
      </c>
      <c r="C1013" s="111">
        <v>234422025.03</v>
      </c>
    </row>
    <row r="1014" spans="1:3" x14ac:dyDescent="0.2">
      <c r="A1014" s="91" t="s">
        <v>966</v>
      </c>
      <c r="B1014" s="92" t="s">
        <v>268</v>
      </c>
      <c r="C1014" s="111">
        <v>5482460615</v>
      </c>
    </row>
    <row r="1015" spans="1:3" x14ac:dyDescent="0.2">
      <c r="A1015" s="91" t="s">
        <v>1642</v>
      </c>
      <c r="B1015" s="92" t="s">
        <v>268</v>
      </c>
      <c r="C1015" s="111">
        <v>1554531374.3099999</v>
      </c>
    </row>
    <row r="1016" spans="1:3" x14ac:dyDescent="0.2">
      <c r="A1016" s="91" t="s">
        <v>988</v>
      </c>
      <c r="B1016" s="92" t="s">
        <v>268</v>
      </c>
      <c r="C1016" s="111">
        <v>3291889161.8499999</v>
      </c>
    </row>
    <row r="1017" spans="1:3" x14ac:dyDescent="0.2">
      <c r="A1017" s="91" t="s">
        <v>1009</v>
      </c>
      <c r="B1017" s="92" t="s">
        <v>268</v>
      </c>
      <c r="C1017" s="111">
        <v>1844357446</v>
      </c>
    </row>
    <row r="1018" spans="1:3" x14ac:dyDescent="0.2">
      <c r="A1018" s="91" t="s">
        <v>1220</v>
      </c>
      <c r="B1018" s="92" t="s">
        <v>268</v>
      </c>
      <c r="C1018" s="111">
        <v>958659772.38</v>
      </c>
    </row>
    <row r="1019" spans="1:3" x14ac:dyDescent="0.2">
      <c r="A1019" s="91" t="s">
        <v>419</v>
      </c>
      <c r="B1019" s="92" t="s">
        <v>268</v>
      </c>
      <c r="C1019" s="111">
        <v>1642110600</v>
      </c>
    </row>
    <row r="1020" spans="1:3" x14ac:dyDescent="0.2">
      <c r="A1020" s="91" t="s">
        <v>1055</v>
      </c>
      <c r="B1020" s="92" t="s">
        <v>268</v>
      </c>
      <c r="C1020" s="111">
        <v>5198577129.9899998</v>
      </c>
    </row>
    <row r="1021" spans="1:3" x14ac:dyDescent="0.2">
      <c r="A1021" s="91" t="s">
        <v>420</v>
      </c>
      <c r="B1021" s="92" t="s">
        <v>268</v>
      </c>
      <c r="C1021" s="111">
        <v>1989488360.55</v>
      </c>
    </row>
    <row r="1022" spans="1:3" x14ac:dyDescent="0.2">
      <c r="A1022" s="91" t="s">
        <v>1054</v>
      </c>
      <c r="B1022" s="92" t="s">
        <v>268</v>
      </c>
      <c r="C1022" s="111">
        <v>1373415005.71</v>
      </c>
    </row>
    <row r="1023" spans="1:3" x14ac:dyDescent="0.2">
      <c r="A1023" s="91" t="s">
        <v>1291</v>
      </c>
      <c r="B1023" s="92" t="s">
        <v>268</v>
      </c>
      <c r="C1023" s="111">
        <v>9587939625</v>
      </c>
    </row>
    <row r="1024" spans="1:3" x14ac:dyDescent="0.2">
      <c r="A1024" s="91" t="s">
        <v>1776</v>
      </c>
      <c r="B1024" s="92" t="s">
        <v>268</v>
      </c>
      <c r="C1024" s="111">
        <v>760206645.19000006</v>
      </c>
    </row>
    <row r="1025" spans="1:3" x14ac:dyDescent="0.2">
      <c r="A1025" s="91" t="s">
        <v>1854</v>
      </c>
      <c r="B1025" s="92" t="s">
        <v>268</v>
      </c>
      <c r="C1025" s="111">
        <v>5000000000</v>
      </c>
    </row>
    <row r="1026" spans="1:3" x14ac:dyDescent="0.2">
      <c r="A1026" s="91" t="s">
        <v>1925</v>
      </c>
      <c r="B1026" s="92" t="s">
        <v>268</v>
      </c>
      <c r="C1026" s="111">
        <v>236806475.09</v>
      </c>
    </row>
    <row r="1027" spans="1:3" x14ac:dyDescent="0.2">
      <c r="A1027" s="91" t="s">
        <v>140</v>
      </c>
      <c r="B1027" s="92" t="s">
        <v>268</v>
      </c>
      <c r="C1027" s="111">
        <v>128404543.37</v>
      </c>
    </row>
    <row r="1028" spans="1:3" x14ac:dyDescent="0.2">
      <c r="A1028" s="91" t="s">
        <v>219</v>
      </c>
      <c r="B1028" s="92" t="s">
        <v>268</v>
      </c>
      <c r="C1028" s="111">
        <v>3168180.06</v>
      </c>
    </row>
    <row r="1029" spans="1:3" x14ac:dyDescent="0.2">
      <c r="A1029" s="91" t="s">
        <v>186</v>
      </c>
      <c r="B1029" s="92" t="s">
        <v>268</v>
      </c>
      <c r="C1029" s="111">
        <v>124242.48</v>
      </c>
    </row>
    <row r="1030" spans="1:3" x14ac:dyDescent="0.2">
      <c r="A1030" s="91" t="s">
        <v>1723</v>
      </c>
      <c r="B1030" s="92" t="s">
        <v>222</v>
      </c>
      <c r="C1030" s="111">
        <v>248678256.74000001</v>
      </c>
    </row>
    <row r="1031" spans="1:3" x14ac:dyDescent="0.2">
      <c r="A1031" s="91" t="s">
        <v>1887</v>
      </c>
      <c r="B1031" s="92" t="s">
        <v>222</v>
      </c>
      <c r="C1031" s="111">
        <v>184360735.78999999</v>
      </c>
    </row>
    <row r="1032" spans="1:3" x14ac:dyDescent="0.2">
      <c r="A1032" s="91" t="s">
        <v>1888</v>
      </c>
      <c r="B1032" s="92" t="s">
        <v>222</v>
      </c>
      <c r="C1032" s="111">
        <v>461524640.83999997</v>
      </c>
    </row>
    <row r="1033" spans="1:3" x14ac:dyDescent="0.2">
      <c r="A1033" s="91" t="s">
        <v>1367</v>
      </c>
      <c r="B1033" s="92" t="s">
        <v>321</v>
      </c>
      <c r="C1033" s="111">
        <v>11205574.83</v>
      </c>
    </row>
    <row r="1034" spans="1:3" x14ac:dyDescent="0.2">
      <c r="A1034" s="91" t="s">
        <v>212</v>
      </c>
      <c r="B1034" s="92" t="s">
        <v>268</v>
      </c>
      <c r="C1034" s="111">
        <v>1000000</v>
      </c>
    </row>
    <row r="1035" spans="1:3" x14ac:dyDescent="0.2">
      <c r="A1035" s="91" t="s">
        <v>1120</v>
      </c>
      <c r="B1035" s="92" t="s">
        <v>538</v>
      </c>
      <c r="C1035" s="111">
        <v>1070000000</v>
      </c>
    </row>
    <row r="1036" spans="1:3" x14ac:dyDescent="0.2">
      <c r="A1036" s="91" t="s">
        <v>1119</v>
      </c>
      <c r="B1036" s="92" t="s">
        <v>538</v>
      </c>
      <c r="C1036" s="111">
        <v>930000000</v>
      </c>
    </row>
    <row r="1037" spans="1:3" x14ac:dyDescent="0.2">
      <c r="A1037" s="91" t="s">
        <v>1922</v>
      </c>
      <c r="B1037" s="92" t="s">
        <v>222</v>
      </c>
      <c r="C1037" s="111">
        <v>159787226.69</v>
      </c>
    </row>
    <row r="1038" spans="1:3" x14ac:dyDescent="0.2">
      <c r="A1038" s="91" t="s">
        <v>1932</v>
      </c>
      <c r="B1038" s="92" t="s">
        <v>222</v>
      </c>
      <c r="C1038" s="111">
        <v>19331830.149999999</v>
      </c>
    </row>
    <row r="1039" spans="1:3" x14ac:dyDescent="0.2">
      <c r="A1039" s="91" t="s">
        <v>2003</v>
      </c>
      <c r="B1039" s="92" t="s">
        <v>222</v>
      </c>
      <c r="C1039" s="111">
        <v>150000000</v>
      </c>
    </row>
    <row r="1040" spans="1:3" x14ac:dyDescent="0.2">
      <c r="A1040" s="91" t="s">
        <v>154</v>
      </c>
      <c r="B1040" s="92" t="s">
        <v>268</v>
      </c>
      <c r="C1040" s="111">
        <v>7435266740.5500002</v>
      </c>
    </row>
    <row r="1041" spans="1:3" x14ac:dyDescent="0.2">
      <c r="A1041" s="91" t="s">
        <v>1015</v>
      </c>
      <c r="B1041" s="92" t="s">
        <v>268</v>
      </c>
      <c r="C1041" s="111">
        <v>2097576812.0599999</v>
      </c>
    </row>
    <row r="1042" spans="1:3" x14ac:dyDescent="0.2">
      <c r="A1042" s="91" t="s">
        <v>1299</v>
      </c>
      <c r="B1042" s="92" t="s">
        <v>268</v>
      </c>
      <c r="C1042" s="111">
        <v>2093641082.4000001</v>
      </c>
    </row>
    <row r="1043" spans="1:3" x14ac:dyDescent="0.2">
      <c r="A1043" s="91" t="s">
        <v>760</v>
      </c>
      <c r="B1043" s="92" t="s">
        <v>222</v>
      </c>
      <c r="C1043" s="111">
        <v>799489361.72000003</v>
      </c>
    </row>
    <row r="1044" spans="1:3" x14ac:dyDescent="0.2">
      <c r="A1044" s="91" t="s">
        <v>1443</v>
      </c>
      <c r="B1044" s="92" t="s">
        <v>222</v>
      </c>
      <c r="C1044" s="111">
        <v>390000000</v>
      </c>
    </row>
    <row r="1045" spans="1:3" x14ac:dyDescent="0.2">
      <c r="A1045" s="91" t="s">
        <v>1092</v>
      </c>
      <c r="B1045" s="92" t="s">
        <v>222</v>
      </c>
      <c r="C1045" s="111">
        <v>199933406.19</v>
      </c>
    </row>
    <row r="1046" spans="1:3" x14ac:dyDescent="0.2">
      <c r="A1046" s="91" t="s">
        <v>1659</v>
      </c>
      <c r="B1046" s="92" t="s">
        <v>222</v>
      </c>
      <c r="C1046" s="111">
        <v>400000000</v>
      </c>
    </row>
    <row r="1047" spans="1:3" x14ac:dyDescent="0.2">
      <c r="A1047" s="91" t="s">
        <v>1866</v>
      </c>
      <c r="B1047" s="92" t="s">
        <v>222</v>
      </c>
      <c r="C1047" s="111">
        <v>199988035.33000001</v>
      </c>
    </row>
    <row r="1048" spans="1:3" x14ac:dyDescent="0.2">
      <c r="A1048" s="91" t="s">
        <v>1923</v>
      </c>
      <c r="B1048" s="92" t="s">
        <v>222</v>
      </c>
      <c r="C1048" s="111">
        <v>79103015</v>
      </c>
    </row>
    <row r="1049" spans="1:3" x14ac:dyDescent="0.2">
      <c r="A1049" s="91" t="s">
        <v>1708</v>
      </c>
      <c r="B1049" s="92" t="s">
        <v>268</v>
      </c>
      <c r="C1049" s="111">
        <v>2059435597.0799999</v>
      </c>
    </row>
    <row r="1050" spans="1:3" x14ac:dyDescent="0.2">
      <c r="A1050" s="91" t="s">
        <v>1872</v>
      </c>
      <c r="B1050" s="92" t="s">
        <v>268</v>
      </c>
      <c r="C1050" s="111">
        <v>4500000000</v>
      </c>
    </row>
    <row r="1051" spans="1:3" x14ac:dyDescent="0.2">
      <c r="A1051" s="91" t="s">
        <v>2043</v>
      </c>
      <c r="B1051" s="92" t="s">
        <v>268</v>
      </c>
      <c r="C1051" s="111">
        <v>10500000000</v>
      </c>
    </row>
    <row r="1052" spans="1:3" x14ac:dyDescent="0.2">
      <c r="A1052" s="91" t="s">
        <v>2000</v>
      </c>
      <c r="B1052" s="92" t="s">
        <v>222</v>
      </c>
      <c r="C1052" s="111">
        <v>600000000</v>
      </c>
    </row>
    <row r="1053" spans="1:3" x14ac:dyDescent="0.2">
      <c r="A1053" s="91" t="s">
        <v>951</v>
      </c>
      <c r="B1053" s="92" t="s">
        <v>538</v>
      </c>
      <c r="C1053" s="111">
        <v>480277380.22000003</v>
      </c>
    </row>
    <row r="1054" spans="1:3" x14ac:dyDescent="0.2">
      <c r="A1054" s="91" t="s">
        <v>952</v>
      </c>
      <c r="B1054" s="92" t="s">
        <v>538</v>
      </c>
      <c r="C1054" s="111">
        <v>255687922.28999999</v>
      </c>
    </row>
    <row r="1055" spans="1:3" x14ac:dyDescent="0.2">
      <c r="A1055" s="91" t="s">
        <v>838</v>
      </c>
      <c r="B1055" s="92" t="s">
        <v>222</v>
      </c>
      <c r="C1055" s="111">
        <v>36000000</v>
      </c>
    </row>
    <row r="1056" spans="1:3" x14ac:dyDescent="0.2">
      <c r="A1056" s="91" t="s">
        <v>2020</v>
      </c>
      <c r="B1056" s="92" t="s">
        <v>222</v>
      </c>
      <c r="C1056" s="111">
        <v>163400000</v>
      </c>
    </row>
    <row r="1057" spans="1:3" x14ac:dyDescent="0.2">
      <c r="A1057" s="91" t="s">
        <v>869</v>
      </c>
      <c r="B1057" s="92" t="s">
        <v>222</v>
      </c>
      <c r="C1057" s="111">
        <v>8000000</v>
      </c>
    </row>
    <row r="1058" spans="1:3" x14ac:dyDescent="0.2">
      <c r="A1058" s="91" t="s">
        <v>2035</v>
      </c>
      <c r="B1058" s="92" t="s">
        <v>222</v>
      </c>
      <c r="C1058" s="111">
        <v>60000000</v>
      </c>
    </row>
    <row r="1059" spans="1:3" x14ac:dyDescent="0.2">
      <c r="A1059" s="91" t="s">
        <v>1013</v>
      </c>
      <c r="B1059" s="92" t="s">
        <v>222</v>
      </c>
      <c r="C1059" s="111">
        <v>93000000</v>
      </c>
    </row>
    <row r="1060" spans="1:3" x14ac:dyDescent="0.2">
      <c r="A1060" s="91" t="s">
        <v>1016</v>
      </c>
      <c r="B1060" s="92" t="s">
        <v>222</v>
      </c>
      <c r="C1060" s="111">
        <v>78000000</v>
      </c>
    </row>
    <row r="1061" spans="1:3" x14ac:dyDescent="0.2">
      <c r="A1061" s="91" t="s">
        <v>1094</v>
      </c>
      <c r="B1061" s="92" t="s">
        <v>222</v>
      </c>
      <c r="C1061" s="111">
        <v>98000000</v>
      </c>
    </row>
    <row r="1062" spans="1:3" x14ac:dyDescent="0.2">
      <c r="A1062" s="91" t="s">
        <v>1109</v>
      </c>
      <c r="B1062" s="92" t="s">
        <v>222</v>
      </c>
      <c r="C1062" s="111">
        <v>100000000</v>
      </c>
    </row>
    <row r="1063" spans="1:3" x14ac:dyDescent="0.2">
      <c r="A1063" s="91" t="s">
        <v>818</v>
      </c>
      <c r="B1063" s="92" t="s">
        <v>538</v>
      </c>
      <c r="C1063" s="111">
        <v>388183582.36000001</v>
      </c>
    </row>
    <row r="1064" spans="1:3" x14ac:dyDescent="0.2">
      <c r="A1064" s="91" t="s">
        <v>1014</v>
      </c>
      <c r="B1064" s="92" t="s">
        <v>222</v>
      </c>
      <c r="C1064" s="111">
        <v>100000000</v>
      </c>
    </row>
    <row r="1065" spans="1:3" x14ac:dyDescent="0.2">
      <c r="A1065" s="91" t="s">
        <v>1099</v>
      </c>
      <c r="B1065" s="92" t="s">
        <v>222</v>
      </c>
      <c r="C1065" s="111">
        <v>300000000</v>
      </c>
    </row>
    <row r="1066" spans="1:3" x14ac:dyDescent="0.2">
      <c r="A1066" s="91" t="s">
        <v>1483</v>
      </c>
      <c r="B1066" s="92" t="s">
        <v>222</v>
      </c>
      <c r="C1066" s="111">
        <v>200000000</v>
      </c>
    </row>
    <row r="1067" spans="1:3" x14ac:dyDescent="0.2">
      <c r="A1067" s="91" t="s">
        <v>1643</v>
      </c>
      <c r="B1067" s="92" t="s">
        <v>222</v>
      </c>
      <c r="C1067" s="111">
        <v>197300000</v>
      </c>
    </row>
    <row r="1068" spans="1:3" x14ac:dyDescent="0.2">
      <c r="A1068" s="91" t="s">
        <v>1916</v>
      </c>
      <c r="B1068" s="92" t="s">
        <v>222</v>
      </c>
      <c r="C1068" s="111">
        <v>150000000</v>
      </c>
    </row>
    <row r="1069" spans="1:3" x14ac:dyDescent="0.2">
      <c r="A1069" s="91" t="s">
        <v>2056</v>
      </c>
      <c r="B1069" s="92" t="s">
        <v>222</v>
      </c>
      <c r="C1069" s="111">
        <v>250000000</v>
      </c>
    </row>
    <row r="1070" spans="1:3" x14ac:dyDescent="0.2">
      <c r="A1070" s="91" t="s">
        <v>1352</v>
      </c>
      <c r="B1070" s="92" t="s">
        <v>222</v>
      </c>
      <c r="C1070" s="111">
        <v>606000000</v>
      </c>
    </row>
    <row r="1071" spans="1:3" x14ac:dyDescent="0.2">
      <c r="A1071" s="91" t="s">
        <v>631</v>
      </c>
      <c r="B1071" s="92" t="s">
        <v>222</v>
      </c>
      <c r="C1071" s="111">
        <v>348837209.25999999</v>
      </c>
    </row>
    <row r="1072" spans="1:3" x14ac:dyDescent="0.2">
      <c r="A1072" s="91" t="s">
        <v>839</v>
      </c>
      <c r="B1072" s="92" t="s">
        <v>222</v>
      </c>
      <c r="C1072" s="111">
        <v>346305573.5</v>
      </c>
    </row>
    <row r="1073" spans="1:3" x14ac:dyDescent="0.2">
      <c r="A1073" s="91" t="s">
        <v>8</v>
      </c>
      <c r="B1073" s="92" t="s">
        <v>268</v>
      </c>
      <c r="C1073" s="111">
        <v>1080168781.98</v>
      </c>
    </row>
    <row r="1074" spans="1:3" x14ac:dyDescent="0.2">
      <c r="A1074" s="91" t="s">
        <v>141</v>
      </c>
      <c r="B1074" s="92" t="s">
        <v>268</v>
      </c>
      <c r="C1074" s="111">
        <v>212445690.99000001</v>
      </c>
    </row>
    <row r="1075" spans="1:3" x14ac:dyDescent="0.2">
      <c r="A1075" s="91" t="s">
        <v>746</v>
      </c>
      <c r="B1075" s="92" t="s">
        <v>268</v>
      </c>
      <c r="C1075" s="111">
        <v>2227789077.9200001</v>
      </c>
    </row>
    <row r="1076" spans="1:3" x14ac:dyDescent="0.2">
      <c r="A1076" s="91" t="s">
        <v>1341</v>
      </c>
      <c r="B1076" s="92" t="s">
        <v>268</v>
      </c>
      <c r="C1076" s="111">
        <v>673041976.96000004</v>
      </c>
    </row>
    <row r="1077" spans="1:3" x14ac:dyDescent="0.2">
      <c r="A1077" s="91" t="s">
        <v>769</v>
      </c>
      <c r="B1077" s="92" t="s">
        <v>268</v>
      </c>
      <c r="C1077" s="111">
        <v>2750074138.8899999</v>
      </c>
    </row>
    <row r="1078" spans="1:3" x14ac:dyDescent="0.2">
      <c r="A1078" s="91" t="s">
        <v>1363</v>
      </c>
      <c r="B1078" s="92" t="s">
        <v>268</v>
      </c>
      <c r="C1078" s="111">
        <v>161751034.53</v>
      </c>
    </row>
    <row r="1079" spans="1:3" x14ac:dyDescent="0.2">
      <c r="A1079" s="91" t="s">
        <v>897</v>
      </c>
      <c r="B1079" s="92" t="s">
        <v>268</v>
      </c>
      <c r="C1079" s="111">
        <v>702087158.82000005</v>
      </c>
    </row>
    <row r="1080" spans="1:3" x14ac:dyDescent="0.2">
      <c r="A1080" s="91" t="s">
        <v>1342</v>
      </c>
      <c r="B1080" s="92" t="s">
        <v>268</v>
      </c>
      <c r="C1080" s="111">
        <v>297755506.80000001</v>
      </c>
    </row>
    <row r="1081" spans="1:3" x14ac:dyDescent="0.2">
      <c r="A1081" s="91" t="s">
        <v>993</v>
      </c>
      <c r="B1081" s="92" t="s">
        <v>268</v>
      </c>
      <c r="C1081" s="111">
        <v>26250000000</v>
      </c>
    </row>
    <row r="1082" spans="1:3" x14ac:dyDescent="0.2">
      <c r="A1082" s="91" t="s">
        <v>648</v>
      </c>
      <c r="B1082" s="92" t="s">
        <v>268</v>
      </c>
      <c r="C1082" s="111">
        <v>2081420800</v>
      </c>
    </row>
    <row r="1083" spans="1:3" x14ac:dyDescent="0.2">
      <c r="A1083" s="91" t="s">
        <v>1997</v>
      </c>
      <c r="B1083" s="92" t="s">
        <v>268</v>
      </c>
      <c r="C1083" s="111">
        <v>332711291.56999999</v>
      </c>
    </row>
    <row r="1084" spans="1:3" x14ac:dyDescent="0.2">
      <c r="A1084" s="91" t="s">
        <v>247</v>
      </c>
      <c r="B1084" s="92" t="s">
        <v>268</v>
      </c>
      <c r="C1084" s="111">
        <v>8831675823.4599991</v>
      </c>
    </row>
    <row r="1085" spans="1:3" x14ac:dyDescent="0.2">
      <c r="A1085" s="91" t="s">
        <v>83</v>
      </c>
      <c r="B1085" s="92" t="s">
        <v>268</v>
      </c>
      <c r="C1085" s="111">
        <v>8500000000</v>
      </c>
    </row>
    <row r="1086" spans="1:3" x14ac:dyDescent="0.2">
      <c r="A1086" s="91" t="s">
        <v>322</v>
      </c>
      <c r="B1086" s="92" t="s">
        <v>222</v>
      </c>
      <c r="C1086" s="111">
        <v>151578947.43000001</v>
      </c>
    </row>
    <row r="1087" spans="1:3" x14ac:dyDescent="0.2">
      <c r="A1087" s="91" t="s">
        <v>1504</v>
      </c>
      <c r="B1087" s="92" t="s">
        <v>222</v>
      </c>
      <c r="C1087" s="111">
        <v>1000000000</v>
      </c>
    </row>
    <row r="1088" spans="1:3" x14ac:dyDescent="0.2">
      <c r="A1088" s="91" t="s">
        <v>1917</v>
      </c>
      <c r="B1088" s="92" t="s">
        <v>222</v>
      </c>
      <c r="C1088" s="111">
        <v>300000000</v>
      </c>
    </row>
    <row r="1089" spans="1:3" x14ac:dyDescent="0.2">
      <c r="A1089" s="91" t="s">
        <v>434</v>
      </c>
      <c r="B1089" s="92" t="s">
        <v>270</v>
      </c>
      <c r="C1089" s="111">
        <v>145001000</v>
      </c>
    </row>
    <row r="1090" spans="1:3" x14ac:dyDescent="0.2">
      <c r="A1090" s="91" t="s">
        <v>170</v>
      </c>
      <c r="B1090" s="92" t="s">
        <v>268</v>
      </c>
      <c r="C1090" s="111">
        <v>2138636622.9000001</v>
      </c>
    </row>
    <row r="1091" spans="1:3" x14ac:dyDescent="0.2">
      <c r="A1091" s="91" t="s">
        <v>1379</v>
      </c>
      <c r="B1091" s="92" t="s">
        <v>222</v>
      </c>
      <c r="C1091" s="111">
        <v>34805939.07</v>
      </c>
    </row>
    <row r="1092" spans="1:3" x14ac:dyDescent="0.2">
      <c r="A1092" s="91" t="s">
        <v>1991</v>
      </c>
      <c r="B1092" s="92" t="s">
        <v>321</v>
      </c>
      <c r="C1092" s="111">
        <v>46850017.93</v>
      </c>
    </row>
    <row r="1093" spans="1:3" x14ac:dyDescent="0.2">
      <c r="A1093" s="91" t="s">
        <v>1724</v>
      </c>
      <c r="B1093" s="92" t="s">
        <v>268</v>
      </c>
      <c r="C1093" s="111">
        <v>8618000000</v>
      </c>
    </row>
    <row r="1094" spans="1:3" x14ac:dyDescent="0.2">
      <c r="A1094" s="91" t="s">
        <v>1725</v>
      </c>
      <c r="B1094" s="92" t="s">
        <v>268</v>
      </c>
      <c r="C1094" s="111">
        <v>6730000000</v>
      </c>
    </row>
    <row r="1095" spans="1:3" x14ac:dyDescent="0.2">
      <c r="A1095" s="91" t="s">
        <v>1824</v>
      </c>
      <c r="B1095" s="92" t="s">
        <v>268</v>
      </c>
      <c r="C1095" s="111">
        <v>645504486.77999997</v>
      </c>
    </row>
    <row r="1096" spans="1:3" x14ac:dyDescent="0.2">
      <c r="A1096" s="91" t="s">
        <v>1201</v>
      </c>
      <c r="B1096" s="92" t="s">
        <v>222</v>
      </c>
      <c r="C1096" s="111">
        <v>27500000</v>
      </c>
    </row>
    <row r="1097" spans="1:3" x14ac:dyDescent="0.2">
      <c r="A1097" s="91" t="s">
        <v>2075</v>
      </c>
      <c r="B1097" s="92" t="s">
        <v>222</v>
      </c>
      <c r="C1097" s="111">
        <v>35000000</v>
      </c>
    </row>
    <row r="1098" spans="1:3" x14ac:dyDescent="0.2">
      <c r="A1098" s="91" t="s">
        <v>1847</v>
      </c>
      <c r="B1098" s="92" t="s">
        <v>222</v>
      </c>
      <c r="C1098" s="111">
        <v>155000000</v>
      </c>
    </row>
    <row r="1099" spans="1:3" x14ac:dyDescent="0.2">
      <c r="A1099" s="91" t="s">
        <v>1948</v>
      </c>
      <c r="B1099" s="92" t="s">
        <v>222</v>
      </c>
      <c r="C1099" s="111">
        <v>187000000</v>
      </c>
    </row>
    <row r="1100" spans="1:3" x14ac:dyDescent="0.2">
      <c r="A1100" s="91" t="s">
        <v>1222</v>
      </c>
      <c r="B1100" s="92" t="s">
        <v>222</v>
      </c>
      <c r="C1100" s="111">
        <v>120000000</v>
      </c>
    </row>
    <row r="1101" spans="1:3" x14ac:dyDescent="0.2">
      <c r="A1101" s="91" t="s">
        <v>1239</v>
      </c>
      <c r="B1101" s="92" t="s">
        <v>222</v>
      </c>
      <c r="C1101" s="111">
        <v>119247532.26000001</v>
      </c>
    </row>
    <row r="1102" spans="1:3" x14ac:dyDescent="0.2">
      <c r="A1102" s="91" t="s">
        <v>39</v>
      </c>
      <c r="B1102" s="92" t="s">
        <v>268</v>
      </c>
      <c r="C1102" s="111">
        <v>14384600000</v>
      </c>
    </row>
    <row r="1103" spans="1:3" x14ac:dyDescent="0.2">
      <c r="A1103" s="91" t="s">
        <v>504</v>
      </c>
      <c r="B1103" s="92" t="s">
        <v>268</v>
      </c>
      <c r="C1103" s="111">
        <v>31560674600</v>
      </c>
    </row>
    <row r="1104" spans="1:3" x14ac:dyDescent="0.2">
      <c r="A1104" s="91" t="s">
        <v>415</v>
      </c>
      <c r="B1104" s="92" t="s">
        <v>268</v>
      </c>
      <c r="C1104" s="111">
        <v>4141800000</v>
      </c>
    </row>
    <row r="1105" spans="1:3" x14ac:dyDescent="0.2">
      <c r="A1105" s="91" t="s">
        <v>768</v>
      </c>
      <c r="B1105" s="92" t="s">
        <v>268</v>
      </c>
      <c r="C1105" s="111">
        <v>22712136400</v>
      </c>
    </row>
    <row r="1106" spans="1:3" x14ac:dyDescent="0.2">
      <c r="A1106" s="91" t="s">
        <v>687</v>
      </c>
      <c r="B1106" s="92" t="s">
        <v>268</v>
      </c>
      <c r="C1106" s="111">
        <v>15293100000</v>
      </c>
    </row>
    <row r="1107" spans="1:3" x14ac:dyDescent="0.2">
      <c r="A1107" s="91" t="s">
        <v>654</v>
      </c>
      <c r="B1107" s="92" t="s">
        <v>268</v>
      </c>
      <c r="C1107" s="111">
        <v>6300000000</v>
      </c>
    </row>
    <row r="1108" spans="1:3" x14ac:dyDescent="0.2">
      <c r="A1108" s="91" t="s">
        <v>460</v>
      </c>
      <c r="B1108" s="92" t="s">
        <v>268</v>
      </c>
      <c r="C1108" s="111">
        <v>6171000000</v>
      </c>
    </row>
    <row r="1109" spans="1:3" x14ac:dyDescent="0.2">
      <c r="A1109" s="91" t="s">
        <v>767</v>
      </c>
      <c r="B1109" s="92" t="s">
        <v>268</v>
      </c>
      <c r="C1109" s="111">
        <v>5800000000</v>
      </c>
    </row>
    <row r="1110" spans="1:3" x14ac:dyDescent="0.2">
      <c r="A1110" s="91" t="s">
        <v>2076</v>
      </c>
      <c r="B1110" s="92" t="s">
        <v>268</v>
      </c>
      <c r="C1110" s="111">
        <v>310876059.54000002</v>
      </c>
    </row>
    <row r="1111" spans="1:3" x14ac:dyDescent="0.2">
      <c r="A1111" s="91" t="s">
        <v>1174</v>
      </c>
      <c r="B1111" s="92" t="s">
        <v>268</v>
      </c>
      <c r="C1111" s="111">
        <v>2500000000</v>
      </c>
    </row>
    <row r="1112" spans="1:3" x14ac:dyDescent="0.2">
      <c r="A1112" s="91" t="s">
        <v>1873</v>
      </c>
      <c r="B1112" s="92" t="s">
        <v>268</v>
      </c>
      <c r="C1112" s="111">
        <v>5000000000</v>
      </c>
    </row>
    <row r="1113" spans="1:3" x14ac:dyDescent="0.2">
      <c r="A1113" s="91" t="s">
        <v>211</v>
      </c>
      <c r="B1113" s="92" t="s">
        <v>270</v>
      </c>
      <c r="C1113" s="111">
        <v>2093000000</v>
      </c>
    </row>
    <row r="1114" spans="1:3" x14ac:dyDescent="0.2">
      <c r="A1114" s="91" t="s">
        <v>2004</v>
      </c>
      <c r="B1114" s="92" t="s">
        <v>222</v>
      </c>
      <c r="C1114" s="111">
        <v>179495875.47</v>
      </c>
    </row>
    <row r="1115" spans="1:3" x14ac:dyDescent="0.2">
      <c r="A1115" s="91" t="s">
        <v>984</v>
      </c>
      <c r="B1115" s="92" t="s">
        <v>268</v>
      </c>
      <c r="C1115" s="111">
        <v>3977469006.3800001</v>
      </c>
    </row>
    <row r="1116" spans="1:3" x14ac:dyDescent="0.2">
      <c r="A1116" s="91" t="s">
        <v>1056</v>
      </c>
      <c r="B1116" s="92" t="s">
        <v>268</v>
      </c>
      <c r="C1116" s="111">
        <v>382545832.81</v>
      </c>
    </row>
    <row r="1117" spans="1:3" x14ac:dyDescent="0.2">
      <c r="A1117" s="91" t="s">
        <v>142</v>
      </c>
      <c r="B1117" s="92" t="s">
        <v>268</v>
      </c>
      <c r="C1117" s="111">
        <v>1071428571.4</v>
      </c>
    </row>
    <row r="1118" spans="1:3" x14ac:dyDescent="0.2">
      <c r="A1118" s="91" t="s">
        <v>1303</v>
      </c>
      <c r="B1118" s="92" t="s">
        <v>268</v>
      </c>
      <c r="C1118" s="111">
        <v>2474025822.3099999</v>
      </c>
    </row>
    <row r="1119" spans="1:3" x14ac:dyDescent="0.2">
      <c r="A1119" s="91" t="s">
        <v>436</v>
      </c>
      <c r="B1119" s="92" t="s">
        <v>222</v>
      </c>
      <c r="C1119" s="111">
        <v>21109090.699999999</v>
      </c>
    </row>
    <row r="1120" spans="1:3" x14ac:dyDescent="0.2">
      <c r="A1120" s="91" t="s">
        <v>472</v>
      </c>
      <c r="B1120" s="92" t="s">
        <v>222</v>
      </c>
      <c r="C1120" s="111">
        <v>41236363.670000002</v>
      </c>
    </row>
    <row r="1121" spans="1:3" x14ac:dyDescent="0.2">
      <c r="A1121" s="91" t="s">
        <v>543</v>
      </c>
      <c r="B1121" s="92" t="s">
        <v>222</v>
      </c>
      <c r="C1121" s="111">
        <v>150272727.24000001</v>
      </c>
    </row>
    <row r="1122" spans="1:3" x14ac:dyDescent="0.2">
      <c r="A1122" s="91" t="s">
        <v>1163</v>
      </c>
      <c r="B1122" s="92" t="s">
        <v>222</v>
      </c>
      <c r="C1122" s="111">
        <v>356363636.38</v>
      </c>
    </row>
    <row r="1123" spans="1:3" x14ac:dyDescent="0.2">
      <c r="A1123" s="91" t="s">
        <v>1018</v>
      </c>
      <c r="B1123" s="92" t="s">
        <v>268</v>
      </c>
      <c r="C1123" s="111">
        <v>10000000000</v>
      </c>
    </row>
    <row r="1124" spans="1:3" x14ac:dyDescent="0.2">
      <c r="A1124" s="91" t="s">
        <v>948</v>
      </c>
      <c r="B1124" s="92" t="s">
        <v>222</v>
      </c>
      <c r="C1124" s="111">
        <v>450000000</v>
      </c>
    </row>
    <row r="1125" spans="1:3" x14ac:dyDescent="0.2">
      <c r="A1125" s="91" t="s">
        <v>949</v>
      </c>
      <c r="B1125" s="92" t="s">
        <v>222</v>
      </c>
      <c r="C1125" s="111">
        <v>257142857.13999999</v>
      </c>
    </row>
    <row r="1126" spans="1:3" x14ac:dyDescent="0.2">
      <c r="A1126" s="91" t="s">
        <v>2090</v>
      </c>
      <c r="B1126" s="92" t="s">
        <v>270</v>
      </c>
      <c r="C1126" s="111">
        <v>1900000000</v>
      </c>
    </row>
    <row r="1127" spans="1:3" x14ac:dyDescent="0.2">
      <c r="A1127" s="91" t="s">
        <v>1825</v>
      </c>
      <c r="B1127" s="92" t="s">
        <v>270</v>
      </c>
      <c r="C1127" s="111">
        <v>422000000</v>
      </c>
    </row>
    <row r="1128" spans="1:3" x14ac:dyDescent="0.2">
      <c r="A1128" s="91" t="s">
        <v>1634</v>
      </c>
      <c r="B1128" s="92" t="s">
        <v>538</v>
      </c>
      <c r="C1128" s="111">
        <v>1912740782.9100001</v>
      </c>
    </row>
    <row r="1129" spans="1:3" x14ac:dyDescent="0.2">
      <c r="A1129" s="91" t="s">
        <v>2036</v>
      </c>
      <c r="B1129" s="92" t="s">
        <v>222</v>
      </c>
      <c r="C1129" s="111">
        <v>84000000</v>
      </c>
    </row>
    <row r="1130" spans="1:3" x14ac:dyDescent="0.2">
      <c r="A1130" s="91" t="s">
        <v>1085</v>
      </c>
      <c r="B1130" s="92" t="s">
        <v>268</v>
      </c>
      <c r="C1130" s="111">
        <v>8455159433.7799997</v>
      </c>
    </row>
    <row r="1131" spans="1:3" x14ac:dyDescent="0.2">
      <c r="A1131" s="91" t="s">
        <v>38</v>
      </c>
      <c r="B1131" s="92" t="s">
        <v>268</v>
      </c>
      <c r="C1131" s="111">
        <v>278082423.86000001</v>
      </c>
    </row>
    <row r="1132" spans="1:3" x14ac:dyDescent="0.2">
      <c r="A1132" s="91" t="s">
        <v>1100</v>
      </c>
      <c r="B1132" s="92" t="s">
        <v>222</v>
      </c>
      <c r="C1132" s="111">
        <v>566669640.25</v>
      </c>
    </row>
    <row r="1133" spans="1:3" x14ac:dyDescent="0.2">
      <c r="A1133" s="91" t="s">
        <v>1998</v>
      </c>
      <c r="B1133" s="92" t="s">
        <v>222</v>
      </c>
      <c r="C1133" s="111">
        <v>400000000</v>
      </c>
    </row>
    <row r="1134" spans="1:3" x14ac:dyDescent="0.2">
      <c r="A1134" s="91" t="s">
        <v>559</v>
      </c>
      <c r="B1134" s="92" t="s">
        <v>268</v>
      </c>
      <c r="C1134" s="111">
        <v>175095987.53999999</v>
      </c>
    </row>
    <row r="1135" spans="1:3" x14ac:dyDescent="0.2">
      <c r="A1135" s="91" t="s">
        <v>1553</v>
      </c>
      <c r="B1135" s="92" t="s">
        <v>268</v>
      </c>
      <c r="C1135" s="111">
        <v>374400000</v>
      </c>
    </row>
    <row r="1136" spans="1:3" x14ac:dyDescent="0.2">
      <c r="A1136" s="91" t="s">
        <v>1554</v>
      </c>
      <c r="B1136" s="92" t="s">
        <v>268</v>
      </c>
      <c r="C1136" s="111">
        <v>1071800000</v>
      </c>
    </row>
    <row r="1137" spans="1:3" x14ac:dyDescent="0.2">
      <c r="A1137" s="91" t="s">
        <v>1208</v>
      </c>
      <c r="B1137" s="92" t="s">
        <v>268</v>
      </c>
      <c r="C1137" s="111">
        <v>2800000000</v>
      </c>
    </row>
    <row r="1138" spans="1:3" x14ac:dyDescent="0.2">
      <c r="A1138" s="91" t="s">
        <v>1263</v>
      </c>
      <c r="B1138" s="92" t="s">
        <v>268</v>
      </c>
      <c r="C1138" s="111">
        <v>1183846153.8499999</v>
      </c>
    </row>
    <row r="1139" spans="1:3" x14ac:dyDescent="0.2">
      <c r="A1139" s="91" t="s">
        <v>248</v>
      </c>
      <c r="B1139" s="92" t="s">
        <v>538</v>
      </c>
      <c r="C1139" s="111">
        <v>634656000</v>
      </c>
    </row>
    <row r="1140" spans="1:3" x14ac:dyDescent="0.2">
      <c r="A1140" s="91" t="s">
        <v>249</v>
      </c>
      <c r="B1140" s="92" t="s">
        <v>538</v>
      </c>
      <c r="C1140" s="111">
        <v>627798839</v>
      </c>
    </row>
    <row r="1141" spans="1:3" x14ac:dyDescent="0.2">
      <c r="A1141" s="91" t="s">
        <v>250</v>
      </c>
      <c r="B1141" s="92" t="s">
        <v>538</v>
      </c>
      <c r="C1141" s="111">
        <v>318579700</v>
      </c>
    </row>
    <row r="1142" spans="1:3" x14ac:dyDescent="0.2">
      <c r="A1142" s="91" t="s">
        <v>840</v>
      </c>
      <c r="B1142" s="92" t="s">
        <v>222</v>
      </c>
      <c r="C1142" s="111">
        <v>100000000</v>
      </c>
    </row>
    <row r="1143" spans="1:3" x14ac:dyDescent="0.2">
      <c r="A1143" s="91" t="s">
        <v>1223</v>
      </c>
      <c r="B1143" s="92" t="s">
        <v>222</v>
      </c>
      <c r="C1143" s="111">
        <v>97213345.010000005</v>
      </c>
    </row>
    <row r="1144" spans="1:3" x14ac:dyDescent="0.2">
      <c r="A1144" s="91" t="s">
        <v>1808</v>
      </c>
      <c r="B1144" s="92" t="s">
        <v>222</v>
      </c>
      <c r="C1144" s="111">
        <v>248120674.12</v>
      </c>
    </row>
    <row r="1145" spans="1:3" x14ac:dyDescent="0.2">
      <c r="A1145" s="91" t="s">
        <v>841</v>
      </c>
      <c r="B1145" s="92" t="s">
        <v>268</v>
      </c>
      <c r="C1145" s="111">
        <v>122620856.31</v>
      </c>
    </row>
    <row r="1146" spans="1:3" x14ac:dyDescent="0.2">
      <c r="A1146" s="91" t="s">
        <v>474</v>
      </c>
      <c r="B1146" s="92" t="s">
        <v>268</v>
      </c>
      <c r="C1146" s="111">
        <v>10220587600</v>
      </c>
    </row>
    <row r="1147" spans="1:3" x14ac:dyDescent="0.2">
      <c r="A1147" s="91" t="s">
        <v>1289</v>
      </c>
      <c r="B1147" s="92" t="s">
        <v>268</v>
      </c>
      <c r="C1147" s="111">
        <v>28000000000</v>
      </c>
    </row>
    <row r="1148" spans="1:3" x14ac:dyDescent="0.2">
      <c r="A1148" s="91" t="s">
        <v>1185</v>
      </c>
      <c r="B1148" s="92" t="s">
        <v>268</v>
      </c>
      <c r="C1148" s="111">
        <v>11477089932</v>
      </c>
    </row>
    <row r="1149" spans="1:3" x14ac:dyDescent="0.2">
      <c r="A1149" s="91" t="s">
        <v>1354</v>
      </c>
      <c r="B1149" s="92" t="s">
        <v>222</v>
      </c>
      <c r="C1149" s="111">
        <v>250000000</v>
      </c>
    </row>
    <row r="1150" spans="1:3" x14ac:dyDescent="0.2">
      <c r="A1150" s="91" t="s">
        <v>1826</v>
      </c>
      <c r="B1150" s="92" t="s">
        <v>268</v>
      </c>
      <c r="C1150" s="111">
        <v>31391412.52</v>
      </c>
    </row>
    <row r="1151" spans="1:3" x14ac:dyDescent="0.2">
      <c r="A1151" s="91" t="s">
        <v>1081</v>
      </c>
      <c r="B1151" s="92" t="s">
        <v>538</v>
      </c>
      <c r="C1151" s="111">
        <v>50000000</v>
      </c>
    </row>
    <row r="1152" spans="1:3" x14ac:dyDescent="0.2">
      <c r="A1152" s="91" t="s">
        <v>1079</v>
      </c>
      <c r="B1152" s="92" t="s">
        <v>538</v>
      </c>
      <c r="C1152" s="111">
        <v>700000000</v>
      </c>
    </row>
    <row r="1153" spans="1:3" x14ac:dyDescent="0.2">
      <c r="A1153" s="91" t="s">
        <v>230</v>
      </c>
      <c r="B1153" s="92" t="s">
        <v>268</v>
      </c>
      <c r="C1153" s="111">
        <v>2846979357.1399999</v>
      </c>
    </row>
    <row r="1154" spans="1:3" x14ac:dyDescent="0.2">
      <c r="A1154" s="91" t="s">
        <v>231</v>
      </c>
      <c r="B1154" s="92" t="s">
        <v>268</v>
      </c>
      <c r="C1154" s="111">
        <v>4074234561.52</v>
      </c>
    </row>
    <row r="1155" spans="1:3" x14ac:dyDescent="0.2">
      <c r="A1155" s="91" t="s">
        <v>632</v>
      </c>
      <c r="B1155" s="92" t="s">
        <v>268</v>
      </c>
      <c r="C1155" s="111">
        <v>4310544045.9899998</v>
      </c>
    </row>
    <row r="1156" spans="1:3" x14ac:dyDescent="0.2">
      <c r="A1156" s="91" t="s">
        <v>1037</v>
      </c>
      <c r="B1156" s="92" t="s">
        <v>268</v>
      </c>
      <c r="C1156" s="111">
        <v>6330000000</v>
      </c>
    </row>
    <row r="1157" spans="1:3" x14ac:dyDescent="0.2">
      <c r="A1157" s="91" t="s">
        <v>933</v>
      </c>
      <c r="B1157" s="92" t="s">
        <v>268</v>
      </c>
      <c r="C1157" s="111">
        <v>55446061360.75</v>
      </c>
    </row>
    <row r="1158" spans="1:3" x14ac:dyDescent="0.2">
      <c r="A1158" s="91" t="s">
        <v>2011</v>
      </c>
      <c r="B1158" s="92" t="s">
        <v>268</v>
      </c>
      <c r="C1158" s="111">
        <v>8832300000</v>
      </c>
    </row>
    <row r="1159" spans="1:3" x14ac:dyDescent="0.2">
      <c r="A1159" s="91" t="s">
        <v>889</v>
      </c>
      <c r="B1159" s="92" t="s">
        <v>268</v>
      </c>
      <c r="C1159" s="111">
        <v>15400045742.309999</v>
      </c>
    </row>
    <row r="1160" spans="1:3" x14ac:dyDescent="0.2">
      <c r="A1160" s="91" t="s">
        <v>29</v>
      </c>
      <c r="B1160" s="92" t="s">
        <v>268</v>
      </c>
      <c r="C1160" s="111">
        <v>1295630886.79</v>
      </c>
    </row>
    <row r="1161" spans="1:3" x14ac:dyDescent="0.2">
      <c r="A1161" s="91" t="s">
        <v>1726</v>
      </c>
      <c r="B1161" s="92" t="s">
        <v>222</v>
      </c>
      <c r="C1161" s="111">
        <v>27283253.039999999</v>
      </c>
    </row>
    <row r="1162" spans="1:3" x14ac:dyDescent="0.2">
      <c r="A1162" s="91" t="s">
        <v>1827</v>
      </c>
      <c r="B1162" s="92" t="s">
        <v>268</v>
      </c>
      <c r="C1162" s="111">
        <v>978570818.24000001</v>
      </c>
    </row>
    <row r="1163" spans="1:3" x14ac:dyDescent="0.2">
      <c r="A1163" s="91" t="s">
        <v>1828</v>
      </c>
      <c r="B1163" s="92" t="s">
        <v>268</v>
      </c>
      <c r="C1163" s="111">
        <v>1193537351.8299999</v>
      </c>
    </row>
    <row r="1164" spans="1:3" x14ac:dyDescent="0.2">
      <c r="A1164" s="91" t="s">
        <v>1101</v>
      </c>
      <c r="B1164" s="92" t="s">
        <v>222</v>
      </c>
      <c r="C1164" s="111">
        <v>184550000</v>
      </c>
    </row>
    <row r="1165" spans="1:3" x14ac:dyDescent="0.2">
      <c r="A1165" s="91" t="s">
        <v>1644</v>
      </c>
      <c r="B1165" s="92" t="s">
        <v>222</v>
      </c>
      <c r="C1165" s="111">
        <v>112000000</v>
      </c>
    </row>
    <row r="1166" spans="1:3" x14ac:dyDescent="0.2">
      <c r="A1166" s="91" t="s">
        <v>441</v>
      </c>
      <c r="B1166" s="92" t="s">
        <v>268</v>
      </c>
      <c r="C1166" s="111">
        <v>1400000000</v>
      </c>
    </row>
    <row r="1167" spans="1:3" x14ac:dyDescent="0.2">
      <c r="A1167" s="91" t="s">
        <v>968</v>
      </c>
      <c r="B1167" s="92" t="s">
        <v>268</v>
      </c>
      <c r="C1167" s="111">
        <v>2666666666.6700001</v>
      </c>
    </row>
    <row r="1168" spans="1:3" x14ac:dyDescent="0.2">
      <c r="A1168" s="91" t="s">
        <v>1369</v>
      </c>
      <c r="B1168" s="92" t="s">
        <v>222</v>
      </c>
      <c r="C1168" s="111">
        <v>194000000</v>
      </c>
    </row>
    <row r="1169" spans="1:3" x14ac:dyDescent="0.2">
      <c r="A1169" s="91" t="s">
        <v>1270</v>
      </c>
      <c r="B1169" s="92" t="s">
        <v>268</v>
      </c>
      <c r="C1169" s="111">
        <v>1263162000</v>
      </c>
    </row>
    <row r="1170" spans="1:3" x14ac:dyDescent="0.2">
      <c r="A1170" s="91" t="s">
        <v>1532</v>
      </c>
      <c r="B1170" s="92" t="s">
        <v>268</v>
      </c>
      <c r="C1170" s="111">
        <v>43212000</v>
      </c>
    </row>
    <row r="1171" spans="1:3" x14ac:dyDescent="0.2">
      <c r="A1171" s="91" t="s">
        <v>1477</v>
      </c>
      <c r="B1171" s="92" t="s">
        <v>268</v>
      </c>
      <c r="C1171" s="111">
        <v>500000000</v>
      </c>
    </row>
    <row r="1172" spans="1:3" x14ac:dyDescent="0.2">
      <c r="A1172" s="91" t="s">
        <v>424</v>
      </c>
      <c r="B1172" s="92" t="s">
        <v>268</v>
      </c>
      <c r="C1172" s="111">
        <v>339863040.44999999</v>
      </c>
    </row>
    <row r="1173" spans="1:3" x14ac:dyDescent="0.2">
      <c r="A1173" s="91" t="s">
        <v>870</v>
      </c>
      <c r="B1173" s="92" t="s">
        <v>268</v>
      </c>
      <c r="C1173" s="111">
        <v>2805516.76</v>
      </c>
    </row>
    <row r="1174" spans="1:3" x14ac:dyDescent="0.2">
      <c r="A1174" s="91" t="s">
        <v>1501</v>
      </c>
      <c r="B1174" s="92" t="s">
        <v>268</v>
      </c>
      <c r="C1174" s="111">
        <v>17301000000</v>
      </c>
    </row>
    <row r="1175" spans="1:3" x14ac:dyDescent="0.2">
      <c r="A1175" s="91" t="s">
        <v>804</v>
      </c>
      <c r="B1175" s="92" t="s">
        <v>268</v>
      </c>
      <c r="C1175" s="111">
        <v>73894977000</v>
      </c>
    </row>
    <row r="1176" spans="1:3" x14ac:dyDescent="0.2">
      <c r="A1176" s="91" t="s">
        <v>1005</v>
      </c>
      <c r="B1176" s="92" t="s">
        <v>268</v>
      </c>
      <c r="C1176" s="111">
        <v>1875795570</v>
      </c>
    </row>
    <row r="1177" spans="1:3" x14ac:dyDescent="0.2">
      <c r="A1177" s="91" t="s">
        <v>1502</v>
      </c>
      <c r="B1177" s="92" t="s">
        <v>268</v>
      </c>
      <c r="C1177" s="111">
        <v>4736857500</v>
      </c>
    </row>
    <row r="1178" spans="1:3" x14ac:dyDescent="0.2">
      <c r="A1178" s="91" t="s">
        <v>1777</v>
      </c>
      <c r="B1178" s="92" t="s">
        <v>270</v>
      </c>
      <c r="C1178" s="111">
        <v>5681776598.1300001</v>
      </c>
    </row>
    <row r="1179" spans="1:3" x14ac:dyDescent="0.2">
      <c r="A1179" s="91" t="s">
        <v>1940</v>
      </c>
      <c r="B1179" s="92" t="s">
        <v>268</v>
      </c>
      <c r="C1179" s="111">
        <v>3000000000</v>
      </c>
    </row>
    <row r="1180" spans="1:3" x14ac:dyDescent="0.2">
      <c r="A1180" s="91" t="s">
        <v>899</v>
      </c>
      <c r="B1180" s="92" t="s">
        <v>268</v>
      </c>
      <c r="C1180" s="111">
        <v>12068628696.6</v>
      </c>
    </row>
    <row r="1181" spans="1:3" x14ac:dyDescent="0.2">
      <c r="A1181" s="91" t="s">
        <v>1380</v>
      </c>
      <c r="B1181" s="92" t="s">
        <v>222</v>
      </c>
      <c r="C1181" s="111">
        <v>53430000</v>
      </c>
    </row>
    <row r="1182" spans="1:3" x14ac:dyDescent="0.2">
      <c r="A1182" s="91" t="s">
        <v>2001</v>
      </c>
      <c r="B1182" s="92" t="s">
        <v>222</v>
      </c>
      <c r="C1182" s="111">
        <v>28000000</v>
      </c>
    </row>
    <row r="1183" spans="1:3" x14ac:dyDescent="0.2">
      <c r="A1183" s="91" t="s">
        <v>1949</v>
      </c>
      <c r="B1183" s="92" t="s">
        <v>268</v>
      </c>
      <c r="C1183" s="111">
        <v>6315810000</v>
      </c>
    </row>
    <row r="1184" spans="1:3" x14ac:dyDescent="0.2">
      <c r="A1184" s="91" t="s">
        <v>616</v>
      </c>
      <c r="B1184" s="92" t="s">
        <v>538</v>
      </c>
      <c r="C1184" s="111">
        <v>468750463.94999999</v>
      </c>
    </row>
    <row r="1185" spans="1:3" x14ac:dyDescent="0.2">
      <c r="A1185" s="91" t="s">
        <v>1426</v>
      </c>
      <c r="B1185" s="92" t="s">
        <v>222</v>
      </c>
      <c r="C1185" s="111">
        <v>375000000</v>
      </c>
    </row>
    <row r="1186" spans="1:3" x14ac:dyDescent="0.2">
      <c r="A1186" s="91" t="s">
        <v>1452</v>
      </c>
      <c r="B1186" s="92" t="s">
        <v>268</v>
      </c>
      <c r="C1186" s="111">
        <v>233500000</v>
      </c>
    </row>
    <row r="1187" spans="1:3" x14ac:dyDescent="0.2">
      <c r="A1187" s="91" t="s">
        <v>369</v>
      </c>
      <c r="B1187" s="92" t="s">
        <v>268</v>
      </c>
      <c r="C1187" s="111">
        <v>297500000</v>
      </c>
    </row>
    <row r="1188" spans="1:3" x14ac:dyDescent="0.2">
      <c r="A1188" s="91" t="s">
        <v>370</v>
      </c>
      <c r="B1188" s="92" t="s">
        <v>268</v>
      </c>
      <c r="C1188" s="111">
        <v>402500000</v>
      </c>
    </row>
    <row r="1189" spans="1:3" x14ac:dyDescent="0.2">
      <c r="A1189" s="91" t="s">
        <v>763</v>
      </c>
      <c r="B1189" s="92" t="s">
        <v>268</v>
      </c>
      <c r="C1189" s="111">
        <v>238470784.28</v>
      </c>
    </row>
    <row r="1190" spans="1:3" x14ac:dyDescent="0.2">
      <c r="A1190" s="91" t="s">
        <v>124</v>
      </c>
      <c r="B1190" s="92" t="s">
        <v>268</v>
      </c>
      <c r="C1190" s="111">
        <v>147630000</v>
      </c>
    </row>
    <row r="1191" spans="1:3" x14ac:dyDescent="0.2">
      <c r="A1191" s="91" t="s">
        <v>125</v>
      </c>
      <c r="B1191" s="92" t="s">
        <v>268</v>
      </c>
      <c r="C1191" s="111">
        <v>79842078.819999993</v>
      </c>
    </row>
    <row r="1192" spans="1:3" x14ac:dyDescent="0.2">
      <c r="A1192" s="91" t="s">
        <v>185</v>
      </c>
      <c r="B1192" s="92" t="s">
        <v>538</v>
      </c>
      <c r="C1192" s="111">
        <v>1924040.21</v>
      </c>
    </row>
    <row r="1193" spans="1:3" x14ac:dyDescent="0.2">
      <c r="A1193" s="91" t="s">
        <v>402</v>
      </c>
      <c r="B1193" s="92" t="s">
        <v>268</v>
      </c>
      <c r="C1193" s="111">
        <v>425197409.38999999</v>
      </c>
    </row>
    <row r="1194" spans="1:3" x14ac:dyDescent="0.2">
      <c r="A1194" s="91" t="s">
        <v>1867</v>
      </c>
      <c r="B1194" s="92" t="s">
        <v>268</v>
      </c>
      <c r="C1194" s="111">
        <v>562618223.90999997</v>
      </c>
    </row>
    <row r="1195" spans="1:3" x14ac:dyDescent="0.2">
      <c r="A1195" s="91" t="s">
        <v>640</v>
      </c>
      <c r="B1195" s="92" t="s">
        <v>222</v>
      </c>
      <c r="C1195" s="111">
        <v>62175227.93</v>
      </c>
    </row>
    <row r="1196" spans="1:3" x14ac:dyDescent="0.2">
      <c r="A1196" s="91" t="s">
        <v>800</v>
      </c>
      <c r="B1196" s="92" t="s">
        <v>222</v>
      </c>
      <c r="C1196" s="111">
        <v>123907249.02</v>
      </c>
    </row>
    <row r="1197" spans="1:3" x14ac:dyDescent="0.2">
      <c r="A1197" s="91" t="s">
        <v>986</v>
      </c>
      <c r="B1197" s="92" t="s">
        <v>222</v>
      </c>
      <c r="C1197" s="111">
        <v>426003359.16000003</v>
      </c>
    </row>
    <row r="1198" spans="1:3" x14ac:dyDescent="0.2">
      <c r="A1198" s="91" t="s">
        <v>1275</v>
      </c>
      <c r="B1198" s="92" t="s">
        <v>222</v>
      </c>
      <c r="C1198" s="111">
        <v>779697519.76999998</v>
      </c>
    </row>
    <row r="1199" spans="1:3" x14ac:dyDescent="0.2">
      <c r="A1199" s="91" t="s">
        <v>1648</v>
      </c>
      <c r="B1199" s="92" t="s">
        <v>222</v>
      </c>
      <c r="C1199" s="111">
        <v>945295110.75</v>
      </c>
    </row>
    <row r="1200" spans="1:3" x14ac:dyDescent="0.2">
      <c r="A1200" s="91" t="s">
        <v>10</v>
      </c>
      <c r="B1200" s="92" t="s">
        <v>268</v>
      </c>
      <c r="C1200" s="111">
        <v>278272727.27999997</v>
      </c>
    </row>
    <row r="1201" spans="1:3" x14ac:dyDescent="0.2">
      <c r="A1201" s="91" t="s">
        <v>252</v>
      </c>
      <c r="B1201" s="92" t="s">
        <v>268</v>
      </c>
      <c r="C1201" s="111">
        <v>185515151.5</v>
      </c>
    </row>
    <row r="1202" spans="1:3" x14ac:dyDescent="0.2">
      <c r="A1202" s="91" t="s">
        <v>1555</v>
      </c>
      <c r="B1202" s="92" t="s">
        <v>268</v>
      </c>
      <c r="C1202" s="111">
        <v>1090909091.04</v>
      </c>
    </row>
    <row r="1203" spans="1:3" x14ac:dyDescent="0.2">
      <c r="A1203" s="91" t="s">
        <v>935</v>
      </c>
      <c r="B1203" s="92" t="s">
        <v>538</v>
      </c>
      <c r="C1203" s="111">
        <v>45000000</v>
      </c>
    </row>
    <row r="1204" spans="1:3" x14ac:dyDescent="0.2">
      <c r="A1204" s="91" t="s">
        <v>936</v>
      </c>
      <c r="B1204" s="92" t="s">
        <v>538</v>
      </c>
      <c r="C1204" s="111">
        <v>30000000</v>
      </c>
    </row>
    <row r="1205" spans="1:3" x14ac:dyDescent="0.2">
      <c r="A1205" s="91" t="s">
        <v>937</v>
      </c>
      <c r="B1205" s="92" t="s">
        <v>538</v>
      </c>
      <c r="C1205" s="111">
        <v>41000000</v>
      </c>
    </row>
    <row r="1206" spans="1:3" x14ac:dyDescent="0.2">
      <c r="A1206" s="91" t="s">
        <v>938</v>
      </c>
      <c r="B1206" s="92" t="s">
        <v>538</v>
      </c>
      <c r="C1206" s="111">
        <v>40000000</v>
      </c>
    </row>
    <row r="1207" spans="1:3" x14ac:dyDescent="0.2">
      <c r="A1207" s="91" t="s">
        <v>939</v>
      </c>
      <c r="B1207" s="92" t="s">
        <v>538</v>
      </c>
      <c r="C1207" s="111">
        <v>19000000</v>
      </c>
    </row>
    <row r="1208" spans="1:3" x14ac:dyDescent="0.2">
      <c r="A1208" s="91" t="s">
        <v>940</v>
      </c>
      <c r="B1208" s="92" t="s">
        <v>538</v>
      </c>
      <c r="C1208" s="111">
        <v>18000000</v>
      </c>
    </row>
    <row r="1209" spans="1:3" x14ac:dyDescent="0.2">
      <c r="A1209" s="91" t="s">
        <v>969</v>
      </c>
      <c r="B1209" s="92" t="s">
        <v>222</v>
      </c>
      <c r="C1209" s="111">
        <v>98784582.180000007</v>
      </c>
    </row>
    <row r="1210" spans="1:3" x14ac:dyDescent="0.2">
      <c r="A1210" s="91" t="s">
        <v>970</v>
      </c>
      <c r="B1210" s="92" t="s">
        <v>222</v>
      </c>
      <c r="C1210" s="111">
        <v>449998230</v>
      </c>
    </row>
    <row r="1211" spans="1:3" x14ac:dyDescent="0.2">
      <c r="A1211" s="91" t="s">
        <v>1256</v>
      </c>
      <c r="B1211" s="92" t="s">
        <v>538</v>
      </c>
      <c r="C1211" s="111">
        <v>968770341.05999994</v>
      </c>
    </row>
    <row r="1212" spans="1:3" x14ac:dyDescent="0.2">
      <c r="A1212" s="91" t="s">
        <v>1891</v>
      </c>
      <c r="B1212" s="92" t="s">
        <v>268</v>
      </c>
      <c r="C1212" s="111">
        <v>151000000</v>
      </c>
    </row>
    <row r="1213" spans="1:3" x14ac:dyDescent="0.2">
      <c r="A1213" s="91" t="s">
        <v>780</v>
      </c>
      <c r="B1213" s="92" t="s">
        <v>268</v>
      </c>
      <c r="C1213" s="111">
        <v>1050000000</v>
      </c>
    </row>
    <row r="1214" spans="1:3" x14ac:dyDescent="0.2">
      <c r="A1214" s="91" t="s">
        <v>1095</v>
      </c>
      <c r="B1214" s="92" t="s">
        <v>268</v>
      </c>
      <c r="C1214" s="111">
        <v>1250000000</v>
      </c>
    </row>
    <row r="1215" spans="1:3" x14ac:dyDescent="0.2">
      <c r="A1215" s="91" t="s">
        <v>1444</v>
      </c>
      <c r="B1215" s="92" t="s">
        <v>268</v>
      </c>
      <c r="C1215" s="111">
        <v>1050000000</v>
      </c>
    </row>
    <row r="1216" spans="1:3" x14ac:dyDescent="0.2">
      <c r="A1216" s="91" t="s">
        <v>1264</v>
      </c>
      <c r="B1216" s="92" t="s">
        <v>222</v>
      </c>
      <c r="C1216" s="111">
        <v>700000000</v>
      </c>
    </row>
    <row r="1217" spans="1:3" x14ac:dyDescent="0.2">
      <c r="A1217" s="91" t="s">
        <v>1527</v>
      </c>
      <c r="B1217" s="92" t="s">
        <v>222</v>
      </c>
      <c r="C1217" s="111">
        <v>648000000</v>
      </c>
    </row>
    <row r="1218" spans="1:3" x14ac:dyDescent="0.2">
      <c r="A1218" s="91" t="s">
        <v>941</v>
      </c>
      <c r="B1218" s="92" t="s">
        <v>270</v>
      </c>
      <c r="C1218" s="111">
        <v>18000000000</v>
      </c>
    </row>
    <row r="1219" spans="1:3" x14ac:dyDescent="0.2">
      <c r="A1219" s="91" t="s">
        <v>946</v>
      </c>
      <c r="B1219" s="92" t="s">
        <v>270</v>
      </c>
      <c r="C1219" s="111">
        <v>7000000000</v>
      </c>
    </row>
    <row r="1220" spans="1:3" x14ac:dyDescent="0.2">
      <c r="A1220" s="91" t="s">
        <v>1868</v>
      </c>
      <c r="B1220" s="92" t="s">
        <v>268</v>
      </c>
      <c r="C1220" s="111">
        <v>450000000</v>
      </c>
    </row>
    <row r="1221" spans="1:3" x14ac:dyDescent="0.2">
      <c r="A1221" s="91" t="s">
        <v>963</v>
      </c>
      <c r="B1221" s="92" t="s">
        <v>538</v>
      </c>
      <c r="C1221" s="111">
        <v>1999722321.9200001</v>
      </c>
    </row>
    <row r="1222" spans="1:3" x14ac:dyDescent="0.2">
      <c r="A1222" s="91" t="s">
        <v>852</v>
      </c>
      <c r="B1222" s="92" t="s">
        <v>538</v>
      </c>
      <c r="C1222" s="111">
        <v>464178693.42000002</v>
      </c>
    </row>
    <row r="1223" spans="1:3" x14ac:dyDescent="0.2">
      <c r="A1223" s="91" t="s">
        <v>883</v>
      </c>
      <c r="B1223" s="92" t="s">
        <v>538</v>
      </c>
      <c r="C1223" s="111">
        <v>2999493062.77</v>
      </c>
    </row>
    <row r="1224" spans="1:3" x14ac:dyDescent="0.2">
      <c r="A1224" s="91" t="s">
        <v>983</v>
      </c>
      <c r="B1224" s="92" t="s">
        <v>538</v>
      </c>
      <c r="C1224" s="111">
        <v>30801221</v>
      </c>
    </row>
    <row r="1225" spans="1:3" x14ac:dyDescent="0.2">
      <c r="A1225" s="91" t="s">
        <v>375</v>
      </c>
      <c r="B1225" s="92" t="s">
        <v>268</v>
      </c>
      <c r="C1225" s="111">
        <v>38381913909.199997</v>
      </c>
    </row>
    <row r="1226" spans="1:3" x14ac:dyDescent="0.2">
      <c r="A1226" s="91" t="s">
        <v>1098</v>
      </c>
      <c r="B1226" s="92" t="s">
        <v>268</v>
      </c>
      <c r="C1226" s="111">
        <v>2414665263.4299998</v>
      </c>
    </row>
    <row r="1227" spans="1:3" x14ac:dyDescent="0.2">
      <c r="A1227" s="91" t="s">
        <v>123</v>
      </c>
      <c r="B1227" s="92" t="s">
        <v>268</v>
      </c>
      <c r="C1227" s="111">
        <v>2544644388.1700001</v>
      </c>
    </row>
    <row r="1228" spans="1:3" x14ac:dyDescent="0.2">
      <c r="A1228" s="91" t="s">
        <v>416</v>
      </c>
      <c r="B1228" s="92" t="s">
        <v>268</v>
      </c>
      <c r="C1228" s="111">
        <v>4297165869.1099997</v>
      </c>
    </row>
    <row r="1229" spans="1:3" x14ac:dyDescent="0.2">
      <c r="A1229" s="91" t="s">
        <v>1829</v>
      </c>
      <c r="B1229" s="92" t="s">
        <v>268</v>
      </c>
      <c r="C1229" s="111">
        <v>297725093.56</v>
      </c>
    </row>
    <row r="1230" spans="1:3" x14ac:dyDescent="0.2">
      <c r="A1230" s="91" t="s">
        <v>2059</v>
      </c>
      <c r="B1230" s="92" t="s">
        <v>268</v>
      </c>
      <c r="C1230" s="111">
        <v>105089536.5</v>
      </c>
    </row>
    <row r="1231" spans="1:3" x14ac:dyDescent="0.2">
      <c r="A1231" s="91" t="s">
        <v>748</v>
      </c>
      <c r="B1231" s="92" t="s">
        <v>222</v>
      </c>
      <c r="C1231" s="111">
        <v>250000000</v>
      </c>
    </row>
    <row r="1232" spans="1:3" x14ac:dyDescent="0.2">
      <c r="A1232" s="91" t="s">
        <v>1172</v>
      </c>
      <c r="B1232" s="92" t="s">
        <v>268</v>
      </c>
      <c r="C1232" s="111">
        <v>587456759.65999997</v>
      </c>
    </row>
    <row r="1233" spans="1:3" x14ac:dyDescent="0.2">
      <c r="A1233" s="91" t="s">
        <v>999</v>
      </c>
      <c r="B1233" s="92" t="s">
        <v>268</v>
      </c>
      <c r="C1233" s="111">
        <v>10487891693.540001</v>
      </c>
    </row>
    <row r="1234" spans="1:3" x14ac:dyDescent="0.2">
      <c r="A1234" s="91" t="s">
        <v>1004</v>
      </c>
      <c r="B1234" s="92" t="s">
        <v>268</v>
      </c>
      <c r="C1234" s="111">
        <v>1200000000</v>
      </c>
    </row>
    <row r="1235" spans="1:3" x14ac:dyDescent="0.2">
      <c r="A1235" s="91" t="s">
        <v>1714</v>
      </c>
      <c r="B1235" s="92" t="s">
        <v>268</v>
      </c>
      <c r="C1235" s="111">
        <v>1427568850.1099999</v>
      </c>
    </row>
    <row r="1236" spans="1:3" x14ac:dyDescent="0.2">
      <c r="A1236" s="91" t="s">
        <v>1704</v>
      </c>
      <c r="B1236" s="92" t="s">
        <v>268</v>
      </c>
      <c r="C1236" s="111">
        <v>122962504.89</v>
      </c>
    </row>
    <row r="1237" spans="1:3" x14ac:dyDescent="0.2">
      <c r="A1237" s="91" t="s">
        <v>1556</v>
      </c>
      <c r="B1237" s="92" t="s">
        <v>268</v>
      </c>
      <c r="C1237" s="111">
        <v>631581000</v>
      </c>
    </row>
    <row r="1238" spans="1:3" x14ac:dyDescent="0.2">
      <c r="A1238" s="91" t="s">
        <v>1630</v>
      </c>
      <c r="B1238" s="92" t="s">
        <v>268</v>
      </c>
      <c r="C1238" s="111">
        <v>209324198</v>
      </c>
    </row>
    <row r="1239" spans="1:3" x14ac:dyDescent="0.2">
      <c r="A1239" s="91" t="s">
        <v>1631</v>
      </c>
      <c r="B1239" s="92" t="s">
        <v>268</v>
      </c>
      <c r="C1239" s="111">
        <v>1496000095.6700001</v>
      </c>
    </row>
    <row r="1240" spans="1:3" x14ac:dyDescent="0.2">
      <c r="A1240" s="91" t="s">
        <v>1713</v>
      </c>
      <c r="B1240" s="92" t="s">
        <v>268</v>
      </c>
      <c r="C1240" s="111">
        <v>1345501266.6600001</v>
      </c>
    </row>
    <row r="1241" spans="1:3" x14ac:dyDescent="0.2">
      <c r="A1241" s="91" t="s">
        <v>1557</v>
      </c>
      <c r="B1241" s="92" t="s">
        <v>268</v>
      </c>
      <c r="C1241" s="111">
        <v>79147133.340000004</v>
      </c>
    </row>
    <row r="1242" spans="1:3" x14ac:dyDescent="0.2">
      <c r="A1242" s="91" t="s">
        <v>1632</v>
      </c>
      <c r="B1242" s="92" t="s">
        <v>268</v>
      </c>
      <c r="C1242" s="111">
        <v>517624993</v>
      </c>
    </row>
    <row r="1243" spans="1:3" x14ac:dyDescent="0.2">
      <c r="A1243" s="91" t="s">
        <v>1558</v>
      </c>
      <c r="B1243" s="92" t="s">
        <v>268</v>
      </c>
      <c r="C1243" s="111">
        <v>135908712.31999999</v>
      </c>
    </row>
    <row r="1244" spans="1:3" x14ac:dyDescent="0.2">
      <c r="A1244" s="91" t="s">
        <v>544</v>
      </c>
      <c r="B1244" s="92" t="s">
        <v>268</v>
      </c>
      <c r="C1244" s="111">
        <v>1798111107</v>
      </c>
    </row>
    <row r="1245" spans="1:3" x14ac:dyDescent="0.2">
      <c r="A1245" s="91" t="s">
        <v>2051</v>
      </c>
      <c r="B1245" s="92" t="s">
        <v>268</v>
      </c>
      <c r="C1245" s="111">
        <v>447665391.64999998</v>
      </c>
    </row>
    <row r="1246" spans="1:3" x14ac:dyDescent="0.2">
      <c r="A1246" s="91" t="s">
        <v>2292</v>
      </c>
      <c r="B1246" s="92" t="s">
        <v>268</v>
      </c>
      <c r="C1246" s="111">
        <v>1379146533</v>
      </c>
    </row>
    <row r="1247" spans="1:3" x14ac:dyDescent="0.2">
      <c r="A1247" s="91" t="s">
        <v>1041</v>
      </c>
      <c r="B1247" s="92" t="s">
        <v>538</v>
      </c>
      <c r="C1247" s="111">
        <v>1701188424.47</v>
      </c>
    </row>
    <row r="1248" spans="1:3" x14ac:dyDescent="0.2">
      <c r="A1248" s="91" t="s">
        <v>1334</v>
      </c>
      <c r="B1248" s="92" t="s">
        <v>538</v>
      </c>
      <c r="C1248" s="111">
        <v>241158736.78</v>
      </c>
    </row>
    <row r="1249" spans="1:3" x14ac:dyDescent="0.2">
      <c r="A1249" s="91" t="s">
        <v>545</v>
      </c>
      <c r="B1249" s="92" t="s">
        <v>268</v>
      </c>
      <c r="C1249" s="111">
        <v>3160103601.6700001</v>
      </c>
    </row>
    <row r="1250" spans="1:3" x14ac:dyDescent="0.2">
      <c r="A1250" s="91" t="s">
        <v>1506</v>
      </c>
      <c r="B1250" s="92" t="s">
        <v>268</v>
      </c>
      <c r="C1250" s="111">
        <v>3313295183.4200001</v>
      </c>
    </row>
    <row r="1251" spans="1:3" x14ac:dyDescent="0.2">
      <c r="A1251" s="91" t="s">
        <v>546</v>
      </c>
      <c r="B1251" s="92" t="s">
        <v>268</v>
      </c>
      <c r="C1251" s="111">
        <v>1500000000</v>
      </c>
    </row>
    <row r="1252" spans="1:3" x14ac:dyDescent="0.2">
      <c r="A1252" s="91" t="s">
        <v>547</v>
      </c>
      <c r="B1252" s="92" t="s">
        <v>268</v>
      </c>
      <c r="C1252" s="111">
        <v>886423933.5</v>
      </c>
    </row>
    <row r="1253" spans="1:3" x14ac:dyDescent="0.2">
      <c r="A1253" s="91" t="s">
        <v>540</v>
      </c>
      <c r="B1253" s="92" t="s">
        <v>538</v>
      </c>
      <c r="C1253" s="111">
        <v>438101726.48000002</v>
      </c>
    </row>
    <row r="1254" spans="1:3" x14ac:dyDescent="0.2">
      <c r="A1254" s="91" t="s">
        <v>308</v>
      </c>
      <c r="B1254" s="92" t="s">
        <v>222</v>
      </c>
      <c r="C1254" s="111">
        <v>332755349.35000002</v>
      </c>
    </row>
    <row r="1255" spans="1:3" x14ac:dyDescent="0.2">
      <c r="A1255" s="91" t="s">
        <v>338</v>
      </c>
      <c r="B1255" s="92" t="s">
        <v>222</v>
      </c>
      <c r="C1255" s="111">
        <v>59936532.399999999</v>
      </c>
    </row>
    <row r="1256" spans="1:3" x14ac:dyDescent="0.2">
      <c r="A1256" s="91" t="s">
        <v>180</v>
      </c>
      <c r="B1256" s="92" t="s">
        <v>222</v>
      </c>
      <c r="C1256" s="111">
        <v>19978844.100000001</v>
      </c>
    </row>
    <row r="1257" spans="1:3" x14ac:dyDescent="0.2">
      <c r="A1257" s="91" t="s">
        <v>396</v>
      </c>
      <c r="B1257" s="92" t="s">
        <v>222</v>
      </c>
      <c r="C1257" s="111">
        <v>78235294.099999994</v>
      </c>
    </row>
    <row r="1258" spans="1:3" x14ac:dyDescent="0.2">
      <c r="A1258" s="91" t="s">
        <v>685</v>
      </c>
      <c r="B1258" s="92" t="s">
        <v>222</v>
      </c>
      <c r="C1258" s="111">
        <v>95022599.579999998</v>
      </c>
    </row>
    <row r="1259" spans="1:3" x14ac:dyDescent="0.2">
      <c r="A1259" s="91" t="s">
        <v>972</v>
      </c>
      <c r="B1259" s="92" t="s">
        <v>222</v>
      </c>
      <c r="C1259" s="111">
        <v>105452408.38</v>
      </c>
    </row>
    <row r="1260" spans="1:3" x14ac:dyDescent="0.2">
      <c r="A1260" s="91" t="s">
        <v>1127</v>
      </c>
      <c r="B1260" s="92" t="s">
        <v>538</v>
      </c>
      <c r="C1260" s="111">
        <v>819000000</v>
      </c>
    </row>
    <row r="1261" spans="1:3" x14ac:dyDescent="0.2">
      <c r="A1261" s="91" t="s">
        <v>1381</v>
      </c>
      <c r="B1261" s="92" t="s">
        <v>222</v>
      </c>
      <c r="C1261" s="111">
        <v>540000000</v>
      </c>
    </row>
    <row r="1262" spans="1:3" x14ac:dyDescent="0.2">
      <c r="A1262" s="91" t="s">
        <v>1438</v>
      </c>
      <c r="B1262" s="92" t="s">
        <v>222</v>
      </c>
      <c r="C1262" s="111">
        <v>560000000</v>
      </c>
    </row>
    <row r="1263" spans="1:3" x14ac:dyDescent="0.2">
      <c r="A1263" s="91" t="s">
        <v>1453</v>
      </c>
      <c r="B1263" s="92" t="s">
        <v>222</v>
      </c>
      <c r="C1263" s="111">
        <v>1900000000</v>
      </c>
    </row>
    <row r="1264" spans="1:3" x14ac:dyDescent="0.2">
      <c r="A1264" s="91" t="s">
        <v>430</v>
      </c>
      <c r="B1264" s="92" t="s">
        <v>270</v>
      </c>
      <c r="C1264" s="111">
        <v>141764600</v>
      </c>
    </row>
    <row r="1265" spans="1:3" x14ac:dyDescent="0.2">
      <c r="A1265" s="91" t="s">
        <v>1559</v>
      </c>
      <c r="B1265" s="92" t="s">
        <v>270</v>
      </c>
      <c r="C1265" s="111">
        <v>141764600</v>
      </c>
    </row>
    <row r="1266" spans="1:3" x14ac:dyDescent="0.2">
      <c r="A1266" s="91" t="s">
        <v>694</v>
      </c>
      <c r="B1266" s="92" t="s">
        <v>222</v>
      </c>
      <c r="C1266" s="111">
        <v>30402313.32</v>
      </c>
    </row>
    <row r="1267" spans="1:3" x14ac:dyDescent="0.2">
      <c r="A1267" s="91" t="s">
        <v>695</v>
      </c>
      <c r="B1267" s="92" t="s">
        <v>222</v>
      </c>
      <c r="C1267" s="111">
        <v>10607958.289999999</v>
      </c>
    </row>
    <row r="1268" spans="1:3" x14ac:dyDescent="0.2">
      <c r="A1268" s="91" t="s">
        <v>1211</v>
      </c>
      <c r="B1268" s="92" t="s">
        <v>222</v>
      </c>
      <c r="C1268" s="111">
        <v>199797029.84</v>
      </c>
    </row>
    <row r="1269" spans="1:3" x14ac:dyDescent="0.2">
      <c r="A1269" s="91" t="s">
        <v>181</v>
      </c>
      <c r="B1269" s="92" t="s">
        <v>538</v>
      </c>
      <c r="C1269" s="111">
        <v>1886055682.72</v>
      </c>
    </row>
    <row r="1270" spans="1:3" x14ac:dyDescent="0.2">
      <c r="A1270" s="91" t="s">
        <v>527</v>
      </c>
      <c r="B1270" s="92" t="s">
        <v>268</v>
      </c>
      <c r="C1270" s="111">
        <v>65337638.890000001</v>
      </c>
    </row>
    <row r="1271" spans="1:3" x14ac:dyDescent="0.2">
      <c r="A1271" s="91" t="s">
        <v>528</v>
      </c>
      <c r="B1271" s="92" t="s">
        <v>268</v>
      </c>
      <c r="C1271" s="111">
        <v>99850297.469999999</v>
      </c>
    </row>
    <row r="1272" spans="1:3" x14ac:dyDescent="0.2">
      <c r="A1272" s="91" t="s">
        <v>1909</v>
      </c>
      <c r="B1272" s="92" t="s">
        <v>222</v>
      </c>
      <c r="C1272" s="111">
        <v>30000000</v>
      </c>
    </row>
    <row r="1273" spans="1:3" x14ac:dyDescent="0.2">
      <c r="A1273" s="91" t="s">
        <v>1964</v>
      </c>
      <c r="B1273" s="92" t="s">
        <v>222</v>
      </c>
      <c r="C1273" s="111">
        <v>70000000</v>
      </c>
    </row>
    <row r="1274" spans="1:3" x14ac:dyDescent="0.2">
      <c r="A1274" s="91" t="s">
        <v>323</v>
      </c>
      <c r="B1274" s="92" t="s">
        <v>222</v>
      </c>
      <c r="C1274" s="111">
        <v>148235294.09999999</v>
      </c>
    </row>
    <row r="1275" spans="1:3" x14ac:dyDescent="0.2">
      <c r="A1275" s="91" t="s">
        <v>736</v>
      </c>
      <c r="B1275" s="92" t="s">
        <v>222</v>
      </c>
      <c r="C1275" s="111">
        <v>197911986.80000001</v>
      </c>
    </row>
    <row r="1276" spans="1:3" x14ac:dyDescent="0.2">
      <c r="A1276" s="91" t="s">
        <v>934</v>
      </c>
      <c r="B1276" s="92" t="s">
        <v>222</v>
      </c>
      <c r="C1276" s="111">
        <v>82352941.180000007</v>
      </c>
    </row>
    <row r="1277" spans="1:3" x14ac:dyDescent="0.2">
      <c r="A1277" s="91" t="s">
        <v>1057</v>
      </c>
      <c r="B1277" s="92" t="s">
        <v>222</v>
      </c>
      <c r="C1277" s="111">
        <v>377777777.77999997</v>
      </c>
    </row>
    <row r="1278" spans="1:3" x14ac:dyDescent="0.2">
      <c r="A1278" s="91" t="s">
        <v>1892</v>
      </c>
      <c r="B1278" s="92" t="s">
        <v>222</v>
      </c>
      <c r="C1278" s="111">
        <v>182995387.34999999</v>
      </c>
    </row>
    <row r="1279" spans="1:3" x14ac:dyDescent="0.2">
      <c r="A1279" s="91" t="s">
        <v>1439</v>
      </c>
      <c r="B1279" s="92" t="s">
        <v>222</v>
      </c>
      <c r="C1279" s="111">
        <v>469365594.13</v>
      </c>
    </row>
    <row r="1280" spans="1:3" x14ac:dyDescent="0.2">
      <c r="A1280" s="91" t="s">
        <v>1830</v>
      </c>
      <c r="B1280" s="92" t="s">
        <v>222</v>
      </c>
      <c r="C1280" s="111">
        <v>659260303.58000004</v>
      </c>
    </row>
    <row r="1281" spans="1:3" x14ac:dyDescent="0.2">
      <c r="A1281" s="91" t="s">
        <v>1640</v>
      </c>
      <c r="B1281" s="92" t="s">
        <v>222</v>
      </c>
      <c r="C1281" s="111">
        <v>130969380.36</v>
      </c>
    </row>
    <row r="1282" spans="1:3" x14ac:dyDescent="0.2">
      <c r="A1282" s="91" t="s">
        <v>1914</v>
      </c>
      <c r="B1282" s="92" t="s">
        <v>222</v>
      </c>
      <c r="C1282" s="111">
        <v>130242839.95</v>
      </c>
    </row>
    <row r="1283" spans="1:3" x14ac:dyDescent="0.2">
      <c r="A1283" s="91" t="s">
        <v>46</v>
      </c>
      <c r="B1283" s="92" t="s">
        <v>268</v>
      </c>
      <c r="C1283" s="111">
        <v>1998000</v>
      </c>
    </row>
    <row r="1284" spans="1:3" x14ac:dyDescent="0.2">
      <c r="A1284" s="91" t="s">
        <v>47</v>
      </c>
      <c r="B1284" s="92" t="s">
        <v>268</v>
      </c>
      <c r="C1284" s="111">
        <v>51666683.5</v>
      </c>
    </row>
    <row r="1285" spans="1:3" x14ac:dyDescent="0.2">
      <c r="A1285" s="91" t="s">
        <v>1080</v>
      </c>
      <c r="B1285" s="92" t="s">
        <v>538</v>
      </c>
      <c r="C1285" s="111">
        <v>112651373.19</v>
      </c>
    </row>
    <row r="1286" spans="1:3" x14ac:dyDescent="0.2">
      <c r="A1286" s="91" t="s">
        <v>1082</v>
      </c>
      <c r="B1286" s="92" t="s">
        <v>538</v>
      </c>
      <c r="C1286" s="111">
        <v>1000</v>
      </c>
    </row>
    <row r="1287" spans="1:3" x14ac:dyDescent="0.2">
      <c r="A1287" s="91" t="s">
        <v>1049</v>
      </c>
      <c r="B1287" s="92" t="s">
        <v>538</v>
      </c>
      <c r="C1287" s="111">
        <v>56600000</v>
      </c>
    </row>
    <row r="1288" spans="1:3" x14ac:dyDescent="0.2">
      <c r="A1288" s="91" t="s">
        <v>253</v>
      </c>
      <c r="B1288" s="92" t="s">
        <v>538</v>
      </c>
      <c r="C1288" s="111">
        <v>4533572.45</v>
      </c>
    </row>
    <row r="1289" spans="1:3" x14ac:dyDescent="0.2">
      <c r="A1289" s="91" t="s">
        <v>254</v>
      </c>
      <c r="B1289" s="92" t="s">
        <v>538</v>
      </c>
      <c r="C1289" s="111">
        <v>6850072.6500000004</v>
      </c>
    </row>
    <row r="1290" spans="1:3" x14ac:dyDescent="0.2">
      <c r="A1290" s="91" t="s">
        <v>255</v>
      </c>
      <c r="B1290" s="92" t="s">
        <v>538</v>
      </c>
      <c r="C1290" s="111">
        <v>25002496.390000001</v>
      </c>
    </row>
    <row r="1291" spans="1:3" x14ac:dyDescent="0.2">
      <c r="A1291" s="91" t="s">
        <v>256</v>
      </c>
      <c r="B1291" s="92" t="s">
        <v>538</v>
      </c>
      <c r="C1291" s="111">
        <v>24650345.969999999</v>
      </c>
    </row>
    <row r="1292" spans="1:3" x14ac:dyDescent="0.2">
      <c r="A1292" s="91" t="s">
        <v>756</v>
      </c>
      <c r="B1292" s="92" t="s">
        <v>222</v>
      </c>
      <c r="C1292" s="111">
        <v>256100000</v>
      </c>
    </row>
    <row r="1293" spans="1:3" x14ac:dyDescent="0.2">
      <c r="A1293" s="91" t="s">
        <v>1128</v>
      </c>
      <c r="B1293" s="92" t="s">
        <v>222</v>
      </c>
      <c r="C1293" s="111">
        <v>3900000</v>
      </c>
    </row>
    <row r="1294" spans="1:3" x14ac:dyDescent="0.2">
      <c r="A1294" s="91" t="s">
        <v>802</v>
      </c>
      <c r="B1294" s="92" t="s">
        <v>222</v>
      </c>
      <c r="C1294" s="111">
        <v>7352664.8799999999</v>
      </c>
    </row>
    <row r="1295" spans="1:3" x14ac:dyDescent="0.2">
      <c r="A1295" s="91" t="s">
        <v>2005</v>
      </c>
      <c r="B1295" s="92" t="s">
        <v>222</v>
      </c>
      <c r="C1295" s="111">
        <v>100000000</v>
      </c>
    </row>
    <row r="1296" spans="1:3" x14ac:dyDescent="0.2">
      <c r="A1296" s="91" t="s">
        <v>4</v>
      </c>
      <c r="B1296" s="92" t="s">
        <v>538</v>
      </c>
      <c r="C1296" s="111">
        <v>34463243.829999998</v>
      </c>
    </row>
    <row r="1297" spans="1:3" x14ac:dyDescent="0.2">
      <c r="A1297" s="91" t="s">
        <v>352</v>
      </c>
      <c r="B1297" s="92" t="s">
        <v>538</v>
      </c>
      <c r="C1297" s="111">
        <v>4813166.66</v>
      </c>
    </row>
    <row r="1298" spans="1:3" x14ac:dyDescent="0.2">
      <c r="A1298" s="91" t="s">
        <v>422</v>
      </c>
      <c r="B1298" s="92" t="s">
        <v>268</v>
      </c>
      <c r="C1298" s="111">
        <v>3146656058.8600001</v>
      </c>
    </row>
    <row r="1299" spans="1:3" x14ac:dyDescent="0.2">
      <c r="A1299" s="91" t="s">
        <v>985</v>
      </c>
      <c r="B1299" s="92" t="s">
        <v>268</v>
      </c>
      <c r="C1299" s="111">
        <v>878343941.13999999</v>
      </c>
    </row>
    <row r="1300" spans="1:3" x14ac:dyDescent="0.2">
      <c r="A1300" s="91" t="s">
        <v>738</v>
      </c>
      <c r="B1300" s="92" t="s">
        <v>268</v>
      </c>
      <c r="C1300" s="111">
        <v>500000000</v>
      </c>
    </row>
    <row r="1301" spans="1:3" x14ac:dyDescent="0.2">
      <c r="A1301" s="91" t="s">
        <v>1325</v>
      </c>
      <c r="B1301" s="92" t="s">
        <v>268</v>
      </c>
      <c r="C1301" s="111">
        <v>764949590.54999995</v>
      </c>
    </row>
    <row r="1302" spans="1:3" x14ac:dyDescent="0.2">
      <c r="A1302" s="91" t="s">
        <v>1142</v>
      </c>
      <c r="B1302" s="92" t="s">
        <v>268</v>
      </c>
      <c r="C1302" s="111">
        <v>40223517</v>
      </c>
    </row>
    <row r="1303" spans="1:3" x14ac:dyDescent="0.2">
      <c r="A1303" s="91" t="s">
        <v>2060</v>
      </c>
      <c r="B1303" s="92" t="s">
        <v>268</v>
      </c>
      <c r="C1303" s="111">
        <v>9885935.3699999992</v>
      </c>
    </row>
    <row r="1304" spans="1:3" x14ac:dyDescent="0.2">
      <c r="A1304" s="91" t="s">
        <v>850</v>
      </c>
      <c r="B1304" s="92" t="s">
        <v>270</v>
      </c>
      <c r="C1304" s="111">
        <v>9669816.8000000007</v>
      </c>
    </row>
    <row r="1305" spans="1:3" x14ac:dyDescent="0.2">
      <c r="A1305" s="91" t="s">
        <v>853</v>
      </c>
      <c r="B1305" s="92" t="s">
        <v>270</v>
      </c>
      <c r="C1305" s="111">
        <v>234136000</v>
      </c>
    </row>
    <row r="1306" spans="1:3" x14ac:dyDescent="0.2">
      <c r="A1306" s="91" t="s">
        <v>758</v>
      </c>
      <c r="B1306" s="92" t="s">
        <v>268</v>
      </c>
      <c r="C1306" s="111">
        <v>297916666.70999998</v>
      </c>
    </row>
    <row r="1307" spans="1:3" x14ac:dyDescent="0.2">
      <c r="A1307" s="91" t="s">
        <v>1476</v>
      </c>
      <c r="B1307" s="92" t="s">
        <v>268</v>
      </c>
      <c r="C1307" s="111">
        <v>400000000</v>
      </c>
    </row>
    <row r="1308" spans="1:3" x14ac:dyDescent="0.2">
      <c r="A1308" s="91" t="s">
        <v>163</v>
      </c>
      <c r="B1308" s="92" t="s">
        <v>268</v>
      </c>
      <c r="C1308" s="111">
        <v>4000000000</v>
      </c>
    </row>
    <row r="1309" spans="1:3" x14ac:dyDescent="0.2">
      <c r="A1309" s="91" t="s">
        <v>1255</v>
      </c>
      <c r="B1309" s="92" t="s">
        <v>538</v>
      </c>
      <c r="C1309" s="111">
        <v>1530560500</v>
      </c>
    </row>
    <row r="1310" spans="1:3" x14ac:dyDescent="0.2">
      <c r="A1310" s="91" t="s">
        <v>2006</v>
      </c>
      <c r="B1310" s="92" t="s">
        <v>268</v>
      </c>
      <c r="C1310" s="111">
        <v>500000000</v>
      </c>
    </row>
    <row r="1311" spans="1:3" x14ac:dyDescent="0.2">
      <c r="A1311" s="91" t="s">
        <v>1831</v>
      </c>
      <c r="B1311" s="92" t="s">
        <v>268</v>
      </c>
      <c r="C1311" s="111">
        <v>500000000</v>
      </c>
    </row>
    <row r="1312" spans="1:3" x14ac:dyDescent="0.2">
      <c r="A1312" s="91" t="s">
        <v>2021</v>
      </c>
      <c r="B1312" s="92" t="s">
        <v>268</v>
      </c>
      <c r="C1312" s="111">
        <v>14175950483.58</v>
      </c>
    </row>
    <row r="1313" spans="1:3" x14ac:dyDescent="0.2">
      <c r="A1313" s="91" t="s">
        <v>2061</v>
      </c>
      <c r="B1313" s="92" t="s">
        <v>268</v>
      </c>
      <c r="C1313" s="111">
        <v>3040481533.8600001</v>
      </c>
    </row>
    <row r="1314" spans="1:3" x14ac:dyDescent="0.2">
      <c r="A1314" s="91" t="s">
        <v>1760</v>
      </c>
      <c r="B1314" s="92" t="s">
        <v>222</v>
      </c>
      <c r="C1314" s="111">
        <v>1012000000</v>
      </c>
    </row>
    <row r="1315" spans="1:3" x14ac:dyDescent="0.2">
      <c r="A1315" s="91" t="s">
        <v>1815</v>
      </c>
      <c r="B1315" s="92" t="s">
        <v>222</v>
      </c>
      <c r="C1315" s="111">
        <v>94892596.390000001</v>
      </c>
    </row>
    <row r="1316" spans="1:3" x14ac:dyDescent="0.2">
      <c r="A1316" s="91" t="s">
        <v>1641</v>
      </c>
      <c r="B1316" s="92" t="s">
        <v>222</v>
      </c>
      <c r="C1316" s="111">
        <v>265921900</v>
      </c>
    </row>
    <row r="1317" spans="1:3" x14ac:dyDescent="0.2">
      <c r="A1317" s="91" t="s">
        <v>741</v>
      </c>
      <c r="B1317" s="92" t="s">
        <v>268</v>
      </c>
      <c r="C1317" s="111">
        <v>486090783.38999999</v>
      </c>
    </row>
    <row r="1318" spans="1:3" x14ac:dyDescent="0.2">
      <c r="A1318" s="91" t="s">
        <v>13</v>
      </c>
      <c r="B1318" s="92" t="s">
        <v>268</v>
      </c>
      <c r="C1318" s="111">
        <v>7507500000</v>
      </c>
    </row>
    <row r="1319" spans="1:3" x14ac:dyDescent="0.2">
      <c r="A1319" s="91" t="s">
        <v>1050</v>
      </c>
      <c r="B1319" s="92" t="s">
        <v>268</v>
      </c>
      <c r="C1319" s="111">
        <v>1736516459.03</v>
      </c>
    </row>
    <row r="1320" spans="1:3" x14ac:dyDescent="0.2">
      <c r="A1320" s="91" t="s">
        <v>1184</v>
      </c>
      <c r="B1320" s="92" t="s">
        <v>268</v>
      </c>
      <c r="C1320" s="111">
        <v>22005349.449999999</v>
      </c>
    </row>
    <row r="1321" spans="1:3" x14ac:dyDescent="0.2">
      <c r="A1321" s="91" t="s">
        <v>1175</v>
      </c>
      <c r="B1321" s="92" t="s">
        <v>268</v>
      </c>
      <c r="C1321" s="111">
        <v>78018966.280000001</v>
      </c>
    </row>
    <row r="1322" spans="1:3" x14ac:dyDescent="0.2">
      <c r="A1322" s="91" t="s">
        <v>981</v>
      </c>
      <c r="B1322" s="92" t="s">
        <v>268</v>
      </c>
      <c r="C1322" s="111">
        <v>79787536786.759995</v>
      </c>
    </row>
    <row r="1323" spans="1:3" x14ac:dyDescent="0.2">
      <c r="A1323" s="91" t="s">
        <v>1727</v>
      </c>
      <c r="B1323" s="92" t="s">
        <v>268</v>
      </c>
      <c r="C1323" s="111">
        <v>94737150000</v>
      </c>
    </row>
    <row r="1324" spans="1:3" x14ac:dyDescent="0.2">
      <c r="A1324" s="91" t="s">
        <v>990</v>
      </c>
      <c r="B1324" s="92" t="s">
        <v>268</v>
      </c>
      <c r="C1324" s="111">
        <v>1499999999.99</v>
      </c>
    </row>
    <row r="1325" spans="1:3" x14ac:dyDescent="0.2">
      <c r="A1325" s="91" t="s">
        <v>1088</v>
      </c>
      <c r="B1325" s="92" t="s">
        <v>268</v>
      </c>
      <c r="C1325" s="111">
        <v>1000000000</v>
      </c>
    </row>
    <row r="1326" spans="1:3" x14ac:dyDescent="0.2">
      <c r="A1326" s="91" t="s">
        <v>98</v>
      </c>
      <c r="B1326" s="92" t="s">
        <v>222</v>
      </c>
      <c r="C1326" s="111">
        <v>660694444.64999998</v>
      </c>
    </row>
    <row r="1327" spans="1:3" x14ac:dyDescent="0.2">
      <c r="A1327" s="91" t="s">
        <v>1300</v>
      </c>
      <c r="B1327" s="92" t="s">
        <v>222</v>
      </c>
      <c r="C1327" s="111">
        <v>180722891.59999999</v>
      </c>
    </row>
    <row r="1328" spans="1:3" x14ac:dyDescent="0.2">
      <c r="A1328" s="91" t="s">
        <v>858</v>
      </c>
      <c r="B1328" s="92" t="s">
        <v>268</v>
      </c>
      <c r="C1328" s="111">
        <v>10200000000</v>
      </c>
    </row>
    <row r="1329" spans="1:3" x14ac:dyDescent="0.2">
      <c r="A1329" s="91" t="s">
        <v>1304</v>
      </c>
      <c r="B1329" s="92" t="s">
        <v>268</v>
      </c>
      <c r="C1329" s="111">
        <v>939059045.67999995</v>
      </c>
    </row>
    <row r="1330" spans="1:3" x14ac:dyDescent="0.2">
      <c r="A1330" s="91" t="s">
        <v>1276</v>
      </c>
      <c r="B1330" s="92" t="s">
        <v>268</v>
      </c>
      <c r="C1330" s="111">
        <v>681133747.21000004</v>
      </c>
    </row>
    <row r="1331" spans="1:3" x14ac:dyDescent="0.2">
      <c r="A1331" s="91" t="s">
        <v>431</v>
      </c>
      <c r="B1331" s="92" t="s">
        <v>268</v>
      </c>
      <c r="C1331" s="111">
        <v>1431670827.8599999</v>
      </c>
    </row>
    <row r="1332" spans="1:3" x14ac:dyDescent="0.2">
      <c r="A1332" s="91" t="s">
        <v>754</v>
      </c>
      <c r="B1332" s="92" t="s">
        <v>222</v>
      </c>
      <c r="C1332" s="111">
        <v>1582336121.9000001</v>
      </c>
    </row>
    <row r="1333" spans="1:3" x14ac:dyDescent="0.2">
      <c r="A1333" s="91" t="s">
        <v>590</v>
      </c>
      <c r="B1333" s="92" t="s">
        <v>268</v>
      </c>
      <c r="C1333" s="111">
        <v>37894860000</v>
      </c>
    </row>
    <row r="1334" spans="1:3" x14ac:dyDescent="0.2">
      <c r="A1334" s="91" t="s">
        <v>819</v>
      </c>
      <c r="B1334" s="92" t="s">
        <v>268</v>
      </c>
      <c r="C1334" s="111">
        <v>41052765000</v>
      </c>
    </row>
    <row r="1335" spans="1:3" x14ac:dyDescent="0.2">
      <c r="A1335" s="91" t="s">
        <v>307</v>
      </c>
      <c r="B1335" s="92" t="s">
        <v>538</v>
      </c>
      <c r="C1335" s="111">
        <v>150000000</v>
      </c>
    </row>
    <row r="1336" spans="1:3" x14ac:dyDescent="0.2">
      <c r="A1336" s="91" t="s">
        <v>147</v>
      </c>
      <c r="B1336" s="92" t="s">
        <v>268</v>
      </c>
      <c r="C1336" s="111">
        <v>5600577775.9200001</v>
      </c>
    </row>
    <row r="1337" spans="1:3" x14ac:dyDescent="0.2">
      <c r="A1337" s="91" t="s">
        <v>311</v>
      </c>
      <c r="B1337" s="92" t="s">
        <v>538</v>
      </c>
      <c r="C1337" s="111">
        <v>170000000</v>
      </c>
    </row>
    <row r="1338" spans="1:3" x14ac:dyDescent="0.2">
      <c r="A1338" s="91" t="s">
        <v>306</v>
      </c>
      <c r="B1338" s="92" t="s">
        <v>538</v>
      </c>
      <c r="C1338" s="111">
        <v>150000000</v>
      </c>
    </row>
    <row r="1339" spans="1:3" x14ac:dyDescent="0.2">
      <c r="A1339" s="91" t="s">
        <v>129</v>
      </c>
      <c r="B1339" s="92" t="s">
        <v>222</v>
      </c>
      <c r="C1339" s="111">
        <v>581395348.89999998</v>
      </c>
    </row>
    <row r="1340" spans="1:3" x14ac:dyDescent="0.2">
      <c r="A1340" s="91" t="s">
        <v>1528</v>
      </c>
      <c r="B1340" s="92" t="s">
        <v>268</v>
      </c>
      <c r="C1340" s="111">
        <v>200000000</v>
      </c>
    </row>
    <row r="1341" spans="1:3" x14ac:dyDescent="0.2">
      <c r="A1341" s="91" t="s">
        <v>401</v>
      </c>
      <c r="B1341" s="92" t="s">
        <v>268</v>
      </c>
      <c r="C1341" s="111">
        <v>1123195211.0699999</v>
      </c>
    </row>
    <row r="1342" spans="1:3" x14ac:dyDescent="0.2">
      <c r="A1342" s="91" t="s">
        <v>1253</v>
      </c>
      <c r="B1342" s="92" t="s">
        <v>268</v>
      </c>
      <c r="C1342" s="111">
        <v>784564654.55999994</v>
      </c>
    </row>
    <row r="1343" spans="1:3" x14ac:dyDescent="0.2">
      <c r="A1343" s="91" t="s">
        <v>1202</v>
      </c>
      <c r="B1343" s="92" t="s">
        <v>268</v>
      </c>
      <c r="C1343" s="111">
        <v>10566098.84</v>
      </c>
    </row>
    <row r="1344" spans="1:3" x14ac:dyDescent="0.2">
      <c r="A1344" s="91" t="s">
        <v>1203</v>
      </c>
      <c r="B1344" s="92" t="s">
        <v>268</v>
      </c>
      <c r="C1344" s="111">
        <v>787339524.60000002</v>
      </c>
    </row>
    <row r="1345" spans="1:3" x14ac:dyDescent="0.2">
      <c r="A1345" s="91" t="s">
        <v>1293</v>
      </c>
      <c r="B1345" s="92" t="s">
        <v>268</v>
      </c>
      <c r="C1345" s="111">
        <v>25579030500</v>
      </c>
    </row>
    <row r="1346" spans="1:3" x14ac:dyDescent="0.2">
      <c r="A1346" s="91" t="s">
        <v>1778</v>
      </c>
      <c r="B1346" s="92" t="s">
        <v>268</v>
      </c>
      <c r="C1346" s="111">
        <v>26123848961.369999</v>
      </c>
    </row>
    <row r="1347" spans="1:3" x14ac:dyDescent="0.2">
      <c r="A1347" s="91" t="s">
        <v>1110</v>
      </c>
      <c r="B1347" s="92" t="s">
        <v>538</v>
      </c>
      <c r="C1347" s="111">
        <v>400000000</v>
      </c>
    </row>
    <row r="1348" spans="1:3" x14ac:dyDescent="0.2">
      <c r="A1348" s="91" t="s">
        <v>1176</v>
      </c>
      <c r="B1348" s="92" t="s">
        <v>222</v>
      </c>
      <c r="C1348" s="111">
        <v>198000000</v>
      </c>
    </row>
    <row r="1349" spans="1:3" x14ac:dyDescent="0.2">
      <c r="A1349" s="91" t="s">
        <v>1218</v>
      </c>
      <c r="B1349" s="92" t="s">
        <v>222</v>
      </c>
      <c r="C1349" s="111">
        <v>800000000</v>
      </c>
    </row>
    <row r="1350" spans="1:3" x14ac:dyDescent="0.2">
      <c r="A1350" s="91" t="s">
        <v>1488</v>
      </c>
      <c r="B1350" s="92" t="s">
        <v>268</v>
      </c>
      <c r="C1350" s="111">
        <v>500000000</v>
      </c>
    </row>
    <row r="1351" spans="1:3" x14ac:dyDescent="0.2">
      <c r="A1351" s="91" t="s">
        <v>1503</v>
      </c>
      <c r="B1351" s="92" t="s">
        <v>268</v>
      </c>
      <c r="C1351" s="111">
        <v>658474576.25</v>
      </c>
    </row>
    <row r="1352" spans="1:3" x14ac:dyDescent="0.2">
      <c r="A1352" s="91" t="s">
        <v>1219</v>
      </c>
      <c r="B1352" s="92" t="s">
        <v>222</v>
      </c>
      <c r="C1352" s="111">
        <v>105900000</v>
      </c>
    </row>
    <row r="1353" spans="1:3" x14ac:dyDescent="0.2">
      <c r="A1353" s="91" t="s">
        <v>1271</v>
      </c>
      <c r="B1353" s="92" t="s">
        <v>222</v>
      </c>
      <c r="C1353" s="111">
        <v>200000000</v>
      </c>
    </row>
    <row r="1354" spans="1:3" x14ac:dyDescent="0.2">
      <c r="A1354" s="91" t="s">
        <v>1268</v>
      </c>
      <c r="B1354" s="92" t="s">
        <v>222</v>
      </c>
      <c r="C1354" s="111">
        <v>8000000</v>
      </c>
    </row>
    <row r="1355" spans="1:3" x14ac:dyDescent="0.2">
      <c r="A1355" s="91" t="s">
        <v>1445</v>
      </c>
      <c r="B1355" s="92" t="s">
        <v>268</v>
      </c>
      <c r="C1355" s="111">
        <v>88429859077.160004</v>
      </c>
    </row>
    <row r="1356" spans="1:3" x14ac:dyDescent="0.2">
      <c r="A1356" s="91" t="s">
        <v>895</v>
      </c>
      <c r="B1356" s="92" t="s">
        <v>268</v>
      </c>
      <c r="C1356" s="111">
        <v>23000000000</v>
      </c>
    </row>
    <row r="1357" spans="1:3" x14ac:dyDescent="0.2">
      <c r="A1357" s="91" t="s">
        <v>896</v>
      </c>
      <c r="B1357" s="92" t="s">
        <v>268</v>
      </c>
      <c r="C1357" s="111">
        <v>10000000000</v>
      </c>
    </row>
    <row r="1358" spans="1:3" x14ac:dyDescent="0.2">
      <c r="A1358" s="91" t="s">
        <v>1183</v>
      </c>
      <c r="B1358" s="92" t="s">
        <v>268</v>
      </c>
      <c r="C1358" s="111">
        <v>6400000000</v>
      </c>
    </row>
    <row r="1359" spans="1:3" x14ac:dyDescent="0.2">
      <c r="A1359" s="91" t="s">
        <v>947</v>
      </c>
      <c r="B1359" s="92" t="s">
        <v>268</v>
      </c>
      <c r="C1359" s="111">
        <v>3600000000</v>
      </c>
    </row>
    <row r="1360" spans="1:3" x14ac:dyDescent="0.2">
      <c r="A1360" s="91" t="s">
        <v>1333</v>
      </c>
      <c r="B1360" s="92" t="s">
        <v>268</v>
      </c>
      <c r="C1360" s="111">
        <v>10000000000</v>
      </c>
    </row>
    <row r="1361" spans="1:3" x14ac:dyDescent="0.2">
      <c r="A1361" s="91" t="s">
        <v>1728</v>
      </c>
      <c r="B1361" s="92" t="s">
        <v>268</v>
      </c>
      <c r="C1361" s="111">
        <v>1345000000</v>
      </c>
    </row>
    <row r="1362" spans="1:3" x14ac:dyDescent="0.2">
      <c r="A1362" s="91" t="s">
        <v>725</v>
      </c>
      <c r="B1362" s="92" t="s">
        <v>268</v>
      </c>
      <c r="C1362" s="111">
        <v>23871383771.220001</v>
      </c>
    </row>
    <row r="1363" spans="1:3" x14ac:dyDescent="0.2">
      <c r="A1363" s="91" t="s">
        <v>492</v>
      </c>
      <c r="B1363" s="92" t="s">
        <v>222</v>
      </c>
      <c r="C1363" s="111">
        <v>166666666.69</v>
      </c>
    </row>
    <row r="1364" spans="1:3" x14ac:dyDescent="0.2">
      <c r="A1364" s="91" t="s">
        <v>650</v>
      </c>
      <c r="B1364" s="92" t="s">
        <v>222</v>
      </c>
      <c r="C1364" s="111">
        <v>128378378.31999999</v>
      </c>
    </row>
    <row r="1365" spans="1:3" x14ac:dyDescent="0.2">
      <c r="A1365" s="91" t="s">
        <v>427</v>
      </c>
      <c r="B1365" s="92" t="s">
        <v>268</v>
      </c>
      <c r="C1365" s="111">
        <v>1433000000</v>
      </c>
    </row>
    <row r="1366" spans="1:3" x14ac:dyDescent="0.2">
      <c r="A1366" s="91" t="s">
        <v>428</v>
      </c>
      <c r="B1366" s="92" t="s">
        <v>268</v>
      </c>
      <c r="C1366" s="111">
        <v>2256761513.3200002</v>
      </c>
    </row>
    <row r="1367" spans="1:3" x14ac:dyDescent="0.2">
      <c r="A1367" s="91" t="s">
        <v>522</v>
      </c>
      <c r="B1367" s="92" t="s">
        <v>222</v>
      </c>
      <c r="C1367" s="111">
        <v>87011423.189999998</v>
      </c>
    </row>
    <row r="1368" spans="1:3" x14ac:dyDescent="0.2">
      <c r="A1368" s="91" t="s">
        <v>493</v>
      </c>
      <c r="B1368" s="92" t="s">
        <v>222</v>
      </c>
      <c r="C1368" s="111">
        <v>21389830.940000001</v>
      </c>
    </row>
    <row r="1369" spans="1:3" x14ac:dyDescent="0.2">
      <c r="A1369" s="91" t="s">
        <v>523</v>
      </c>
      <c r="B1369" s="92" t="s">
        <v>222</v>
      </c>
      <c r="C1369" s="111">
        <v>70627925.959999993</v>
      </c>
    </row>
    <row r="1370" spans="1:3" x14ac:dyDescent="0.2">
      <c r="A1370" s="91" t="s">
        <v>686</v>
      </c>
      <c r="B1370" s="92" t="s">
        <v>222</v>
      </c>
      <c r="C1370" s="111">
        <v>102148148.09999999</v>
      </c>
    </row>
    <row r="1371" spans="1:3" x14ac:dyDescent="0.2">
      <c r="A1371" s="91" t="s">
        <v>636</v>
      </c>
      <c r="B1371" s="92" t="s">
        <v>268</v>
      </c>
      <c r="C1371" s="111">
        <v>269679111.44</v>
      </c>
    </row>
    <row r="1372" spans="1:3" x14ac:dyDescent="0.2">
      <c r="A1372" s="91" t="s">
        <v>755</v>
      </c>
      <c r="B1372" s="92" t="s">
        <v>268</v>
      </c>
      <c r="C1372" s="111">
        <v>10119965.48</v>
      </c>
    </row>
    <row r="1373" spans="1:3" x14ac:dyDescent="0.2">
      <c r="A1373" s="91" t="s">
        <v>653</v>
      </c>
      <c r="B1373" s="92" t="s">
        <v>268</v>
      </c>
      <c r="C1373" s="111">
        <v>869664431.54999995</v>
      </c>
    </row>
    <row r="1374" spans="1:3" x14ac:dyDescent="0.2">
      <c r="A1374" s="91" t="s">
        <v>801</v>
      </c>
      <c r="B1374" s="92" t="s">
        <v>268</v>
      </c>
      <c r="C1374" s="111">
        <v>40644066.149999999</v>
      </c>
    </row>
    <row r="1375" spans="1:3" x14ac:dyDescent="0.2">
      <c r="A1375" s="91" t="s">
        <v>1083</v>
      </c>
      <c r="B1375" s="92" t="s">
        <v>268</v>
      </c>
      <c r="C1375" s="111">
        <v>1013490139.1</v>
      </c>
    </row>
    <row r="1376" spans="1:3" x14ac:dyDescent="0.2">
      <c r="A1376" s="91" t="s">
        <v>1042</v>
      </c>
      <c r="B1376" s="92" t="s">
        <v>268</v>
      </c>
      <c r="C1376" s="111">
        <v>760117603.22000003</v>
      </c>
    </row>
    <row r="1377" spans="1:3" x14ac:dyDescent="0.2">
      <c r="A1377" s="91" t="s">
        <v>633</v>
      </c>
      <c r="B1377" s="92" t="s">
        <v>268</v>
      </c>
      <c r="C1377" s="111">
        <v>1069754243.22</v>
      </c>
    </row>
    <row r="1378" spans="1:3" x14ac:dyDescent="0.2">
      <c r="A1378" s="91" t="s">
        <v>1424</v>
      </c>
      <c r="B1378" s="92" t="s">
        <v>268</v>
      </c>
      <c r="C1378" s="111">
        <v>45819568.280000001</v>
      </c>
    </row>
    <row r="1379" spans="1:3" x14ac:dyDescent="0.2">
      <c r="A1379" s="91" t="s">
        <v>1423</v>
      </c>
      <c r="B1379" s="92" t="s">
        <v>268</v>
      </c>
      <c r="C1379" s="111">
        <v>68775856.359999999</v>
      </c>
    </row>
    <row r="1380" spans="1:3" x14ac:dyDescent="0.2">
      <c r="A1380" s="91" t="s">
        <v>1385</v>
      </c>
      <c r="B1380" s="92" t="s">
        <v>268</v>
      </c>
      <c r="C1380" s="111">
        <v>51581893.539999999</v>
      </c>
    </row>
    <row r="1381" spans="1:3" x14ac:dyDescent="0.2">
      <c r="A1381" s="91" t="s">
        <v>1020</v>
      </c>
      <c r="B1381" s="92" t="s">
        <v>268</v>
      </c>
      <c r="C1381" s="111">
        <v>293294838.47000003</v>
      </c>
    </row>
    <row r="1382" spans="1:3" x14ac:dyDescent="0.2">
      <c r="A1382" s="91" t="s">
        <v>1383</v>
      </c>
      <c r="B1382" s="92" t="s">
        <v>268</v>
      </c>
      <c r="C1382" s="111">
        <v>17366945.920000002</v>
      </c>
    </row>
    <row r="1383" spans="1:3" x14ac:dyDescent="0.2">
      <c r="A1383" s="91" t="s">
        <v>1044</v>
      </c>
      <c r="B1383" s="92" t="s">
        <v>268</v>
      </c>
      <c r="C1383" s="111">
        <v>754422485.75999999</v>
      </c>
    </row>
    <row r="1384" spans="1:3" x14ac:dyDescent="0.2">
      <c r="A1384" s="91" t="s">
        <v>1386</v>
      </c>
      <c r="B1384" s="92" t="s">
        <v>268</v>
      </c>
      <c r="C1384" s="111">
        <v>28559645.66</v>
      </c>
    </row>
    <row r="1385" spans="1:3" x14ac:dyDescent="0.2">
      <c r="A1385" s="91" t="s">
        <v>1405</v>
      </c>
      <c r="B1385" s="92" t="s">
        <v>222</v>
      </c>
      <c r="C1385" s="111">
        <v>141492364</v>
      </c>
    </row>
    <row r="1386" spans="1:3" x14ac:dyDescent="0.2">
      <c r="A1386" s="91" t="s">
        <v>406</v>
      </c>
      <c r="B1386" s="92" t="s">
        <v>222</v>
      </c>
      <c r="C1386" s="111">
        <v>242558347.78999999</v>
      </c>
    </row>
    <row r="1387" spans="1:3" x14ac:dyDescent="0.2">
      <c r="A1387" s="91" t="s">
        <v>1417</v>
      </c>
      <c r="B1387" s="92" t="s">
        <v>222</v>
      </c>
      <c r="C1387" s="111">
        <v>24710000</v>
      </c>
    </row>
    <row r="1388" spans="1:3" x14ac:dyDescent="0.2">
      <c r="A1388" s="91" t="s">
        <v>494</v>
      </c>
      <c r="B1388" s="92" t="s">
        <v>222</v>
      </c>
      <c r="C1388" s="111">
        <v>109405000</v>
      </c>
    </row>
    <row r="1389" spans="1:3" x14ac:dyDescent="0.2">
      <c r="A1389" s="91" t="s">
        <v>1409</v>
      </c>
      <c r="B1389" s="92" t="s">
        <v>222</v>
      </c>
      <c r="C1389" s="111">
        <v>35000000</v>
      </c>
    </row>
    <row r="1390" spans="1:3" x14ac:dyDescent="0.2">
      <c r="A1390" s="91" t="s">
        <v>591</v>
      </c>
      <c r="B1390" s="92" t="s">
        <v>222</v>
      </c>
      <c r="C1390" s="111">
        <v>65000000</v>
      </c>
    </row>
    <row r="1391" spans="1:3" x14ac:dyDescent="0.2">
      <c r="A1391" s="91" t="s">
        <v>1414</v>
      </c>
      <c r="B1391" s="92" t="s">
        <v>222</v>
      </c>
      <c r="C1391" s="111">
        <v>32942000</v>
      </c>
    </row>
    <row r="1392" spans="1:3" x14ac:dyDescent="0.2">
      <c r="A1392" s="91" t="s">
        <v>592</v>
      </c>
      <c r="B1392" s="92" t="s">
        <v>222</v>
      </c>
      <c r="C1392" s="111">
        <v>159999000</v>
      </c>
    </row>
    <row r="1393" spans="1:3" x14ac:dyDescent="0.2">
      <c r="A1393" s="91" t="s">
        <v>1421</v>
      </c>
      <c r="B1393" s="92" t="s">
        <v>222</v>
      </c>
      <c r="C1393" s="111">
        <v>51333333</v>
      </c>
    </row>
    <row r="1394" spans="1:3" x14ac:dyDescent="0.2">
      <c r="A1394" s="91" t="s">
        <v>597</v>
      </c>
      <c r="B1394" s="92" t="s">
        <v>222</v>
      </c>
      <c r="C1394" s="111">
        <v>95333334.200000003</v>
      </c>
    </row>
    <row r="1395" spans="1:3" x14ac:dyDescent="0.2">
      <c r="A1395" s="91" t="s">
        <v>598</v>
      </c>
      <c r="B1395" s="92" t="s">
        <v>222</v>
      </c>
      <c r="C1395" s="111">
        <v>43333334.200000003</v>
      </c>
    </row>
    <row r="1396" spans="1:3" x14ac:dyDescent="0.2">
      <c r="A1396" s="91" t="s">
        <v>1410</v>
      </c>
      <c r="B1396" s="92" t="s">
        <v>222</v>
      </c>
      <c r="C1396" s="111">
        <v>23333333</v>
      </c>
    </row>
    <row r="1397" spans="1:3" x14ac:dyDescent="0.2">
      <c r="A1397" s="91" t="s">
        <v>599</v>
      </c>
      <c r="B1397" s="92" t="s">
        <v>222</v>
      </c>
      <c r="C1397" s="111">
        <v>27421333.359999999</v>
      </c>
    </row>
    <row r="1398" spans="1:3" x14ac:dyDescent="0.2">
      <c r="A1398" s="91" t="s">
        <v>1422</v>
      </c>
      <c r="B1398" s="92" t="s">
        <v>222</v>
      </c>
      <c r="C1398" s="111">
        <v>14765333.32</v>
      </c>
    </row>
    <row r="1399" spans="1:3" x14ac:dyDescent="0.2">
      <c r="A1399" s="91" t="s">
        <v>1420</v>
      </c>
      <c r="B1399" s="92" t="s">
        <v>222</v>
      </c>
      <c r="C1399" s="111">
        <v>90400000</v>
      </c>
    </row>
    <row r="1400" spans="1:3" x14ac:dyDescent="0.2">
      <c r="A1400" s="91" t="s">
        <v>715</v>
      </c>
      <c r="B1400" s="92" t="s">
        <v>222</v>
      </c>
      <c r="C1400" s="111">
        <v>499600000</v>
      </c>
    </row>
    <row r="1401" spans="1:3" x14ac:dyDescent="0.2">
      <c r="A1401" s="91" t="s">
        <v>720</v>
      </c>
      <c r="B1401" s="92" t="s">
        <v>222</v>
      </c>
      <c r="C1401" s="111">
        <v>127200000</v>
      </c>
    </row>
    <row r="1402" spans="1:3" x14ac:dyDescent="0.2">
      <c r="A1402" s="91" t="s">
        <v>1406</v>
      </c>
      <c r="B1402" s="92" t="s">
        <v>222</v>
      </c>
      <c r="C1402" s="111">
        <v>22800000</v>
      </c>
    </row>
    <row r="1403" spans="1:3" x14ac:dyDescent="0.2">
      <c r="A1403" s="91" t="s">
        <v>1413</v>
      </c>
      <c r="B1403" s="92" t="s">
        <v>222</v>
      </c>
      <c r="C1403" s="111">
        <v>30720000</v>
      </c>
    </row>
    <row r="1404" spans="1:3" x14ac:dyDescent="0.2">
      <c r="A1404" s="91" t="s">
        <v>721</v>
      </c>
      <c r="B1404" s="92" t="s">
        <v>222</v>
      </c>
      <c r="C1404" s="111">
        <v>169280000</v>
      </c>
    </row>
    <row r="1405" spans="1:3" x14ac:dyDescent="0.2">
      <c r="A1405" s="91" t="s">
        <v>723</v>
      </c>
      <c r="B1405" s="92" t="s">
        <v>222</v>
      </c>
      <c r="C1405" s="111">
        <v>50800000</v>
      </c>
    </row>
    <row r="1406" spans="1:3" x14ac:dyDescent="0.2">
      <c r="A1406" s="91" t="s">
        <v>1418</v>
      </c>
      <c r="B1406" s="92" t="s">
        <v>222</v>
      </c>
      <c r="C1406" s="111">
        <v>9200000</v>
      </c>
    </row>
    <row r="1407" spans="1:3" x14ac:dyDescent="0.2">
      <c r="A1407" s="91" t="s">
        <v>842</v>
      </c>
      <c r="B1407" s="92" t="s">
        <v>222</v>
      </c>
      <c r="C1407" s="111">
        <v>120266666.7</v>
      </c>
    </row>
    <row r="1408" spans="1:3" x14ac:dyDescent="0.2">
      <c r="A1408" s="91" t="s">
        <v>1404</v>
      </c>
      <c r="B1408" s="92" t="s">
        <v>222</v>
      </c>
      <c r="C1408" s="111">
        <v>41066666.640000001</v>
      </c>
    </row>
    <row r="1409" spans="1:3" x14ac:dyDescent="0.2">
      <c r="A1409" s="91" t="s">
        <v>405</v>
      </c>
      <c r="B1409" s="92" t="s">
        <v>222</v>
      </c>
      <c r="C1409" s="111">
        <v>12780000</v>
      </c>
    </row>
    <row r="1410" spans="1:3" x14ac:dyDescent="0.2">
      <c r="A1410" s="91" t="s">
        <v>1411</v>
      </c>
      <c r="B1410" s="92" t="s">
        <v>222</v>
      </c>
      <c r="C1410" s="111">
        <v>7455000</v>
      </c>
    </row>
    <row r="1411" spans="1:3" x14ac:dyDescent="0.2">
      <c r="A1411" s="91" t="s">
        <v>1419</v>
      </c>
      <c r="B1411" s="92" t="s">
        <v>222</v>
      </c>
      <c r="C1411" s="111">
        <v>21424228</v>
      </c>
    </row>
    <row r="1412" spans="1:3" x14ac:dyDescent="0.2">
      <c r="A1412" s="91" t="s">
        <v>404</v>
      </c>
      <c r="B1412" s="92" t="s">
        <v>222</v>
      </c>
      <c r="C1412" s="111">
        <v>36727251.859999999</v>
      </c>
    </row>
    <row r="1413" spans="1:3" x14ac:dyDescent="0.2">
      <c r="A1413" s="91" t="s">
        <v>1408</v>
      </c>
      <c r="B1413" s="92" t="s">
        <v>222</v>
      </c>
      <c r="C1413" s="111">
        <v>16471000</v>
      </c>
    </row>
    <row r="1414" spans="1:3" x14ac:dyDescent="0.2">
      <c r="A1414" s="91" t="s">
        <v>593</v>
      </c>
      <c r="B1414" s="92" t="s">
        <v>222</v>
      </c>
      <c r="C1414" s="111">
        <v>79999500</v>
      </c>
    </row>
    <row r="1415" spans="1:3" x14ac:dyDescent="0.2">
      <c r="A1415" s="91" t="s">
        <v>1343</v>
      </c>
      <c r="B1415" s="92" t="s">
        <v>222</v>
      </c>
      <c r="C1415" s="111">
        <v>108400000</v>
      </c>
    </row>
    <row r="1416" spans="1:3" x14ac:dyDescent="0.2">
      <c r="A1416" s="91" t="s">
        <v>1344</v>
      </c>
      <c r="B1416" s="92" t="s">
        <v>222</v>
      </c>
      <c r="C1416" s="111">
        <v>42500000</v>
      </c>
    </row>
    <row r="1417" spans="1:3" x14ac:dyDescent="0.2">
      <c r="A1417" s="91" t="s">
        <v>1415</v>
      </c>
      <c r="B1417" s="92" t="s">
        <v>222</v>
      </c>
      <c r="C1417" s="111">
        <v>12355000</v>
      </c>
    </row>
    <row r="1418" spans="1:3" x14ac:dyDescent="0.2">
      <c r="A1418" s="91" t="s">
        <v>594</v>
      </c>
      <c r="B1418" s="92" t="s">
        <v>222</v>
      </c>
      <c r="C1418" s="111">
        <v>59997500</v>
      </c>
    </row>
    <row r="1419" spans="1:3" x14ac:dyDescent="0.2">
      <c r="A1419" s="91" t="s">
        <v>403</v>
      </c>
      <c r="B1419" s="92" t="s">
        <v>222</v>
      </c>
      <c r="C1419" s="111">
        <v>6808697.0300000003</v>
      </c>
    </row>
    <row r="1420" spans="1:3" x14ac:dyDescent="0.2">
      <c r="A1420" s="91" t="s">
        <v>1412</v>
      </c>
      <c r="B1420" s="92" t="s">
        <v>222</v>
      </c>
      <c r="C1420" s="111">
        <v>3971738</v>
      </c>
    </row>
    <row r="1421" spans="1:3" x14ac:dyDescent="0.2">
      <c r="A1421" s="91" t="s">
        <v>1416</v>
      </c>
      <c r="B1421" s="92" t="s">
        <v>222</v>
      </c>
      <c r="C1421" s="111">
        <v>12355000</v>
      </c>
    </row>
    <row r="1422" spans="1:3" x14ac:dyDescent="0.2">
      <c r="A1422" s="91" t="s">
        <v>595</v>
      </c>
      <c r="B1422" s="92" t="s">
        <v>222</v>
      </c>
      <c r="C1422" s="111">
        <v>59997500</v>
      </c>
    </row>
    <row r="1423" spans="1:3" x14ac:dyDescent="0.2">
      <c r="A1423" s="91" t="s">
        <v>1446</v>
      </c>
      <c r="B1423" s="92" t="s">
        <v>273</v>
      </c>
      <c r="C1423" s="111">
        <v>380349.85</v>
      </c>
    </row>
    <row r="1424" spans="1:3" x14ac:dyDescent="0.2">
      <c r="A1424" s="91" t="s">
        <v>991</v>
      </c>
      <c r="B1424" s="92" t="s">
        <v>268</v>
      </c>
      <c r="C1424" s="111">
        <v>320000000</v>
      </c>
    </row>
    <row r="1425" spans="1:3" x14ac:dyDescent="0.2">
      <c r="A1425" s="91" t="s">
        <v>747</v>
      </c>
      <c r="B1425" s="92" t="s">
        <v>268</v>
      </c>
      <c r="C1425" s="111">
        <v>1738953179.1600001</v>
      </c>
    </row>
    <row r="1426" spans="1:3" x14ac:dyDescent="0.2">
      <c r="A1426" s="91" t="s">
        <v>1762</v>
      </c>
      <c r="B1426" s="92" t="s">
        <v>222</v>
      </c>
      <c r="C1426" s="111">
        <v>50000000</v>
      </c>
    </row>
    <row r="1427" spans="1:3" x14ac:dyDescent="0.2">
      <c r="A1427" s="91" t="s">
        <v>1454</v>
      </c>
      <c r="B1427" s="92" t="s">
        <v>222</v>
      </c>
      <c r="C1427" s="111">
        <v>36592005.049999997</v>
      </c>
    </row>
    <row r="1428" spans="1:3" x14ac:dyDescent="0.2">
      <c r="A1428" s="91" t="s">
        <v>1478</v>
      </c>
      <c r="B1428" s="92" t="s">
        <v>222</v>
      </c>
      <c r="C1428" s="111">
        <v>146530455.30000001</v>
      </c>
    </row>
    <row r="1429" spans="1:3" x14ac:dyDescent="0.2">
      <c r="A1429" s="91" t="s">
        <v>668</v>
      </c>
      <c r="B1429" s="92" t="s">
        <v>268</v>
      </c>
      <c r="C1429" s="111">
        <v>1192955862.1400001</v>
      </c>
    </row>
    <row r="1430" spans="1:3" x14ac:dyDescent="0.2">
      <c r="A1430" s="91" t="s">
        <v>817</v>
      </c>
      <c r="B1430" s="92" t="s">
        <v>268</v>
      </c>
      <c r="C1430" s="111">
        <v>965135843.27999997</v>
      </c>
    </row>
    <row r="1431" spans="1:3" x14ac:dyDescent="0.2">
      <c r="A1431" s="91" t="s">
        <v>1051</v>
      </c>
      <c r="B1431" s="92" t="s">
        <v>268</v>
      </c>
      <c r="C1431" s="111">
        <v>1400000000</v>
      </c>
    </row>
    <row r="1432" spans="1:3" x14ac:dyDescent="0.2">
      <c r="A1432" s="91" t="s">
        <v>1346</v>
      </c>
      <c r="B1432" s="92" t="s">
        <v>268</v>
      </c>
      <c r="C1432" s="111">
        <v>375190018.58999997</v>
      </c>
    </row>
    <row r="1433" spans="1:3" x14ac:dyDescent="0.2">
      <c r="A1433" s="91" t="s">
        <v>1494</v>
      </c>
      <c r="B1433" s="92" t="s">
        <v>268</v>
      </c>
      <c r="C1433" s="111">
        <v>420827431.52999997</v>
      </c>
    </row>
    <row r="1434" spans="1:3" x14ac:dyDescent="0.2">
      <c r="A1434" s="91" t="s">
        <v>608</v>
      </c>
      <c r="B1434" s="92" t="s">
        <v>538</v>
      </c>
      <c r="C1434" s="111">
        <v>2249201.89</v>
      </c>
    </row>
    <row r="1435" spans="1:3" x14ac:dyDescent="0.2">
      <c r="A1435" s="91" t="s">
        <v>609</v>
      </c>
      <c r="B1435" s="92" t="s">
        <v>538</v>
      </c>
      <c r="C1435" s="111">
        <v>17000000</v>
      </c>
    </row>
    <row r="1436" spans="1:3" x14ac:dyDescent="0.2">
      <c r="A1436" s="91" t="s">
        <v>610</v>
      </c>
      <c r="B1436" s="92" t="s">
        <v>538</v>
      </c>
      <c r="C1436" s="111">
        <v>26260122.68</v>
      </c>
    </row>
    <row r="1437" spans="1:3" x14ac:dyDescent="0.2">
      <c r="A1437" s="91" t="s">
        <v>563</v>
      </c>
      <c r="B1437" s="92" t="s">
        <v>321</v>
      </c>
      <c r="C1437" s="111">
        <v>879700.75</v>
      </c>
    </row>
    <row r="1438" spans="1:3" x14ac:dyDescent="0.2">
      <c r="A1438" s="91" t="s">
        <v>1729</v>
      </c>
      <c r="B1438" s="92" t="s">
        <v>222</v>
      </c>
      <c r="C1438" s="111">
        <v>323105126.5</v>
      </c>
    </row>
    <row r="1439" spans="1:3" x14ac:dyDescent="0.2">
      <c r="A1439" s="91" t="s">
        <v>1730</v>
      </c>
      <c r="B1439" s="92" t="s">
        <v>222</v>
      </c>
      <c r="C1439" s="111">
        <v>16252000</v>
      </c>
    </row>
    <row r="1440" spans="1:3" x14ac:dyDescent="0.2">
      <c r="A1440" s="91" t="s">
        <v>698</v>
      </c>
      <c r="B1440" s="92" t="s">
        <v>222</v>
      </c>
      <c r="C1440" s="111">
        <v>185543680</v>
      </c>
    </row>
    <row r="1441" spans="1:3" x14ac:dyDescent="0.2">
      <c r="A1441" s="91" t="s">
        <v>1305</v>
      </c>
      <c r="B1441" s="92" t="s">
        <v>222</v>
      </c>
      <c r="C1441" s="111">
        <v>85000000</v>
      </c>
    </row>
    <row r="1442" spans="1:3" x14ac:dyDescent="0.2">
      <c r="A1442" s="91" t="s">
        <v>1731</v>
      </c>
      <c r="B1442" s="92" t="s">
        <v>222</v>
      </c>
      <c r="C1442" s="111">
        <v>892224434.98000002</v>
      </c>
    </row>
    <row r="1443" spans="1:3" x14ac:dyDescent="0.2">
      <c r="A1443" s="91" t="s">
        <v>1732</v>
      </c>
      <c r="B1443" s="92" t="s">
        <v>222</v>
      </c>
      <c r="C1443" s="111">
        <v>1090946384.73</v>
      </c>
    </row>
    <row r="1444" spans="1:3" x14ac:dyDescent="0.2">
      <c r="A1444" s="91" t="s">
        <v>716</v>
      </c>
      <c r="B1444" s="92" t="s">
        <v>268</v>
      </c>
      <c r="C1444" s="111">
        <v>4391304347.8000002</v>
      </c>
    </row>
    <row r="1445" spans="1:3" x14ac:dyDescent="0.2">
      <c r="A1445" s="91" t="s">
        <v>618</v>
      </c>
      <c r="B1445" s="92" t="s">
        <v>538</v>
      </c>
      <c r="C1445" s="111">
        <v>375000000</v>
      </c>
    </row>
    <row r="1446" spans="1:3" x14ac:dyDescent="0.2">
      <c r="A1446" s="91" t="s">
        <v>615</v>
      </c>
      <c r="B1446" s="92" t="s">
        <v>538</v>
      </c>
      <c r="C1446" s="111">
        <v>249147487.80000001</v>
      </c>
    </row>
    <row r="1447" spans="1:3" x14ac:dyDescent="0.2">
      <c r="A1447" s="91" t="s">
        <v>619</v>
      </c>
      <c r="B1447" s="92" t="s">
        <v>538</v>
      </c>
      <c r="C1447" s="111">
        <v>20203281.629999999</v>
      </c>
    </row>
    <row r="1448" spans="1:3" x14ac:dyDescent="0.2">
      <c r="A1448" s="91" t="s">
        <v>620</v>
      </c>
      <c r="B1448" s="92" t="s">
        <v>538</v>
      </c>
      <c r="C1448" s="111">
        <v>194100243.24000001</v>
      </c>
    </row>
    <row r="1449" spans="1:3" x14ac:dyDescent="0.2">
      <c r="A1449" s="91" t="s">
        <v>621</v>
      </c>
      <c r="B1449" s="92" t="s">
        <v>538</v>
      </c>
      <c r="C1449" s="111">
        <v>150649500</v>
      </c>
    </row>
    <row r="1450" spans="1:3" x14ac:dyDescent="0.2">
      <c r="A1450" s="91" t="s">
        <v>622</v>
      </c>
      <c r="B1450" s="92" t="s">
        <v>538</v>
      </c>
      <c r="C1450" s="111">
        <v>198575876.58000001</v>
      </c>
    </row>
    <row r="1451" spans="1:3" x14ac:dyDescent="0.2">
      <c r="A1451" s="91" t="s">
        <v>1382</v>
      </c>
      <c r="B1451" s="92" t="s">
        <v>222</v>
      </c>
      <c r="C1451" s="111">
        <v>391607237</v>
      </c>
    </row>
    <row r="1452" spans="1:3" x14ac:dyDescent="0.2">
      <c r="A1452" s="91" t="s">
        <v>623</v>
      </c>
      <c r="B1452" s="92" t="s">
        <v>538</v>
      </c>
      <c r="C1452" s="111">
        <v>79882834.379999995</v>
      </c>
    </row>
    <row r="1453" spans="1:3" x14ac:dyDescent="0.2">
      <c r="A1453" s="91" t="s">
        <v>624</v>
      </c>
      <c r="B1453" s="92" t="s">
        <v>538</v>
      </c>
      <c r="C1453" s="111">
        <v>28720654.030000001</v>
      </c>
    </row>
    <row r="1454" spans="1:3" x14ac:dyDescent="0.2">
      <c r="A1454" s="91" t="s">
        <v>625</v>
      </c>
      <c r="B1454" s="92" t="s">
        <v>538</v>
      </c>
      <c r="C1454" s="111">
        <v>806016076.28999996</v>
      </c>
    </row>
    <row r="1455" spans="1:3" x14ac:dyDescent="0.2">
      <c r="A1455" s="91" t="s">
        <v>626</v>
      </c>
      <c r="B1455" s="92" t="s">
        <v>538</v>
      </c>
      <c r="C1455" s="111">
        <v>245479054.11000001</v>
      </c>
    </row>
    <row r="1456" spans="1:3" x14ac:dyDescent="0.2">
      <c r="A1456" s="91" t="s">
        <v>613</v>
      </c>
      <c r="B1456" s="92" t="s">
        <v>538</v>
      </c>
      <c r="C1456" s="111">
        <v>72465731.799999997</v>
      </c>
    </row>
    <row r="1457" spans="1:3" x14ac:dyDescent="0.2">
      <c r="A1457" s="91" t="s">
        <v>617</v>
      </c>
      <c r="B1457" s="92" t="s">
        <v>538</v>
      </c>
      <c r="C1457" s="111">
        <v>398720022</v>
      </c>
    </row>
    <row r="1458" spans="1:3" x14ac:dyDescent="0.2">
      <c r="A1458" s="91" t="s">
        <v>657</v>
      </c>
      <c r="B1458" s="92" t="s">
        <v>268</v>
      </c>
      <c r="C1458" s="111">
        <v>164211060000</v>
      </c>
    </row>
    <row r="1459" spans="1:3" x14ac:dyDescent="0.2">
      <c r="A1459" s="91" t="s">
        <v>1204</v>
      </c>
      <c r="B1459" s="92" t="s">
        <v>268</v>
      </c>
      <c r="C1459" s="111">
        <v>63094941900</v>
      </c>
    </row>
    <row r="1460" spans="1:3" x14ac:dyDescent="0.2">
      <c r="A1460" s="91" t="s">
        <v>658</v>
      </c>
      <c r="B1460" s="92" t="s">
        <v>268</v>
      </c>
      <c r="C1460" s="111">
        <v>15789525000</v>
      </c>
    </row>
    <row r="1461" spans="1:3" x14ac:dyDescent="0.2">
      <c r="A1461" s="91" t="s">
        <v>635</v>
      </c>
      <c r="B1461" s="92" t="s">
        <v>268</v>
      </c>
      <c r="C1461" s="111">
        <v>3157905000</v>
      </c>
    </row>
    <row r="1462" spans="1:3" x14ac:dyDescent="0.2">
      <c r="A1462" s="91" t="s">
        <v>634</v>
      </c>
      <c r="B1462" s="92" t="s">
        <v>268</v>
      </c>
      <c r="C1462" s="111">
        <v>1052635000.84</v>
      </c>
    </row>
    <row r="1463" spans="1:3" x14ac:dyDescent="0.2">
      <c r="A1463" s="91" t="s">
        <v>1326</v>
      </c>
      <c r="B1463" s="92" t="s">
        <v>268</v>
      </c>
      <c r="C1463" s="111">
        <v>2488057438.79</v>
      </c>
    </row>
    <row r="1464" spans="1:3" x14ac:dyDescent="0.2">
      <c r="A1464" s="91" t="s">
        <v>1950</v>
      </c>
      <c r="B1464" s="92" t="s">
        <v>222</v>
      </c>
      <c r="C1464" s="111">
        <v>450000000</v>
      </c>
    </row>
    <row r="1465" spans="1:3" x14ac:dyDescent="0.2">
      <c r="A1465" s="91" t="s">
        <v>1977</v>
      </c>
      <c r="B1465" s="92" t="s">
        <v>538</v>
      </c>
      <c r="C1465" s="111">
        <v>168190000</v>
      </c>
    </row>
    <row r="1466" spans="1:3" x14ac:dyDescent="0.2">
      <c r="A1466" s="91" t="s">
        <v>1981</v>
      </c>
      <c r="B1466" s="92" t="s">
        <v>538</v>
      </c>
      <c r="C1466" s="111">
        <v>319526752</v>
      </c>
    </row>
    <row r="1467" spans="1:3" x14ac:dyDescent="0.2">
      <c r="A1467" s="91" t="s">
        <v>1970</v>
      </c>
      <c r="B1467" s="92" t="s">
        <v>538</v>
      </c>
      <c r="C1467" s="111">
        <v>404110000</v>
      </c>
    </row>
    <row r="1468" spans="1:3" x14ac:dyDescent="0.2">
      <c r="A1468" s="91" t="s">
        <v>1975</v>
      </c>
      <c r="B1468" s="92" t="s">
        <v>538</v>
      </c>
      <c r="C1468" s="111">
        <v>936173248</v>
      </c>
    </row>
    <row r="1469" spans="1:3" x14ac:dyDescent="0.2">
      <c r="A1469" s="91" t="s">
        <v>742</v>
      </c>
      <c r="B1469" s="92" t="s">
        <v>268</v>
      </c>
      <c r="C1469" s="111">
        <v>3848096716.8000002</v>
      </c>
    </row>
    <row r="1470" spans="1:3" x14ac:dyDescent="0.2">
      <c r="A1470" s="91" t="s">
        <v>673</v>
      </c>
      <c r="B1470" s="92" t="s">
        <v>222</v>
      </c>
      <c r="C1470" s="111">
        <v>26728551.219999999</v>
      </c>
    </row>
    <row r="1471" spans="1:3" x14ac:dyDescent="0.2">
      <c r="A1471" s="91" t="s">
        <v>825</v>
      </c>
      <c r="B1471" s="92" t="s">
        <v>222</v>
      </c>
      <c r="C1471" s="111">
        <v>13325060.02</v>
      </c>
    </row>
    <row r="1472" spans="1:3" x14ac:dyDescent="0.2">
      <c r="A1472" s="91" t="s">
        <v>2077</v>
      </c>
      <c r="B1472" s="92" t="s">
        <v>222</v>
      </c>
      <c r="C1472" s="111">
        <v>6096900</v>
      </c>
    </row>
    <row r="1473" spans="1:3" x14ac:dyDescent="0.2">
      <c r="A1473" s="91" t="s">
        <v>2039</v>
      </c>
      <c r="B1473" s="92" t="s">
        <v>270</v>
      </c>
      <c r="C1473" s="111">
        <v>12463304515.459999</v>
      </c>
    </row>
    <row r="1474" spans="1:3" x14ac:dyDescent="0.2">
      <c r="A1474" s="91" t="s">
        <v>1339</v>
      </c>
      <c r="B1474" s="92" t="s">
        <v>222</v>
      </c>
      <c r="C1474" s="111">
        <v>90000000</v>
      </c>
    </row>
    <row r="1475" spans="1:3" x14ac:dyDescent="0.2">
      <c r="A1475" s="91" t="s">
        <v>1284</v>
      </c>
      <c r="B1475" s="92" t="s">
        <v>268</v>
      </c>
      <c r="C1475" s="111">
        <v>15000000000</v>
      </c>
    </row>
    <row r="1476" spans="1:3" x14ac:dyDescent="0.2">
      <c r="A1476" s="91" t="s">
        <v>688</v>
      </c>
      <c r="B1476" s="92" t="s">
        <v>222</v>
      </c>
      <c r="C1476" s="111">
        <v>1250000000</v>
      </c>
    </row>
    <row r="1477" spans="1:3" x14ac:dyDescent="0.2">
      <c r="A1477" s="91" t="s">
        <v>973</v>
      </c>
      <c r="B1477" s="92" t="s">
        <v>222</v>
      </c>
      <c r="C1477" s="111">
        <v>702630937.15999997</v>
      </c>
    </row>
    <row r="1478" spans="1:3" x14ac:dyDescent="0.2">
      <c r="A1478" s="91" t="s">
        <v>974</v>
      </c>
      <c r="B1478" s="92" t="s">
        <v>222</v>
      </c>
      <c r="C1478" s="111">
        <v>9828361.0600000005</v>
      </c>
    </row>
    <row r="1479" spans="1:3" x14ac:dyDescent="0.2">
      <c r="A1479" s="91" t="s">
        <v>689</v>
      </c>
      <c r="B1479" s="92" t="s">
        <v>222</v>
      </c>
      <c r="C1479" s="111">
        <v>380000000</v>
      </c>
    </row>
    <row r="1480" spans="1:3" x14ac:dyDescent="0.2">
      <c r="A1480" s="91" t="s">
        <v>975</v>
      </c>
      <c r="B1480" s="92" t="s">
        <v>222</v>
      </c>
      <c r="C1480" s="111">
        <v>440843171.88999999</v>
      </c>
    </row>
    <row r="1481" spans="1:3" x14ac:dyDescent="0.2">
      <c r="A1481" s="91" t="s">
        <v>976</v>
      </c>
      <c r="B1481" s="92" t="s">
        <v>222</v>
      </c>
      <c r="C1481" s="111">
        <v>199987206.25999999</v>
      </c>
    </row>
    <row r="1482" spans="1:3" x14ac:dyDescent="0.2">
      <c r="A1482" s="91" t="s">
        <v>1635</v>
      </c>
      <c r="B1482" s="92" t="s">
        <v>268</v>
      </c>
      <c r="C1482" s="111">
        <v>181009515.77000001</v>
      </c>
    </row>
    <row r="1483" spans="1:3" x14ac:dyDescent="0.2">
      <c r="A1483" s="91" t="s">
        <v>1733</v>
      </c>
      <c r="B1483" s="92" t="s">
        <v>268</v>
      </c>
      <c r="C1483" s="111">
        <v>1108405746.5799999</v>
      </c>
    </row>
    <row r="1484" spans="1:3" x14ac:dyDescent="0.2">
      <c r="A1484" s="91" t="s">
        <v>726</v>
      </c>
      <c r="B1484" s="92" t="s">
        <v>222</v>
      </c>
      <c r="C1484" s="111">
        <v>1857982706.6800001</v>
      </c>
    </row>
    <row r="1485" spans="1:3" x14ac:dyDescent="0.2">
      <c r="A1485" s="91" t="s">
        <v>856</v>
      </c>
      <c r="B1485" s="92" t="s">
        <v>222</v>
      </c>
      <c r="C1485" s="111">
        <v>161690694.99000001</v>
      </c>
    </row>
    <row r="1486" spans="1:3" x14ac:dyDescent="0.2">
      <c r="A1486" s="91" t="s">
        <v>1368</v>
      </c>
      <c r="B1486" s="92" t="s">
        <v>222</v>
      </c>
      <c r="C1486" s="111">
        <v>300000000</v>
      </c>
    </row>
    <row r="1487" spans="1:3" x14ac:dyDescent="0.2">
      <c r="A1487" s="91" t="s">
        <v>1984</v>
      </c>
      <c r="B1487" s="92" t="s">
        <v>222</v>
      </c>
      <c r="C1487" s="111">
        <v>130589232.3</v>
      </c>
    </row>
    <row r="1488" spans="1:3" x14ac:dyDescent="0.2">
      <c r="A1488" s="91" t="s">
        <v>690</v>
      </c>
      <c r="B1488" s="92" t="s">
        <v>222</v>
      </c>
      <c r="C1488" s="111">
        <v>704250000</v>
      </c>
    </row>
    <row r="1489" spans="1:3" x14ac:dyDescent="0.2">
      <c r="A1489" s="91" t="s">
        <v>737</v>
      </c>
      <c r="B1489" s="92" t="s">
        <v>222</v>
      </c>
      <c r="C1489" s="111">
        <v>223856228.69999999</v>
      </c>
    </row>
    <row r="1490" spans="1:3" x14ac:dyDescent="0.2">
      <c r="A1490" s="91" t="s">
        <v>812</v>
      </c>
      <c r="B1490" s="92" t="s">
        <v>222</v>
      </c>
      <c r="C1490" s="111">
        <v>118000000.01000001</v>
      </c>
    </row>
    <row r="1491" spans="1:3" x14ac:dyDescent="0.2">
      <c r="A1491" s="91" t="s">
        <v>781</v>
      </c>
      <c r="B1491" s="92" t="s">
        <v>222</v>
      </c>
      <c r="C1491" s="111">
        <v>58000000.009999998</v>
      </c>
    </row>
    <row r="1492" spans="1:3" x14ac:dyDescent="0.2">
      <c r="A1492" s="91" t="s">
        <v>782</v>
      </c>
      <c r="B1492" s="92" t="s">
        <v>222</v>
      </c>
      <c r="C1492" s="111">
        <v>160000000.00999999</v>
      </c>
    </row>
    <row r="1493" spans="1:3" x14ac:dyDescent="0.2">
      <c r="A1493" s="91" t="s">
        <v>1484</v>
      </c>
      <c r="B1493" s="92" t="s">
        <v>222</v>
      </c>
      <c r="C1493" s="111">
        <v>244758800</v>
      </c>
    </row>
    <row r="1494" spans="1:3" x14ac:dyDescent="0.2">
      <c r="A1494" s="91" t="s">
        <v>666</v>
      </c>
      <c r="B1494" s="92" t="s">
        <v>268</v>
      </c>
      <c r="C1494" s="111">
        <v>82105530000</v>
      </c>
    </row>
    <row r="1495" spans="1:3" x14ac:dyDescent="0.2">
      <c r="A1495" s="91" t="s">
        <v>1832</v>
      </c>
      <c r="B1495" s="92" t="s">
        <v>270</v>
      </c>
      <c r="C1495" s="111">
        <v>18909689.25</v>
      </c>
    </row>
    <row r="1496" spans="1:3" x14ac:dyDescent="0.2">
      <c r="A1496" s="91" t="s">
        <v>1111</v>
      </c>
      <c r="B1496" s="92" t="s">
        <v>222</v>
      </c>
      <c r="C1496" s="111">
        <v>250000000</v>
      </c>
    </row>
    <row r="1497" spans="1:3" x14ac:dyDescent="0.2">
      <c r="A1497" s="91" t="s">
        <v>1734</v>
      </c>
      <c r="B1497" s="92" t="s">
        <v>222</v>
      </c>
      <c r="C1497" s="111">
        <v>500000000</v>
      </c>
    </row>
    <row r="1498" spans="1:3" x14ac:dyDescent="0.2">
      <c r="A1498" s="91" t="s">
        <v>2187</v>
      </c>
      <c r="B1498" s="92" t="s">
        <v>268</v>
      </c>
      <c r="C1498" s="111">
        <v>474839349.76999998</v>
      </c>
    </row>
    <row r="1499" spans="1:3" x14ac:dyDescent="0.2">
      <c r="A1499" s="91" t="s">
        <v>1992</v>
      </c>
      <c r="B1499" s="92" t="s">
        <v>268</v>
      </c>
      <c r="C1499" s="111">
        <v>1953380197.1500001</v>
      </c>
    </row>
    <row r="1500" spans="1:3" x14ac:dyDescent="0.2">
      <c r="A1500" s="91" t="s">
        <v>1294</v>
      </c>
      <c r="B1500" s="92" t="s">
        <v>268</v>
      </c>
      <c r="C1500" s="111">
        <v>10011267027.879999</v>
      </c>
    </row>
    <row r="1501" spans="1:3" x14ac:dyDescent="0.2">
      <c r="A1501" s="91" t="s">
        <v>727</v>
      </c>
      <c r="B1501" s="92" t="s">
        <v>222</v>
      </c>
      <c r="C1501" s="111">
        <v>1057235456.42</v>
      </c>
    </row>
    <row r="1502" spans="1:3" x14ac:dyDescent="0.2">
      <c r="A1502" s="91" t="s">
        <v>770</v>
      </c>
      <c r="B1502" s="92" t="s">
        <v>222</v>
      </c>
      <c r="C1502" s="111">
        <v>237543439.31</v>
      </c>
    </row>
    <row r="1503" spans="1:3" x14ac:dyDescent="0.2">
      <c r="A1503" s="91" t="s">
        <v>743</v>
      </c>
      <c r="B1503" s="92" t="s">
        <v>538</v>
      </c>
      <c r="C1503" s="111">
        <v>24000000</v>
      </c>
    </row>
    <row r="1504" spans="1:3" x14ac:dyDescent="0.2">
      <c r="A1504" s="91" t="s">
        <v>750</v>
      </c>
      <c r="B1504" s="92" t="s">
        <v>538</v>
      </c>
      <c r="C1504" s="111">
        <v>43750000</v>
      </c>
    </row>
    <row r="1505" spans="1:3" x14ac:dyDescent="0.2">
      <c r="A1505" s="91" t="s">
        <v>749</v>
      </c>
      <c r="B1505" s="92" t="s">
        <v>538</v>
      </c>
      <c r="C1505" s="111">
        <v>175557804.03</v>
      </c>
    </row>
    <row r="1506" spans="1:3" x14ac:dyDescent="0.2">
      <c r="A1506" s="91" t="s">
        <v>786</v>
      </c>
      <c r="B1506" s="92" t="s">
        <v>222</v>
      </c>
      <c r="C1506" s="111">
        <v>795148821.96000004</v>
      </c>
    </row>
    <row r="1507" spans="1:3" x14ac:dyDescent="0.2">
      <c r="A1507" s="91" t="s">
        <v>1429</v>
      </c>
      <c r="B1507" s="92" t="s">
        <v>270</v>
      </c>
      <c r="C1507" s="111">
        <v>124874000.02</v>
      </c>
    </row>
    <row r="1508" spans="1:3" x14ac:dyDescent="0.2">
      <c r="A1508" s="91" t="s">
        <v>1430</v>
      </c>
      <c r="B1508" s="92" t="s">
        <v>270</v>
      </c>
      <c r="C1508" s="111">
        <v>1297664000.02</v>
      </c>
    </row>
    <row r="1509" spans="1:3" x14ac:dyDescent="0.2">
      <c r="A1509" s="91" t="s">
        <v>1431</v>
      </c>
      <c r="B1509" s="92" t="s">
        <v>270</v>
      </c>
      <c r="C1509" s="111">
        <v>229313000.02000001</v>
      </c>
    </row>
    <row r="1510" spans="1:3" x14ac:dyDescent="0.2">
      <c r="A1510" s="91" t="s">
        <v>1432</v>
      </c>
      <c r="B1510" s="92" t="s">
        <v>270</v>
      </c>
      <c r="C1510" s="111">
        <v>90971499.980000004</v>
      </c>
    </row>
    <row r="1511" spans="1:3" x14ac:dyDescent="0.2">
      <c r="A1511" s="91" t="s">
        <v>1433</v>
      </c>
      <c r="B1511" s="92" t="s">
        <v>270</v>
      </c>
      <c r="C1511" s="111">
        <v>60758000.020000003</v>
      </c>
    </row>
    <row r="1512" spans="1:3" x14ac:dyDescent="0.2">
      <c r="A1512" s="91" t="s">
        <v>1434</v>
      </c>
      <c r="B1512" s="92" t="s">
        <v>270</v>
      </c>
      <c r="C1512" s="111">
        <v>63262500</v>
      </c>
    </row>
    <row r="1513" spans="1:3" x14ac:dyDescent="0.2">
      <c r="A1513" s="91" t="s">
        <v>739</v>
      </c>
      <c r="B1513" s="92" t="s">
        <v>222</v>
      </c>
      <c r="C1513" s="111">
        <v>120202397.56</v>
      </c>
    </row>
    <row r="1514" spans="1:3" x14ac:dyDescent="0.2">
      <c r="A1514" s="91" t="s">
        <v>1910</v>
      </c>
      <c r="B1514" s="92" t="s">
        <v>222</v>
      </c>
      <c r="C1514" s="111">
        <v>96600000</v>
      </c>
    </row>
    <row r="1515" spans="1:3" x14ac:dyDescent="0.2">
      <c r="A1515" s="91" t="s">
        <v>890</v>
      </c>
      <c r="B1515" s="92" t="s">
        <v>222</v>
      </c>
      <c r="C1515" s="111">
        <v>77310000</v>
      </c>
    </row>
    <row r="1516" spans="1:3" x14ac:dyDescent="0.2">
      <c r="A1516" s="91" t="s">
        <v>1982</v>
      </c>
      <c r="B1516" s="92" t="s">
        <v>222</v>
      </c>
      <c r="C1516" s="111">
        <v>585800000</v>
      </c>
    </row>
    <row r="1517" spans="1:3" x14ac:dyDescent="0.2">
      <c r="A1517" s="91" t="s">
        <v>2044</v>
      </c>
      <c r="B1517" s="92" t="s">
        <v>538</v>
      </c>
      <c r="C1517" s="111">
        <v>52173903</v>
      </c>
    </row>
    <row r="1518" spans="1:3" x14ac:dyDescent="0.2">
      <c r="A1518" s="91" t="s">
        <v>2189</v>
      </c>
      <c r="B1518" s="92" t="s">
        <v>538</v>
      </c>
      <c r="C1518" s="111">
        <v>13043481</v>
      </c>
    </row>
    <row r="1519" spans="1:3" x14ac:dyDescent="0.2">
      <c r="A1519" s="91" t="s">
        <v>1167</v>
      </c>
      <c r="B1519" s="92" t="s">
        <v>222</v>
      </c>
      <c r="C1519" s="111">
        <v>10000000</v>
      </c>
    </row>
    <row r="1520" spans="1:3" x14ac:dyDescent="0.2">
      <c r="A1520" s="91" t="s">
        <v>718</v>
      </c>
      <c r="B1520" s="92" t="s">
        <v>268</v>
      </c>
      <c r="C1520" s="111">
        <v>5000000000</v>
      </c>
    </row>
    <row r="1521" spans="1:3" x14ac:dyDescent="0.2">
      <c r="A1521" s="91" t="s">
        <v>719</v>
      </c>
      <c r="B1521" s="92" t="s">
        <v>268</v>
      </c>
      <c r="C1521" s="111">
        <v>5000000000</v>
      </c>
    </row>
    <row r="1522" spans="1:3" x14ac:dyDescent="0.2">
      <c r="A1522" s="91" t="s">
        <v>751</v>
      </c>
      <c r="B1522" s="92" t="s">
        <v>538</v>
      </c>
      <c r="C1522" s="111">
        <v>211604096.72999999</v>
      </c>
    </row>
    <row r="1523" spans="1:3" x14ac:dyDescent="0.2">
      <c r="A1523" s="91" t="s">
        <v>1131</v>
      </c>
      <c r="B1523" s="92" t="s">
        <v>538</v>
      </c>
      <c r="C1523" s="111">
        <v>202294999.61000001</v>
      </c>
    </row>
    <row r="1524" spans="1:3" x14ac:dyDescent="0.2">
      <c r="A1524" s="91" t="s">
        <v>798</v>
      </c>
      <c r="B1524" s="92" t="s">
        <v>222</v>
      </c>
      <c r="C1524" s="111">
        <v>33333333.34</v>
      </c>
    </row>
    <row r="1525" spans="1:3" x14ac:dyDescent="0.2">
      <c r="A1525" s="91" t="s">
        <v>879</v>
      </c>
      <c r="B1525" s="92" t="s">
        <v>222</v>
      </c>
      <c r="C1525" s="111">
        <v>97978792.269999996</v>
      </c>
    </row>
    <row r="1526" spans="1:3" x14ac:dyDescent="0.2">
      <c r="A1526" s="91" t="s">
        <v>1926</v>
      </c>
      <c r="B1526" s="92" t="s">
        <v>222</v>
      </c>
      <c r="C1526" s="111">
        <v>49979448.210000001</v>
      </c>
    </row>
    <row r="1527" spans="1:3" x14ac:dyDescent="0.2">
      <c r="A1527" s="91" t="s">
        <v>1893</v>
      </c>
      <c r="B1527" s="92" t="s">
        <v>222</v>
      </c>
      <c r="C1527" s="111">
        <v>81309713.950000003</v>
      </c>
    </row>
    <row r="1528" spans="1:3" x14ac:dyDescent="0.2">
      <c r="A1528" s="91" t="s">
        <v>2022</v>
      </c>
      <c r="B1528" s="92" t="s">
        <v>222</v>
      </c>
      <c r="C1528" s="111">
        <v>25250000</v>
      </c>
    </row>
    <row r="1529" spans="1:3" x14ac:dyDescent="0.2">
      <c r="A1529" s="91" t="s">
        <v>977</v>
      </c>
      <c r="B1529" s="92" t="s">
        <v>222</v>
      </c>
      <c r="C1529" s="111">
        <v>42000000</v>
      </c>
    </row>
    <row r="1530" spans="1:3" x14ac:dyDescent="0.2">
      <c r="A1530" s="91" t="s">
        <v>2012</v>
      </c>
      <c r="B1530" s="92" t="s">
        <v>222</v>
      </c>
      <c r="C1530" s="111">
        <v>50000000</v>
      </c>
    </row>
    <row r="1531" spans="1:3" x14ac:dyDescent="0.2">
      <c r="A1531" s="91" t="s">
        <v>762</v>
      </c>
      <c r="B1531" s="92" t="s">
        <v>222</v>
      </c>
      <c r="C1531" s="111">
        <v>589284326.33000004</v>
      </c>
    </row>
    <row r="1532" spans="1:3" x14ac:dyDescent="0.2">
      <c r="A1532" s="91" t="s">
        <v>765</v>
      </c>
      <c r="B1532" s="92" t="s">
        <v>222</v>
      </c>
      <c r="C1532" s="111">
        <v>375000000.07999998</v>
      </c>
    </row>
    <row r="1533" spans="1:3" x14ac:dyDescent="0.2">
      <c r="A1533" s="91" t="s">
        <v>1869</v>
      </c>
      <c r="B1533" s="92" t="s">
        <v>222</v>
      </c>
      <c r="C1533" s="111">
        <v>100000000</v>
      </c>
    </row>
    <row r="1534" spans="1:3" x14ac:dyDescent="0.2">
      <c r="A1534" s="91" t="s">
        <v>1918</v>
      </c>
      <c r="B1534" s="92" t="s">
        <v>222</v>
      </c>
      <c r="C1534" s="111">
        <v>220000000</v>
      </c>
    </row>
    <row r="1535" spans="1:3" x14ac:dyDescent="0.2">
      <c r="A1535" s="91" t="s">
        <v>1364</v>
      </c>
      <c r="B1535" s="92" t="s">
        <v>222</v>
      </c>
      <c r="C1535" s="111">
        <v>69000000</v>
      </c>
    </row>
    <row r="1536" spans="1:3" x14ac:dyDescent="0.2">
      <c r="A1536" s="91" t="s">
        <v>1658</v>
      </c>
      <c r="B1536" s="92" t="s">
        <v>222</v>
      </c>
      <c r="C1536" s="111">
        <v>2339115900</v>
      </c>
    </row>
    <row r="1537" spans="1:3" x14ac:dyDescent="0.2">
      <c r="A1537" s="91" t="s">
        <v>1763</v>
      </c>
      <c r="B1537" s="92" t="s">
        <v>222</v>
      </c>
      <c r="C1537" s="111">
        <v>985263970</v>
      </c>
    </row>
    <row r="1538" spans="1:3" x14ac:dyDescent="0.2">
      <c r="A1538" s="91" t="s">
        <v>1863</v>
      </c>
      <c r="B1538" s="92" t="s">
        <v>222</v>
      </c>
      <c r="C1538" s="111">
        <v>956911050</v>
      </c>
    </row>
    <row r="1539" spans="1:3" x14ac:dyDescent="0.2">
      <c r="A1539" s="91" t="s">
        <v>1173</v>
      </c>
      <c r="B1539" s="92" t="s">
        <v>222</v>
      </c>
      <c r="C1539" s="111">
        <v>7142857.1500000004</v>
      </c>
    </row>
    <row r="1540" spans="1:3" x14ac:dyDescent="0.2">
      <c r="A1540" s="91" t="s">
        <v>1833</v>
      </c>
      <c r="B1540" s="92" t="s">
        <v>222</v>
      </c>
      <c r="C1540" s="111">
        <v>29500000</v>
      </c>
    </row>
    <row r="1541" spans="1:3" x14ac:dyDescent="0.2">
      <c r="A1541" s="91" t="s">
        <v>1280</v>
      </c>
      <c r="B1541" s="92" t="s">
        <v>268</v>
      </c>
      <c r="C1541" s="111">
        <v>1900000000</v>
      </c>
    </row>
    <row r="1542" spans="1:3" x14ac:dyDescent="0.2">
      <c r="A1542" s="91" t="s">
        <v>1560</v>
      </c>
      <c r="B1542" s="92" t="s">
        <v>268</v>
      </c>
      <c r="C1542" s="111">
        <v>1100000000</v>
      </c>
    </row>
    <row r="1543" spans="1:3" x14ac:dyDescent="0.2">
      <c r="A1543" s="91" t="s">
        <v>785</v>
      </c>
      <c r="B1543" s="92" t="s">
        <v>222</v>
      </c>
      <c r="C1543" s="111">
        <v>48941176.520000003</v>
      </c>
    </row>
    <row r="1544" spans="1:3" x14ac:dyDescent="0.2">
      <c r="A1544" s="91" t="s">
        <v>1821</v>
      </c>
      <c r="B1544" s="92" t="s">
        <v>222</v>
      </c>
      <c r="C1544" s="111">
        <v>69916238</v>
      </c>
    </row>
    <row r="1545" spans="1:3" x14ac:dyDescent="0.2">
      <c r="A1545" s="91" t="s">
        <v>855</v>
      </c>
      <c r="B1545" s="92" t="s">
        <v>268</v>
      </c>
      <c r="C1545" s="111">
        <v>411764705.87</v>
      </c>
    </row>
    <row r="1546" spans="1:3" x14ac:dyDescent="0.2">
      <c r="A1546" s="91" t="s">
        <v>1205</v>
      </c>
      <c r="B1546" s="92" t="s">
        <v>268</v>
      </c>
      <c r="C1546" s="111">
        <v>742557402.05999994</v>
      </c>
    </row>
    <row r="1547" spans="1:3" x14ac:dyDescent="0.2">
      <c r="A1547" s="91" t="s">
        <v>766</v>
      </c>
      <c r="B1547" s="92" t="s">
        <v>268</v>
      </c>
      <c r="C1547" s="111">
        <v>611764705.88</v>
      </c>
    </row>
    <row r="1548" spans="1:3" x14ac:dyDescent="0.2">
      <c r="A1548" s="91" t="s">
        <v>826</v>
      </c>
      <c r="B1548" s="92" t="s">
        <v>268</v>
      </c>
      <c r="C1548" s="111">
        <v>3516151778.1900001</v>
      </c>
    </row>
    <row r="1549" spans="1:3" x14ac:dyDescent="0.2">
      <c r="A1549" s="91" t="s">
        <v>1798</v>
      </c>
      <c r="B1549" s="92" t="s">
        <v>268</v>
      </c>
      <c r="C1549" s="111">
        <v>15594106000</v>
      </c>
    </row>
    <row r="1550" spans="1:3" x14ac:dyDescent="0.2">
      <c r="A1550" s="91" t="s">
        <v>1254</v>
      </c>
      <c r="B1550" s="92" t="s">
        <v>268</v>
      </c>
      <c r="C1550" s="111">
        <v>10668488612.73</v>
      </c>
    </row>
    <row r="1551" spans="1:3" x14ac:dyDescent="0.2">
      <c r="A1551" s="91" t="s">
        <v>1052</v>
      </c>
      <c r="B1551" s="92" t="s">
        <v>268</v>
      </c>
      <c r="C1551" s="111">
        <v>6124587724.3699999</v>
      </c>
    </row>
    <row r="1552" spans="1:3" x14ac:dyDescent="0.2">
      <c r="A1552" s="91" t="s">
        <v>827</v>
      </c>
      <c r="B1552" s="92" t="s">
        <v>268</v>
      </c>
      <c r="C1552" s="111">
        <v>2659306888.6100001</v>
      </c>
    </row>
    <row r="1553" spans="1:3" x14ac:dyDescent="0.2">
      <c r="A1553" s="91" t="s">
        <v>1118</v>
      </c>
      <c r="B1553" s="92" t="s">
        <v>222</v>
      </c>
      <c r="C1553" s="111">
        <v>886757173.29999995</v>
      </c>
    </row>
    <row r="1554" spans="1:3" x14ac:dyDescent="0.2">
      <c r="A1554" s="91" t="s">
        <v>778</v>
      </c>
      <c r="B1554" s="92" t="s">
        <v>538</v>
      </c>
      <c r="C1554" s="111">
        <v>120000000</v>
      </c>
    </row>
    <row r="1555" spans="1:3" x14ac:dyDescent="0.2">
      <c r="A1555" s="91" t="s">
        <v>779</v>
      </c>
      <c r="B1555" s="92" t="s">
        <v>538</v>
      </c>
      <c r="C1555" s="111">
        <v>99998610.159999996</v>
      </c>
    </row>
    <row r="1556" spans="1:3" x14ac:dyDescent="0.2">
      <c r="A1556" s="91" t="s">
        <v>960</v>
      </c>
      <c r="B1556" s="92" t="s">
        <v>268</v>
      </c>
      <c r="C1556" s="111">
        <v>33000000</v>
      </c>
    </row>
    <row r="1557" spans="1:3" x14ac:dyDescent="0.2">
      <c r="A1557" s="91" t="s">
        <v>1358</v>
      </c>
      <c r="B1557" s="92" t="s">
        <v>538</v>
      </c>
      <c r="C1557" s="111">
        <v>117257422.78</v>
      </c>
    </row>
    <row r="1558" spans="1:3" x14ac:dyDescent="0.2">
      <c r="A1558" s="91" t="s">
        <v>1210</v>
      </c>
      <c r="B1558" s="92" t="s">
        <v>222</v>
      </c>
      <c r="C1558" s="111">
        <v>192052000</v>
      </c>
    </row>
    <row r="1559" spans="1:3" x14ac:dyDescent="0.2">
      <c r="A1559" s="91" t="s">
        <v>929</v>
      </c>
      <c r="B1559" s="92" t="s">
        <v>268</v>
      </c>
      <c r="C1559" s="111">
        <v>5963610406.0600004</v>
      </c>
    </row>
    <row r="1560" spans="1:3" x14ac:dyDescent="0.2">
      <c r="A1560" s="91" t="s">
        <v>1043</v>
      </c>
      <c r="B1560" s="92" t="s">
        <v>222</v>
      </c>
      <c r="C1560" s="111">
        <v>70295592.219999999</v>
      </c>
    </row>
    <row r="1561" spans="1:3" x14ac:dyDescent="0.2">
      <c r="A1561" s="91" t="s">
        <v>1053</v>
      </c>
      <c r="B1561" s="92" t="s">
        <v>222</v>
      </c>
      <c r="C1561" s="111">
        <v>112022963.83</v>
      </c>
    </row>
    <row r="1562" spans="1:3" x14ac:dyDescent="0.2">
      <c r="A1562" s="91" t="s">
        <v>1894</v>
      </c>
      <c r="B1562" s="92" t="s">
        <v>222</v>
      </c>
      <c r="C1562" s="111">
        <v>299532552.98000002</v>
      </c>
    </row>
    <row r="1563" spans="1:3" x14ac:dyDescent="0.2">
      <c r="A1563" s="91" t="s">
        <v>1471</v>
      </c>
      <c r="B1563" s="92" t="s">
        <v>538</v>
      </c>
      <c r="C1563" s="111">
        <v>628571428.54999995</v>
      </c>
    </row>
    <row r="1564" spans="1:3" x14ac:dyDescent="0.2">
      <c r="A1564" s="91" t="s">
        <v>1407</v>
      </c>
      <c r="B1564" s="92" t="s">
        <v>538</v>
      </c>
      <c r="C1564" s="111">
        <v>718367346.95000005</v>
      </c>
    </row>
    <row r="1565" spans="1:3" x14ac:dyDescent="0.2">
      <c r="A1565" s="91" t="s">
        <v>1678</v>
      </c>
      <c r="B1565" s="92" t="s">
        <v>538</v>
      </c>
      <c r="C1565" s="111">
        <v>89986560.549999997</v>
      </c>
    </row>
    <row r="1566" spans="1:3" x14ac:dyDescent="0.2">
      <c r="A1566" s="91" t="s">
        <v>816</v>
      </c>
      <c r="B1566" s="92" t="s">
        <v>268</v>
      </c>
      <c r="C1566" s="111">
        <v>5921071875</v>
      </c>
    </row>
    <row r="1567" spans="1:3" x14ac:dyDescent="0.2">
      <c r="A1567" s="91" t="s">
        <v>1735</v>
      </c>
      <c r="B1567" s="92" t="s">
        <v>222</v>
      </c>
      <c r="C1567" s="111">
        <v>999986762.91999996</v>
      </c>
    </row>
    <row r="1568" spans="1:3" x14ac:dyDescent="0.2">
      <c r="A1568" s="91" t="s">
        <v>1855</v>
      </c>
      <c r="B1568" s="92" t="s">
        <v>222</v>
      </c>
      <c r="C1568" s="111">
        <v>972257780.20000005</v>
      </c>
    </row>
    <row r="1569" spans="1:3" x14ac:dyDescent="0.2">
      <c r="A1569" s="91" t="s">
        <v>1864</v>
      </c>
      <c r="B1569" s="92" t="s">
        <v>222</v>
      </c>
      <c r="C1569" s="111">
        <v>227591545.75</v>
      </c>
    </row>
    <row r="1570" spans="1:3" x14ac:dyDescent="0.2">
      <c r="A1570" s="91" t="s">
        <v>1212</v>
      </c>
      <c r="B1570" s="92" t="s">
        <v>222</v>
      </c>
      <c r="C1570" s="111">
        <v>200000000</v>
      </c>
    </row>
    <row r="1571" spans="1:3" x14ac:dyDescent="0.2">
      <c r="A1571" s="91" t="s">
        <v>1170</v>
      </c>
      <c r="B1571" s="92" t="s">
        <v>222</v>
      </c>
      <c r="C1571" s="111">
        <v>300000000</v>
      </c>
    </row>
    <row r="1572" spans="1:3" x14ac:dyDescent="0.2">
      <c r="A1572" s="91" t="s">
        <v>992</v>
      </c>
      <c r="B1572" s="92" t="s">
        <v>268</v>
      </c>
      <c r="C1572" s="111">
        <v>3636123466.6700001</v>
      </c>
    </row>
    <row r="1573" spans="1:3" x14ac:dyDescent="0.2">
      <c r="A1573" s="91" t="s">
        <v>997</v>
      </c>
      <c r="B1573" s="92" t="s">
        <v>268</v>
      </c>
      <c r="C1573" s="111">
        <v>8191197329.6899996</v>
      </c>
    </row>
    <row r="1574" spans="1:3" x14ac:dyDescent="0.2">
      <c r="A1574" s="91" t="s">
        <v>1469</v>
      </c>
      <c r="B1574" s="92" t="s">
        <v>268</v>
      </c>
      <c r="C1574" s="111">
        <v>8000000000</v>
      </c>
    </row>
    <row r="1575" spans="1:3" x14ac:dyDescent="0.2">
      <c r="A1575" s="91" t="s">
        <v>1427</v>
      </c>
      <c r="B1575" s="92" t="s">
        <v>268</v>
      </c>
      <c r="C1575" s="111">
        <v>5000000000</v>
      </c>
    </row>
    <row r="1576" spans="1:3" x14ac:dyDescent="0.2">
      <c r="A1576" s="91" t="s">
        <v>880</v>
      </c>
      <c r="B1576" s="92" t="s">
        <v>222</v>
      </c>
      <c r="C1576" s="111">
        <v>93660280.290000007</v>
      </c>
    </row>
    <row r="1577" spans="1:3" x14ac:dyDescent="0.2">
      <c r="A1577" s="91" t="s">
        <v>1277</v>
      </c>
      <c r="B1577" s="92" t="s">
        <v>222</v>
      </c>
      <c r="C1577" s="111">
        <v>130000000</v>
      </c>
    </row>
    <row r="1578" spans="1:3" x14ac:dyDescent="0.2">
      <c r="A1578" s="91" t="s">
        <v>1301</v>
      </c>
      <c r="B1578" s="92" t="s">
        <v>222</v>
      </c>
      <c r="C1578" s="111">
        <v>170000000</v>
      </c>
    </row>
    <row r="1579" spans="1:3" x14ac:dyDescent="0.2">
      <c r="A1579" s="91" t="s">
        <v>1942</v>
      </c>
      <c r="B1579" s="92" t="s">
        <v>222</v>
      </c>
      <c r="C1579" s="111">
        <v>100000000</v>
      </c>
    </row>
    <row r="1580" spans="1:3" x14ac:dyDescent="0.2">
      <c r="A1580" s="91" t="s">
        <v>1985</v>
      </c>
      <c r="B1580" s="92" t="s">
        <v>222</v>
      </c>
      <c r="C1580" s="111">
        <v>100000000</v>
      </c>
    </row>
    <row r="1581" spans="1:3" x14ac:dyDescent="0.2">
      <c r="A1581" s="91" t="s">
        <v>1930</v>
      </c>
      <c r="B1581" s="92" t="s">
        <v>222</v>
      </c>
      <c r="C1581" s="111">
        <v>25339056.670000002</v>
      </c>
    </row>
    <row r="1582" spans="1:3" x14ac:dyDescent="0.2">
      <c r="A1582" s="91" t="s">
        <v>1931</v>
      </c>
      <c r="B1582" s="92" t="s">
        <v>222</v>
      </c>
      <c r="C1582" s="111">
        <v>126379519.51000001</v>
      </c>
    </row>
    <row r="1583" spans="1:3" x14ac:dyDescent="0.2">
      <c r="A1583" s="91" t="s">
        <v>1265</v>
      </c>
      <c r="B1583" s="92" t="s">
        <v>268</v>
      </c>
      <c r="C1583" s="111">
        <v>8000000000</v>
      </c>
    </row>
    <row r="1584" spans="1:3" x14ac:dyDescent="0.2">
      <c r="A1584" s="91" t="s">
        <v>1834</v>
      </c>
      <c r="B1584" s="92" t="s">
        <v>222</v>
      </c>
      <c r="C1584" s="111">
        <v>409810000</v>
      </c>
    </row>
    <row r="1585" spans="1:3" x14ac:dyDescent="0.2">
      <c r="A1585" s="91" t="s">
        <v>887</v>
      </c>
      <c r="B1585" s="92" t="s">
        <v>268</v>
      </c>
      <c r="C1585" s="111">
        <v>8412658919.3699999</v>
      </c>
    </row>
    <row r="1586" spans="1:3" x14ac:dyDescent="0.2">
      <c r="A1586" s="91" t="s">
        <v>957</v>
      </c>
      <c r="B1586" s="92" t="s">
        <v>268</v>
      </c>
      <c r="C1586" s="111">
        <v>360540359.14999998</v>
      </c>
    </row>
    <row r="1587" spans="1:3" x14ac:dyDescent="0.2">
      <c r="A1587" s="91" t="s">
        <v>888</v>
      </c>
      <c r="B1587" s="92" t="s">
        <v>268</v>
      </c>
      <c r="C1587" s="111">
        <v>5956115629.3100004</v>
      </c>
    </row>
    <row r="1588" spans="1:3" x14ac:dyDescent="0.2">
      <c r="A1588" s="91" t="s">
        <v>930</v>
      </c>
      <c r="B1588" s="92" t="s">
        <v>270</v>
      </c>
      <c r="C1588" s="111">
        <v>3300030000</v>
      </c>
    </row>
    <row r="1589" spans="1:3" x14ac:dyDescent="0.2">
      <c r="A1589" s="91" t="s">
        <v>1835</v>
      </c>
      <c r="B1589" s="92" t="s">
        <v>222</v>
      </c>
      <c r="C1589" s="111">
        <v>975060457.61000001</v>
      </c>
    </row>
    <row r="1590" spans="1:3" x14ac:dyDescent="0.2">
      <c r="A1590" s="91" t="s">
        <v>978</v>
      </c>
      <c r="B1590" s="92" t="s">
        <v>268</v>
      </c>
      <c r="C1590" s="111">
        <v>9617493292.8299999</v>
      </c>
    </row>
    <row r="1591" spans="1:3" x14ac:dyDescent="0.2">
      <c r="A1591" s="91" t="s">
        <v>942</v>
      </c>
      <c r="B1591" s="92" t="s">
        <v>538</v>
      </c>
      <c r="C1591" s="111">
        <v>55000000</v>
      </c>
    </row>
    <row r="1592" spans="1:3" x14ac:dyDescent="0.2">
      <c r="A1592" s="91" t="s">
        <v>943</v>
      </c>
      <c r="B1592" s="92" t="s">
        <v>538</v>
      </c>
      <c r="C1592" s="111">
        <v>30000000</v>
      </c>
    </row>
    <row r="1593" spans="1:3" x14ac:dyDescent="0.2">
      <c r="A1593" s="91" t="s">
        <v>471</v>
      </c>
      <c r="B1593" s="92" t="s">
        <v>268</v>
      </c>
      <c r="C1593" s="111">
        <v>4029811555.9699998</v>
      </c>
    </row>
    <row r="1594" spans="1:3" x14ac:dyDescent="0.2">
      <c r="A1594" s="91" t="s">
        <v>470</v>
      </c>
      <c r="B1594" s="92" t="s">
        <v>268</v>
      </c>
      <c r="C1594" s="111">
        <v>3594156235.23</v>
      </c>
    </row>
    <row r="1595" spans="1:3" x14ac:dyDescent="0.2">
      <c r="A1595" s="91" t="s">
        <v>2028</v>
      </c>
      <c r="B1595" s="92" t="s">
        <v>270</v>
      </c>
      <c r="C1595" s="111">
        <v>933646500</v>
      </c>
    </row>
    <row r="1596" spans="1:3" x14ac:dyDescent="0.2">
      <c r="A1596" s="91" t="s">
        <v>2029</v>
      </c>
      <c r="B1596" s="92" t="s">
        <v>270</v>
      </c>
      <c r="C1596" s="111">
        <v>622431000</v>
      </c>
    </row>
    <row r="1597" spans="1:3" x14ac:dyDescent="0.2">
      <c r="A1597" s="91" t="s">
        <v>2030</v>
      </c>
      <c r="B1597" s="92" t="s">
        <v>270</v>
      </c>
      <c r="C1597" s="111">
        <v>311215500</v>
      </c>
    </row>
    <row r="1598" spans="1:3" x14ac:dyDescent="0.2">
      <c r="A1598" s="91" t="s">
        <v>2031</v>
      </c>
      <c r="B1598" s="92" t="s">
        <v>270</v>
      </c>
      <c r="C1598" s="111">
        <v>650000000</v>
      </c>
    </row>
    <row r="1599" spans="1:3" x14ac:dyDescent="0.2">
      <c r="A1599" s="91" t="s">
        <v>2078</v>
      </c>
      <c r="B1599" s="92" t="s">
        <v>270</v>
      </c>
      <c r="C1599" s="111">
        <v>1112993874.5999999</v>
      </c>
    </row>
    <row r="1600" spans="1:3" x14ac:dyDescent="0.2">
      <c r="A1600" s="91" t="s">
        <v>2079</v>
      </c>
      <c r="B1600" s="92" t="s">
        <v>270</v>
      </c>
      <c r="C1600" s="111">
        <v>7447666310.1000004</v>
      </c>
    </row>
    <row r="1601" spans="1:3" x14ac:dyDescent="0.2">
      <c r="A1601" s="91" t="s">
        <v>2080</v>
      </c>
      <c r="B1601" s="92" t="s">
        <v>270</v>
      </c>
      <c r="C1601" s="111">
        <v>100000000</v>
      </c>
    </row>
    <row r="1602" spans="1:3" x14ac:dyDescent="0.2">
      <c r="A1602" s="91" t="s">
        <v>1660</v>
      </c>
      <c r="B1602" s="92" t="s">
        <v>222</v>
      </c>
      <c r="C1602" s="111">
        <v>166003618.46000001</v>
      </c>
    </row>
    <row r="1603" spans="1:3" x14ac:dyDescent="0.2">
      <c r="A1603" s="91" t="s">
        <v>1836</v>
      </c>
      <c r="B1603" s="92" t="s">
        <v>222</v>
      </c>
      <c r="C1603" s="111">
        <v>33996381.539999999</v>
      </c>
    </row>
    <row r="1604" spans="1:3" x14ac:dyDescent="0.2">
      <c r="A1604" s="91" t="s">
        <v>1112</v>
      </c>
      <c r="B1604" s="92" t="s">
        <v>222</v>
      </c>
      <c r="C1604" s="111">
        <v>33000000</v>
      </c>
    </row>
    <row r="1605" spans="1:3" x14ac:dyDescent="0.2">
      <c r="A1605" s="91" t="s">
        <v>876</v>
      </c>
      <c r="B1605" s="92" t="s">
        <v>268</v>
      </c>
      <c r="C1605" s="111">
        <v>112200000000</v>
      </c>
    </row>
    <row r="1606" spans="1:3" x14ac:dyDescent="0.2">
      <c r="A1606" s="91" t="s">
        <v>1155</v>
      </c>
      <c r="B1606" s="92" t="s">
        <v>222</v>
      </c>
      <c r="C1606" s="111">
        <v>105000000</v>
      </c>
    </row>
    <row r="1607" spans="1:3" x14ac:dyDescent="0.2">
      <c r="A1607" s="91" t="s">
        <v>1736</v>
      </c>
      <c r="B1607" s="92" t="s">
        <v>222</v>
      </c>
      <c r="C1607" s="111">
        <v>76000000</v>
      </c>
    </row>
    <row r="1608" spans="1:3" x14ac:dyDescent="0.2">
      <c r="A1608" s="91" t="s">
        <v>1737</v>
      </c>
      <c r="B1608" s="92" t="s">
        <v>270</v>
      </c>
      <c r="C1608" s="111">
        <v>4132434483</v>
      </c>
    </row>
    <row r="1609" spans="1:3" x14ac:dyDescent="0.2">
      <c r="A1609" s="91" t="s">
        <v>1132</v>
      </c>
      <c r="B1609" s="92" t="s">
        <v>222</v>
      </c>
      <c r="C1609" s="111">
        <v>66999999.990000002</v>
      </c>
    </row>
    <row r="1610" spans="1:3" x14ac:dyDescent="0.2">
      <c r="A1610" s="91" t="s">
        <v>1133</v>
      </c>
      <c r="B1610" s="92" t="s">
        <v>222</v>
      </c>
      <c r="C1610" s="111">
        <v>142250000</v>
      </c>
    </row>
    <row r="1611" spans="1:3" x14ac:dyDescent="0.2">
      <c r="A1611" s="91" t="s">
        <v>2045</v>
      </c>
      <c r="B1611" s="92" t="s">
        <v>268</v>
      </c>
      <c r="C1611" s="111">
        <v>830007863.22000003</v>
      </c>
    </row>
    <row r="1612" spans="1:3" x14ac:dyDescent="0.2">
      <c r="A1612" s="91" t="s">
        <v>982</v>
      </c>
      <c r="B1612" s="92" t="s">
        <v>270</v>
      </c>
      <c r="C1612" s="111">
        <v>10007130</v>
      </c>
    </row>
    <row r="1613" spans="1:3" x14ac:dyDescent="0.2">
      <c r="A1613" s="91" t="s">
        <v>1889</v>
      </c>
      <c r="B1613" s="92" t="s">
        <v>222</v>
      </c>
      <c r="C1613" s="111">
        <v>83850000</v>
      </c>
    </row>
    <row r="1614" spans="1:3" x14ac:dyDescent="0.2">
      <c r="A1614" s="91" t="s">
        <v>1906</v>
      </c>
      <c r="B1614" s="92" t="s">
        <v>222</v>
      </c>
      <c r="C1614" s="111">
        <v>86250000</v>
      </c>
    </row>
    <row r="1615" spans="1:3" x14ac:dyDescent="0.2">
      <c r="A1615" s="91" t="s">
        <v>1089</v>
      </c>
      <c r="B1615" s="92" t="s">
        <v>268</v>
      </c>
      <c r="C1615" s="111">
        <v>3135000000</v>
      </c>
    </row>
    <row r="1616" spans="1:3" x14ac:dyDescent="0.2">
      <c r="A1616" s="91" t="s">
        <v>1337</v>
      </c>
      <c r="B1616" s="92" t="s">
        <v>222</v>
      </c>
      <c r="C1616" s="111">
        <v>925000000</v>
      </c>
    </row>
    <row r="1617" spans="1:3" x14ac:dyDescent="0.2">
      <c r="A1617" s="91" t="s">
        <v>1006</v>
      </c>
      <c r="B1617" s="92" t="s">
        <v>268</v>
      </c>
      <c r="C1617" s="111">
        <v>17179003200</v>
      </c>
    </row>
    <row r="1618" spans="1:3" x14ac:dyDescent="0.2">
      <c r="A1618" s="91" t="s">
        <v>994</v>
      </c>
      <c r="B1618" s="92" t="s">
        <v>268</v>
      </c>
      <c r="C1618" s="111">
        <v>9270982857.1499996</v>
      </c>
    </row>
    <row r="1619" spans="1:3" x14ac:dyDescent="0.2">
      <c r="A1619" s="91" t="s">
        <v>995</v>
      </c>
      <c r="B1619" s="92" t="s">
        <v>268</v>
      </c>
      <c r="C1619" s="111">
        <v>32023580000</v>
      </c>
    </row>
    <row r="1620" spans="1:3" x14ac:dyDescent="0.2">
      <c r="A1620" s="91" t="s">
        <v>1761</v>
      </c>
      <c r="B1620" s="92" t="s">
        <v>268</v>
      </c>
      <c r="C1620" s="111">
        <v>7500000000</v>
      </c>
    </row>
    <row r="1621" spans="1:3" x14ac:dyDescent="0.2">
      <c r="A1621" s="91" t="s">
        <v>1039</v>
      </c>
      <c r="B1621" s="92" t="s">
        <v>538</v>
      </c>
      <c r="C1621" s="111">
        <v>73621324.069999993</v>
      </c>
    </row>
    <row r="1622" spans="1:3" x14ac:dyDescent="0.2">
      <c r="A1622" s="91" t="s">
        <v>1007</v>
      </c>
      <c r="B1622" s="92" t="s">
        <v>538</v>
      </c>
      <c r="C1622" s="111">
        <v>59999632</v>
      </c>
    </row>
    <row r="1623" spans="1:3" x14ac:dyDescent="0.2">
      <c r="A1623" s="91" t="s">
        <v>1038</v>
      </c>
      <c r="B1623" s="92" t="s">
        <v>538</v>
      </c>
      <c r="C1623" s="111">
        <v>81750521.269999996</v>
      </c>
    </row>
    <row r="1624" spans="1:3" x14ac:dyDescent="0.2">
      <c r="A1624" s="91" t="s">
        <v>1008</v>
      </c>
      <c r="B1624" s="92" t="s">
        <v>538</v>
      </c>
      <c r="C1624" s="111">
        <v>59999412</v>
      </c>
    </row>
    <row r="1625" spans="1:3" x14ac:dyDescent="0.2">
      <c r="A1625" s="91" t="s">
        <v>1010</v>
      </c>
      <c r="B1625" s="92" t="s">
        <v>538</v>
      </c>
      <c r="C1625" s="111">
        <v>27345825.84</v>
      </c>
    </row>
    <row r="1626" spans="1:3" x14ac:dyDescent="0.2">
      <c r="A1626" s="91" t="s">
        <v>1011</v>
      </c>
      <c r="B1626" s="92" t="s">
        <v>538</v>
      </c>
      <c r="C1626" s="111">
        <v>59985932</v>
      </c>
    </row>
    <row r="1627" spans="1:3" x14ac:dyDescent="0.2">
      <c r="A1627" s="91" t="s">
        <v>1040</v>
      </c>
      <c r="B1627" s="92" t="s">
        <v>538</v>
      </c>
      <c r="C1627" s="111">
        <v>59999550</v>
      </c>
    </row>
    <row r="1628" spans="1:3" x14ac:dyDescent="0.2">
      <c r="A1628" s="91" t="s">
        <v>1679</v>
      </c>
      <c r="B1628" s="92" t="s">
        <v>222</v>
      </c>
      <c r="C1628" s="111">
        <v>437900000</v>
      </c>
    </row>
    <row r="1629" spans="1:3" x14ac:dyDescent="0.2">
      <c r="A1629" s="91" t="s">
        <v>1485</v>
      </c>
      <c r="B1629" s="92" t="s">
        <v>222</v>
      </c>
      <c r="C1629" s="111">
        <v>79900000</v>
      </c>
    </row>
    <row r="1630" spans="1:3" x14ac:dyDescent="0.2">
      <c r="A1630" s="91" t="s">
        <v>1911</v>
      </c>
      <c r="B1630" s="92" t="s">
        <v>222</v>
      </c>
      <c r="C1630" s="111">
        <v>90511645.170000002</v>
      </c>
    </row>
    <row r="1631" spans="1:3" x14ac:dyDescent="0.2">
      <c r="A1631" s="91" t="s">
        <v>1370</v>
      </c>
      <c r="B1631" s="92" t="s">
        <v>222</v>
      </c>
      <c r="C1631" s="111">
        <v>105000000</v>
      </c>
    </row>
    <row r="1632" spans="1:3" x14ac:dyDescent="0.2">
      <c r="A1632" s="91" t="s">
        <v>1764</v>
      </c>
      <c r="B1632" s="92" t="s">
        <v>222</v>
      </c>
      <c r="C1632" s="111">
        <v>125000000</v>
      </c>
    </row>
    <row r="1633" spans="1:3" x14ac:dyDescent="0.2">
      <c r="A1633" s="91" t="s">
        <v>1058</v>
      </c>
      <c r="B1633" s="92" t="s">
        <v>268</v>
      </c>
      <c r="C1633" s="111">
        <v>33883429774.68</v>
      </c>
    </row>
    <row r="1634" spans="1:3" x14ac:dyDescent="0.2">
      <c r="A1634" s="91" t="s">
        <v>1059</v>
      </c>
      <c r="B1634" s="92" t="s">
        <v>268</v>
      </c>
      <c r="C1634" s="111">
        <v>62409667004.650002</v>
      </c>
    </row>
    <row r="1635" spans="1:3" x14ac:dyDescent="0.2">
      <c r="A1635" s="91" t="s">
        <v>1818</v>
      </c>
      <c r="B1635" s="92" t="s">
        <v>222</v>
      </c>
      <c r="C1635" s="111">
        <v>5901392.21</v>
      </c>
    </row>
    <row r="1636" spans="1:3" x14ac:dyDescent="0.2">
      <c r="A1636" s="91" t="s">
        <v>2033</v>
      </c>
      <c r="B1636" s="92" t="s">
        <v>222</v>
      </c>
      <c r="C1636" s="111">
        <v>6455197.6900000004</v>
      </c>
    </row>
    <row r="1637" spans="1:3" x14ac:dyDescent="0.2">
      <c r="A1637" s="91" t="s">
        <v>1138</v>
      </c>
      <c r="B1637" s="92" t="s">
        <v>222</v>
      </c>
      <c r="C1637" s="111">
        <v>23538485.920000002</v>
      </c>
    </row>
    <row r="1638" spans="1:3" x14ac:dyDescent="0.2">
      <c r="A1638" s="91" t="s">
        <v>1139</v>
      </c>
      <c r="B1638" s="92" t="s">
        <v>222</v>
      </c>
      <c r="C1638" s="111">
        <v>357096061.24000001</v>
      </c>
    </row>
    <row r="1639" spans="1:3" x14ac:dyDescent="0.2">
      <c r="A1639" s="91" t="s">
        <v>1455</v>
      </c>
      <c r="B1639" s="92" t="s">
        <v>222</v>
      </c>
      <c r="C1639" s="111">
        <v>92959768.140000001</v>
      </c>
    </row>
    <row r="1640" spans="1:3" x14ac:dyDescent="0.2">
      <c r="A1640" s="91" t="s">
        <v>1974</v>
      </c>
      <c r="B1640" s="92" t="s">
        <v>222</v>
      </c>
      <c r="C1640" s="111">
        <v>100000000</v>
      </c>
    </row>
    <row r="1641" spans="1:3" x14ac:dyDescent="0.2">
      <c r="A1641" s="91" t="s">
        <v>1376</v>
      </c>
      <c r="B1641" s="92" t="s">
        <v>222</v>
      </c>
      <c r="C1641" s="111">
        <v>133600000</v>
      </c>
    </row>
    <row r="1642" spans="1:3" x14ac:dyDescent="0.2">
      <c r="A1642" s="91" t="s">
        <v>1946</v>
      </c>
      <c r="B1642" s="92" t="s">
        <v>222</v>
      </c>
      <c r="C1642" s="111">
        <v>1530000000</v>
      </c>
    </row>
    <row r="1643" spans="1:3" x14ac:dyDescent="0.2">
      <c r="A1643" s="91" t="s">
        <v>1129</v>
      </c>
      <c r="B1643" s="92" t="s">
        <v>222</v>
      </c>
      <c r="C1643" s="111">
        <v>500000000</v>
      </c>
    </row>
    <row r="1644" spans="1:3" x14ac:dyDescent="0.2">
      <c r="A1644" s="91" t="s">
        <v>1377</v>
      </c>
      <c r="B1644" s="92" t="s">
        <v>222</v>
      </c>
      <c r="C1644" s="111">
        <v>396000000</v>
      </c>
    </row>
    <row r="1645" spans="1:3" x14ac:dyDescent="0.2">
      <c r="A1645" s="91" t="s">
        <v>1017</v>
      </c>
      <c r="B1645" s="92" t="s">
        <v>538</v>
      </c>
      <c r="C1645" s="111">
        <v>39500000</v>
      </c>
    </row>
    <row r="1646" spans="1:3" x14ac:dyDescent="0.2">
      <c r="A1646" s="91" t="s">
        <v>1738</v>
      </c>
      <c r="B1646" s="92" t="s">
        <v>268</v>
      </c>
      <c r="C1646" s="111">
        <v>13000000</v>
      </c>
    </row>
    <row r="1647" spans="1:3" x14ac:dyDescent="0.2">
      <c r="A1647" s="91" t="s">
        <v>1779</v>
      </c>
      <c r="B1647" s="92" t="s">
        <v>268</v>
      </c>
      <c r="C1647" s="111">
        <v>54000000</v>
      </c>
    </row>
    <row r="1648" spans="1:3" x14ac:dyDescent="0.2">
      <c r="A1648" s="91" t="s">
        <v>1837</v>
      </c>
      <c r="B1648" s="92" t="s">
        <v>268</v>
      </c>
      <c r="C1648" s="111">
        <v>93199656.560000002</v>
      </c>
    </row>
    <row r="1649" spans="1:3" x14ac:dyDescent="0.2">
      <c r="A1649" s="91" t="s">
        <v>1944</v>
      </c>
      <c r="B1649" s="92" t="s">
        <v>268</v>
      </c>
      <c r="C1649" s="111">
        <v>50000000</v>
      </c>
    </row>
    <row r="1650" spans="1:3" x14ac:dyDescent="0.2">
      <c r="A1650" s="91" t="s">
        <v>1206</v>
      </c>
      <c r="B1650" s="92" t="s">
        <v>222</v>
      </c>
      <c r="C1650" s="111">
        <v>100000000</v>
      </c>
    </row>
    <row r="1651" spans="1:3" x14ac:dyDescent="0.2">
      <c r="A1651" s="91" t="s">
        <v>1282</v>
      </c>
      <c r="B1651" s="92" t="s">
        <v>222</v>
      </c>
      <c r="C1651" s="111">
        <v>100000000</v>
      </c>
    </row>
    <row r="1652" spans="1:3" x14ac:dyDescent="0.2">
      <c r="A1652" s="91" t="s">
        <v>1186</v>
      </c>
      <c r="B1652" s="92" t="s">
        <v>268</v>
      </c>
      <c r="C1652" s="111">
        <v>799999833.01999998</v>
      </c>
    </row>
    <row r="1653" spans="1:3" x14ac:dyDescent="0.2">
      <c r="A1653" s="91" t="s">
        <v>1456</v>
      </c>
      <c r="B1653" s="92" t="s">
        <v>268</v>
      </c>
      <c r="C1653" s="111">
        <v>199995631.03</v>
      </c>
    </row>
    <row r="1654" spans="1:3" x14ac:dyDescent="0.2">
      <c r="A1654" s="91" t="s">
        <v>1512</v>
      </c>
      <c r="B1654" s="92" t="s">
        <v>268</v>
      </c>
      <c r="C1654" s="111">
        <v>2000000000</v>
      </c>
    </row>
    <row r="1655" spans="1:3" x14ac:dyDescent="0.2">
      <c r="A1655" s="91" t="s">
        <v>1895</v>
      </c>
      <c r="B1655" s="92" t="s">
        <v>222</v>
      </c>
      <c r="C1655" s="111">
        <v>99388643.459999993</v>
      </c>
    </row>
    <row r="1656" spans="1:3" x14ac:dyDescent="0.2">
      <c r="A1656" s="91" t="s">
        <v>1257</v>
      </c>
      <c r="B1656" s="92" t="s">
        <v>268</v>
      </c>
      <c r="C1656" s="111">
        <v>6479073688.5</v>
      </c>
    </row>
    <row r="1657" spans="1:3" x14ac:dyDescent="0.2">
      <c r="A1657" s="91" t="s">
        <v>1258</v>
      </c>
      <c r="B1657" s="92" t="s">
        <v>222</v>
      </c>
      <c r="C1657" s="111">
        <v>74188000</v>
      </c>
    </row>
    <row r="1658" spans="1:3" x14ac:dyDescent="0.2">
      <c r="A1658" s="91" t="s">
        <v>1447</v>
      </c>
      <c r="B1658" s="92" t="s">
        <v>222</v>
      </c>
      <c r="C1658" s="111">
        <v>33000000</v>
      </c>
    </row>
    <row r="1659" spans="1:3" x14ac:dyDescent="0.2">
      <c r="A1659" s="91" t="s">
        <v>2052</v>
      </c>
      <c r="B1659" s="92" t="s">
        <v>222</v>
      </c>
      <c r="C1659" s="111">
        <v>24000000</v>
      </c>
    </row>
    <row r="1660" spans="1:3" x14ac:dyDescent="0.2">
      <c r="A1660" s="91" t="s">
        <v>1113</v>
      </c>
      <c r="B1660" s="92" t="s">
        <v>222</v>
      </c>
      <c r="C1660" s="111">
        <v>529000000</v>
      </c>
    </row>
    <row r="1661" spans="1:3" x14ac:dyDescent="0.2">
      <c r="A1661" s="91" t="s">
        <v>1966</v>
      </c>
      <c r="B1661" s="92" t="s">
        <v>268</v>
      </c>
      <c r="C1661" s="111">
        <v>1630000000</v>
      </c>
    </row>
    <row r="1662" spans="1:3" x14ac:dyDescent="0.2">
      <c r="A1662" s="91" t="s">
        <v>1267</v>
      </c>
      <c r="B1662" s="92" t="s">
        <v>268</v>
      </c>
      <c r="C1662" s="111">
        <v>7561307649.54</v>
      </c>
    </row>
    <row r="1663" spans="1:3" x14ac:dyDescent="0.2">
      <c r="A1663" s="91" t="s">
        <v>1266</v>
      </c>
      <c r="B1663" s="92" t="s">
        <v>268</v>
      </c>
      <c r="C1663" s="111">
        <v>7431937285.5</v>
      </c>
    </row>
    <row r="1664" spans="1:3" x14ac:dyDescent="0.2">
      <c r="A1664" s="91" t="s">
        <v>1306</v>
      </c>
      <c r="B1664" s="92" t="s">
        <v>268</v>
      </c>
      <c r="C1664" s="111">
        <v>598910697</v>
      </c>
    </row>
    <row r="1665" spans="1:3" x14ac:dyDescent="0.2">
      <c r="A1665" s="91" t="s">
        <v>1207</v>
      </c>
      <c r="B1665" s="92" t="s">
        <v>222</v>
      </c>
      <c r="C1665" s="111">
        <v>300000000</v>
      </c>
    </row>
    <row r="1666" spans="1:3" x14ac:dyDescent="0.2">
      <c r="A1666" s="91" t="s">
        <v>1145</v>
      </c>
      <c r="B1666" s="92" t="s">
        <v>538</v>
      </c>
      <c r="C1666" s="111">
        <v>7685800.9699999997</v>
      </c>
    </row>
    <row r="1667" spans="1:3" x14ac:dyDescent="0.2">
      <c r="A1667" s="91" t="s">
        <v>1146</v>
      </c>
      <c r="B1667" s="92" t="s">
        <v>538</v>
      </c>
      <c r="C1667" s="111">
        <v>106000000</v>
      </c>
    </row>
    <row r="1668" spans="1:3" x14ac:dyDescent="0.2">
      <c r="A1668" s="91" t="s">
        <v>1147</v>
      </c>
      <c r="B1668" s="92" t="s">
        <v>538</v>
      </c>
      <c r="C1668" s="111">
        <v>12000000</v>
      </c>
    </row>
    <row r="1669" spans="1:3" x14ac:dyDescent="0.2">
      <c r="A1669" s="91" t="s">
        <v>1148</v>
      </c>
      <c r="B1669" s="92" t="s">
        <v>538</v>
      </c>
      <c r="C1669" s="111">
        <v>65000000</v>
      </c>
    </row>
    <row r="1670" spans="1:3" x14ac:dyDescent="0.2">
      <c r="A1670" s="91" t="s">
        <v>1149</v>
      </c>
      <c r="B1670" s="92" t="s">
        <v>538</v>
      </c>
      <c r="C1670" s="111">
        <v>8700000</v>
      </c>
    </row>
    <row r="1671" spans="1:3" x14ac:dyDescent="0.2">
      <c r="A1671" s="91" t="s">
        <v>1150</v>
      </c>
      <c r="B1671" s="92" t="s">
        <v>538</v>
      </c>
      <c r="C1671" s="111">
        <v>120000000</v>
      </c>
    </row>
    <row r="1672" spans="1:3" x14ac:dyDescent="0.2">
      <c r="A1672" s="91" t="s">
        <v>1151</v>
      </c>
      <c r="B1672" s="92" t="s">
        <v>538</v>
      </c>
      <c r="C1672" s="111">
        <v>19600000</v>
      </c>
    </row>
    <row r="1673" spans="1:3" x14ac:dyDescent="0.2">
      <c r="A1673" s="91" t="s">
        <v>1152</v>
      </c>
      <c r="B1673" s="92" t="s">
        <v>538</v>
      </c>
      <c r="C1673" s="111">
        <v>30000000</v>
      </c>
    </row>
    <row r="1674" spans="1:3" x14ac:dyDescent="0.2">
      <c r="A1674" s="91" t="s">
        <v>1153</v>
      </c>
      <c r="B1674" s="92" t="s">
        <v>538</v>
      </c>
      <c r="C1674" s="111">
        <v>68700000</v>
      </c>
    </row>
    <row r="1675" spans="1:3" x14ac:dyDescent="0.2">
      <c r="A1675" s="91" t="s">
        <v>1154</v>
      </c>
      <c r="B1675" s="92" t="s">
        <v>538</v>
      </c>
      <c r="C1675" s="111">
        <v>100000000</v>
      </c>
    </row>
    <row r="1676" spans="1:3" x14ac:dyDescent="0.2">
      <c r="A1676" s="91" t="s">
        <v>1680</v>
      </c>
      <c r="B1676" s="92" t="s">
        <v>268</v>
      </c>
      <c r="C1676" s="111">
        <v>1818063955</v>
      </c>
    </row>
    <row r="1677" spans="1:3" x14ac:dyDescent="0.2">
      <c r="A1677" s="91" t="s">
        <v>1739</v>
      </c>
      <c r="B1677" s="92" t="s">
        <v>268</v>
      </c>
      <c r="C1677" s="111">
        <v>268209000</v>
      </c>
    </row>
    <row r="1678" spans="1:3" x14ac:dyDescent="0.2">
      <c r="A1678" s="91" t="s">
        <v>1269</v>
      </c>
      <c r="B1678" s="92" t="s">
        <v>268</v>
      </c>
      <c r="C1678" s="111">
        <v>34315319.579999998</v>
      </c>
    </row>
    <row r="1679" spans="1:3" x14ac:dyDescent="0.2">
      <c r="A1679" s="91" t="s">
        <v>1740</v>
      </c>
      <c r="B1679" s="92" t="s">
        <v>222</v>
      </c>
      <c r="C1679" s="111">
        <v>71660649.769999996</v>
      </c>
    </row>
    <row r="1680" spans="1:3" x14ac:dyDescent="0.2">
      <c r="A1680" s="91" t="s">
        <v>1919</v>
      </c>
      <c r="B1680" s="92" t="s">
        <v>222</v>
      </c>
      <c r="C1680" s="111">
        <v>154806383.13999999</v>
      </c>
    </row>
    <row r="1681" spans="1:3" x14ac:dyDescent="0.2">
      <c r="A1681" s="91" t="s">
        <v>1311</v>
      </c>
      <c r="B1681" s="92" t="s">
        <v>222</v>
      </c>
      <c r="C1681" s="111">
        <v>73169614.5</v>
      </c>
    </row>
    <row r="1682" spans="1:3" x14ac:dyDescent="0.2">
      <c r="A1682" s="91" t="s">
        <v>1395</v>
      </c>
      <c r="B1682" s="92" t="s">
        <v>268</v>
      </c>
      <c r="C1682" s="111">
        <v>10000000000</v>
      </c>
    </row>
    <row r="1683" spans="1:3" x14ac:dyDescent="0.2">
      <c r="A1683" s="91" t="s">
        <v>1213</v>
      </c>
      <c r="B1683" s="92" t="s">
        <v>222</v>
      </c>
      <c r="C1683" s="111">
        <v>154713385.31999999</v>
      </c>
    </row>
    <row r="1684" spans="1:3" x14ac:dyDescent="0.2">
      <c r="A1684" s="91" t="s">
        <v>1224</v>
      </c>
      <c r="B1684" s="92" t="s">
        <v>268</v>
      </c>
      <c r="C1684" s="111">
        <v>15000000000</v>
      </c>
    </row>
    <row r="1685" spans="1:3" x14ac:dyDescent="0.2">
      <c r="A1685" s="91" t="s">
        <v>1140</v>
      </c>
      <c r="B1685" s="92" t="s">
        <v>538</v>
      </c>
      <c r="C1685" s="111">
        <v>93332322.090000004</v>
      </c>
    </row>
    <row r="1686" spans="1:3" x14ac:dyDescent="0.2">
      <c r="A1686" s="91" t="s">
        <v>1141</v>
      </c>
      <c r="B1686" s="92" t="s">
        <v>538</v>
      </c>
      <c r="C1686" s="111">
        <v>87200000</v>
      </c>
    </row>
    <row r="1687" spans="1:3" x14ac:dyDescent="0.2">
      <c r="A1687" s="91" t="s">
        <v>1143</v>
      </c>
      <c r="B1687" s="92" t="s">
        <v>538</v>
      </c>
      <c r="C1687" s="111">
        <v>47590820.270000003</v>
      </c>
    </row>
    <row r="1688" spans="1:3" x14ac:dyDescent="0.2">
      <c r="A1688" s="91" t="s">
        <v>1144</v>
      </c>
      <c r="B1688" s="92" t="s">
        <v>538</v>
      </c>
      <c r="C1688" s="111">
        <v>47638458.740000002</v>
      </c>
    </row>
    <row r="1689" spans="1:3" x14ac:dyDescent="0.2">
      <c r="A1689" s="91" t="s">
        <v>1390</v>
      </c>
      <c r="B1689" s="92" t="s">
        <v>538</v>
      </c>
      <c r="C1689" s="111">
        <v>12363834.369999999</v>
      </c>
    </row>
    <row r="1690" spans="1:3" x14ac:dyDescent="0.2">
      <c r="A1690" s="91" t="s">
        <v>1285</v>
      </c>
      <c r="B1690" s="92" t="s">
        <v>222</v>
      </c>
      <c r="C1690" s="111">
        <v>8838048.25</v>
      </c>
    </row>
    <row r="1691" spans="1:3" x14ac:dyDescent="0.2">
      <c r="A1691" s="91" t="s">
        <v>1214</v>
      </c>
      <c r="B1691" s="92" t="s">
        <v>222</v>
      </c>
      <c r="C1691" s="111">
        <v>244535969.78</v>
      </c>
    </row>
    <row r="1692" spans="1:3" x14ac:dyDescent="0.2">
      <c r="A1692" s="91" t="s">
        <v>1495</v>
      </c>
      <c r="B1692" s="92" t="s">
        <v>222</v>
      </c>
      <c r="C1692" s="111">
        <v>95023505.879999995</v>
      </c>
    </row>
    <row r="1693" spans="1:3" x14ac:dyDescent="0.2">
      <c r="A1693" s="91" t="s">
        <v>2023</v>
      </c>
      <c r="B1693" s="92" t="s">
        <v>222</v>
      </c>
      <c r="C1693" s="111">
        <v>29981454.030000001</v>
      </c>
    </row>
    <row r="1694" spans="1:3" x14ac:dyDescent="0.2">
      <c r="A1694" s="91" t="s">
        <v>1272</v>
      </c>
      <c r="B1694" s="92" t="s">
        <v>222</v>
      </c>
      <c r="C1694" s="111">
        <v>150000000</v>
      </c>
    </row>
    <row r="1695" spans="1:3" x14ac:dyDescent="0.2">
      <c r="A1695" s="91" t="s">
        <v>1396</v>
      </c>
      <c r="B1695" s="92" t="s">
        <v>222</v>
      </c>
      <c r="C1695" s="111">
        <v>110113789.14</v>
      </c>
    </row>
    <row r="1696" spans="1:3" x14ac:dyDescent="0.2">
      <c r="A1696" s="91" t="s">
        <v>1225</v>
      </c>
      <c r="B1696" s="92" t="s">
        <v>538</v>
      </c>
      <c r="C1696" s="111">
        <v>143056275.72</v>
      </c>
    </row>
    <row r="1697" spans="1:3" x14ac:dyDescent="0.2">
      <c r="A1697" s="91" t="s">
        <v>1226</v>
      </c>
      <c r="B1697" s="92" t="s">
        <v>538</v>
      </c>
      <c r="C1697" s="111">
        <v>28449382.809999999</v>
      </c>
    </row>
    <row r="1698" spans="1:3" x14ac:dyDescent="0.2">
      <c r="A1698" s="91" t="s">
        <v>1227</v>
      </c>
      <c r="B1698" s="92" t="s">
        <v>538</v>
      </c>
      <c r="C1698" s="111">
        <v>53869842.369999997</v>
      </c>
    </row>
    <row r="1699" spans="1:3" x14ac:dyDescent="0.2">
      <c r="A1699" s="91" t="s">
        <v>1228</v>
      </c>
      <c r="B1699" s="92" t="s">
        <v>538</v>
      </c>
      <c r="C1699" s="111">
        <v>53869843.549999997</v>
      </c>
    </row>
    <row r="1700" spans="1:3" x14ac:dyDescent="0.2">
      <c r="A1700" s="91" t="s">
        <v>1229</v>
      </c>
      <c r="B1700" s="92" t="s">
        <v>538</v>
      </c>
      <c r="C1700" s="111">
        <v>93028307.920000002</v>
      </c>
    </row>
    <row r="1701" spans="1:3" x14ac:dyDescent="0.2">
      <c r="A1701" s="91" t="s">
        <v>1230</v>
      </c>
      <c r="B1701" s="92" t="s">
        <v>538</v>
      </c>
      <c r="C1701" s="111">
        <v>65464180.689999998</v>
      </c>
    </row>
    <row r="1702" spans="1:3" x14ac:dyDescent="0.2">
      <c r="A1702" s="91" t="s">
        <v>1259</v>
      </c>
      <c r="B1702" s="92" t="s">
        <v>538</v>
      </c>
      <c r="C1702" s="111">
        <v>68201743.989999995</v>
      </c>
    </row>
    <row r="1703" spans="1:3" x14ac:dyDescent="0.2">
      <c r="A1703" s="91" t="s">
        <v>1260</v>
      </c>
      <c r="B1703" s="92" t="s">
        <v>538</v>
      </c>
      <c r="C1703" s="111">
        <v>110105334.98999999</v>
      </c>
    </row>
    <row r="1704" spans="1:3" x14ac:dyDescent="0.2">
      <c r="A1704" s="91" t="s">
        <v>1261</v>
      </c>
      <c r="B1704" s="92" t="s">
        <v>538</v>
      </c>
      <c r="C1704" s="111">
        <v>31806224.93</v>
      </c>
    </row>
    <row r="1705" spans="1:3" x14ac:dyDescent="0.2">
      <c r="A1705" s="91" t="s">
        <v>1273</v>
      </c>
      <c r="B1705" s="92" t="s">
        <v>538</v>
      </c>
      <c r="C1705" s="111">
        <v>154032163.94</v>
      </c>
    </row>
    <row r="1706" spans="1:3" x14ac:dyDescent="0.2">
      <c r="A1706" s="91" t="s">
        <v>1274</v>
      </c>
      <c r="B1706" s="92" t="s">
        <v>538</v>
      </c>
      <c r="C1706" s="111">
        <v>20674487.620000001</v>
      </c>
    </row>
    <row r="1707" spans="1:3" x14ac:dyDescent="0.2">
      <c r="A1707" s="91" t="s">
        <v>1278</v>
      </c>
      <c r="B1707" s="92" t="s">
        <v>538</v>
      </c>
      <c r="C1707" s="111">
        <v>20123452.59</v>
      </c>
    </row>
    <row r="1708" spans="1:3" x14ac:dyDescent="0.2">
      <c r="A1708" s="91" t="s">
        <v>1295</v>
      </c>
      <c r="B1708" s="92" t="s">
        <v>538</v>
      </c>
      <c r="C1708" s="111">
        <v>5155140.33</v>
      </c>
    </row>
    <row r="1709" spans="1:3" x14ac:dyDescent="0.2">
      <c r="A1709" s="91" t="s">
        <v>1307</v>
      </c>
      <c r="B1709" s="92" t="s">
        <v>538</v>
      </c>
      <c r="C1709" s="111">
        <v>1009842.45</v>
      </c>
    </row>
    <row r="1710" spans="1:3" x14ac:dyDescent="0.2">
      <c r="A1710" s="91" t="s">
        <v>1296</v>
      </c>
      <c r="B1710" s="92" t="s">
        <v>268</v>
      </c>
      <c r="C1710" s="111">
        <v>923076923.07000005</v>
      </c>
    </row>
    <row r="1711" spans="1:3" x14ac:dyDescent="0.2">
      <c r="A1711" s="91" t="s">
        <v>1437</v>
      </c>
      <c r="B1711" s="92" t="s">
        <v>268</v>
      </c>
      <c r="C1711" s="111">
        <v>500000000</v>
      </c>
    </row>
    <row r="1712" spans="1:3" x14ac:dyDescent="0.2">
      <c r="A1712" s="91" t="s">
        <v>1286</v>
      </c>
      <c r="B1712" s="92" t="s">
        <v>222</v>
      </c>
      <c r="C1712" s="111">
        <v>57926360.710000001</v>
      </c>
    </row>
    <row r="1713" spans="1:3" x14ac:dyDescent="0.2">
      <c r="A1713" s="91" t="s">
        <v>1340</v>
      </c>
      <c r="B1713" s="92" t="s">
        <v>222</v>
      </c>
      <c r="C1713" s="111">
        <v>37000000</v>
      </c>
    </row>
    <row r="1714" spans="1:3" x14ac:dyDescent="0.2">
      <c r="A1714" s="91" t="s">
        <v>1652</v>
      </c>
      <c r="B1714" s="92" t="s">
        <v>268</v>
      </c>
      <c r="C1714" s="111">
        <v>58105452000</v>
      </c>
    </row>
    <row r="1715" spans="1:3" x14ac:dyDescent="0.2">
      <c r="A1715" s="91" t="s">
        <v>1653</v>
      </c>
      <c r="B1715" s="92" t="s">
        <v>268</v>
      </c>
      <c r="C1715" s="111">
        <v>25263240000</v>
      </c>
    </row>
    <row r="1716" spans="1:3" x14ac:dyDescent="0.2">
      <c r="A1716" s="91" t="s">
        <v>1654</v>
      </c>
      <c r="B1716" s="92" t="s">
        <v>268</v>
      </c>
      <c r="C1716" s="111">
        <v>15789525000</v>
      </c>
    </row>
    <row r="1717" spans="1:3" x14ac:dyDescent="0.2">
      <c r="A1717" s="91" t="s">
        <v>1489</v>
      </c>
      <c r="B1717" s="92" t="s">
        <v>1668</v>
      </c>
      <c r="C1717" s="111">
        <v>99480000</v>
      </c>
    </row>
    <row r="1718" spans="1:3" x14ac:dyDescent="0.2">
      <c r="A1718" s="91" t="s">
        <v>1490</v>
      </c>
      <c r="B1718" s="92" t="s">
        <v>1668</v>
      </c>
      <c r="C1718" s="111">
        <v>48900000</v>
      </c>
    </row>
    <row r="1719" spans="1:3" x14ac:dyDescent="0.2">
      <c r="A1719" s="91" t="s">
        <v>1215</v>
      </c>
      <c r="B1719" s="92" t="s">
        <v>538</v>
      </c>
      <c r="C1719" s="111">
        <v>49994203.729999997</v>
      </c>
    </row>
    <row r="1720" spans="1:3" x14ac:dyDescent="0.2">
      <c r="A1720" s="91" t="s">
        <v>1216</v>
      </c>
      <c r="B1720" s="92" t="s">
        <v>538</v>
      </c>
      <c r="C1720" s="111">
        <v>238707279.13999999</v>
      </c>
    </row>
    <row r="1721" spans="1:3" x14ac:dyDescent="0.2">
      <c r="A1721" s="91" t="s">
        <v>1217</v>
      </c>
      <c r="B1721" s="92" t="s">
        <v>538</v>
      </c>
      <c r="C1721" s="111">
        <v>166400000</v>
      </c>
    </row>
    <row r="1722" spans="1:3" x14ac:dyDescent="0.2">
      <c r="A1722" s="91" t="s">
        <v>1366</v>
      </c>
      <c r="B1722" s="92" t="s">
        <v>222</v>
      </c>
      <c r="C1722" s="111">
        <v>300000000</v>
      </c>
    </row>
    <row r="1723" spans="1:3" x14ac:dyDescent="0.2">
      <c r="A1723" s="91" t="s">
        <v>1907</v>
      </c>
      <c r="B1723" s="92" t="s">
        <v>222</v>
      </c>
      <c r="C1723" s="111">
        <v>250000000</v>
      </c>
    </row>
    <row r="1724" spans="1:3" x14ac:dyDescent="0.2">
      <c r="A1724" s="91" t="s">
        <v>1636</v>
      </c>
      <c r="B1724" s="92" t="s">
        <v>222</v>
      </c>
      <c r="C1724" s="111">
        <v>210997024.80000001</v>
      </c>
    </row>
    <row r="1725" spans="1:3" x14ac:dyDescent="0.2">
      <c r="A1725" s="91" t="s">
        <v>2081</v>
      </c>
      <c r="B1725" s="92" t="s">
        <v>268</v>
      </c>
      <c r="C1725" s="111">
        <v>20842173000</v>
      </c>
    </row>
    <row r="1726" spans="1:3" x14ac:dyDescent="0.2">
      <c r="A1726" s="91" t="s">
        <v>1637</v>
      </c>
      <c r="B1726" s="92" t="s">
        <v>268</v>
      </c>
      <c r="C1726" s="111">
        <v>3000000000</v>
      </c>
    </row>
    <row r="1727" spans="1:3" x14ac:dyDescent="0.2">
      <c r="A1727" s="91" t="s">
        <v>1649</v>
      </c>
      <c r="B1727" s="92" t="s">
        <v>268</v>
      </c>
      <c r="C1727" s="111">
        <v>1000000000</v>
      </c>
    </row>
    <row r="1728" spans="1:3" x14ac:dyDescent="0.2">
      <c r="A1728" s="91" t="s">
        <v>1661</v>
      </c>
      <c r="B1728" s="92" t="s">
        <v>268</v>
      </c>
      <c r="C1728" s="111">
        <v>1600000000</v>
      </c>
    </row>
    <row r="1729" spans="1:3" x14ac:dyDescent="0.2">
      <c r="A1729" s="91" t="s">
        <v>1664</v>
      </c>
      <c r="B1729" s="92" t="s">
        <v>268</v>
      </c>
      <c r="C1729" s="111">
        <v>1500000000</v>
      </c>
    </row>
    <row r="1730" spans="1:3" x14ac:dyDescent="0.2">
      <c r="A1730" s="91" t="s">
        <v>1561</v>
      </c>
      <c r="B1730" s="92" t="s">
        <v>268</v>
      </c>
      <c r="C1730" s="111">
        <v>6451785487.1300001</v>
      </c>
    </row>
    <row r="1731" spans="1:3" x14ac:dyDescent="0.2">
      <c r="A1731" s="91" t="s">
        <v>1662</v>
      </c>
      <c r="B1731" s="92" t="s">
        <v>268</v>
      </c>
      <c r="C1731" s="111">
        <v>270000000</v>
      </c>
    </row>
    <row r="1732" spans="1:3" x14ac:dyDescent="0.2">
      <c r="A1732" s="91" t="s">
        <v>1663</v>
      </c>
      <c r="B1732" s="92" t="s">
        <v>268</v>
      </c>
      <c r="C1732" s="111">
        <v>630000000</v>
      </c>
    </row>
    <row r="1733" spans="1:3" x14ac:dyDescent="0.2">
      <c r="A1733" s="91" t="s">
        <v>1741</v>
      </c>
      <c r="B1733" s="92" t="s">
        <v>222</v>
      </c>
      <c r="C1733" s="111">
        <v>24873149.289999999</v>
      </c>
    </row>
    <row r="1734" spans="1:3" x14ac:dyDescent="0.2">
      <c r="A1734" s="91" t="s">
        <v>1874</v>
      </c>
      <c r="B1734" s="92" t="s">
        <v>222</v>
      </c>
      <c r="C1734" s="111">
        <v>5011849.8099999996</v>
      </c>
    </row>
    <row r="1735" spans="1:3" x14ac:dyDescent="0.2">
      <c r="A1735" s="91" t="s">
        <v>1742</v>
      </c>
      <c r="B1735" s="92" t="s">
        <v>222</v>
      </c>
      <c r="C1735" s="111">
        <v>25000000</v>
      </c>
    </row>
    <row r="1736" spans="1:3" x14ac:dyDescent="0.2">
      <c r="A1736" s="91" t="s">
        <v>2009</v>
      </c>
      <c r="B1736" s="92" t="s">
        <v>222</v>
      </c>
      <c r="C1736" s="111">
        <v>14000000</v>
      </c>
    </row>
    <row r="1737" spans="1:3" x14ac:dyDescent="0.2">
      <c r="A1737" s="91" t="s">
        <v>1920</v>
      </c>
      <c r="B1737" s="92" t="s">
        <v>222</v>
      </c>
      <c r="C1737" s="111">
        <v>18000000</v>
      </c>
    </row>
    <row r="1738" spans="1:3" x14ac:dyDescent="0.2">
      <c r="A1738" s="91" t="s">
        <v>1965</v>
      </c>
      <c r="B1738" s="92" t="s">
        <v>222</v>
      </c>
      <c r="C1738" s="111">
        <v>13600000</v>
      </c>
    </row>
    <row r="1739" spans="1:3" x14ac:dyDescent="0.2">
      <c r="A1739" s="91" t="s">
        <v>1875</v>
      </c>
      <c r="B1739" s="92" t="s">
        <v>222</v>
      </c>
      <c r="C1739" s="111">
        <v>23998142.760000002</v>
      </c>
    </row>
    <row r="1740" spans="1:3" x14ac:dyDescent="0.2">
      <c r="A1740" s="91" t="s">
        <v>1921</v>
      </c>
      <c r="B1740" s="92" t="s">
        <v>222</v>
      </c>
      <c r="C1740" s="111">
        <v>15900087.539999999</v>
      </c>
    </row>
    <row r="1741" spans="1:3" x14ac:dyDescent="0.2">
      <c r="A1741" s="91" t="s">
        <v>1780</v>
      </c>
      <c r="B1741" s="92" t="s">
        <v>268</v>
      </c>
      <c r="C1741" s="111">
        <v>839161385.71000004</v>
      </c>
    </row>
    <row r="1742" spans="1:3" x14ac:dyDescent="0.2">
      <c r="A1742" s="91" t="s">
        <v>1562</v>
      </c>
      <c r="B1742" s="92" t="s">
        <v>268</v>
      </c>
      <c r="C1742" s="111">
        <v>20161751342.189999</v>
      </c>
    </row>
    <row r="1743" spans="1:3" x14ac:dyDescent="0.2">
      <c r="A1743" s="91" t="s">
        <v>1563</v>
      </c>
      <c r="B1743" s="92" t="s">
        <v>268</v>
      </c>
      <c r="C1743" s="111">
        <v>1255000000</v>
      </c>
    </row>
    <row r="1744" spans="1:3" x14ac:dyDescent="0.2">
      <c r="A1744" s="91" t="s">
        <v>1428</v>
      </c>
      <c r="B1744" s="92" t="s">
        <v>222</v>
      </c>
      <c r="C1744" s="111">
        <v>140000000</v>
      </c>
    </row>
    <row r="1745" spans="1:3" x14ac:dyDescent="0.2">
      <c r="A1745" s="91" t="s">
        <v>1347</v>
      </c>
      <c r="B1745" s="92" t="s">
        <v>222</v>
      </c>
      <c r="C1745" s="111">
        <v>41291358</v>
      </c>
    </row>
    <row r="1746" spans="1:3" x14ac:dyDescent="0.2">
      <c r="A1746" s="91" t="s">
        <v>1743</v>
      </c>
      <c r="B1746" s="92" t="s">
        <v>270</v>
      </c>
      <c r="C1746" s="111">
        <v>323538500</v>
      </c>
    </row>
    <row r="1747" spans="1:3" x14ac:dyDescent="0.2">
      <c r="A1747" s="91" t="s">
        <v>1744</v>
      </c>
      <c r="B1747" s="92" t="s">
        <v>268</v>
      </c>
      <c r="C1747" s="111">
        <v>7000000000</v>
      </c>
    </row>
    <row r="1748" spans="1:3" x14ac:dyDescent="0.2">
      <c r="A1748" s="91" t="s">
        <v>1338</v>
      </c>
      <c r="B1748" s="92" t="s">
        <v>222</v>
      </c>
      <c r="C1748" s="111">
        <v>240000000</v>
      </c>
    </row>
    <row r="1749" spans="1:3" x14ac:dyDescent="0.2">
      <c r="A1749" s="91" t="s">
        <v>1393</v>
      </c>
      <c r="B1749" s="92" t="s">
        <v>268</v>
      </c>
      <c r="C1749" s="111">
        <v>18947430000</v>
      </c>
    </row>
    <row r="1750" spans="1:3" x14ac:dyDescent="0.2">
      <c r="A1750" s="91" t="s">
        <v>2057</v>
      </c>
      <c r="B1750" s="92" t="s">
        <v>222</v>
      </c>
      <c r="C1750" s="111">
        <v>8042068</v>
      </c>
    </row>
    <row r="1751" spans="1:3" x14ac:dyDescent="0.2">
      <c r="A1751" s="91" t="s">
        <v>1665</v>
      </c>
      <c r="B1751" s="92" t="s">
        <v>1668</v>
      </c>
      <c r="C1751" s="111">
        <v>24181099.390000001</v>
      </c>
    </row>
    <row r="1752" spans="1:3" x14ac:dyDescent="0.2">
      <c r="A1752" s="91" t="s">
        <v>1912</v>
      </c>
      <c r="B1752" s="92" t="s">
        <v>222</v>
      </c>
      <c r="C1752" s="111">
        <v>3390430.25</v>
      </c>
    </row>
    <row r="1753" spans="1:3" x14ac:dyDescent="0.2">
      <c r="A1753" s="91" t="s">
        <v>1491</v>
      </c>
      <c r="B1753" s="92" t="s">
        <v>1668</v>
      </c>
      <c r="C1753" s="111">
        <v>48700000</v>
      </c>
    </row>
    <row r="1754" spans="1:3" x14ac:dyDescent="0.2">
      <c r="A1754" s="91" t="s">
        <v>1650</v>
      </c>
      <c r="B1754" s="92" t="s">
        <v>222</v>
      </c>
      <c r="C1754" s="111">
        <v>81850000</v>
      </c>
    </row>
    <row r="1755" spans="1:3" x14ac:dyDescent="0.2">
      <c r="A1755" s="91" t="s">
        <v>1365</v>
      </c>
      <c r="B1755" s="92" t="s">
        <v>222</v>
      </c>
      <c r="C1755" s="111">
        <v>178452381.06</v>
      </c>
    </row>
    <row r="1756" spans="1:3" x14ac:dyDescent="0.2">
      <c r="A1756" s="91" t="s">
        <v>1924</v>
      </c>
      <c r="B1756" s="92" t="s">
        <v>222</v>
      </c>
      <c r="C1756" s="111">
        <v>39701566.130000003</v>
      </c>
    </row>
    <row r="1757" spans="1:3" x14ac:dyDescent="0.2">
      <c r="A1757" s="91" t="s">
        <v>1529</v>
      </c>
      <c r="B1757" s="92" t="s">
        <v>222</v>
      </c>
      <c r="C1757" s="111">
        <v>600000000</v>
      </c>
    </row>
    <row r="1758" spans="1:3" x14ac:dyDescent="0.2">
      <c r="A1758" s="91" t="s">
        <v>2013</v>
      </c>
      <c r="B1758" s="92" t="s">
        <v>222</v>
      </c>
      <c r="C1758" s="111">
        <v>3778209.33</v>
      </c>
    </row>
    <row r="1759" spans="1:3" x14ac:dyDescent="0.2">
      <c r="A1759" s="91" t="s">
        <v>1669</v>
      </c>
      <c r="B1759" s="92" t="s">
        <v>222</v>
      </c>
      <c r="C1759" s="111">
        <v>831637929.60000002</v>
      </c>
    </row>
    <row r="1760" spans="1:3" x14ac:dyDescent="0.2">
      <c r="A1760" s="91" t="s">
        <v>1838</v>
      </c>
      <c r="B1760" s="92" t="s">
        <v>222</v>
      </c>
      <c r="C1760" s="111">
        <v>413357065</v>
      </c>
    </row>
    <row r="1761" spans="1:3" x14ac:dyDescent="0.2">
      <c r="A1761" s="91" t="s">
        <v>1509</v>
      </c>
      <c r="B1761" s="92" t="s">
        <v>222</v>
      </c>
      <c r="C1761" s="111">
        <v>72800000</v>
      </c>
    </row>
    <row r="1762" spans="1:3" x14ac:dyDescent="0.2">
      <c r="A1762" s="91" t="s">
        <v>1745</v>
      </c>
      <c r="B1762" s="92" t="s">
        <v>268</v>
      </c>
      <c r="C1762" s="111">
        <v>274160000</v>
      </c>
    </row>
    <row r="1763" spans="1:3" x14ac:dyDescent="0.2">
      <c r="A1763" s="91" t="s">
        <v>1496</v>
      </c>
      <c r="B1763" s="92" t="s">
        <v>222</v>
      </c>
      <c r="C1763" s="111">
        <v>139959368.19</v>
      </c>
    </row>
    <row r="1764" spans="1:3" x14ac:dyDescent="0.2">
      <c r="A1764" s="91" t="s">
        <v>1492</v>
      </c>
      <c r="B1764" s="92" t="s">
        <v>222</v>
      </c>
      <c r="C1764" s="111">
        <v>30000000</v>
      </c>
    </row>
    <row r="1765" spans="1:3" x14ac:dyDescent="0.2">
      <c r="A1765" s="91" t="s">
        <v>1486</v>
      </c>
      <c r="B1765" s="92" t="s">
        <v>222</v>
      </c>
      <c r="C1765" s="111">
        <v>167000000</v>
      </c>
    </row>
    <row r="1766" spans="1:3" x14ac:dyDescent="0.2">
      <c r="A1766" s="91" t="s">
        <v>1681</v>
      </c>
      <c r="B1766" s="92" t="s">
        <v>222</v>
      </c>
      <c r="C1766" s="111">
        <v>119130434.78</v>
      </c>
    </row>
    <row r="1767" spans="1:3" x14ac:dyDescent="0.2">
      <c r="A1767" s="91" t="s">
        <v>1700</v>
      </c>
      <c r="B1767" s="92" t="s">
        <v>268</v>
      </c>
      <c r="C1767" s="111">
        <v>159428606</v>
      </c>
    </row>
    <row r="1768" spans="1:3" x14ac:dyDescent="0.2">
      <c r="A1768" s="91" t="s">
        <v>1853</v>
      </c>
      <c r="B1768" s="92" t="s">
        <v>268</v>
      </c>
      <c r="C1768" s="111">
        <v>13076223.789999999</v>
      </c>
    </row>
    <row r="1769" spans="1:3" x14ac:dyDescent="0.2">
      <c r="A1769" s="91" t="s">
        <v>1927</v>
      </c>
      <c r="B1769" s="92" t="s">
        <v>268</v>
      </c>
      <c r="C1769" s="111">
        <v>29784415</v>
      </c>
    </row>
    <row r="1770" spans="1:3" x14ac:dyDescent="0.2">
      <c r="A1770" s="91" t="s">
        <v>1564</v>
      </c>
      <c r="B1770" s="92" t="s">
        <v>268</v>
      </c>
      <c r="C1770" s="111">
        <v>325000000</v>
      </c>
    </row>
    <row r="1771" spans="1:3" x14ac:dyDescent="0.2">
      <c r="A1771" s="91" t="s">
        <v>1666</v>
      </c>
      <c r="B1771" s="92" t="s">
        <v>268</v>
      </c>
      <c r="C1771" s="111">
        <v>2519185000</v>
      </c>
    </row>
    <row r="1772" spans="1:3" x14ac:dyDescent="0.2">
      <c r="A1772" s="91" t="s">
        <v>1565</v>
      </c>
      <c r="B1772" s="92" t="s">
        <v>268</v>
      </c>
      <c r="C1772" s="111">
        <v>30549993199.93</v>
      </c>
    </row>
    <row r="1773" spans="1:3" x14ac:dyDescent="0.2">
      <c r="A1773" s="91" t="s">
        <v>1566</v>
      </c>
      <c r="B1773" s="92" t="s">
        <v>268</v>
      </c>
      <c r="C1773" s="111">
        <v>8487497112</v>
      </c>
    </row>
    <row r="1774" spans="1:3" x14ac:dyDescent="0.2">
      <c r="A1774" s="91" t="s">
        <v>1567</v>
      </c>
      <c r="B1774" s="92" t="s">
        <v>268</v>
      </c>
      <c r="C1774" s="111">
        <v>1972752259.9000001</v>
      </c>
    </row>
    <row r="1775" spans="1:3" x14ac:dyDescent="0.2">
      <c r="A1775" s="91" t="s">
        <v>1360</v>
      </c>
      <c r="B1775" s="92" t="s">
        <v>270</v>
      </c>
      <c r="C1775" s="111">
        <v>5684.23</v>
      </c>
    </row>
    <row r="1776" spans="1:3" x14ac:dyDescent="0.2">
      <c r="A1776" s="91" t="s">
        <v>1493</v>
      </c>
      <c r="B1776" s="92" t="s">
        <v>1668</v>
      </c>
      <c r="C1776" s="111">
        <v>52710000</v>
      </c>
    </row>
    <row r="1777" spans="1:3" x14ac:dyDescent="0.2">
      <c r="A1777" s="91" t="s">
        <v>1655</v>
      </c>
      <c r="B1777" s="92" t="s">
        <v>222</v>
      </c>
      <c r="C1777" s="111">
        <v>249275250</v>
      </c>
    </row>
    <row r="1778" spans="1:3" x14ac:dyDescent="0.2">
      <c r="A1778" s="91" t="s">
        <v>1479</v>
      </c>
      <c r="B1778" s="92" t="s">
        <v>222</v>
      </c>
      <c r="C1778" s="111">
        <v>150000000</v>
      </c>
    </row>
    <row r="1779" spans="1:3" x14ac:dyDescent="0.2">
      <c r="A1779" s="91" t="s">
        <v>1746</v>
      </c>
      <c r="B1779" s="92" t="s">
        <v>268</v>
      </c>
      <c r="C1779" s="111">
        <v>5000000000</v>
      </c>
    </row>
    <row r="1780" spans="1:3" x14ac:dyDescent="0.2">
      <c r="A1780" s="91" t="s">
        <v>1645</v>
      </c>
      <c r="B1780" s="92" t="s">
        <v>268</v>
      </c>
      <c r="C1780" s="111">
        <v>1656843860.55</v>
      </c>
    </row>
    <row r="1781" spans="1:3" x14ac:dyDescent="0.2">
      <c r="A1781" s="91" t="s">
        <v>1646</v>
      </c>
      <c r="B1781" s="92" t="s">
        <v>268</v>
      </c>
      <c r="C1781" s="111">
        <v>1718957236.54</v>
      </c>
    </row>
    <row r="1782" spans="1:3" x14ac:dyDescent="0.2">
      <c r="A1782" s="91" t="s">
        <v>1839</v>
      </c>
      <c r="B1782" s="92" t="s">
        <v>268</v>
      </c>
      <c r="C1782" s="111">
        <v>240000000</v>
      </c>
    </row>
    <row r="1783" spans="1:3" x14ac:dyDescent="0.2">
      <c r="A1783" s="91" t="s">
        <v>2183</v>
      </c>
      <c r="B1783" s="92" t="s">
        <v>268</v>
      </c>
      <c r="C1783" s="111">
        <v>185000000</v>
      </c>
    </row>
    <row r="1784" spans="1:3" x14ac:dyDescent="0.2">
      <c r="A1784" s="91" t="s">
        <v>1915</v>
      </c>
      <c r="B1784" s="92" t="s">
        <v>1668</v>
      </c>
      <c r="C1784" s="111">
        <v>8733919.7400000002</v>
      </c>
    </row>
    <row r="1785" spans="1:3" x14ac:dyDescent="0.2">
      <c r="A1785" s="91" t="s">
        <v>1747</v>
      </c>
      <c r="B1785" s="92" t="s">
        <v>222</v>
      </c>
      <c r="C1785" s="111">
        <v>88861131.959999993</v>
      </c>
    </row>
    <row r="1786" spans="1:3" x14ac:dyDescent="0.2">
      <c r="A1786" s="91" t="s">
        <v>1928</v>
      </c>
      <c r="B1786" s="92" t="s">
        <v>222</v>
      </c>
      <c r="C1786" s="111">
        <v>1148868.07</v>
      </c>
    </row>
    <row r="1787" spans="1:3" x14ac:dyDescent="0.2">
      <c r="A1787" s="91" t="s">
        <v>1667</v>
      </c>
      <c r="B1787" s="92" t="s">
        <v>1668</v>
      </c>
      <c r="C1787" s="111">
        <v>70600000</v>
      </c>
    </row>
    <row r="1788" spans="1:3" x14ac:dyDescent="0.2">
      <c r="A1788" s="91" t="s">
        <v>2182</v>
      </c>
      <c r="B1788" s="92" t="s">
        <v>1668</v>
      </c>
      <c r="C1788" s="111">
        <v>29400000</v>
      </c>
    </row>
    <row r="1789" spans="1:3" x14ac:dyDescent="0.2">
      <c r="A1789" s="91" t="s">
        <v>1513</v>
      </c>
      <c r="B1789" s="92" t="s">
        <v>268</v>
      </c>
      <c r="C1789" s="111">
        <v>474982275.75</v>
      </c>
    </row>
    <row r="1790" spans="1:3" x14ac:dyDescent="0.2">
      <c r="A1790" s="91" t="s">
        <v>1748</v>
      </c>
      <c r="B1790" s="92" t="s">
        <v>222</v>
      </c>
      <c r="C1790" s="111">
        <v>100000000</v>
      </c>
    </row>
    <row r="1791" spans="1:3" x14ac:dyDescent="0.2">
      <c r="A1791" s="91" t="s">
        <v>1450</v>
      </c>
      <c r="B1791" s="92" t="s">
        <v>538</v>
      </c>
      <c r="C1791" s="111">
        <v>539729093.74000001</v>
      </c>
    </row>
    <row r="1792" spans="1:3" x14ac:dyDescent="0.2">
      <c r="A1792" s="91" t="s">
        <v>1497</v>
      </c>
      <c r="B1792" s="92" t="s">
        <v>270</v>
      </c>
      <c r="C1792" s="111">
        <v>40030193.25</v>
      </c>
    </row>
    <row r="1793" spans="1:3" x14ac:dyDescent="0.2">
      <c r="A1793" s="91" t="s">
        <v>1568</v>
      </c>
      <c r="B1793" s="92" t="s">
        <v>270</v>
      </c>
      <c r="C1793" s="111">
        <v>34692834.149999999</v>
      </c>
    </row>
    <row r="1794" spans="1:3" x14ac:dyDescent="0.2">
      <c r="A1794" s="91" t="s">
        <v>1749</v>
      </c>
      <c r="B1794" s="92" t="s">
        <v>270</v>
      </c>
      <c r="C1794" s="111">
        <v>29355475.050000001</v>
      </c>
    </row>
    <row r="1795" spans="1:3" x14ac:dyDescent="0.2">
      <c r="A1795" s="91" t="s">
        <v>1750</v>
      </c>
      <c r="B1795" s="92" t="s">
        <v>270</v>
      </c>
      <c r="C1795" s="111">
        <v>37361513.700000003</v>
      </c>
    </row>
    <row r="1796" spans="1:3" x14ac:dyDescent="0.2">
      <c r="A1796" s="91" t="s">
        <v>1751</v>
      </c>
      <c r="B1796" s="92" t="s">
        <v>270</v>
      </c>
      <c r="C1796" s="111">
        <v>40030193.25</v>
      </c>
    </row>
    <row r="1797" spans="1:3" x14ac:dyDescent="0.2">
      <c r="A1797" s="91" t="s">
        <v>1752</v>
      </c>
      <c r="B1797" s="92" t="s">
        <v>270</v>
      </c>
      <c r="C1797" s="111">
        <v>37361513.700000003</v>
      </c>
    </row>
    <row r="1798" spans="1:3" x14ac:dyDescent="0.2">
      <c r="A1798" s="91" t="s">
        <v>1781</v>
      </c>
      <c r="B1798" s="92" t="s">
        <v>270</v>
      </c>
      <c r="C1798" s="111">
        <v>29355475.050000001</v>
      </c>
    </row>
    <row r="1799" spans="1:3" x14ac:dyDescent="0.2">
      <c r="A1799" s="91" t="s">
        <v>1840</v>
      </c>
      <c r="B1799" s="92" t="s">
        <v>270</v>
      </c>
      <c r="C1799" s="111">
        <v>26686795.5</v>
      </c>
    </row>
    <row r="1800" spans="1:3" x14ac:dyDescent="0.2">
      <c r="A1800" s="91" t="s">
        <v>1933</v>
      </c>
      <c r="B1800" s="92" t="s">
        <v>270</v>
      </c>
      <c r="C1800" s="111">
        <v>34692834.149999999</v>
      </c>
    </row>
    <row r="1801" spans="1:3" x14ac:dyDescent="0.2">
      <c r="A1801" s="91" t="s">
        <v>1993</v>
      </c>
      <c r="B1801" s="92" t="s">
        <v>270</v>
      </c>
      <c r="C1801" s="111">
        <v>48036231.899999999</v>
      </c>
    </row>
    <row r="1802" spans="1:3" x14ac:dyDescent="0.2">
      <c r="A1802" s="91" t="s">
        <v>2040</v>
      </c>
      <c r="B1802" s="92" t="s">
        <v>270</v>
      </c>
      <c r="C1802" s="111">
        <v>45367552.350000001</v>
      </c>
    </row>
    <row r="1803" spans="1:3" x14ac:dyDescent="0.2">
      <c r="A1803" s="91" t="s">
        <v>1753</v>
      </c>
      <c r="B1803" s="92" t="s">
        <v>222</v>
      </c>
      <c r="C1803" s="111">
        <v>150000000</v>
      </c>
    </row>
    <row r="1804" spans="1:3" x14ac:dyDescent="0.2">
      <c r="A1804" s="91" t="s">
        <v>1460</v>
      </c>
      <c r="B1804" s="92" t="s">
        <v>270</v>
      </c>
      <c r="C1804" s="111">
        <v>133433977.5</v>
      </c>
    </row>
    <row r="1805" spans="1:3" x14ac:dyDescent="0.2">
      <c r="A1805" s="91" t="s">
        <v>1436</v>
      </c>
      <c r="B1805" s="92" t="s">
        <v>270</v>
      </c>
      <c r="C1805" s="111">
        <v>133433977.5</v>
      </c>
    </row>
    <row r="1806" spans="1:3" x14ac:dyDescent="0.2">
      <c r="A1806" s="91" t="s">
        <v>1459</v>
      </c>
      <c r="B1806" s="92" t="s">
        <v>270</v>
      </c>
      <c r="C1806" s="111">
        <v>122759259.3</v>
      </c>
    </row>
    <row r="1807" spans="1:3" x14ac:dyDescent="0.2">
      <c r="A1807" s="91" t="s">
        <v>1879</v>
      </c>
      <c r="B1807" s="92" t="s">
        <v>270</v>
      </c>
      <c r="C1807" s="111">
        <v>133433977.5</v>
      </c>
    </row>
    <row r="1808" spans="1:3" x14ac:dyDescent="0.2">
      <c r="A1808" s="91" t="s">
        <v>1880</v>
      </c>
      <c r="B1808" s="92" t="s">
        <v>270</v>
      </c>
      <c r="C1808" s="111">
        <v>117421900.2</v>
      </c>
    </row>
    <row r="1809" spans="1:3" x14ac:dyDescent="0.2">
      <c r="A1809" s="91" t="s">
        <v>2093</v>
      </c>
      <c r="B1809" s="92" t="s">
        <v>270</v>
      </c>
      <c r="C1809" s="111">
        <v>133433977.5</v>
      </c>
    </row>
    <row r="1810" spans="1:3" x14ac:dyDescent="0.2">
      <c r="A1810" s="91" t="s">
        <v>1754</v>
      </c>
      <c r="B1810" s="92" t="s">
        <v>222</v>
      </c>
      <c r="C1810" s="111">
        <v>142000000</v>
      </c>
    </row>
    <row r="1811" spans="1:3" x14ac:dyDescent="0.2">
      <c r="A1811" s="91" t="s">
        <v>1505</v>
      </c>
      <c r="B1811" s="92" t="s">
        <v>222</v>
      </c>
      <c r="C1811" s="111">
        <v>84110628</v>
      </c>
    </row>
    <row r="1812" spans="1:3" x14ac:dyDescent="0.2">
      <c r="A1812" s="91" t="s">
        <v>1530</v>
      </c>
      <c r="B1812" s="92" t="s">
        <v>222</v>
      </c>
      <c r="C1812" s="111">
        <v>100000000</v>
      </c>
    </row>
    <row r="1813" spans="1:3" x14ac:dyDescent="0.2">
      <c r="A1813" s="91" t="s">
        <v>1510</v>
      </c>
      <c r="B1813" s="92" t="s">
        <v>222</v>
      </c>
      <c r="C1813" s="111">
        <v>250000000</v>
      </c>
    </row>
    <row r="1814" spans="1:3" x14ac:dyDescent="0.2">
      <c r="A1814" s="91" t="s">
        <v>1755</v>
      </c>
      <c r="B1814" s="92" t="s">
        <v>222</v>
      </c>
      <c r="C1814" s="111">
        <v>61512512.210000001</v>
      </c>
    </row>
    <row r="1815" spans="1:3" x14ac:dyDescent="0.2">
      <c r="A1815" s="91" t="s">
        <v>1651</v>
      </c>
      <c r="B1815" s="92" t="s">
        <v>222</v>
      </c>
      <c r="C1815" s="111">
        <v>35000000</v>
      </c>
    </row>
    <row r="1816" spans="1:3" x14ac:dyDescent="0.2">
      <c r="A1816" s="91" t="s">
        <v>1756</v>
      </c>
      <c r="B1816" s="92" t="s">
        <v>268</v>
      </c>
      <c r="C1816" s="111">
        <v>31062500000</v>
      </c>
    </row>
    <row r="1817" spans="1:3" x14ac:dyDescent="0.2">
      <c r="A1817" s="91" t="s">
        <v>1757</v>
      </c>
      <c r="B1817" s="92" t="s">
        <v>222</v>
      </c>
      <c r="C1817" s="111">
        <v>61248525</v>
      </c>
    </row>
    <row r="1818" spans="1:3" x14ac:dyDescent="0.2">
      <c r="A1818" s="91" t="s">
        <v>1647</v>
      </c>
      <c r="B1818" s="92" t="s">
        <v>268</v>
      </c>
      <c r="C1818" s="111">
        <v>7720864055.46</v>
      </c>
    </row>
    <row r="1819" spans="1:3" x14ac:dyDescent="0.2">
      <c r="A1819" s="91" t="s">
        <v>1820</v>
      </c>
      <c r="B1819" s="92" t="s">
        <v>1668</v>
      </c>
      <c r="C1819" s="111">
        <v>43196583</v>
      </c>
    </row>
    <row r="1820" spans="1:3" x14ac:dyDescent="0.2">
      <c r="A1820" s="91" t="s">
        <v>1841</v>
      </c>
      <c r="B1820" s="92" t="s">
        <v>1668</v>
      </c>
      <c r="C1820" s="111">
        <v>136704170</v>
      </c>
    </row>
    <row r="1821" spans="1:3" x14ac:dyDescent="0.2">
      <c r="A1821" s="91" t="s">
        <v>1705</v>
      </c>
      <c r="B1821" s="92" t="s">
        <v>268</v>
      </c>
      <c r="C1821" s="111">
        <v>2160279748.54</v>
      </c>
    </row>
    <row r="1822" spans="1:3" x14ac:dyDescent="0.2">
      <c r="A1822" s="91" t="s">
        <v>1707</v>
      </c>
      <c r="B1822" s="92" t="s">
        <v>268</v>
      </c>
      <c r="C1822" s="111">
        <v>1124697938.6800001</v>
      </c>
    </row>
    <row r="1823" spans="1:3" x14ac:dyDescent="0.2">
      <c r="A1823" s="91" t="s">
        <v>1711</v>
      </c>
      <c r="B1823" s="92" t="s">
        <v>268</v>
      </c>
      <c r="C1823" s="111">
        <v>483557854.64999998</v>
      </c>
    </row>
    <row r="1824" spans="1:3" x14ac:dyDescent="0.2">
      <c r="A1824" s="91" t="s">
        <v>1706</v>
      </c>
      <c r="B1824" s="92" t="s">
        <v>268</v>
      </c>
      <c r="C1824" s="111">
        <v>800000000</v>
      </c>
    </row>
    <row r="1825" spans="1:3" x14ac:dyDescent="0.2">
      <c r="A1825" s="91" t="s">
        <v>1819</v>
      </c>
      <c r="B1825" s="92" t="s">
        <v>222</v>
      </c>
      <c r="C1825" s="111">
        <v>48913375.18</v>
      </c>
    </row>
    <row r="1826" spans="1:3" x14ac:dyDescent="0.2">
      <c r="A1826" s="91" t="s">
        <v>1758</v>
      </c>
      <c r="B1826" s="92" t="s">
        <v>1668</v>
      </c>
      <c r="C1826" s="111">
        <v>147677540</v>
      </c>
    </row>
    <row r="1827" spans="1:3" x14ac:dyDescent="0.2">
      <c r="A1827" s="91" t="s">
        <v>1816</v>
      </c>
      <c r="B1827" s="92" t="s">
        <v>222</v>
      </c>
      <c r="C1827" s="111">
        <v>41752580.390000001</v>
      </c>
    </row>
    <row r="1828" spans="1:3" x14ac:dyDescent="0.2">
      <c r="A1828" s="91" t="s">
        <v>1822</v>
      </c>
      <c r="B1828" s="92" t="s">
        <v>222</v>
      </c>
      <c r="C1828" s="111">
        <v>29634042.379999999</v>
      </c>
    </row>
    <row r="1829" spans="1:3" x14ac:dyDescent="0.2">
      <c r="A1829" s="91" t="s">
        <v>2014</v>
      </c>
      <c r="B1829" s="92" t="s">
        <v>1668</v>
      </c>
      <c r="C1829" s="111">
        <v>368530105.25999999</v>
      </c>
    </row>
    <row r="1830" spans="1:3" x14ac:dyDescent="0.2">
      <c r="A1830" s="91" t="s">
        <v>1569</v>
      </c>
      <c r="B1830" s="92" t="s">
        <v>268</v>
      </c>
      <c r="C1830" s="111">
        <v>7299573333.0100002</v>
      </c>
    </row>
    <row r="1831" spans="1:3" x14ac:dyDescent="0.2">
      <c r="A1831" s="91" t="s">
        <v>1570</v>
      </c>
      <c r="B1831" s="92" t="s">
        <v>268</v>
      </c>
      <c r="C1831" s="111">
        <v>654761982.75</v>
      </c>
    </row>
    <row r="1832" spans="1:3" x14ac:dyDescent="0.2">
      <c r="A1832" s="91" t="s">
        <v>1947</v>
      </c>
      <c r="B1832" s="92" t="s">
        <v>1668</v>
      </c>
      <c r="C1832" s="111">
        <v>42500000</v>
      </c>
    </row>
    <row r="1833" spans="1:3" x14ac:dyDescent="0.2">
      <c r="A1833" s="91" t="s">
        <v>1945</v>
      </c>
      <c r="B1833" s="92" t="s">
        <v>1668</v>
      </c>
      <c r="C1833" s="111">
        <v>396140204.02999997</v>
      </c>
    </row>
    <row r="1834" spans="1:3" x14ac:dyDescent="0.2">
      <c r="A1834" s="91" t="s">
        <v>1999</v>
      </c>
      <c r="B1834" s="92" t="s">
        <v>1668</v>
      </c>
      <c r="C1834" s="111">
        <v>202756304.30000001</v>
      </c>
    </row>
    <row r="1835" spans="1:3" x14ac:dyDescent="0.2">
      <c r="A1835" s="91" t="s">
        <v>1571</v>
      </c>
      <c r="B1835" s="92" t="s">
        <v>321</v>
      </c>
      <c r="C1835" s="111">
        <v>13606188.34</v>
      </c>
    </row>
    <row r="1836" spans="1:3" x14ac:dyDescent="0.2">
      <c r="A1836" s="91" t="s">
        <v>1572</v>
      </c>
      <c r="B1836" s="92" t="s">
        <v>270</v>
      </c>
      <c r="C1836" s="111">
        <v>4048013577.0500002</v>
      </c>
    </row>
    <row r="1837" spans="1:3" x14ac:dyDescent="0.2">
      <c r="A1837" s="91" t="s">
        <v>1573</v>
      </c>
      <c r="B1837" s="92" t="s">
        <v>270</v>
      </c>
      <c r="C1837" s="111">
        <v>5812348600</v>
      </c>
    </row>
    <row r="1838" spans="1:3" x14ac:dyDescent="0.2">
      <c r="A1838" s="91" t="s">
        <v>1574</v>
      </c>
      <c r="B1838" s="92" t="s">
        <v>270</v>
      </c>
      <c r="C1838" s="111">
        <v>24884291400</v>
      </c>
    </row>
    <row r="1839" spans="1:3" x14ac:dyDescent="0.2">
      <c r="A1839" s="91" t="s">
        <v>1316</v>
      </c>
      <c r="B1839" s="92" t="s">
        <v>270</v>
      </c>
      <c r="C1839" s="111">
        <v>26257361131</v>
      </c>
    </row>
    <row r="1840" spans="1:3" x14ac:dyDescent="0.2">
      <c r="A1840" s="91" t="s">
        <v>1881</v>
      </c>
      <c r="B1840" s="92" t="s">
        <v>270</v>
      </c>
      <c r="C1840" s="111">
        <v>17000000000</v>
      </c>
    </row>
    <row r="1841" spans="1:3" x14ac:dyDescent="0.2">
      <c r="A1841" s="91" t="s">
        <v>2016</v>
      </c>
      <c r="B1841" s="92" t="s">
        <v>268</v>
      </c>
      <c r="C1841" s="111">
        <v>537719359.89999998</v>
      </c>
    </row>
    <row r="1842" spans="1:3" x14ac:dyDescent="0.2">
      <c r="A1842" s="91" t="s">
        <v>2017</v>
      </c>
      <c r="B1842" s="92" t="s">
        <v>268</v>
      </c>
      <c r="C1842" s="111">
        <v>433815121.49000001</v>
      </c>
    </row>
    <row r="1843" spans="1:3" x14ac:dyDescent="0.2">
      <c r="A1843" s="91" t="s">
        <v>1848</v>
      </c>
      <c r="B1843" s="92" t="s">
        <v>268</v>
      </c>
      <c r="C1843" s="111">
        <v>1500000000</v>
      </c>
    </row>
    <row r="1844" spans="1:3" x14ac:dyDescent="0.2">
      <c r="A1844" s="91" t="s">
        <v>2018</v>
      </c>
      <c r="B1844" s="92" t="s">
        <v>1668</v>
      </c>
      <c r="C1844" s="111">
        <v>590000000</v>
      </c>
    </row>
    <row r="1845" spans="1:3" x14ac:dyDescent="0.2">
      <c r="A1845" s="91" t="s">
        <v>2010</v>
      </c>
      <c r="B1845" s="92" t="s">
        <v>1668</v>
      </c>
      <c r="C1845" s="111">
        <v>149826184.86000001</v>
      </c>
    </row>
    <row r="1846" spans="1:3" x14ac:dyDescent="0.2">
      <c r="A1846" s="91" t="s">
        <v>1842</v>
      </c>
      <c r="B1846" s="92" t="s">
        <v>222</v>
      </c>
      <c r="C1846" s="111">
        <v>150000000</v>
      </c>
    </row>
    <row r="1847" spans="1:3" x14ac:dyDescent="0.2">
      <c r="A1847" s="91" t="s">
        <v>1890</v>
      </c>
      <c r="B1847" s="92" t="s">
        <v>222</v>
      </c>
      <c r="C1847" s="111">
        <v>150000000</v>
      </c>
    </row>
    <row r="1848" spans="1:3" x14ac:dyDescent="0.2">
      <c r="A1848" s="91" t="s">
        <v>1870</v>
      </c>
      <c r="B1848" s="92" t="s">
        <v>268</v>
      </c>
      <c r="C1848" s="111">
        <v>159158995.28999999</v>
      </c>
    </row>
    <row r="1849" spans="1:3" x14ac:dyDescent="0.2">
      <c r="A1849" s="91" t="s">
        <v>1575</v>
      </c>
      <c r="B1849" s="92" t="s">
        <v>321</v>
      </c>
      <c r="C1849" s="111">
        <v>16720852.449999999</v>
      </c>
    </row>
    <row r="1850" spans="1:3" x14ac:dyDescent="0.2">
      <c r="A1850" s="91" t="s">
        <v>1843</v>
      </c>
      <c r="B1850" s="92" t="s">
        <v>538</v>
      </c>
      <c r="C1850" s="111">
        <v>140639580.71000001</v>
      </c>
    </row>
    <row r="1851" spans="1:3" x14ac:dyDescent="0.2">
      <c r="A1851" s="91" t="s">
        <v>1844</v>
      </c>
      <c r="B1851" s="92" t="s">
        <v>538</v>
      </c>
      <c r="C1851" s="111">
        <v>123423845.16</v>
      </c>
    </row>
    <row r="1852" spans="1:3" x14ac:dyDescent="0.2">
      <c r="A1852" s="91" t="s">
        <v>1845</v>
      </c>
      <c r="B1852" s="92" t="s">
        <v>538</v>
      </c>
      <c r="C1852" s="111">
        <v>388888689.49000001</v>
      </c>
    </row>
    <row r="1853" spans="1:3" x14ac:dyDescent="0.2">
      <c r="A1853" s="91" t="s">
        <v>1846</v>
      </c>
      <c r="B1853" s="92" t="s">
        <v>538</v>
      </c>
      <c r="C1853" s="111">
        <v>425000000</v>
      </c>
    </row>
    <row r="1854" spans="1:3" x14ac:dyDescent="0.2">
      <c r="A1854" s="91" t="s">
        <v>1939</v>
      </c>
      <c r="B1854" s="92" t="s">
        <v>538</v>
      </c>
      <c r="C1854" s="111">
        <v>20000000</v>
      </c>
    </row>
    <row r="1855" spans="1:3" x14ac:dyDescent="0.2">
      <c r="A1855" s="91" t="s">
        <v>1976</v>
      </c>
      <c r="B1855" s="92" t="s">
        <v>538</v>
      </c>
      <c r="C1855" s="111">
        <v>73521416.510000005</v>
      </c>
    </row>
    <row r="1856" spans="1:3" x14ac:dyDescent="0.2">
      <c r="A1856" s="91" t="s">
        <v>1807</v>
      </c>
      <c r="B1856" s="92" t="s">
        <v>538</v>
      </c>
      <c r="C1856" s="111">
        <v>2795488028.8899999</v>
      </c>
    </row>
    <row r="1857" spans="1:3" x14ac:dyDescent="0.2">
      <c r="A1857" s="91" t="s">
        <v>1934</v>
      </c>
      <c r="B1857" s="92" t="s">
        <v>538</v>
      </c>
      <c r="C1857" s="111">
        <v>37160000</v>
      </c>
    </row>
    <row r="1858" spans="1:3" x14ac:dyDescent="0.2">
      <c r="A1858" s="91" t="s">
        <v>1576</v>
      </c>
      <c r="B1858" s="92" t="s">
        <v>268</v>
      </c>
      <c r="C1858" s="111">
        <v>2533625889</v>
      </c>
    </row>
    <row r="1859" spans="1:3" x14ac:dyDescent="0.2">
      <c r="A1859" s="91" t="s">
        <v>1577</v>
      </c>
      <c r="B1859" s="92" t="s">
        <v>268</v>
      </c>
      <c r="C1859" s="111">
        <v>1064583404.66</v>
      </c>
    </row>
    <row r="1860" spans="1:3" x14ac:dyDescent="0.2">
      <c r="A1860" s="91" t="s">
        <v>1865</v>
      </c>
      <c r="B1860" s="92" t="s">
        <v>538</v>
      </c>
      <c r="C1860" s="111">
        <v>31681904.57</v>
      </c>
    </row>
    <row r="1861" spans="1:3" x14ac:dyDescent="0.2">
      <c r="A1861" s="91" t="s">
        <v>1578</v>
      </c>
      <c r="B1861" s="92" t="s">
        <v>268</v>
      </c>
      <c r="C1861" s="111">
        <v>3634963541.6999998</v>
      </c>
    </row>
    <row r="1862" spans="1:3" x14ac:dyDescent="0.2">
      <c r="A1862" s="91" t="s">
        <v>1579</v>
      </c>
      <c r="B1862" s="92" t="s">
        <v>268</v>
      </c>
      <c r="C1862" s="111">
        <v>1622000000</v>
      </c>
    </row>
    <row r="1863" spans="1:3" x14ac:dyDescent="0.2">
      <c r="A1863" s="91" t="s">
        <v>1580</v>
      </c>
      <c r="B1863" s="92" t="s">
        <v>268</v>
      </c>
      <c r="C1863" s="111">
        <v>868660908.82000005</v>
      </c>
    </row>
    <row r="1864" spans="1:3" x14ac:dyDescent="0.2">
      <c r="A1864" s="91" t="s">
        <v>1581</v>
      </c>
      <c r="B1864" s="92" t="s">
        <v>268</v>
      </c>
      <c r="C1864" s="111">
        <v>2598208014.4000001</v>
      </c>
    </row>
    <row r="1865" spans="1:3" x14ac:dyDescent="0.2">
      <c r="A1865" s="91" t="s">
        <v>1582</v>
      </c>
      <c r="B1865" s="92" t="s">
        <v>268</v>
      </c>
      <c r="C1865" s="111">
        <v>2238939370</v>
      </c>
    </row>
    <row r="1866" spans="1:3" x14ac:dyDescent="0.2">
      <c r="A1866" s="91" t="s">
        <v>1583</v>
      </c>
      <c r="B1866" s="92" t="s">
        <v>222</v>
      </c>
      <c r="C1866" s="111">
        <v>717500000</v>
      </c>
    </row>
    <row r="1867" spans="1:3" x14ac:dyDescent="0.2">
      <c r="A1867" s="91" t="s">
        <v>1584</v>
      </c>
      <c r="B1867" s="92" t="s">
        <v>268</v>
      </c>
      <c r="C1867" s="111">
        <v>3237484206</v>
      </c>
    </row>
    <row r="1868" spans="1:3" x14ac:dyDescent="0.2">
      <c r="A1868" s="91" t="s">
        <v>1585</v>
      </c>
      <c r="B1868" s="92" t="s">
        <v>268</v>
      </c>
      <c r="C1868" s="111">
        <v>10000000000</v>
      </c>
    </row>
    <row r="1869" spans="1:3" x14ac:dyDescent="0.2">
      <c r="A1869" s="91" t="s">
        <v>1935</v>
      </c>
      <c r="B1869" s="92" t="s">
        <v>268</v>
      </c>
      <c r="C1869" s="111">
        <v>900000000</v>
      </c>
    </row>
    <row r="1870" spans="1:3" x14ac:dyDescent="0.2">
      <c r="A1870" s="91" t="s">
        <v>2024</v>
      </c>
      <c r="B1870" s="92" t="s">
        <v>1668</v>
      </c>
      <c r="C1870" s="111">
        <v>1200000.8500000001</v>
      </c>
    </row>
    <row r="1871" spans="1:3" x14ac:dyDescent="0.2">
      <c r="A1871" s="91" t="s">
        <v>1586</v>
      </c>
      <c r="B1871" s="92" t="s">
        <v>268</v>
      </c>
      <c r="C1871" s="111">
        <v>3611625000</v>
      </c>
    </row>
    <row r="1872" spans="1:3" x14ac:dyDescent="0.2">
      <c r="A1872" s="91" t="s">
        <v>1587</v>
      </c>
      <c r="B1872" s="92" t="s">
        <v>268</v>
      </c>
      <c r="C1872" s="111">
        <v>52000000</v>
      </c>
    </row>
    <row r="1873" spans="1:3" x14ac:dyDescent="0.2">
      <c r="A1873" s="91" t="s">
        <v>1703</v>
      </c>
      <c r="B1873" s="92" t="s">
        <v>268</v>
      </c>
      <c r="C1873" s="111">
        <v>3494317052.2800002</v>
      </c>
    </row>
    <row r="1874" spans="1:3" x14ac:dyDescent="0.2">
      <c r="A1874" s="91" t="s">
        <v>1588</v>
      </c>
      <c r="B1874" s="92" t="s">
        <v>268</v>
      </c>
      <c r="C1874" s="111">
        <v>2182125000</v>
      </c>
    </row>
    <row r="1875" spans="1:3" x14ac:dyDescent="0.2">
      <c r="A1875" s="91" t="s">
        <v>1589</v>
      </c>
      <c r="B1875" s="92" t="s">
        <v>268</v>
      </c>
      <c r="C1875" s="111">
        <v>1580817054.5999999</v>
      </c>
    </row>
    <row r="1876" spans="1:3" x14ac:dyDescent="0.2">
      <c r="A1876" s="91" t="s">
        <v>1590</v>
      </c>
      <c r="B1876" s="92" t="s">
        <v>268</v>
      </c>
      <c r="C1876" s="111">
        <v>6014000000</v>
      </c>
    </row>
    <row r="1877" spans="1:3" x14ac:dyDescent="0.2">
      <c r="A1877" s="91" t="s">
        <v>1702</v>
      </c>
      <c r="B1877" s="92" t="s">
        <v>268</v>
      </c>
      <c r="C1877" s="111">
        <v>1701415324.6900001</v>
      </c>
    </row>
    <row r="1878" spans="1:3" x14ac:dyDescent="0.2">
      <c r="A1878" s="91" t="s">
        <v>1591</v>
      </c>
      <c r="B1878" s="92" t="s">
        <v>268</v>
      </c>
      <c r="C1878" s="111">
        <v>1750542705.77</v>
      </c>
    </row>
    <row r="1879" spans="1:3" x14ac:dyDescent="0.2">
      <c r="A1879" s="91" t="s">
        <v>1592</v>
      </c>
      <c r="B1879" s="92" t="s">
        <v>268</v>
      </c>
      <c r="C1879" s="111">
        <v>4779257741.8000002</v>
      </c>
    </row>
    <row r="1880" spans="1:3" x14ac:dyDescent="0.2">
      <c r="A1880" s="91" t="s">
        <v>1593</v>
      </c>
      <c r="B1880" s="92" t="s">
        <v>268</v>
      </c>
      <c r="C1880" s="111">
        <v>1157939324.0699999</v>
      </c>
    </row>
    <row r="1881" spans="1:3" x14ac:dyDescent="0.2">
      <c r="A1881" s="91" t="s">
        <v>2015</v>
      </c>
      <c r="B1881" s="92" t="s">
        <v>268</v>
      </c>
      <c r="C1881" s="111">
        <v>498531250.16000003</v>
      </c>
    </row>
    <row r="1882" spans="1:3" x14ac:dyDescent="0.2">
      <c r="A1882" s="91" t="s">
        <v>1594</v>
      </c>
      <c r="B1882" s="92" t="s">
        <v>268</v>
      </c>
      <c r="C1882" s="111">
        <v>154345772.09999999</v>
      </c>
    </row>
    <row r="1883" spans="1:3" x14ac:dyDescent="0.2">
      <c r="A1883" s="91" t="s">
        <v>1817</v>
      </c>
      <c r="B1883" s="92" t="s">
        <v>321</v>
      </c>
      <c r="C1883" s="111">
        <v>945694594.85000002</v>
      </c>
    </row>
    <row r="1884" spans="1:3" x14ac:dyDescent="0.2">
      <c r="A1884" s="91" t="s">
        <v>1595</v>
      </c>
      <c r="B1884" s="92" t="s">
        <v>268</v>
      </c>
      <c r="C1884" s="111">
        <v>355700000</v>
      </c>
    </row>
    <row r="1885" spans="1:3" x14ac:dyDescent="0.2">
      <c r="A1885" s="91" t="s">
        <v>1596</v>
      </c>
      <c r="B1885" s="92" t="s">
        <v>268</v>
      </c>
      <c r="C1885" s="111">
        <v>3751500000</v>
      </c>
    </row>
    <row r="1886" spans="1:3" x14ac:dyDescent="0.2">
      <c r="A1886" s="91" t="s">
        <v>1712</v>
      </c>
      <c r="B1886" s="92" t="s">
        <v>268</v>
      </c>
      <c r="C1886" s="111">
        <v>103579284</v>
      </c>
    </row>
    <row r="1887" spans="1:3" x14ac:dyDescent="0.2">
      <c r="A1887" s="91" t="s">
        <v>1597</v>
      </c>
      <c r="B1887" s="92" t="s">
        <v>268</v>
      </c>
      <c r="C1887" s="111">
        <v>4955384526</v>
      </c>
    </row>
    <row r="1888" spans="1:3" x14ac:dyDescent="0.2">
      <c r="A1888" s="91" t="s">
        <v>1598</v>
      </c>
      <c r="B1888" s="92" t="s">
        <v>268</v>
      </c>
      <c r="C1888" s="111">
        <v>3763362420.3600001</v>
      </c>
    </row>
    <row r="1889" spans="1:3" x14ac:dyDescent="0.2">
      <c r="A1889" s="91" t="s">
        <v>1599</v>
      </c>
      <c r="B1889" s="92" t="s">
        <v>268</v>
      </c>
      <c r="C1889" s="111">
        <v>13551553789.780001</v>
      </c>
    </row>
    <row r="1890" spans="1:3" x14ac:dyDescent="0.2">
      <c r="A1890" s="91" t="s">
        <v>1600</v>
      </c>
      <c r="B1890" s="92" t="s">
        <v>268</v>
      </c>
      <c r="C1890" s="111">
        <v>4996563607.1999998</v>
      </c>
    </row>
    <row r="1891" spans="1:3" x14ac:dyDescent="0.2">
      <c r="A1891" s="91" t="s">
        <v>1601</v>
      </c>
      <c r="B1891" s="92" t="s">
        <v>268</v>
      </c>
      <c r="C1891" s="111">
        <v>9020000</v>
      </c>
    </row>
    <row r="1892" spans="1:3" x14ac:dyDescent="0.2">
      <c r="A1892" s="91" t="s">
        <v>2082</v>
      </c>
      <c r="B1892" s="92" t="s">
        <v>268</v>
      </c>
      <c r="C1892" s="111">
        <v>2535291759.79</v>
      </c>
    </row>
    <row r="1893" spans="1:3" x14ac:dyDescent="0.2">
      <c r="A1893" s="91" t="s">
        <v>2041</v>
      </c>
      <c r="B1893" s="92" t="s">
        <v>1668</v>
      </c>
      <c r="C1893" s="111">
        <v>2524380</v>
      </c>
    </row>
    <row r="1894" spans="1:3" x14ac:dyDescent="0.2">
      <c r="A1894" s="91" t="s">
        <v>1602</v>
      </c>
      <c r="B1894" s="92" t="s">
        <v>268</v>
      </c>
      <c r="C1894" s="111">
        <v>1481057445</v>
      </c>
    </row>
    <row r="1895" spans="1:3" x14ac:dyDescent="0.2">
      <c r="A1895" s="91" t="s">
        <v>1603</v>
      </c>
      <c r="B1895" s="92" t="s">
        <v>268</v>
      </c>
      <c r="C1895" s="111">
        <v>309474690</v>
      </c>
    </row>
    <row r="1896" spans="1:3" x14ac:dyDescent="0.2">
      <c r="A1896" s="91" t="s">
        <v>2025</v>
      </c>
      <c r="B1896" s="92" t="s">
        <v>1668</v>
      </c>
      <c r="C1896" s="111">
        <v>24000000.27</v>
      </c>
    </row>
    <row r="1897" spans="1:3" x14ac:dyDescent="0.2">
      <c r="A1897" s="91" t="s">
        <v>1604</v>
      </c>
      <c r="B1897" s="92" t="s">
        <v>268</v>
      </c>
      <c r="C1897" s="111">
        <v>3499326762.25</v>
      </c>
    </row>
    <row r="1898" spans="1:3" x14ac:dyDescent="0.2">
      <c r="A1898" s="91" t="s">
        <v>2026</v>
      </c>
      <c r="B1898" s="92" t="s">
        <v>1668</v>
      </c>
      <c r="C1898" s="111">
        <v>993340000</v>
      </c>
    </row>
    <row r="1899" spans="1:3" x14ac:dyDescent="0.2">
      <c r="A1899" s="91" t="s">
        <v>1876</v>
      </c>
      <c r="B1899" s="92" t="s">
        <v>1668</v>
      </c>
      <c r="C1899" s="111">
        <v>22500000</v>
      </c>
    </row>
    <row r="1900" spans="1:3" x14ac:dyDescent="0.2">
      <c r="A1900" s="91" t="s">
        <v>2027</v>
      </c>
      <c r="B1900" s="92" t="s">
        <v>1668</v>
      </c>
      <c r="C1900" s="111">
        <v>50000000</v>
      </c>
    </row>
    <row r="1901" spans="1:3" x14ac:dyDescent="0.2">
      <c r="A1901" s="91" t="s">
        <v>1701</v>
      </c>
      <c r="B1901" s="92" t="s">
        <v>268</v>
      </c>
      <c r="C1901" s="111">
        <v>2105503293.6600001</v>
      </c>
    </row>
    <row r="1902" spans="1:3" x14ac:dyDescent="0.2">
      <c r="A1902" s="91" t="s">
        <v>1605</v>
      </c>
      <c r="B1902" s="92" t="s">
        <v>268</v>
      </c>
      <c r="C1902" s="111">
        <v>9373293621</v>
      </c>
    </row>
    <row r="1903" spans="1:3" x14ac:dyDescent="0.2">
      <c r="A1903" s="91" t="s">
        <v>1877</v>
      </c>
      <c r="B1903" s="92" t="s">
        <v>222</v>
      </c>
      <c r="C1903" s="111">
        <v>106000000</v>
      </c>
    </row>
    <row r="1904" spans="1:3" x14ac:dyDescent="0.2">
      <c r="A1904" s="91" t="s">
        <v>1929</v>
      </c>
      <c r="B1904" s="92" t="s">
        <v>222</v>
      </c>
      <c r="C1904" s="111">
        <v>200000000</v>
      </c>
    </row>
    <row r="1905" spans="1:3" x14ac:dyDescent="0.2">
      <c r="A1905" s="91" t="s">
        <v>1851</v>
      </c>
      <c r="B1905" s="92" t="s">
        <v>222</v>
      </c>
      <c r="C1905" s="111">
        <v>283941257.05000001</v>
      </c>
    </row>
    <row r="1906" spans="1:3" x14ac:dyDescent="0.2">
      <c r="A1906" s="91" t="s">
        <v>1849</v>
      </c>
      <c r="B1906" s="92" t="s">
        <v>222</v>
      </c>
      <c r="C1906" s="111">
        <v>90000000</v>
      </c>
    </row>
    <row r="1907" spans="1:3" x14ac:dyDescent="0.2">
      <c r="A1907" s="91" t="s">
        <v>2019</v>
      </c>
      <c r="B1907" s="92" t="s">
        <v>1668</v>
      </c>
      <c r="C1907" s="111">
        <v>50160000</v>
      </c>
    </row>
    <row r="1908" spans="1:3" x14ac:dyDescent="0.2">
      <c r="A1908" s="91" t="s">
        <v>1850</v>
      </c>
      <c r="B1908" s="92" t="s">
        <v>222</v>
      </c>
      <c r="C1908" s="111">
        <v>130000000</v>
      </c>
    </row>
    <row r="1909" spans="1:3" x14ac:dyDescent="0.2">
      <c r="A1909" s="91" t="s">
        <v>2007</v>
      </c>
      <c r="B1909" s="92" t="s">
        <v>222</v>
      </c>
      <c r="C1909" s="111">
        <v>344502900</v>
      </c>
    </row>
    <row r="1910" spans="1:3" x14ac:dyDescent="0.2">
      <c r="A1910" s="91" t="s">
        <v>1871</v>
      </c>
      <c r="B1910" s="92" t="s">
        <v>1668</v>
      </c>
      <c r="C1910" s="111">
        <v>256730000</v>
      </c>
    </row>
    <row r="1911" spans="1:3" x14ac:dyDescent="0.2">
      <c r="A1911" s="91" t="s">
        <v>1951</v>
      </c>
      <c r="B1911" s="92" t="s">
        <v>1668</v>
      </c>
      <c r="C1911" s="111">
        <v>800000000</v>
      </c>
    </row>
    <row r="1912" spans="1:3" x14ac:dyDescent="0.2">
      <c r="A1912" s="91" t="s">
        <v>1986</v>
      </c>
      <c r="B1912" s="92" t="s">
        <v>1668</v>
      </c>
      <c r="C1912" s="111">
        <v>200000000</v>
      </c>
    </row>
    <row r="1913" spans="1:3" x14ac:dyDescent="0.2">
      <c r="A1913" s="91" t="s">
        <v>2032</v>
      </c>
      <c r="B1913" s="92" t="s">
        <v>1668</v>
      </c>
      <c r="C1913" s="111">
        <v>100000000</v>
      </c>
    </row>
    <row r="1914" spans="1:3" x14ac:dyDescent="0.2">
      <c r="A1914" s="91" t="s">
        <v>2083</v>
      </c>
      <c r="B1914" s="92" t="s">
        <v>1668</v>
      </c>
      <c r="C1914" s="111">
        <v>138500000</v>
      </c>
    </row>
    <row r="1915" spans="1:3" x14ac:dyDescent="0.2">
      <c r="A1915" s="91" t="s">
        <v>2084</v>
      </c>
      <c r="B1915" s="92" t="s">
        <v>1668</v>
      </c>
      <c r="C1915" s="111">
        <v>74781625.209999993</v>
      </c>
    </row>
    <row r="1916" spans="1:3" x14ac:dyDescent="0.2">
      <c r="A1916" s="91" t="s">
        <v>2085</v>
      </c>
      <c r="B1916" s="92" t="s">
        <v>1668</v>
      </c>
      <c r="C1916" s="111">
        <v>48605315.979999997</v>
      </c>
    </row>
    <row r="1917" spans="1:3" x14ac:dyDescent="0.2">
      <c r="A1917" s="91" t="s">
        <v>2086</v>
      </c>
      <c r="B1917" s="92" t="s">
        <v>1668</v>
      </c>
      <c r="C1917" s="111">
        <v>102200000</v>
      </c>
    </row>
    <row r="1918" spans="1:3" x14ac:dyDescent="0.2">
      <c r="A1918" s="91" t="s">
        <v>2087</v>
      </c>
      <c r="B1918" s="92" t="s">
        <v>1668</v>
      </c>
      <c r="C1918" s="111">
        <v>65865002.640000001</v>
      </c>
    </row>
    <row r="1919" spans="1:3" x14ac:dyDescent="0.2">
      <c r="A1919" s="91" t="s">
        <v>1952</v>
      </c>
      <c r="B1919" s="92" t="s">
        <v>268</v>
      </c>
      <c r="C1919" s="111">
        <v>13300782600</v>
      </c>
    </row>
    <row r="1920" spans="1:3" x14ac:dyDescent="0.2">
      <c r="A1920" s="91" t="s">
        <v>1913</v>
      </c>
      <c r="B1920" s="92" t="s">
        <v>268</v>
      </c>
      <c r="C1920" s="111">
        <v>1000594425</v>
      </c>
    </row>
    <row r="1921" spans="1:3" x14ac:dyDescent="0.2">
      <c r="A1921" s="91" t="s">
        <v>1896</v>
      </c>
      <c r="B1921" s="92" t="s">
        <v>538</v>
      </c>
      <c r="C1921" s="111">
        <v>22900000</v>
      </c>
    </row>
    <row r="1922" spans="1:3" x14ac:dyDescent="0.2">
      <c r="A1922" s="91" t="s">
        <v>1968</v>
      </c>
      <c r="B1922" s="92" t="s">
        <v>538</v>
      </c>
      <c r="C1922" s="111">
        <v>1100000</v>
      </c>
    </row>
    <row r="1923" spans="1:3" x14ac:dyDescent="0.2">
      <c r="A1923" s="91" t="s">
        <v>1897</v>
      </c>
      <c r="B1923" s="92" t="s">
        <v>538</v>
      </c>
      <c r="C1923" s="111">
        <v>38620000</v>
      </c>
    </row>
    <row r="1924" spans="1:3" x14ac:dyDescent="0.2">
      <c r="A1924" s="91" t="s">
        <v>1969</v>
      </c>
      <c r="B1924" s="92" t="s">
        <v>538</v>
      </c>
      <c r="C1924" s="111">
        <v>1380000</v>
      </c>
    </row>
    <row r="1925" spans="1:3" x14ac:dyDescent="0.2">
      <c r="A1925" s="91" t="s">
        <v>1898</v>
      </c>
      <c r="B1925" s="92" t="s">
        <v>538</v>
      </c>
      <c r="C1925" s="111">
        <v>24140000</v>
      </c>
    </row>
    <row r="1926" spans="1:3" x14ac:dyDescent="0.2">
      <c r="A1926" s="91" t="s">
        <v>1980</v>
      </c>
      <c r="B1926" s="92" t="s">
        <v>538</v>
      </c>
      <c r="C1926" s="111">
        <v>860000</v>
      </c>
    </row>
    <row r="1927" spans="1:3" x14ac:dyDescent="0.2">
      <c r="A1927" s="91" t="s">
        <v>1899</v>
      </c>
      <c r="B1927" s="92" t="s">
        <v>538</v>
      </c>
      <c r="C1927" s="111">
        <v>24140000</v>
      </c>
    </row>
    <row r="1928" spans="1:3" x14ac:dyDescent="0.2">
      <c r="A1928" s="91" t="s">
        <v>1971</v>
      </c>
      <c r="B1928" s="92" t="s">
        <v>538</v>
      </c>
      <c r="C1928" s="111">
        <v>860000</v>
      </c>
    </row>
    <row r="1929" spans="1:3" x14ac:dyDescent="0.2">
      <c r="A1929" s="91" t="s">
        <v>1900</v>
      </c>
      <c r="B1929" s="92" t="s">
        <v>538</v>
      </c>
      <c r="C1929" s="111">
        <v>19310000</v>
      </c>
    </row>
    <row r="1930" spans="1:3" x14ac:dyDescent="0.2">
      <c r="A1930" s="91" t="s">
        <v>1979</v>
      </c>
      <c r="B1930" s="92" t="s">
        <v>538</v>
      </c>
      <c r="C1930" s="111">
        <v>690000</v>
      </c>
    </row>
    <row r="1931" spans="1:3" x14ac:dyDescent="0.2">
      <c r="A1931" s="91" t="s">
        <v>1901</v>
      </c>
      <c r="B1931" s="92" t="s">
        <v>538</v>
      </c>
      <c r="C1931" s="111">
        <v>33120000</v>
      </c>
    </row>
    <row r="1932" spans="1:3" x14ac:dyDescent="0.2">
      <c r="A1932" s="91" t="s">
        <v>1972</v>
      </c>
      <c r="B1932" s="92" t="s">
        <v>538</v>
      </c>
      <c r="C1932" s="111">
        <v>5520000</v>
      </c>
    </row>
    <row r="1933" spans="1:3" x14ac:dyDescent="0.2">
      <c r="A1933" s="91" t="s">
        <v>1902</v>
      </c>
      <c r="B1933" s="92" t="s">
        <v>538</v>
      </c>
      <c r="C1933" s="111">
        <v>193140000</v>
      </c>
    </row>
    <row r="1934" spans="1:3" x14ac:dyDescent="0.2">
      <c r="A1934" s="91" t="s">
        <v>1973</v>
      </c>
      <c r="B1934" s="92" t="s">
        <v>538</v>
      </c>
      <c r="C1934" s="111">
        <v>6860000</v>
      </c>
    </row>
    <row r="1935" spans="1:3" x14ac:dyDescent="0.2">
      <c r="A1935" s="91" t="s">
        <v>1903</v>
      </c>
      <c r="B1935" s="92" t="s">
        <v>538</v>
      </c>
      <c r="C1935" s="111">
        <v>82090000</v>
      </c>
    </row>
    <row r="1936" spans="1:3" x14ac:dyDescent="0.2">
      <c r="A1936" s="91" t="s">
        <v>1978</v>
      </c>
      <c r="B1936" s="92" t="s">
        <v>538</v>
      </c>
      <c r="C1936" s="111">
        <v>2910000</v>
      </c>
    </row>
    <row r="1937" spans="1:3" x14ac:dyDescent="0.2">
      <c r="A1937" s="91" t="s">
        <v>1983</v>
      </c>
      <c r="B1937" s="92" t="s">
        <v>270</v>
      </c>
      <c r="C1937" s="111">
        <v>3000000000</v>
      </c>
    </row>
    <row r="1938" spans="1:3" x14ac:dyDescent="0.2">
      <c r="A1938" s="91" t="s">
        <v>1994</v>
      </c>
      <c r="B1938" s="92" t="s">
        <v>268</v>
      </c>
      <c r="C1938" s="111">
        <v>9271609093.2600002</v>
      </c>
    </row>
    <row r="1939" spans="1:3" x14ac:dyDescent="0.2">
      <c r="A1939" s="91" t="s">
        <v>1988</v>
      </c>
      <c r="B1939" s="92" t="s">
        <v>538</v>
      </c>
      <c r="C1939" s="111">
        <v>8893083.1899999995</v>
      </c>
    </row>
    <row r="1940" spans="1:3" x14ac:dyDescent="0.2">
      <c r="A1940" s="91" t="s">
        <v>1989</v>
      </c>
      <c r="B1940" s="92" t="s">
        <v>538</v>
      </c>
      <c r="C1940" s="111">
        <v>120000000</v>
      </c>
    </row>
    <row r="1941" spans="1:3" x14ac:dyDescent="0.2">
      <c r="A1941" s="91" t="s">
        <v>1990</v>
      </c>
      <c r="B1941" s="92" t="s">
        <v>538</v>
      </c>
      <c r="C1941" s="111">
        <v>300000000</v>
      </c>
    </row>
    <row r="1942" spans="1:3" x14ac:dyDescent="0.2">
      <c r="A1942" s="91" t="s">
        <v>2088</v>
      </c>
      <c r="B1942" s="92" t="s">
        <v>268</v>
      </c>
      <c r="C1942" s="111">
        <v>800000000</v>
      </c>
    </row>
    <row r="1943" spans="1:3" x14ac:dyDescent="0.2">
      <c r="A1943" s="91" t="s">
        <v>2089</v>
      </c>
      <c r="B1943" s="92" t="s">
        <v>1668</v>
      </c>
      <c r="C1943" s="111">
        <v>110980414.23999999</v>
      </c>
    </row>
  </sheetData>
  <autoFilter ref="A3:C1837"/>
  <phoneticPr fontId="2" type="noConversion"/>
  <hyperlinks>
    <hyperlink ref="B1423" r:id="rId1" location="'Основ'!B29" display="30/254-П УКС 2016-09-30 Отчет.xls - 'Основ'!B29"/>
    <hyperlink ref="B47" r:id="rId2" location="'Основ'!B30" display="30/254-П УКС 2016-09-30 Отчет.xls - 'Основ'!B30"/>
    <hyperlink ref="B46" r:id="rId3" location="'Основ'!B31" display="30/254-П УКС 2016-09-30 Отчет.xls - 'Основ'!B31"/>
    <hyperlink ref="B397" r:id="rId4" location="'Основ'!B32" display="30/254-П УКС 2016-09-30 Отчет.xls - 'Основ'!B32"/>
    <hyperlink ref="B1119" r:id="rId5" location="'Основ'!B8" display="30/254-П УОРПС 2016-09-30 Отчет.xls - 'Основ'!B8"/>
    <hyperlink ref="B1120" r:id="rId6" location="'Основ'!B9" display="30/254-П УОРПС 2016-09-30 Отчет.xls - 'Основ'!B9"/>
    <hyperlink ref="B1121" r:id="rId7" location="'Основ'!B10" display="30/254-П УОРПС 2016-09-30 Отчет.xls - 'Основ'!B10"/>
    <hyperlink ref="B1086" r:id="rId8" location="'Основ'!B11" display="30/254-П УОРПС 2016-09-30 Отчет.xls - 'Основ'!B11"/>
    <hyperlink ref="B1254" r:id="rId9" location="'Основ'!B12" display="30/254-П УОРПС 2016-09-30 Отчет.xls - 'Основ'!B12"/>
    <hyperlink ref="B1255" r:id="rId10" location="'Основ'!B13" display="30/254-П УОРПС 2016-09-30 Отчет.xls - 'Основ'!B13"/>
    <hyperlink ref="B1256" r:id="rId11" location="'Основ'!B14" display="30/254-П УОРПС 2016-09-30 Отчет.xls - 'Основ'!B14"/>
    <hyperlink ref="B1257" r:id="rId12" location="'Основ'!B15" display="30/254-П УОРПС 2016-09-30 Отчет.xls - 'Основ'!B15"/>
    <hyperlink ref="B1274" r:id="rId13" location="'Основ'!B16" display="30/254-П УОРПС 2016-09-30 Отчет.xls - 'Основ'!B16"/>
    <hyperlink ref="B1326" r:id="rId14" location="'Основ'!B17" display="30/254-П УОРПС 2016-09-30 Отчет.xls - 'Основ'!B17"/>
    <hyperlink ref="B1339" r:id="rId15" location="'Основ'!B18" display="30/254-П УОРПС 2016-09-30 Отчет.xls - 'Основ'!B18"/>
    <hyperlink ref="B1031" r:id="rId16" location="'Основ'!B19" display="30/254-П УОРПС 2016-09-30 Отчет.xls - 'Основ'!B19"/>
    <hyperlink ref="B1363" r:id="rId17" location="'Основ'!B20" display="30/254-П УОРПС 2016-09-30 Отчет.xls - 'Основ'!B20"/>
    <hyperlink ref="B1385" r:id="rId18" location="'Основ'!B21" display="30/254-П УОРПС 2016-09-30 Отчет.xls - 'Основ'!B21"/>
    <hyperlink ref="B1386" r:id="rId19" location="'Основ'!B22" display="30/254-П УОРПС 2016-09-30 Отчет.xls - 'Основ'!B22"/>
    <hyperlink ref="B1409" r:id="rId20" location="'Основ'!B23" display="30/254-П УОРПС 2016-09-30 Отчет.xls - 'Основ'!B23"/>
    <hyperlink ref="B1410" r:id="rId21" location="'Основ'!B24" display="30/254-П УОРПС 2016-09-30 Отчет.xls - 'Основ'!B24"/>
    <hyperlink ref="B1411" r:id="rId22" location="'Основ'!B25" display="30/254-П УОРПС 2016-09-30 Отчет.xls - 'Основ'!B25"/>
    <hyperlink ref="B1412" r:id="rId23" location="'Основ'!B26" display="30/254-П УОРПС 2016-09-30 Отчет.xls - 'Основ'!B26"/>
    <hyperlink ref="B1419" r:id="rId24" location="'Основ'!B27" display="30/254-П УОРПС 2016-09-30 Отчет.xls - 'Основ'!B27"/>
    <hyperlink ref="B1420" r:id="rId25" location="'Основ'!B28" display="30/254-П УОРПС 2016-09-30 Отчет.xls - 'Основ'!B28"/>
    <hyperlink ref="B1387" r:id="rId26" location="'Основ'!B29" display="30/254-П УОРПС 2016-09-30 Отчет.xls - 'Основ'!B29"/>
    <hyperlink ref="B1388" r:id="rId27" location="'Основ'!B30" display="30/254-П УОРПС 2016-09-30 Отчет.xls - 'Основ'!B30"/>
    <hyperlink ref="B1369" r:id="rId28" location="'Основ'!B31" display="30/254-П УОРПС 2016-09-30 Отчет.xls - 'Основ'!B31"/>
    <hyperlink ref="B1368" r:id="rId29" location="'Основ'!B32" display="30/254-П УОРПС 2016-09-30 Отчет.xls - 'Основ'!B32"/>
    <hyperlink ref="B1367" r:id="rId30" location="'Основ'!B33" display="30/254-П УОРПС 2016-09-30 Отчет.xls - 'Основ'!B33"/>
    <hyperlink ref="B246" r:id="rId31" location="'Основ'!B34" display="30/254-П УОРПС 2016-09-30 Отчет.xls - 'Основ'!B34"/>
    <hyperlink ref="B1370" r:id="rId32" location="'Основ'!B35" display="30/254-П УОРПС 2016-09-30 Отчет.xls - 'Основ'!B35"/>
    <hyperlink ref="B1209" r:id="rId33" location="'Основ'!B36" display="30/254-П УОРПС 2016-09-30 Отчет.xls - 'Основ'!B36"/>
    <hyperlink ref="B1389" r:id="rId34" location="'Основ'!B37" display="30/254-П УОРПС 2016-09-30 Отчет.xls - 'Основ'!B37"/>
    <hyperlink ref="B1390" r:id="rId35" location="'Основ'!B38" display="30/254-П УОРПС 2016-09-30 Отчет.xls - 'Основ'!B38"/>
    <hyperlink ref="B1393" r:id="rId36" location="'Основ'!B39" display="30/254-П УОРПС 2016-09-30 Отчет.xls - 'Основ'!B39"/>
    <hyperlink ref="B1394" r:id="rId37" location="'Основ'!B40" display="30/254-П УОРПС 2016-09-30 Отчет.xls - 'Основ'!B40"/>
    <hyperlink ref="B1413" r:id="rId38" location="'Основ'!B41" display="30/254-П УОРПС 2016-09-30 Отчет.xls - 'Основ'!B41"/>
    <hyperlink ref="B1414" r:id="rId39" location="'Основ'!B42" display="30/254-П УОРПС 2016-09-30 Отчет.xls - 'Основ'!B42"/>
    <hyperlink ref="B1417" r:id="rId40" location="'Основ'!B43" display="30/254-П УОРПС 2016-09-30 Отчет.xls - 'Основ'!B43"/>
    <hyperlink ref="B1418" r:id="rId41" location="'Основ'!B44" display="30/254-П УОРПС 2016-09-30 Отчет.xls - 'Основ'!B44"/>
    <hyperlink ref="B1421" r:id="rId42" location="'Основ'!B45" display="30/254-П УОРПС 2016-09-30 Отчет.xls - 'Основ'!B45"/>
    <hyperlink ref="B1422" r:id="rId43" location="'Основ'!B46" display="30/254-П УОРПС 2016-09-30 Отчет.xls - 'Основ'!B46"/>
    <hyperlink ref="B1395" r:id="rId44" location="'Основ'!B47" display="30/254-П УОРПС 2016-09-30 Отчет.xls - 'Основ'!B47"/>
    <hyperlink ref="B1396" r:id="rId45" location="'Основ'!B48" display="30/254-П УОРПС 2016-09-30 Отчет.xls - 'Основ'!B48"/>
    <hyperlink ref="B1391" r:id="rId46" location="'Основ'!B49" display="30/254-П УОРПС 2016-09-30 Отчет.xls - 'Основ'!B49"/>
    <hyperlink ref="B1392" r:id="rId47" location="'Основ'!B50" display="30/254-П УОРПС 2016-09-30 Отчет.xls - 'Основ'!B50"/>
    <hyperlink ref="B1397" r:id="rId48" location="'Основ'!B51" display="30/254-П УОРПС 2016-09-30 Отчет.xls - 'Основ'!B51"/>
    <hyperlink ref="B1398" r:id="rId49" location="'Основ'!B52" display="30/254-П УОРПС 2016-09-30 Отчет.xls - 'Основ'!B52"/>
    <hyperlink ref="B1071" r:id="rId50" location="'Основ'!B53" display="30/254-П УОРПС 2016-09-30 Отчет.xls - 'Основ'!B53"/>
    <hyperlink ref="B1364" r:id="rId51" location="'Основ'!B54" display="30/254-П УОРПС 2016-09-30 Отчет.xls - 'Основ'!B54"/>
    <hyperlink ref="B1195" r:id="rId52" location="'Основ'!B55" display="30/254-П УОРПС 2016-09-30 Отчет.xls - 'Основ'!B55"/>
    <hyperlink ref="B1470" r:id="rId53" location="'Основ'!B56" display="30/254-П УОРПС 2016-09-30 Отчет.xls - 'Основ'!B56"/>
    <hyperlink ref="B1415" r:id="rId54" location="'Основ'!B57" display="30/254-П УОРПС 2016-09-30 Отчет.xls - 'Основ'!B57"/>
    <hyperlink ref="B1267" r:id="rId55" location="'Основ'!B58" display="30/254-П УОРПС 2016-09-30 Отчет.xls - 'Основ'!B58"/>
    <hyperlink ref="B1266" r:id="rId56" location="'Основ'!B59" display="30/254-П УОРПС 2016-09-30 Отчет.xls - 'Основ'!B59"/>
    <hyperlink ref="B1476" r:id="rId57" location="'Основ'!B60" display="30/254-П УОРПС 2016-09-30 Отчет.xls - 'Основ'!B60"/>
    <hyperlink ref="B1479" r:id="rId58" location="'Основ'!B61" display="30/254-П УОРПС 2016-09-30 Отчет.xls - 'Основ'!B61"/>
    <hyperlink ref="B1440" r:id="rId59" location="'Основ'!B62" display="30/254-П УОРПС 2016-09-30 Отчет.xls - 'Основ'!B62"/>
    <hyperlink ref="B1488" r:id="rId60" location="'Основ'!B63" display="30/254-П УОРПС 2016-09-30 Отчет.xls - 'Основ'!B63"/>
    <hyperlink ref="B489" r:id="rId61" location="'Основ'!B64" display="30/254-П УОРПС 2016-09-30 Отчет.xls - 'Основ'!B64"/>
    <hyperlink ref="B1258" r:id="rId62" location="'Основ'!B65" display="30/254-П УОРПС 2016-09-30 Отчет.xls - 'Основ'!B65"/>
    <hyperlink ref="B1210" r:id="rId63" location="'Основ'!B66" display="30/254-П УОРПС 2016-09-30 Отчет.xls - 'Основ'!B66"/>
    <hyperlink ref="B1275" r:id="rId64" location="'Основ'!B67" display="30/254-П УОРПС 2016-09-30 Отчет.xls - 'Основ'!B67"/>
    <hyperlink ref="B1416" r:id="rId65" location="'Основ'!B68" display="30/254-П УОРПС 2016-09-30 Отчет.xls - 'Основ'!B68"/>
    <hyperlink ref="B1072" r:id="rId66" location="'Основ'!B69" display="30/254-П УОРПС 2016-09-30 Отчет.xls - 'Основ'!B69"/>
    <hyperlink ref="B1405" r:id="rId67" location="'Основ'!B70" display="30/254-П УОРПС 2016-09-30 Отчет.xls - 'Основ'!B70"/>
    <hyperlink ref="B1406" r:id="rId68" location="'Основ'!B71" display="30/254-П УОРПС 2016-09-30 Отчет.xls - 'Основ'!B71"/>
    <hyperlink ref="B1399" r:id="rId69" location="'Основ'!B72" display="30/254-П УОРПС 2016-09-30 Отчет.xls - 'Основ'!B72"/>
    <hyperlink ref="B1400" r:id="rId70" location="'Основ'!B73" display="30/254-П УОРПС 2016-09-30 Отчет.xls - 'Основ'!B73"/>
    <hyperlink ref="B1489" r:id="rId71" location="'Основ'!B74" display="30/254-П УОРПС 2016-09-30 Отчет.xls - 'Основ'!B74"/>
    <hyperlink ref="B1401" r:id="rId72" location="'Основ'!B75" display="30/254-П УОРПС 2016-09-30 Отчет.xls - 'Основ'!B75"/>
    <hyperlink ref="B1402" r:id="rId73" location="'Основ'!B76" display="30/254-П УОРПС 2016-09-30 Отчет.xls - 'Основ'!B76"/>
    <hyperlink ref="B1403" r:id="rId74" location="'Основ'!B77" display="30/254-П УОРПС 2016-09-30 Отчет.xls - 'Основ'!B77"/>
    <hyperlink ref="B1404" r:id="rId75" location="'Основ'!B78" display="30/254-П УОРПС 2016-09-30 Отчет.xls - 'Основ'!B78"/>
    <hyperlink ref="B1292" r:id="rId76" location="'Основ'!B79" display="30/254-П УОРПС 2016-09-30 Отчет.xls - 'Основ'!B79"/>
    <hyperlink ref="B1293" r:id="rId77" location="'Основ'!B80" display="30/254-П УОРПС 2016-09-30 Отчет.xls - 'Основ'!B80"/>
    <hyperlink ref="B1032" r:id="rId78" location="'Основ'!B81" display="30/254-П УОРПС 2016-09-30 Отчет.xls - 'Основ'!B81"/>
    <hyperlink ref="B1501" r:id="rId79" location="'Основ'!B82" display="30/254-П УОРПС 2016-09-30 Отчет.xls - 'Основ'!B82"/>
    <hyperlink ref="B1484" r:id="rId80" location="'Основ'!B83" display="30/254-П УОРПС 2016-09-30 Отчет.xls - 'Основ'!B83"/>
    <hyperlink ref="B1513" r:id="rId81" location="'Основ'!B84" display="30/254-П УОРПС 2016-09-30 Отчет.xls - 'Основ'!B84"/>
    <hyperlink ref="B1231" r:id="rId82" location="'Основ'!B85" display="30/254-П УОРПС 2016-09-30 Отчет.xls - 'Основ'!B85"/>
    <hyperlink ref="B1502" r:id="rId83" location="'Основ'!B86" display="30/254-П УОРПС 2016-09-30 Отчет.xls - 'Основ'!B86"/>
    <hyperlink ref="B1332" r:id="rId84" location="'Основ'!B87" display="30/254-П УОРПС 2016-09-30 Отчет.xls - 'Основ'!B87"/>
    <hyperlink ref="B1506" r:id="rId85" location="'Основ'!B88" display="30/254-П УОРПС 2016-09-30 Отчет.xls - 'Основ'!B88"/>
    <hyperlink ref="B1491" r:id="rId86" location="'Основ'!B89" display="30/254-П УОРПС 2016-09-30 Отчет.xls - 'Основ'!B89"/>
    <hyperlink ref="B1490" r:id="rId87" location="'Основ'!B90" display="30/254-П УОРПС 2016-09-30 Отчет.xls - 'Основ'!B90"/>
    <hyperlink ref="B1492" r:id="rId88" location="'Основ'!B91" display="30/254-П УОРПС 2016-09-30 Отчет.xls - 'Основ'!B91"/>
    <hyperlink ref="B1514" r:id="rId89" location="'Основ'!B92" display="30/254-П УОРПС 2016-09-30 Отчет.xls - 'Основ'!B92"/>
    <hyperlink ref="B1515" r:id="rId90" location="'Основ'!B93" display="30/254-П УОРПС 2016-09-30 Отчет.xls - 'Основ'!B93"/>
    <hyperlink ref="B1543" r:id="rId91" location="'Основ'!B94" display="30/254-П УОРПС 2016-09-30 Отчет.xls - 'Основ'!B94"/>
    <hyperlink ref="B1485" r:id="rId92" location="'Основ'!B95" display="30/254-П УОРПС 2016-09-30 Отчет.xls - 'Основ'!B95"/>
    <hyperlink ref="B1043" r:id="rId93" location="'Основ'!B96" display="30/254-П УОРПС 2016-09-30 Отчет.xls - 'Основ'!B96"/>
    <hyperlink ref="B1531" r:id="rId94" location="'Основ'!B97" display="30/254-П УОРПС 2016-09-30 Отчет.xls - 'Основ'!B97"/>
    <hyperlink ref="B1532" r:id="rId95" location="'Основ'!B98" display="30/254-П УОРПС 2016-09-30 Отчет.xls - 'Основ'!B98"/>
    <hyperlink ref="B1407" r:id="rId96" location="'Основ'!B99" display="30/254-П УОРПС 2016-09-30 Отчет.xls - 'Основ'!B99"/>
    <hyperlink ref="B1408" r:id="rId97" location="'Основ'!B100" display="30/254-П УОРПС 2016-09-30 Отчет.xls - 'Основ'!B100"/>
    <hyperlink ref="B1294" r:id="rId98" location="'Основ'!B101" display="30/254-П УОРПС 2016-09-30 Отчет.xls - 'Основ'!B101"/>
    <hyperlink ref="B1196" r:id="rId99" location="'Основ'!B102" display="30/254-П УОРПС 2016-09-30 Отчет.xls - 'Основ'!B102"/>
    <hyperlink ref="B1524" r:id="rId100" location="'Основ'!B103" display="30/254-П УОРПС 2016-09-30 Отчет.xls - 'Основ'!B103"/>
    <hyperlink ref="B1471" r:id="rId101" location="'Основ'!B104" display="30/254-П УОРПС 2016-09-30 Отчет.xls - 'Основ'!B104"/>
    <hyperlink ref="B1142" r:id="rId102" location="'Основ'!B105" display="30/254-П УОРПС 2016-09-30 Отчет.xls - 'Основ'!B105"/>
    <hyperlink ref="B1553" r:id="rId103" location="'Основ'!B106" display="30/254-П УОРПС 2016-09-30 Отчет.xls - 'Основ'!B106"/>
    <hyperlink ref="B1055" r:id="rId104" location="'Основ'!B107" display="30/254-П УОРПС 2016-09-30 Отчет.xls - 'Основ'!B107"/>
    <hyperlink ref="B1056" r:id="rId105" location="'Основ'!B108" display="30/254-П УОРПС 2016-09-30 Отчет.xls - 'Основ'!B108"/>
    <hyperlink ref="B1143" r:id="rId106" location="'Основ'!B109" display="30/254-П УОРПС 2016-09-30 Отчет.xls - 'Основ'!B109"/>
    <hyperlink ref="B1144" r:id="rId107" location="'Основ'!B110" display="30/254-П УОРПС 2016-09-30 Отчет.xls - 'Основ'!B110"/>
    <hyperlink ref="B1057" r:id="rId108" location="'Основ'!B111" display="30/254-П УОРПС 2016-09-30 Отчет.xls - 'Основ'!B111"/>
    <hyperlink ref="B1058" r:id="rId109" location="'Основ'!B112" display="30/254-П УОРПС 2016-09-30 Отчет.xls - 'Основ'!B112"/>
    <hyperlink ref="B1124" r:id="rId110" location="'Основ'!B113" display="30/254-П УОРПС 2016-09-30 Отчет.xls - 'Основ'!B113"/>
    <hyperlink ref="B1125" r:id="rId111" location="'Основ'!B114" display="30/254-П УОРПС 2016-09-30 Отчет.xls - 'Основ'!B114"/>
    <hyperlink ref="B1581" r:id="rId112" location="'Основ'!B115" display="30/254-П УОРПС 2016-09-30 Отчет.xls - 'Основ'!B115"/>
    <hyperlink ref="B1576" r:id="rId113" location="'Основ'!B116" display="30/254-П УОРПС 2016-09-30 Отчет.xls - 'Основ'!B116"/>
    <hyperlink ref="B1525" r:id="rId114" location="'Основ'!B117" display="30/254-П УОРПС 2016-09-30 Отчет.xls - 'Основ'!B117"/>
    <hyperlink ref="B901" r:id="rId115" location="'Основ'!B118" display="30/254-П УОРПС 2016-09-30 Отчет.xls - 'Основ'!B118"/>
    <hyperlink ref="B1276" r:id="rId116" location="'Основ'!B119" display="30/254-П УОРПС 2016-09-30 Отчет.xls - 'Основ'!B119"/>
    <hyperlink ref="B1259" r:id="rId117" location="'Основ'!B120" display="30/254-П УОРПС 2016-09-30 Отчет.xls - 'Основ'!B120"/>
    <hyperlink ref="B1529" r:id="rId118" location="'Основ'!B121" display="30/254-П УОРПС 2016-09-30 Отчет.xls - 'Основ'!B121"/>
    <hyperlink ref="B1480" r:id="rId119" location="'Основ'!B122" display="30/254-П УОРПС 2016-09-30 Отчет.xls - 'Основ'!B122"/>
    <hyperlink ref="B1477" r:id="rId120" location="'Основ'!B123" display="30/254-П УОРПС 2016-09-30 Отчет.xls - 'Основ'!B123"/>
    <hyperlink ref="B1481" r:id="rId121" location="'Основ'!B124" display="30/254-П УОРПС 2016-09-30 Отчет.xls - 'Основ'!B124"/>
    <hyperlink ref="B1478" r:id="rId122" location="'Основ'!B125" display="30/254-П УОРПС 2016-09-30 Отчет.xls - 'Основ'!B125"/>
    <hyperlink ref="B1582" r:id="rId123" location="'Основ'!B126" display="30/254-П УОРПС 2016-09-30 Отчет.xls - 'Основ'!B126"/>
    <hyperlink ref="B1197" r:id="rId124" location="'Основ'!B127" display="30/254-П УОРПС 2016-09-30 Отчет.xls - 'Основ'!B127"/>
    <hyperlink ref="B1561" r:id="rId125" location="'Основ'!B128" display="30/254-П УОРПС 2016-09-30 Отчет.xls - 'Основ'!B128"/>
    <hyperlink ref="B1059" r:id="rId126" location="'Основ'!B129" display="30/254-П УОРПС 2016-09-30 Отчет.xls - 'Основ'!B129"/>
    <hyperlink ref="B1060" r:id="rId127" location="'Основ'!B130" display="30/254-П УОРПС 2016-09-30 Отчет.xls - 'Основ'!B130"/>
    <hyperlink ref="B862" r:id="rId128" location="'Основ'!B131" display="30/254-П УОРПС 2016-09-30 Отчет.xls - 'Основ'!B131"/>
    <hyperlink ref="B863" r:id="rId129" location="'Основ'!B132" display="30/254-П УОРПС 2016-09-30 Отчет.xls - 'Основ'!B132"/>
    <hyperlink ref="B248" r:id="rId130" location="'Основ'!B133" display="30/254-П УОРПС 2016-09-30 Отчет.xls - 'Основ'!B133"/>
    <hyperlink ref="B1044" r:id="rId131" location="'Основ'!B134" display="30/254-П УОРПС 2016-09-30 Отчет.xls - 'Основ'!B134"/>
    <hyperlink ref="B369" r:id="rId132" location="'Основ'!B135" display="30/254-П УОРПС 2016-09-30 Отчет.xls - 'Основ'!B135"/>
    <hyperlink ref="B1064" r:id="rId133" location="'Основ'!B136" display="30/254-П УОРПС 2016-09-30 Отчет.xls - 'Основ'!B136"/>
    <hyperlink ref="B1560" r:id="rId134" location="'Основ'!B137" display="30/254-П УОРПС 2016-09-30 Отчет.xls - 'Основ'!B137"/>
    <hyperlink ref="B1277" r:id="rId135" location="'Основ'!B138" display="30/254-П УОРПС 2016-09-30 Отчет.xls - 'Основ'!B138"/>
    <hyperlink ref="B1639" r:id="rId136" location="'Основ'!B139" display="30/254-П УОРПС 2016-09-30 Отчет.xls - 'Основ'!B139"/>
    <hyperlink ref="B1606" r:id="rId137" location="'Основ'!B140" display="30/254-П УОРПС 2016-09-30 Отчет.xls - 'Основ'!B140"/>
    <hyperlink ref="B1610" r:id="rId138" location="'Основ'!B141" display="30/254-П УОРПС 2016-09-30 Отчет.xls - 'Основ'!B141"/>
    <hyperlink ref="B1609" r:id="rId139" location="'Основ'!B142" display="30/254-П УОРПС 2016-09-30 Отчет.xls - 'Основ'!B142"/>
    <hyperlink ref="B1132" r:id="rId140" location="'Основ'!B143" display="30/254-П УОРПС 2016-09-30 Отчет.xls - 'Основ'!B143"/>
    <hyperlink ref="B1637" r:id="rId141" location="'Основ'!B144" display="30/254-П УОРПС 2016-09-30 Отчет.xls - 'Основ'!B144"/>
    <hyperlink ref="B1638" r:id="rId142" location="'Основ'!B145" display="30/254-П УОРПС 2016-09-30 Отчет.xls - 'Основ'!B145"/>
    <hyperlink ref="B249" r:id="rId143" location="'Основ'!B146" display="30/254-П УОРПС 2016-09-30 Отчет.xls - 'Основ'!B146"/>
    <hyperlink ref="B1451" r:id="rId144" location="'Основ'!B147" display="30/254-П УОРПС 2016-09-30 Отчет.xls - 'Основ'!B147"/>
    <hyperlink ref="B1571" r:id="rId145" location="'Основ'!B148" display="30/254-П УОРПС 2016-09-30 Отчет.xls - 'Основ'!B148"/>
    <hyperlink ref="B1616" r:id="rId146" location="'Основ'!B149" display="30/254-П УОРПС 2016-09-30 Отчет.xls - 'Основ'!B149"/>
    <hyperlink ref="B1061" r:id="rId147" location="'Основ'!B150" display="30/254-П УОРПС 2016-09-30 Отчет.xls - 'Основ'!B150"/>
    <hyperlink ref="B1062" r:id="rId148" location="'Основ'!B151" display="30/254-П УОРПС 2016-09-30 Отчет.xls - 'Основ'!B151"/>
    <hyperlink ref="B1604" r:id="rId149" location="'Основ'!B152" display="30/254-П УОРПС 2016-09-30 Отчет.xls - 'Основ'!B152"/>
    <hyperlink ref="B1045" r:id="rId150" location="'Основ'!B153" display="30/254-П УОРПС 2016-09-30 Отчет.xls - 'Основ'!B153"/>
    <hyperlink ref="B504" r:id="rId151" location="'Основ'!B154" display="30/254-П УОРПС 2016-09-30 Отчет.xls - 'Основ'!B154"/>
    <hyperlink ref="B1065" r:id="rId152" location="'Основ'!B155" display="30/254-П УОРПС 2016-09-30 Отчет.xls - 'Основ'!B155"/>
    <hyperlink ref="B1164" r:id="rId153" location="'Основ'!B156" display="30/254-П УОРПС 2016-09-30 Отчет.xls - 'Основ'!B156"/>
    <hyperlink ref="B984" r:id="rId154" location="'Основ'!B157" display="30/254-П УОРПС 2016-09-30 Отчет.xls - 'Основ'!B157"/>
    <hyperlink ref="B1161" r:id="rId155" location="'Основ'!B158" display="30/254-П УОРПС 2016-09-30 Отчет.xls - 'Основ'!B158"/>
    <hyperlink ref="B1660" r:id="rId156" location="'Основ'!B159" display="30/254-П УОРПС 2016-09-30 Отчет.xls - 'Основ'!B159"/>
    <hyperlink ref="B1496" r:id="rId157" location="'Основ'!B160" display="30/254-П УОРПС 2016-09-30 Отчет.xls - 'Основ'!B160"/>
    <hyperlink ref="B1643" r:id="rId158" location="'Основ'!B161" display="30/254-П УОРПС 2016-09-30 Отчет.xls - 'Основ'!B161"/>
    <hyperlink ref="B1122" r:id="rId159" location="'Основ'!B162" display="30/254-П УОРПС 2016-09-30 Отчет.xls - 'Основ'!B162"/>
    <hyperlink ref="B1519" r:id="rId160" location="'Основ'!B163" display="30/254-П УОРПС 2016-09-30 Отчет.xls - 'Основ'!B163"/>
    <hyperlink ref="B1114" r:id="rId161" location="'Основ'!B164" display="30/254-П УОРПС 2016-09-30 Отчет.xls - 'Основ'!B164"/>
    <hyperlink ref="B1348" r:id="rId162" location="'Основ'!B165" display="30/254-П УОРПС 2016-09-30 Отчет.xls - 'Основ'!B165"/>
    <hyperlink ref="B1539" r:id="rId163" location="'Основ'!B166" display="30/254-П УОРПС 2016-09-30 Отчет.xls - 'Основ'!B166"/>
    <hyperlink ref="B264" r:id="rId164" location="'Основ'!B167" display="30/254-П УОРПС 2016-09-30 Отчет.xls - 'Основ'!B167"/>
    <hyperlink ref="B1665" r:id="rId165" location="'Основ'!B168" display="30/254-П УОРПС 2016-09-30 Отчет.xls - 'Основ'!B168"/>
    <hyperlink ref="B1268" r:id="rId166" location="'Основ'!B169" display="30/254-П УОРПС 2016-09-30 Отчет.xls - 'Основ'!B169"/>
    <hyperlink ref="B1168" r:id="rId167" location="'Основ'!B170" display="30/254-П УОРПС 2016-09-30 Отчет.xls - 'Основ'!B170"/>
    <hyperlink ref="B1558" r:id="rId168" location="'Основ'!B171" display="30/254-П УОРПС 2016-09-30 Отчет.xls - 'Основ'!B171"/>
    <hyperlink ref="B1101" r:id="rId169" location="'Основ'!B172" display="30/254-П УОРПС 2016-09-30 Отчет.xls - 'Основ'!B172"/>
    <hyperlink ref="B1100" r:id="rId170" location="'Основ'!B173" display="30/254-П УОРПС 2016-09-30 Отчет.xls - 'Основ'!B173"/>
    <hyperlink ref="B1216" r:id="rId171" location="'Основ'!B174" display="30/254-П УОРПС 2016-09-30 Отчет.xls - 'Основ'!B174"/>
    <hyperlink ref="B373" r:id="rId172" location="'Основ'!B175" display="30/254-П УОРПС 2016-09-30 Отчет.xls - 'Основ'!B175"/>
    <hyperlink ref="B1650" r:id="rId173" location="'Основ'!B176" display="30/254-П УОРПС 2016-09-30 Отчет.xls - 'Основ'!B176"/>
    <hyperlink ref="B1683" r:id="rId174" location="'Основ'!B177" display="30/254-П УОРПС 2016-09-30 Отчет.xls - 'Основ'!B177"/>
    <hyperlink ref="B1349" r:id="rId175" location="'Основ'!B178" display="30/254-П УОРПС 2016-09-30 Отчет.xls - 'Основ'!B178"/>
    <hyperlink ref="B1096" r:id="rId176" location="'Основ'!B179" display="30/254-П УОРПС 2016-09-30 Отчет.xls - 'Основ'!B179"/>
    <hyperlink ref="B1097" r:id="rId177" location="'Основ'!B180" display="30/254-П УОРПС 2016-09-30 Отчет.xls - 'Основ'!B180"/>
    <hyperlink ref="B1352" r:id="rId178" location="'Основ'!B181" display="30/254-П УОРПС 2016-09-30 Отчет.xls - 'Основ'!B181"/>
    <hyperlink ref="B1353" r:id="rId179" location="'Основ'!B182" display="30/254-П УОРПС 2016-09-30 Отчет.xls - 'Основ'!B182"/>
    <hyperlink ref="B1441" r:id="rId180" location="'Основ'!B183" display="30/254-П УОРПС 2016-09-30 Отчет.xls - 'Основ'!B183"/>
    <hyperlink ref="B1694" r:id="rId181" location="'Основ'!B184" display="30/254-П УОРПС 2016-09-30 Отчет.xls - 'Основ'!B184"/>
    <hyperlink ref="B1744" r:id="rId182" location="'Основ'!B185" display="30/254-П УОРПС 2016-09-30 Отчет.xls - 'Основ'!B185"/>
    <hyperlink ref="B1570" r:id="rId183" location="'Основ'!B186" display="30/254-П УОРПС 2016-09-30 Отчет.xls - 'Основ'!B186"/>
    <hyperlink ref="B1613" r:id="rId184" location="'Основ'!B187" display="30/254-П УОРПС 2016-09-30 Отчет.xls - 'Основ'!B187"/>
    <hyperlink ref="B1691" r:id="rId185" location="'Основ'!B188" display="30/254-П УОРПС 2016-09-30 Отчет.xls - 'Основ'!B188"/>
    <hyperlink ref="B1690" r:id="rId186" location="'Основ'!B189" display="30/254-П УОРПС 2016-09-30 Отчет.xls - 'Основ'!B189"/>
    <hyperlink ref="B1198" r:id="rId187" location="'Основ'!B190" display="30/254-П УОРПС 2016-09-30 Отчет.xls - 'Основ'!B190"/>
    <hyperlink ref="B1091" r:id="rId188" location="'Основ'!B191" display="30/254-П УОРПС 2016-09-30 Отчет.xls - 'Основ'!B191"/>
    <hyperlink ref="B1712" r:id="rId189" location="'Основ'!B192" display="30/254-П УОРПС 2016-09-30 Отчет.xls - 'Основ'!B192"/>
    <hyperlink ref="B1713" r:id="rId190" location="'Основ'!B193" display="30/254-П УОРПС 2016-09-30 Отчет.xls - 'Основ'!B193"/>
    <hyperlink ref="B865" r:id="rId191" location="'Основ'!B194" display="30/254-П УОРПС 2016-09-30 Отчет.xls - 'Основ'!B194"/>
    <hyperlink ref="B866" r:id="rId192" location="'Основ'!B195" display="30/254-П УОРПС 2016-09-30 Отчет.xls - 'Основ'!B195"/>
    <hyperlink ref="B973" r:id="rId193" location="'Основ'!B196" display="30/254-П УОРПС 2016-09-30 Отчет.xls - 'Основ'!B196"/>
    <hyperlink ref="B974" r:id="rId194" location="'Основ'!B197" display="30/254-П УОРПС 2016-09-30 Отчет.xls - 'Основ'!B197"/>
    <hyperlink ref="B1354" r:id="rId195" location="'Основ'!B198" display="30/254-П УОРПС 2016-09-30 Отчет.xls - 'Основ'!B198"/>
    <hyperlink ref="B1657" r:id="rId196" location="'Основ'!B199" display="30/254-П УОРПС 2016-09-30 Отчет.xls - 'Основ'!B199"/>
    <hyperlink ref="B364" r:id="rId197" location="'Основ'!B200" display="30/254-П УОРПС 2016-09-30 Отчет.xls - 'Основ'!B200"/>
    <hyperlink ref="B1651" r:id="rId198" location="'Основ'!B201" display="30/254-П УОРПС 2016-09-30 Отчет.xls - 'Основ'!B201"/>
    <hyperlink ref="B1327" r:id="rId199" location="'Основ'!B202" display="30/254-П УОРПС 2016-09-30 Отчет.xls - 'Основ'!B202"/>
    <hyperlink ref="B1577" r:id="rId200" location="'Основ'!B203" display="30/254-П УОРПС 2016-09-30 Отчет.xls - 'Основ'!B203"/>
    <hyperlink ref="B1635" r:id="rId201" location="'Основ'!B204" display="30/254-П УОРПС 2016-09-30 Отчет.xls - 'Основ'!B204"/>
    <hyperlink ref="B1636" r:id="rId202" location="'Основ'!B205" display="30/254-П УОРПС 2016-09-30 Отчет.xls - 'Основ'!B205"/>
    <hyperlink ref="B1679" r:id="rId203" location="'Основ'!B206" display="30/254-П УОРПС 2016-09-30 Отчет.xls - 'Основ'!B206"/>
    <hyperlink ref="B1680" r:id="rId204" location="'Основ'!B207" display="30/254-П УОРПС 2016-09-30 Отчет.xls - 'Основ'!B207"/>
    <hyperlink ref="B1070" r:id="rId205" location="'Основ'!B208" display="30/254-П УОРПС 2016-09-30 Отчет.xls - 'Основ'!B208"/>
    <hyperlink ref="B505" r:id="rId206" location="'Основ'!B209" display="30/254-П УОРПС 2016-09-30 Отчет.xls - 'Основ'!B209"/>
    <hyperlink ref="B506" r:id="rId207" location="'Основ'!B210" display="30/254-П УОРПС 2016-09-30 Отчет.xls - 'Основ'!B210"/>
    <hyperlink ref="B1279" r:id="rId208" location="'Основ'!B211" display="30/254-П УОРПС 2016-09-30 Отчет.xls - 'Основ'!B211"/>
    <hyperlink ref="B1280" r:id="rId209" location="'Основ'!B212" display="30/254-П УОРПС 2016-09-30 Отчет.xls - 'Основ'!B212"/>
    <hyperlink ref="B1149" r:id="rId210" location="'Основ'!B213" display="30/254-П УОРПС 2016-09-30 Отчет.xls - 'Основ'!B213"/>
    <hyperlink ref="B367" r:id="rId211" location="'Основ'!B214" display="30/254-П УОРПС 2016-09-30 Отчет.xls - 'Основ'!B214"/>
    <hyperlink ref="B1640" r:id="rId212" location="'Основ'!B215" display="30/254-П УОРПС 2016-09-30 Отчет.xls - 'Основ'!B215"/>
    <hyperlink ref="B1631" r:id="rId213" location="'Основ'!B216" display="30/254-П УОРПС 2016-09-30 Отчет.xls - 'Основ'!B216"/>
    <hyperlink ref="B1681" r:id="rId214" location="'Основ'!B217" display="30/254-П УОРПС 2016-09-30 Отчет.xls - 'Основ'!B217"/>
    <hyperlink ref="B265" r:id="rId215" location="'Основ'!B218" display="30/254-П УОРПС 2016-09-30 Отчет.xls - 'Основ'!B218"/>
    <hyperlink ref="B266" r:id="rId216" location="'Основ'!B219" display="30/254-П УОРПС 2016-09-30 Отчет.xls - 'Основ'!B219"/>
    <hyperlink ref="B1722" r:id="rId217" location="'Основ'!B220" display="30/254-П УОРПС 2016-09-30 Отчет.xls - 'Основ'!B220"/>
    <hyperlink ref="B1745" r:id="rId218" location="'Основ'!B221" display="30/254-П УОРПС 2016-09-30 Отчет.xls - 'Основ'!B221"/>
    <hyperlink ref="B1474" r:id="rId219" location="'Основ'!B222" display="30/254-П УОРПС 2016-09-30 Отчет.xls - 'Основ'!B222"/>
    <hyperlink ref="B1748" r:id="rId220" location="'Основ'!B223" display="30/254-П УОРПС 2016-09-30 Отчет.xls - 'Основ'!B223"/>
    <hyperlink ref="B1578" r:id="rId221" location="'Основ'!B224" display="30/254-П УОРПС 2016-09-30 Отчет.xls - 'Основ'!B224"/>
    <hyperlink ref="B1752" r:id="rId222" location="'Основ'!B225" display="30/254-П УОРПС 2016-09-30 Отчет.xls - 'Основ'!B225"/>
    <hyperlink ref="B1181" r:id="rId223" location="'Основ'!B226" display="30/254-П УОРПС 2016-09-30 Отчет.xls - 'Основ'!B226"/>
    <hyperlink ref="B1182" r:id="rId224" location="'Основ'!B227" display="30/254-П УОРПС 2016-09-30 Отчет.xls - 'Основ'!B227"/>
    <hyperlink ref="B1535" r:id="rId225" location="'Основ'!B228" display="30/254-П УОРПС 2016-09-30 Отчет.xls - 'Основ'!B228"/>
    <hyperlink ref="B1755" r:id="rId226" location="'Основ'!B229" display="30/254-П УОРПС 2016-09-30 Отчет.xls - 'Основ'!B229"/>
    <hyperlink ref="B1756" r:id="rId227" location="'Основ'!B230" display="30/254-П УОРПС 2016-09-30 Отчет.xls - 'Основ'!B230"/>
    <hyperlink ref="B1644" r:id="rId228" location="'Основ'!B231" display="30/254-П УОРПС 2016-09-30 Отчет.xls - 'Основ'!B231"/>
    <hyperlink ref="B1641" r:id="rId229" location="'Основ'!B232" display="30/254-П УОРПС 2016-09-30 Отчет.xls - 'Основ'!B232"/>
    <hyperlink ref="B1486" r:id="rId230" location="'Основ'!B233" display="30/254-П УОРПС 2016-09-30 Отчет.xls - 'Основ'!B233"/>
    <hyperlink ref="B892" r:id="rId231" location="'Основ'!B234" display="30/254-П УОРПС 2016-09-30 Отчет.xls - 'Основ'!B234"/>
    <hyperlink ref="B267" r:id="rId232" location="'Основ'!B235" display="30/254-П УОРПС 2016-09-30 Отчет.xls - 'Основ'!B235"/>
    <hyperlink ref="B1261" r:id="rId233" location="'Основ'!B236" display="30/254-П УОРПС 2016-09-30 Отчет.xls - 'Основ'!B236"/>
    <hyperlink ref="B1695" r:id="rId234" location="'Основ'!B237" display="30/254-П УОРПС 2016-09-30 Отчет.xls - 'Основ'!B237"/>
    <hyperlink ref="B1761" r:id="rId235" location="'Основ'!B238" display="30/254-П УОРПС 2016-09-30 Отчет.xls - 'Основ'!B238"/>
    <hyperlink ref="B1758" r:id="rId236" location="'Основ'!B239" display="30/254-П УОРПС 2016-09-30 Отчет.xls - 'Основ'!B239"/>
    <hyperlink ref="B1185" r:id="rId237" location="'Основ'!B240" display="30/254-П УОРПС 2016-09-30 Отчет.xls - 'Основ'!B240"/>
    <hyperlink ref="B1262" r:id="rId238" location="'Основ'!B241" display="30/254-П УОРПС 2016-09-30 Отчет.xls - 'Основ'!B241"/>
    <hyperlink ref="B1263" r:id="rId239" location="'Основ'!B242" display="30/254-П УОРПС 2016-09-30 Отчет.xls - 'Основ'!B242"/>
    <hyperlink ref="B1629" r:id="rId240" location="'Основ'!B243" display="30/254-П УОРПС 2016-09-30 Отчет.xls - 'Основ'!B243"/>
    <hyperlink ref="B1733" r:id="rId241" location="'Основ'!B244" display="30/254-П УОРПС 2016-09-30 Отчет.xls - 'Основ'!B244"/>
    <hyperlink ref="B1734" r:id="rId242" location="'Основ'!B245" display="30/254-П УОРПС 2016-09-30 Отчет.xls - 'Основ'!B245"/>
    <hyperlink ref="B1735" r:id="rId243" location="'Основ'!B246" display="30/254-П УОРПС 2016-09-30 Отчет.xls - 'Основ'!B246"/>
    <hyperlink ref="B1736" r:id="rId244" location="'Основ'!B247" display="30/254-П УОРПС 2016-09-30 Отчет.xls - 'Основ'!B247"/>
    <hyperlink ref="B1739" r:id="rId245" location="'Основ'!B248" display="30/254-П УОРПС 2016-09-30 Отчет.xls - 'Основ'!B248"/>
    <hyperlink ref="B1737" r:id="rId246" location="'Основ'!B249" display="30/254-П УОРПС 2016-09-30 Отчет.xls - 'Основ'!B249"/>
    <hyperlink ref="B1738" r:id="rId247" location="'Основ'!B250" display="30/254-П УОРПС 2016-09-30 Отчет.xls - 'Основ'!B250"/>
    <hyperlink ref="B1740" r:id="rId248" location="'Основ'!B251" display="30/254-П УОРПС 2016-09-30 Отчет.xls - 'Основ'!B251"/>
    <hyperlink ref="B1764" r:id="rId249" location="'Основ'!B252" display="30/254-П УОРПС 2016-09-30 Отчет.xls - 'Основ'!B252"/>
    <hyperlink ref="B365" r:id="rId250" location="'Основ'!B253" display="30/254-П УОРПС 2016-09-30 Отчет.xls - 'Основ'!B253"/>
    <hyperlink ref="B1658" r:id="rId251" location="'Основ'!B254" display="30/254-П УОРПС 2016-09-30 Отчет.xls - 'Основ'!B254"/>
    <hyperlink ref="B1428" r:id="rId252" location="'Основ'!B255" display="30/254-П УОРПС 2016-09-30 Отчет.xls - 'Основ'!B255"/>
    <hyperlink ref="B1066" r:id="rId253" location="'Основ'!B256" display="30/254-П УОРПС 2016-09-30 Отчет.xls - 'Основ'!B256"/>
    <hyperlink ref="B1439" r:id="rId254" location="'Основ'!B257" display="30/254-П УОРПС 2016-09-30 Отчет.xls - 'Основ'!B257"/>
    <hyperlink ref="B1438" r:id="rId255" location="'Основ'!B258" display="30/254-П УОРПС 2016-09-30 Отчет.xls - 'Основ'!B258"/>
    <hyperlink ref="B1778" r:id="rId256" location="'Основ'!B259" display="30/254-П УОРПС 2016-09-30 Отчет.xls - 'Основ'!B259"/>
    <hyperlink ref="B370" r:id="rId257" location="'Основ'!B260" display="30/254-П УОРПС 2016-09-30 Отчет.xls - 'Основ'!B260"/>
    <hyperlink ref="B1765" r:id="rId258" location="'Основ'!B261" display="30/254-П УОРПС 2016-09-30 Отчет.xls - 'Основ'!B261"/>
    <hyperlink ref="B1766" r:id="rId259" location="'Основ'!B262" display="30/254-П УОРПС 2016-09-30 Отчет.xls - 'Основ'!B262"/>
    <hyperlink ref="B1763" r:id="rId260" location="'Основ'!B263" display="30/254-П УОРПС 2016-09-30 Отчет.xls - 'Основ'!B263"/>
    <hyperlink ref="B1217" r:id="rId261" location="'Основ'!B264" display="30/254-П УОРПС 2016-09-30 Отчет.xls - 'Основ'!B264"/>
    <hyperlink ref="B1803" r:id="rId262" location="'Основ'!B265" display="30/254-П УОРПС 2016-09-30 Отчет.xls - 'Основ'!B265"/>
    <hyperlink ref="B1493" r:id="rId263" location="'Основ'!B266" display="30/254-П УОРПС 2016-09-30 Отчет.xls - 'Основ'!B266"/>
    <hyperlink ref="B1790" r:id="rId264" location="'Основ'!B267" display="30/254-П УОРПС 2016-09-30 Отчет.xls - 'Основ'!B267"/>
    <hyperlink ref="B1759" r:id="rId265" location="'Основ'!B268" display="30/254-П УОРПС 2016-09-30 Отчет.xls - 'Основ'!B268"/>
    <hyperlink ref="B1692" r:id="rId266" location="'Основ'!B269" display="30/254-П УОРПС 2016-09-30 Отчет.xls - 'Основ'!B269"/>
    <hyperlink ref="B1754" r:id="rId267" location="'Основ'!B270" display="30/254-П УОРПС 2016-09-30 Отчет.xls - 'Основ'!B270"/>
    <hyperlink ref="B1614" r:id="rId268" location="'Основ'!B271" display="30/254-П УОРПС 2016-09-30 Отчет.xls - 'Основ'!B271"/>
    <hyperlink ref="B1757" r:id="rId269" location="'Основ'!B272" display="30/254-П УОРПС 2016-09-30 Отчет.xls - 'Основ'!B272"/>
    <hyperlink ref="B1584" r:id="rId270" location="'Основ'!B273" display="30/254-П УОРПС 2016-09-30 Отчет.xls - 'Основ'!B273"/>
    <hyperlink ref="B1785" r:id="rId271" location="'Основ'!B274" display="30/254-П УОРПС 2016-09-30 Отчет.xls - 'Основ'!B274"/>
    <hyperlink ref="B1786" r:id="rId272" location="'Основ'!B275" display="30/254-П УОРПС 2016-09-30 Отчет.xls - 'Основ'!B275"/>
    <hyperlink ref="B1811" r:id="rId273" location="'Основ'!B276" display="30/254-П УОРПС 2016-09-30 Отчет.xls - 'Основ'!B276"/>
    <hyperlink ref="B1087" r:id="rId274" location="'Основ'!B277" display="30/254-П УОРПС 2016-09-30 Отчет.xls - 'Основ'!B277"/>
    <hyperlink ref="B1810" r:id="rId275" location="'Основ'!B278" display="30/254-П УОРПС 2016-09-30 Отчет.xls - 'Основ'!B278"/>
    <hyperlink ref="B1812" r:id="rId276" location="'Основ'!B279" display="30/254-П УОРПС 2016-09-30 Отчет.xls - 'Основ'!B279"/>
    <hyperlink ref="B250" r:id="rId277" location="'Основ'!B280" display="30/254-П УОРПС 2016-09-30 Отчет.xls - 'Основ'!B280"/>
    <hyperlink ref="B268" r:id="rId278" location="'Основ'!B281" display="30/254-П УОРПС 2016-09-30 Отчет.xls - 'Основ'!B281"/>
    <hyperlink ref="B1724" r:id="rId279" location="'Основ'!B282" display="30/254-П УОРПС 2016-09-30 Отчет.xls - 'Основ'!B282"/>
    <hyperlink ref="B1815" r:id="rId280" location="'Основ'!B283" display="30/254-П УОРПС 2016-09-30 Отчет.xls - 'Основ'!B283"/>
    <hyperlink ref="B247" r:id="rId281" location="'Основ'!B284" display="30/254-П УОРПС 2016-09-30 Отчет.xls - 'Основ'!B284"/>
    <hyperlink ref="B1813" r:id="rId282" location="'Основ'!B285" display="30/254-П УОРПС 2016-09-30 Отчет.xls - 'Основ'!B285"/>
    <hyperlink ref="B1426" r:id="rId283" location="'Основ'!B286" display="30/254-П УОРПС 2016-09-30 Отчет.xls - 'Основ'!B286"/>
    <hyperlink ref="B1067" r:id="rId284" location="'Основ'!B287" display="30/254-П УОРПС 2016-09-30 Отчет.xls - 'Основ'!B287"/>
    <hyperlink ref="B507" r:id="rId285" location="'Основ'!B288" display="30/254-П УОРПС 2016-09-30 Отчет.xls - 'Основ'!B288"/>
    <hyperlink ref="B1817" r:id="rId286" location="'Основ'!B289" display="30/254-П УОРПС 2016-09-30 Отчет.xls - 'Основ'!B289"/>
    <hyperlink ref="B1199" r:id="rId287" location="'Основ'!B290" display="30/254-П УОРПС 2016-09-30 Отчет.xls - 'Основ'!B290"/>
    <hyperlink ref="B1165" r:id="rId288" location="'Основ'!B291" display="30/254-П УОРПС 2016-09-30 Отчет.xls - 'Основ'!B291"/>
    <hyperlink ref="B1316" r:id="rId289" location="'Основ'!B292" display="30/254-П УОРПС 2016-09-30 Отчет.xls - 'Основ'!B292"/>
    <hyperlink ref="B1281" r:id="rId290" location="'Основ'!B293" display="30/254-П УОРПС 2016-09-30 Отчет.xls - 'Основ'!B293"/>
    <hyperlink ref="B1282" r:id="rId291" location="'Основ'!B294" display="30/254-П УОРПС 2016-09-30 Отчет.xls - 'Основ'!B294"/>
    <hyperlink ref="B1607" r:id="rId292" location="'Основ'!B295" display="30/254-П УОРПС 2016-09-30 Отчет.xls - 'Основ'!B295"/>
    <hyperlink ref="B1602" r:id="rId293" location="'Основ'!B296" display="30/254-П УОРПС 2016-09-30 Отчет.xls - 'Основ'!B296"/>
    <hyperlink ref="B1603" r:id="rId294" location="'Основ'!B297" display="30/254-П УОРПС 2016-09-30 Отчет.xls - 'Основ'!B297"/>
    <hyperlink ref="B1777" r:id="rId295" location="'Основ'!B298" display="30/254-П УОРПС 2016-09-30 Отчет.xls - 'Основ'!B298"/>
    <hyperlink ref="B1828" r:id="rId296" location="'Основ'!B299" display="30/254-П УОРПС 2016-09-30 Отчет.xls - 'Основ'!B299"/>
    <hyperlink ref="B1827" r:id="rId297" location="'Основ'!B300" display="30/254-П УОРПС 2016-09-30 Отчет.xls - 'Основ'!B300"/>
    <hyperlink ref="B1825" r:id="rId298" location="'Основ'!B301" display="30/254-П УОРПС 2016-09-30 Отчет.xls - 'Основ'!B301"/>
    <hyperlink ref="B1628" r:id="rId299" location="'Основ'!B302" display="30/254-П УОРПС 2016-09-30 Отчет.xls - 'Основ'!B302"/>
    <hyperlink ref="B771" r:id="rId300" location="'Основ'!B303" display="30/254-П УОРПС 2016-09-30 Отчет.xls - 'Основ'!B303"/>
    <hyperlink ref="B1030" r:id="rId301" location="'Основ'!B304" display="30/254-П УОРПС 2016-09-30 Отчет.xls - 'Основ'!B304"/>
    <hyperlink ref="B1295" r:id="rId302" location="'Основ'!B305" display="30/254-П УОРПС 2016-09-30 Отчет.xls - 'Основ'!B305"/>
    <hyperlink ref="B1632" r:id="rId303" location="'Основ'!B306" display="30/254-П УОРПС 2016-09-30 Отчет.xls - 'Основ'!B306"/>
    <hyperlink ref="B1536" r:id="rId304" location="'Основ'!B307" display="30/254-П УОРПС 2016-09-30 Отчет.xls - 'Основ'!B307"/>
    <hyperlink ref="B1046" r:id="rId305" location="'Основ'!B308" display="30/254-П УОРПС 2016-09-30 Отчет.xls - 'Основ'!B308"/>
    <hyperlink ref="B1814" r:id="rId306" location="'Основ'!B309" display="30/254-П УОРПС 2016-09-30 Отчет.xls - 'Основ'!B309"/>
    <hyperlink ref="B1497" r:id="rId307" location="'Основ'!B310" display="30/254-П УОРПС 2016-09-30 Отчет.xls - 'Основ'!B310"/>
    <hyperlink ref="B976" r:id="rId308" location="'Основ'!B311" display="30/254-П УОРПС 2016-09-30 Отчет.xls - 'Основ'!B311"/>
    <hyperlink ref="B1442" r:id="rId309" location="'Основ'!B312" display="30/254-П УОРПС 2016-09-30 Отчет.xls - 'Основ'!B312"/>
    <hyperlink ref="B508" r:id="rId310" location="'Основ'!B313" display="30/254-П УОРПС 2016-09-30 Отчет.xls - 'Основ'!B313"/>
    <hyperlink ref="B1314" r:id="rId311" location="'Основ'!B314" display="30/254-П УОРПС 2016-09-30 Отчет.xls - 'Основ'!B314"/>
    <hyperlink ref="B1315" r:id="rId312" location="'Основ'!B315" display="30/254-П УОРПС 2016-09-30 Отчет.xls - 'Основ'!B315"/>
    <hyperlink ref="B1760" r:id="rId313" location="'Основ'!B316" display="30/254-П УОРПС 2016-09-30 Отчет.xls - 'Основ'!B316"/>
    <hyperlink ref="B1098" r:id="rId314" location="'Основ'!B317" display="30/254-П УОРПС 2016-09-30 Отчет.xls - 'Основ'!B317"/>
    <hyperlink ref="B1443" r:id="rId315" location="'Основ'!B318" display="30/254-П УОРПС 2016-09-30 Отчет.xls - 'Основ'!B318"/>
    <hyperlink ref="B1569" r:id="rId316" location="'Основ'!B319" display="30/254-П УОРПС 2016-09-30 Отчет.xls - 'Основ'!B319"/>
    <hyperlink ref="B1568" r:id="rId317" location="'Основ'!B320" display="30/254-П УОРПС 2016-09-30 Отчет.xls - 'Основ'!B320"/>
    <hyperlink ref="B1567" r:id="rId318" location="'Основ'!B321" display="30/254-П УОРПС 2016-09-30 Отчет.xls - 'Основ'!B321"/>
    <hyperlink ref="B1750" r:id="rId319" location="'Основ'!B322" display="30/254-П УОРПС 2016-09-30 Отчет.xls - 'Основ'!B322"/>
    <hyperlink ref="B864" r:id="rId320" location="'Основ'!B323" display="30/254-П УОРПС 2016-09-30 Отчет.xls - 'Основ'!B323"/>
    <hyperlink ref="B1544" r:id="rId321" location="'Основ'!B324" display="30/254-П УОРПС 2016-09-30 Отчет.xls - 'Основ'!B324"/>
    <hyperlink ref="B1272" r:id="rId322" location="'Основ'!B325" display="30/254-П УОРПС 2016-09-30 Отчет.xls - 'Основ'!B325"/>
    <hyperlink ref="B1273" r:id="rId323" location="'Основ'!B326" display="30/254-П УОРПС 2016-09-30 Отчет.xls - 'Основ'!B326"/>
    <hyperlink ref="B1487" r:id="rId324" location="'Основ'!B327" display="30/254-П УОРПС 2016-09-30 Отчет.xls - 'Основ'!B327"/>
    <hyperlink ref="B1589" r:id="rId325" location="'Основ'!B328" display="30/254-П УОРПС 2016-09-30 Отчет.xls - 'Основ'!B328"/>
    <hyperlink ref="B1903" r:id="rId326" location="'Основ'!B329" display="30/254-П УОРПС 2016-09-30 Отчет.xls - 'Основ'!B329"/>
    <hyperlink ref="B1846" r:id="rId327" location="'Основ'!B330" display="30/254-П УОРПС 2016-09-30 Отчет.xls - 'Основ'!B330"/>
    <hyperlink ref="B1537" r:id="rId328" location="'Основ'!B331" display="30/254-П УОРПС 2016-09-30 Отчет.xls - 'Основ'!B331"/>
    <hyperlink ref="B1693" r:id="rId329" location="'Основ'!B332" display="30/254-П УОРПС 2016-09-30 Отчет.xls - 'Основ'!B332"/>
    <hyperlink ref="B1906" r:id="rId330" location="'Основ'!B333" display="30/254-П УОРПС 2016-09-30 Отчет.xls - 'Основ'!B333"/>
    <hyperlink ref="B1904" r:id="rId331" location="'Основ'!B334" display="30/254-П УОРПС 2016-09-30 Отчет.xls - 'Основ'!B334"/>
    <hyperlink ref="B1905" r:id="rId332" location="'Основ'!B335" display="30/254-П УОРПС 2016-09-30 Отчет.xls - 'Основ'!B335"/>
    <hyperlink ref="B1278" r:id="rId333" location="'Основ'!B336" display="30/254-П УОРПС 2016-09-30 Отчет.xls - 'Основ'!B336"/>
    <hyperlink ref="B1562" r:id="rId334" location="'Основ'!B337" display="30/254-П УОРПС 2016-09-30 Отчет.xls - 'Основ'!B337"/>
    <hyperlink ref="B1540" r:id="rId335" location="'Основ'!B338" display="30/254-П УОРПС 2016-09-30 Отчет.xls - 'Основ'!B338"/>
    <hyperlink ref="B1037" r:id="rId336" location="'Основ'!B339" display="30/254-П УОРПС 2016-09-30 Отчет.xls - 'Основ'!B339"/>
    <hyperlink ref="B1039" r:id="rId337" location="'Основ'!B340" display="30/254-П УОРПС 2016-09-30 Отчет.xls - 'Основ'!B340"/>
    <hyperlink ref="B1630" r:id="rId338" location="'Основ'!B341" display="30/254-П УОРПС 2016-09-30 Отчет.xls - 'Основ'!B341"/>
    <hyperlink ref="B1464" r:id="rId339" location="'Основ'!B342" display="30/254-П УОРПС 2016-09-30 Отчет.xls - 'Основ'!B342"/>
    <hyperlink ref="B1847" r:id="rId340" location="'Основ'!B343" display="30/254-П УОРПС 2016-09-30 Отчет.xls - 'Основ'!B343"/>
    <hyperlink ref="B1133" r:id="rId341" location="'Основ'!B344" display="30/254-П УОРПС 2016-09-30 Отчет.xls - 'Основ'!B344"/>
    <hyperlink ref="B1908" r:id="rId342" location="'Основ'!B345" display="30/254-П УОРПС 2016-09-30 Отчет.xls - 'Основ'!B345"/>
    <hyperlink ref="B269" r:id="rId343" location="'Основ'!B346" display="30/254-П УОРПС 2016-09-30 Отчет.xls - 'Основ'!B346"/>
    <hyperlink ref="B1723" r:id="rId344" location="'Основ'!B347" display="30/254-П УОРПС 2016-09-30 Отчет.xls - 'Основ'!B347"/>
    <hyperlink ref="B1099" r:id="rId345" location="'Основ'!B348" display="30/254-П УОРПС 2016-09-30 Отчет.xls - 'Основ'!B348"/>
    <hyperlink ref="B1527" r:id="rId346" location="'Основ'!B349" display="30/254-П УОРПС 2016-09-30 Отчет.xls - 'Основ'!B349"/>
    <hyperlink ref="B1655" r:id="rId347" location="'Основ'!B350" display="30/254-П УОРПС 2016-09-30 Отчет.xls - 'Основ'!B350"/>
    <hyperlink ref="B1526" r:id="rId348" location="'Основ'!B351" display="30/254-П УОРПС 2016-09-30 Отчет.xls - 'Основ'!B351"/>
    <hyperlink ref="B1538" r:id="rId349" location="'Основ'!B352" display="30/254-П УОРПС 2016-09-30 Отчет.xls - 'Основ'!B352"/>
    <hyperlink ref="B366" r:id="rId350" location="'Основ'!B353" display="30/254-П УОРПС 2016-09-30 Отчет.xls - 'Основ'!B353"/>
    <hyperlink ref="B1068" r:id="rId351" location="'Основ'!B354" display="30/254-П УОРПС 2016-09-30 Отчет.xls - 'Основ'!B354"/>
    <hyperlink ref="B1533" r:id="rId352" location="'Основ'!B355" display="30/254-П УОРПС 2016-09-30 Отчет.xls - 'Основ'!B355"/>
    <hyperlink ref="B1534" r:id="rId353" location="'Основ'!B356" display="30/254-П УОРПС 2016-09-30 Отчет.xls - 'Основ'!B356"/>
    <hyperlink ref="B1048" r:id="rId354" location="'Основ'!B357" display="30/254-П УОРПС 2016-09-30 Отчет.xls - 'Основ'!B357"/>
    <hyperlink ref="B1047" r:id="rId355" location="'Основ'!B358" display="30/254-П УОРПС 2016-09-30 Отчет.xls - 'Основ'!B358"/>
    <hyperlink ref="B1579" r:id="rId356" location="'Основ'!B359" display="30/254-П УОРПС 2016-09-30 Отчет.xls - 'Основ'!B359"/>
    <hyperlink ref="B1580" r:id="rId357" location="'Основ'!B360" display="30/254-П УОРПС 2016-09-30 Отчет.xls - 'Основ'!B360"/>
    <hyperlink ref="B1088" r:id="rId358" location="'Основ'!B361" display="30/254-П УОРПС 2016-09-30 Отчет.xls - 'Основ'!B361"/>
    <hyperlink ref="B1516" r:id="rId359" location="'Основ'!B362" display="30/254-П УОРПС 2016-09-30 Отчет.xls - 'Основ'!B362"/>
    <hyperlink ref="B1052" r:id="rId360" location="'Основ'!B363" display="30/254-П УОРПС 2016-09-30 Отчет.xls - 'Основ'!B363"/>
    <hyperlink ref="B1642" r:id="rId361" location="'Основ'!B364" display="30/254-П УОРПС 2016-09-30 Отчет.xls - 'Основ'!B364"/>
    <hyperlink ref="B1659" r:id="rId362" location="'Основ'!B365" display="30/254-П УОРПС 2016-09-30 Отчет.xls - 'Основ'!B365"/>
    <hyperlink ref="B1909" r:id="rId363" location="'Основ'!B366" display="30/254-П УОРПС 2016-09-30 Отчет.xls - 'Основ'!B366"/>
    <hyperlink ref="B1472" r:id="rId364" location="'Основ'!B367" display="30/254-П УОРПС 2016-09-30 Отчет.xls - 'Основ'!B367"/>
    <hyperlink ref="B1530" r:id="rId365" location="'Основ'!B368" display="30/254-П УОРПС 2016-09-30 Отчет.xls - 'Основ'!B368"/>
    <hyperlink ref="B1129" r:id="rId366" location="'Основ'!B369" display="30/254-П УОРПС 2016-09-30 Отчет.xls - 'Основ'!B369"/>
    <hyperlink ref="B1528" r:id="rId367" location="'Основ'!B370" display="30/254-П УОРПС 2016-09-30 Отчет.xls - 'Основ'!B370"/>
    <hyperlink ref="B1069" r:id="rId368" location="'Основ'!B371" display="30/254-П УОРПС 2016-09-30 Отчет.xls - 'Основ'!B371"/>
    <hyperlink ref="B1866" r:id="rId369" location="'Основ'!B372" display="30/254-П УОРПС 2016-09-30 Отчет.xls - 'Основ'!B372"/>
    <hyperlink ref="B867" r:id="rId370" location="'Основ'!B373" display="30/254-П УОРПС 2016-09-30 Отчет.xls - 'Основ'!B373"/>
    <hyperlink ref="B975" r:id="rId371" location="'Основ'!B374" display="30/254-П УОРПС 2016-09-30 Отчет.xls - 'Основ'!B374"/>
    <hyperlink ref="B1427" r:id="rId372" location="'Основ'!B375" display="30/254-П УОРПС 2016-09-30 Отчет.xls - 'Основ'!B375"/>
    <hyperlink ref="B1038" r:id="rId373" location="'Основ'!B376" display="30/254-П УОРПС 2016-09-30 Отчет.xls - 'Основ'!B376"/>
    <hyperlink ref="B1751" r:id="rId374" location="'Основ'!B8" display="30/254-П УОРПС ЦАБС 2016-09-30 Отчет.xls - 'Основ'!B8"/>
    <hyperlink ref="B1753" r:id="rId375" location="'Основ'!B9" display="30/254-П УОРПС ЦАБС 2016-09-30 Отчет.xls - 'Основ'!B9"/>
    <hyperlink ref="B1717" r:id="rId376" location="'Основ'!B10" display="30/254-П УОРПС ЦАБС 2016-09-30 Отчет.xls - 'Основ'!B10"/>
    <hyperlink ref="B1718" r:id="rId377" location="'Основ'!B11" display="30/254-П УОРПС ЦАБС 2016-09-30 Отчет.xls - 'Основ'!B11"/>
    <hyperlink ref="B1776" r:id="rId378" location="'Основ'!B12" display="30/254-П УОРПС ЦАБС 2016-09-30 Отчет.xls - 'Основ'!B12"/>
    <hyperlink ref="B1784" r:id="rId379" location="'Основ'!B13" display="30/254-П УОРПС ЦАБС 2016-09-30 Отчет.xls - 'Основ'!B13"/>
    <hyperlink ref="B1787" r:id="rId380" location="'Основ'!B14" display="30/254-П УОРПС ЦАБС 2016-09-30 Отчет.xls - 'Основ'!B14"/>
    <hyperlink ref="B1788" r:id="rId381" location="'Основ'!B15" display="30/254-П УОРПС ЦАБС 2016-09-30 Отчет.xls - 'Основ'!B15"/>
    <hyperlink ref="B1826" r:id="rId382" location="'Основ'!B16" display="30/254-П УОРПС ЦАБС 2016-09-30 Отчет.xls - 'Основ'!B16"/>
    <hyperlink ref="B1832" r:id="rId383" location="'Основ'!B17" display="30/254-П УОРПС ЦАБС 2016-09-30 Отчет.xls - 'Основ'!B17"/>
    <hyperlink ref="B1845" r:id="rId384" location="'Основ'!B18" display="30/254-П УОРПС ЦАБС 2016-09-30 Отчет.xls - 'Основ'!B18"/>
    <hyperlink ref="B1820" r:id="rId385" location="'Основ'!B19" display="30/254-П УОРПС ЦАБС 2016-09-30 Отчет.xls - 'Основ'!B19"/>
    <hyperlink ref="B1819" r:id="rId386" location="'Основ'!B20" display="30/254-П УОРПС ЦАБС 2016-09-30 Отчет.xls - 'Основ'!B20"/>
    <hyperlink ref="B1910" r:id="rId387" location="'Основ'!B21" display="30/254-П УОРПС ЦАБС 2016-09-30 Отчет.xls - 'Основ'!B21"/>
    <hyperlink ref="B1829" r:id="rId388" location="'Основ'!B22" display="30/254-П УОРПС ЦАБС 2016-09-30 Отчет.xls - 'Основ'!B22"/>
    <hyperlink ref="B1907" r:id="rId389" location="'Основ'!B23" display="30/254-П УОРПС ЦАБС 2016-09-30 Отчет.xls - 'Основ'!B23"/>
    <hyperlink ref="B1893" r:id="rId390" location="'Основ'!B24" display="30/254-П УОРПС ЦАБС 2016-09-30 Отчет.xls - 'Основ'!B24"/>
    <hyperlink ref="B1899" r:id="rId391" location="'Основ'!B25" display="30/254-П УОРПС ЦАБС 2016-09-30 Отчет.xls - 'Основ'!B25"/>
    <hyperlink ref="B1833" r:id="rId392" location="'Основ'!B26" display="30/254-П УОРПС ЦАБС 2016-09-30 Отчет.xls - 'Основ'!B26"/>
    <hyperlink ref="B1913" r:id="rId393" location="'Основ'!B27" display="30/254-П УОРПС ЦАБС 2016-09-30 Отчет.xls - 'Основ'!B27"/>
    <hyperlink ref="B1911" r:id="rId394" location="'Основ'!B28" display="30/254-П УОРПС ЦАБС 2016-09-30 Отчет.xls - 'Основ'!B28"/>
    <hyperlink ref="B1912" r:id="rId395" location="'Основ'!B29" display="30/254-П УОРПС ЦАБС 2016-09-30 Отчет.xls - 'Основ'!B29"/>
    <hyperlink ref="B1834" r:id="rId396" location="'Основ'!B30" display="30/254-П УОРПС ЦАБС 2016-09-30 Отчет.xls - 'Основ'!B30"/>
    <hyperlink ref="B1844" r:id="rId397" location="'Основ'!B31" display="30/254-П УОРПС ЦАБС 2016-09-30 Отчет.xls - 'Основ'!B31"/>
    <hyperlink ref="B1943" r:id="rId398" location="'Основ'!B32" display="30/254-П УОРПС ЦАБС 2016-09-30 Отчет.xls - 'Основ'!B32"/>
    <hyperlink ref="B1914" r:id="rId399" location="'Основ'!B33" display="30/254-П УОРПС ЦАБС 2016-09-30 Отчет.xls - 'Основ'!B33"/>
    <hyperlink ref="B1916" r:id="rId400" location="'Основ'!B34" display="30/254-П УОРПС ЦАБС 2016-09-30 Отчет.xls - 'Основ'!B34"/>
    <hyperlink ref="B1917" r:id="rId401" location="'Основ'!B35" display="30/254-П УОРПС ЦАБС 2016-09-30 Отчет.xls - 'Основ'!B35"/>
    <hyperlink ref="B1915" r:id="rId402" location="'Основ'!B36" display="30/254-П УОРПС ЦАБС 2016-09-30 Отчет.xls - 'Основ'!B36"/>
    <hyperlink ref="B1918" r:id="rId403" location="'Основ'!B37" display="30/254-П УОРПС ЦАБС 2016-09-30 Отчет.xls - 'Основ'!B37"/>
    <hyperlink ref="B1870" r:id="rId404" location="'Основ'!B38" display="30/254-П УОРПС ЦАБС 2016-09-30 Отчет.xls - 'Основ'!B38"/>
    <hyperlink ref="B1896" r:id="rId405" location="'Основ'!B39" display="30/254-П УОРПС ЦАБС 2016-09-30 Отчет.xls - 'Основ'!B39"/>
    <hyperlink ref="B1900" r:id="rId406" location="'Основ'!B40" display="30/254-П УОРПС ЦАБС 2016-09-30 Отчет.xls - 'Основ'!B40"/>
    <hyperlink ref="B1898" r:id="rId407" location="'Основ'!B41" display="30/254-П УОРПС ЦАБС 2016-09-30 Отчет.xls - 'Основ'!B41"/>
    <hyperlink ref="B398" r:id="rId408" location="'МБК'!B8" display="30/254-П УПБ 2016-09-30 Отчет.xls - 'МБК'!B8"/>
    <hyperlink ref="B6" r:id="rId409" location="'МБК'!B9" display="30/254-П УПБ 2016-09-30 Отчет.xls - 'МБК'!B9"/>
    <hyperlink ref="B399" r:id="rId410" location="'МБК'!B10" display="30/254-П УПБ 2016-09-30 Отчет.xls - 'МБК'!B10"/>
    <hyperlink ref="B400" r:id="rId411" location="'МБК'!B11" display="30/254-П УПБ 2016-09-30 Отчет.xls - 'МБК'!B11"/>
    <hyperlink ref="B401" r:id="rId412" location="'МБК'!B12" display="30/254-П УПБ 2016-09-30 Отчет.xls - 'МБК'!B12"/>
    <hyperlink ref="B960" r:id="rId413" location="'МБК'!B13" display="30/254-П УПБ 2016-09-30 Отчет.xls - 'МБК'!B13"/>
    <hyperlink ref="B402" r:id="rId414" location="'МБК'!B14" display="30/254-П УПБ 2016-09-30 Отчет.xls - 'МБК'!B14"/>
    <hyperlink ref="B10" r:id="rId415" location="'МБК'!B15" display="30/254-П УПБ 2016-09-30 Отчет.xls - 'МБК'!B15"/>
    <hyperlink ref="B11" r:id="rId416" location="'МБК'!B16" display="30/254-П УПБ 2016-09-30 Отчет.xls - 'МБК'!B16"/>
    <hyperlink ref="B403" r:id="rId417" location="'МБК'!B17" display="30/254-П УПБ 2016-09-30 Отчет.xls - 'МБК'!B17"/>
    <hyperlink ref="B166" r:id="rId418" location="'МБК'!B18" display="30/254-П УПБ 2016-09-30 Отчет.xls - 'МБК'!B18"/>
    <hyperlink ref="B12" r:id="rId419" location="'МБК'!B19" display="30/254-П УПБ 2016-09-30 Отчет.xls - 'МБК'!B19"/>
    <hyperlink ref="B404" r:id="rId420" location="'МБК'!B20" display="30/254-П УПБ 2016-09-30 Отчет.xls - 'МБК'!B20"/>
    <hyperlink ref="B405" r:id="rId421" location="'МБК'!B21" display="30/254-П УПБ 2016-09-30 Отчет.xls - 'МБК'!B21"/>
    <hyperlink ref="B1599" r:id="rId422" location="'МБК'!B22" display="30/254-П УПБ 2016-09-30 Отчет.xls - 'МБК'!B22"/>
    <hyperlink ref="B1600" r:id="rId423" location="'МБК'!B23" display="30/254-П УПБ 2016-09-30 Отчет.xls - 'МБК'!B23"/>
    <hyperlink ref="B1601" r:id="rId424" location="'МБК'!B24" display="30/254-П УПБ 2016-09-30 Отчет.xls - 'МБК'!B24"/>
    <hyperlink ref="B625" r:id="rId425" location="'МБК'!B25" display="30/254-П УПБ 2016-09-30 Отчет.xls - 'МБК'!B25"/>
    <hyperlink ref="B1595" r:id="rId426" location="'МБК'!B26" display="30/254-П УПБ 2016-09-30 Отчет.xls - 'МБК'!B26"/>
    <hyperlink ref="B1596" r:id="rId427" location="'МБК'!B27" display="30/254-П УПБ 2016-09-30 Отчет.xls - 'МБК'!B27"/>
    <hyperlink ref="B1597" r:id="rId428" location="'МБК'!B28" display="30/254-П УПБ 2016-09-30 Отчет.xls - 'МБК'!B28"/>
    <hyperlink ref="B406" r:id="rId429" location="'МБК'!B29" display="30/254-П УПБ 2016-09-30 Отчет.xls - 'МБК'!B29"/>
    <hyperlink ref="B407" r:id="rId430" location="'МБК'!B30" display="30/254-П УПБ 2016-09-30 Отчет.xls - 'МБК'!B30"/>
    <hyperlink ref="B7" r:id="rId431" location="'МБК'!B31" display="30/254-П УПБ 2016-09-30 Отчет.xls - 'МБК'!B31"/>
    <hyperlink ref="B408" r:id="rId432" location="'МБК'!B32" display="30/254-П УПБ 2016-09-30 Отчет.xls - 'МБК'!B32"/>
    <hyperlink ref="B409" r:id="rId433" location="'МБК'!B33" display="30/254-П УПБ 2016-09-30 Отчет.xls - 'МБК'!B33"/>
    <hyperlink ref="B410" r:id="rId434" location="'МБК'!B34" display="30/254-П УПБ 2016-09-30 Отчет.xls - 'МБК'!B34"/>
    <hyperlink ref="B411" r:id="rId435" location="'МБК'!B35" display="30/254-П УПБ 2016-09-30 Отчет.xls - 'МБК'!B35"/>
    <hyperlink ref="B13" r:id="rId436" location="'МБК'!B36" display="30/254-П УПБ 2016-09-30 Отчет.xls - 'МБК'!B36"/>
    <hyperlink ref="B14" r:id="rId437" location="'МБК'!B37" display="30/254-П УПБ 2016-09-30 Отчет.xls - 'МБК'!B37"/>
    <hyperlink ref="B15" r:id="rId438" location="'МБК'!B38" display="30/254-П УПБ 2016-09-30 Отчет.xls - 'МБК'!B38"/>
    <hyperlink ref="B16" r:id="rId439" location="'МБК'!B39" display="30/254-П УПБ 2016-09-30 Отчет.xls - 'МБК'!B39"/>
    <hyperlink ref="B17" r:id="rId440" location="'МБК'!B40" display="30/254-П УПБ 2016-09-30 Отчет.xls - 'МБК'!B40"/>
    <hyperlink ref="B18" r:id="rId441" location="'МБК'!B41" display="30/254-П УПБ 2016-09-30 Отчет.xls - 'МБК'!B41"/>
    <hyperlink ref="B412" r:id="rId442" location="'МБК'!B42" display="30/254-П УПБ 2016-09-30 Отчет.xls - 'МБК'!B42"/>
    <hyperlink ref="B413" r:id="rId443" location="'МБК'!B43" display="30/254-П УПБ 2016-09-30 Отчет.xls - 'МБК'!B43"/>
    <hyperlink ref="B167" r:id="rId444" location="'МБК'!B44" display="30/254-П УПБ 2016-09-30 Отчет.xls - 'МБК'!B44"/>
    <hyperlink ref="B479" r:id="rId445" location="'МБК'!B45" display="30/254-П УПБ 2016-09-30 Отчет.xls - 'МБК'!B45"/>
    <hyperlink ref="B19" r:id="rId446" location="'МБК'!B46" display="30/254-П УПБ 2016-09-30 Отчет.xls - 'МБК'!B46"/>
    <hyperlink ref="B20" r:id="rId447" location="'МБК'!B47" display="30/254-П УПБ 2016-09-30 Отчет.xls - 'МБК'!B47"/>
    <hyperlink ref="B21" r:id="rId448" location="'МБК'!B48" display="30/254-П УПБ 2016-09-30 Отчет.xls - 'МБК'!B48"/>
    <hyperlink ref="B22" r:id="rId449" location="'МБК'!B49" display="30/254-П УПБ 2016-09-30 Отчет.xls - 'МБК'!B49"/>
    <hyperlink ref="B24" r:id="rId450" location="'МБК'!B50" display="30/254-П УПБ 2016-09-30 Отчет.xls - 'МБК'!B50"/>
    <hyperlink ref="B414" r:id="rId451" location="'МБК'!B51" display="30/254-П УПБ 2016-09-30 Отчет.xls - 'МБК'!B51"/>
    <hyperlink ref="B148" r:id="rId452" location="'МБК'!B52" display="30/254-П УПБ 2016-09-30 Отчет.xls - 'МБК'!B52"/>
    <hyperlink ref="B149" r:id="rId453" location="'МБК'!B53" display="30/254-П УПБ 2016-09-30 Отчет.xls - 'МБК'!B53"/>
    <hyperlink ref="B150" r:id="rId454" location="'МБК'!B54" display="30/254-П УПБ 2016-09-30 Отчет.xls - 'МБК'!B54"/>
    <hyperlink ref="B382" r:id="rId455" location="'МБК'!B55" display="30/254-П УПБ 2016-09-30 Отчет.xls - 'МБК'!B55"/>
    <hyperlink ref="B626" r:id="rId456" location="'МБК'!B56" display="30/254-П УПБ 2016-09-30 Отчет.xls - 'МБК'!B56"/>
    <hyperlink ref="B627" r:id="rId457" location="'МБК'!B57" display="30/254-П УПБ 2016-09-30 Отчет.xls - 'МБК'!B57"/>
    <hyperlink ref="B628" r:id="rId458" location="'МБК'!B58" display="30/254-П УПБ 2016-09-30 Отчет.xls - 'МБК'!B58"/>
    <hyperlink ref="B629" r:id="rId459" location="'МБК'!B59" display="30/254-П УПБ 2016-09-30 Отчет.xls - 'МБК'!B59"/>
    <hyperlink ref="B630" r:id="rId460" location="'МБК'!B60" display="30/254-П УПБ 2016-09-30 Отчет.xls - 'МБК'!B60"/>
    <hyperlink ref="B631" r:id="rId461" location="'МБК'!B61" display="30/254-П УПБ 2016-09-30 Отчет.xls - 'МБК'!B61"/>
    <hyperlink ref="B383" r:id="rId462" location="'МБК'!B62" display="30/254-П УПБ 2016-09-30 Отчет.xls - 'МБК'!B62"/>
    <hyperlink ref="B632" r:id="rId463" location="'МБК'!B63" display="30/254-П УПБ 2016-09-30 Отчет.xls - 'МБК'!B63"/>
    <hyperlink ref="B633" r:id="rId464" location="'МБК'!B64" display="30/254-П УПБ 2016-09-30 Отчет.xls - 'МБК'!B64"/>
    <hyperlink ref="B634" r:id="rId465" location="'МБК'!B65" display="30/254-П УПБ 2016-09-30 Отчет.xls - 'МБК'!B65"/>
    <hyperlink ref="B635" r:id="rId466" location="'МБК'!B66" display="30/254-П УПБ 2016-09-30 Отчет.xls - 'МБК'!B66"/>
    <hyperlink ref="B415" r:id="rId467" location="'МБК'!B67" display="30/254-П УПБ 2016-09-30 Отчет.xls - 'МБК'!B67"/>
    <hyperlink ref="B384" r:id="rId468" location="'МБК'!B68" display="30/254-П УПБ 2016-09-30 Отчет.xls - 'МБК'!B68"/>
    <hyperlink ref="B636" r:id="rId469" location="'МБК'!B69" display="30/254-П УПБ 2016-09-30 Отчет.xls - 'МБК'!B69"/>
    <hyperlink ref="B637" r:id="rId470" location="'МБК'!B70" display="30/254-П УПБ 2016-09-30 Отчет.xls - 'МБК'!B70"/>
    <hyperlink ref="B638" r:id="rId471" location="'МБК'!B71" display="30/254-П УПБ 2016-09-30 Отчет.xls - 'МБК'!B71"/>
    <hyperlink ref="B385" r:id="rId472" location="'МБК'!B72" display="30/254-П УПБ 2016-09-30 Отчет.xls - 'МБК'!B72"/>
    <hyperlink ref="B639" r:id="rId473" location="'МБК'!B73" display="30/254-П УПБ 2016-09-30 Отчет.xls - 'МБК'!B73"/>
    <hyperlink ref="B640" r:id="rId474" location="'МБК'!B74" display="30/254-П УПБ 2016-09-30 Отчет.xls - 'МБК'!B74"/>
    <hyperlink ref="B641" r:id="rId475" location="'МБК'!B75" display="30/254-П УПБ 2016-09-30 Отчет.xls - 'МБК'!B75"/>
    <hyperlink ref="B386" r:id="rId476" location="'МБК'!B76" display="30/254-П УПБ 2016-09-30 Отчет.xls - 'МБК'!B76"/>
    <hyperlink ref="B642" r:id="rId477" location="'МБК'!B77" display="30/254-П УПБ 2016-09-30 Отчет.xls - 'МБК'!B77"/>
    <hyperlink ref="B643" r:id="rId478" location="'МБК'!B78" display="30/254-П УПБ 2016-09-30 Отчет.xls - 'МБК'!B78"/>
    <hyperlink ref="B416" r:id="rId479" location="'МБК'!B79" display="30/254-П УПБ 2016-09-30 Отчет.xls - 'МБК'!B79"/>
    <hyperlink ref="B644" r:id="rId480" location="'МБК'!B80" display="30/254-П УПБ 2016-09-30 Отчет.xls - 'МБК'!B80"/>
    <hyperlink ref="B645" r:id="rId481" location="'МБК'!B81" display="30/254-П УПБ 2016-09-30 Отчет.xls - 'МБК'!B81"/>
    <hyperlink ref="B387" r:id="rId482" location="'МБК'!B82" display="30/254-П УПБ 2016-09-30 Отчет.xls - 'МБК'!B82"/>
    <hyperlink ref="B646" r:id="rId483" location="'МБК'!B83" display="30/254-П УПБ 2016-09-30 Отчет.xls - 'МБК'!B83"/>
    <hyperlink ref="B647" r:id="rId484" location="'МБК'!B84" display="30/254-П УПБ 2016-09-30 Отчет.xls - 'МБК'!B84"/>
    <hyperlink ref="B648" r:id="rId485" location="'МБК'!B85" display="30/254-П УПБ 2016-09-30 Отчет.xls - 'МБК'!B85"/>
    <hyperlink ref="B649" r:id="rId486" location="'МБК'!B86" display="30/254-П УПБ 2016-09-30 Отчет.xls - 'МБК'!B86"/>
    <hyperlink ref="B650" r:id="rId487" location="'МБК'!B87" display="30/254-П УПБ 2016-09-30 Отчет.xls - 'МБК'!B87"/>
    <hyperlink ref="B388" r:id="rId488" location="'МБК'!B88" display="30/254-П УПБ 2016-09-30 Отчет.xls - 'МБК'!B88"/>
    <hyperlink ref="B168" r:id="rId489" location="'МБК'!B89" display="30/254-П УПБ 2016-09-30 Отчет.xls - 'МБК'!B89"/>
    <hyperlink ref="B169" r:id="rId490" location="'МБК'!B90" display="30/254-П УПБ 2016-09-30 Отчет.xls - 'МБК'!B90"/>
    <hyperlink ref="B162" r:id="rId491" location="'МБК'!B91" display="30/254-П УПБ 2016-09-30 Отчет.xls - 'МБК'!B91"/>
    <hyperlink ref="B545" r:id="rId492" location="'МБК'!B92" display="30/254-П УПБ 2016-09-30 Отчет.xls - 'МБК'!B92"/>
    <hyperlink ref="B546" r:id="rId493" location="'МБК'!B93" display="30/254-П УПБ 2016-09-30 Отчет.xls - 'МБК'!B93"/>
    <hyperlink ref="B1264" r:id="rId494" location="'МБК'!B94" display="30/254-П УПБ 2016-09-30 Отчет.xls - 'МБК'!B94"/>
    <hyperlink ref="B30" r:id="rId495" location="'МБК'!B95" display="30/254-П УПБ 2016-09-30 Отчет.xls - 'МБК'!B95"/>
    <hyperlink ref="B551" r:id="rId496" location="'МБК'!B96" display="30/254-П УПБ 2016-09-30 Отчет.xls - 'МБК'!B96"/>
    <hyperlink ref="B550" r:id="rId497" location="'МБК'!B97" display="30/254-П УПБ 2016-09-30 Отчет.xls - 'МБК'!B97"/>
    <hyperlink ref="B574" r:id="rId498" location="'МБК'!B98" display="30/254-П УПБ 2016-09-30 Отчет.xls - 'МБК'!B98"/>
    <hyperlink ref="B572" r:id="rId499" location="'МБК'!B99" display="30/254-П УПБ 2016-09-30 Отчет.xls - 'МБК'!B99"/>
    <hyperlink ref="B573" r:id="rId500" location="'МБК'!B100" display="30/254-П УПБ 2016-09-30 Отчет.xls - 'МБК'!B100"/>
    <hyperlink ref="B577" r:id="rId501" location="'МБК'!B101" display="30/254-П УПБ 2016-09-30 Отчет.xls - 'МБК'!B101"/>
    <hyperlink ref="B8" r:id="rId502" location="'МБК'!B102" display="30/254-П УПБ 2016-09-30 Отчет.xls - 'МБК'!B102"/>
    <hyperlink ref="B28" r:id="rId503" location="'МБК'!B103" display="30/254-П УПБ 2016-09-30 Отчет.xls - 'МБК'!B103"/>
    <hyperlink ref="B509" r:id="rId504" location="'МБК'!B104" display="30/254-П УПБ 2016-09-30 Отчет.xls - 'МБК'!B104"/>
    <hyperlink ref="B510" r:id="rId505" location="'МБК'!B105" display="30/254-П УПБ 2016-09-30 Отчет.xls - 'МБК'!B105"/>
    <hyperlink ref="B381" r:id="rId506" location="'МБК'!B106" display="30/254-П УПБ 2016-09-30 Отчет.xls - 'МБК'!B106"/>
    <hyperlink ref="B600" r:id="rId507" location="'МБК'!B107" display="30/254-П УПБ 2016-09-30 Отчет.xls - 'МБК'!B107"/>
    <hyperlink ref="B599" r:id="rId508" location="'МБК'!B108" display="30/254-П УПБ 2016-09-30 Отчет.xls - 'МБК'!B108"/>
    <hyperlink ref="B511" r:id="rId509" location="'МБК'!B109" display="30/254-П УПБ 2016-09-30 Отчет.xls - 'МБК'!B109"/>
    <hyperlink ref="B5" r:id="rId510" location="'МБК'!B110" display="30/254-П УПБ 2016-09-30 Отчет.xls - 'МБК'!B110"/>
    <hyperlink ref="B622" r:id="rId511" location="'МБК'!B111" display="30/254-П УПБ 2016-09-30 Отчет.xls - 'МБК'!B111"/>
    <hyperlink ref="B623" r:id="rId512" location="'МБК'!B112" display="30/254-П УПБ 2016-09-30 Отчет.xls - 'МБК'!B112"/>
    <hyperlink ref="B624" r:id="rId513" location="'МБК'!B113" display="30/254-П УПБ 2016-09-30 Отчет.xls - 'МБК'!B113"/>
    <hyperlink ref="B956" r:id="rId514" location="'МБК'!B114" display="30/254-П УПБ 2016-09-30 Отчет.xls - 'МБК'!B114"/>
    <hyperlink ref="B170" r:id="rId515" location="'МБК'!B115" display="30/254-П УПБ 2016-09-30 Отчет.xls - 'МБК'!B115"/>
    <hyperlink ref="B651" r:id="rId516" location="'МБК'!B116" display="30/254-П УПБ 2016-09-30 Отчет.xls - 'МБК'!B116"/>
    <hyperlink ref="B652" r:id="rId517" location="'МБК'!B117" display="30/254-П УПБ 2016-09-30 Отчет.xls - 'МБК'!B117"/>
    <hyperlink ref="B653" r:id="rId518" location="'МБК'!B118" display="30/254-П УПБ 2016-09-30 Отчет.xls - 'МБК'!B118"/>
    <hyperlink ref="B417" r:id="rId519" location="'МБК'!B119" display="30/254-П УПБ 2016-09-30 Отчет.xls - 'МБК'!B119"/>
    <hyperlink ref="B515" r:id="rId520" location="'МБК'!B120" display="30/254-П УПБ 2016-09-30 Отчет.xls - 'МБК'!B120"/>
    <hyperlink ref="B614" r:id="rId521" location="'МБК'!B121" display="30/254-П УПБ 2016-09-30 Отчет.xls - 'МБК'!B121"/>
    <hyperlink ref="B613" r:id="rId522" location="'МБК'!B122" display="30/254-П УПБ 2016-09-30 Отчет.xls - 'МБК'!B122"/>
    <hyperlink ref="B612" r:id="rId523" location="'МБК'!B123" display="30/254-П УПБ 2016-09-30 Отчет.xls - 'МБК'!B123"/>
    <hyperlink ref="B616" r:id="rId524" location="'МБК'!B124" display="30/254-П УПБ 2016-09-30 Отчет.xls - 'МБК'!B124"/>
    <hyperlink ref="B615" r:id="rId525" location="'МБК'!B125" display="30/254-П УПБ 2016-09-30 Отчет.xls - 'МБК'!B125"/>
    <hyperlink ref="B617" r:id="rId526" location="'МБК'!B126" display="30/254-П УПБ 2016-09-30 Отчет.xls - 'МБК'!B126"/>
    <hyperlink ref="B618" r:id="rId527" location="'МБК'!B127" display="30/254-П УПБ 2016-09-30 Отчет.xls - 'МБК'!B127"/>
    <hyperlink ref="B619" r:id="rId528" location="'МБК'!B128" display="30/254-П УПБ 2016-09-30 Отчет.xls - 'МБК'!B128"/>
    <hyperlink ref="B620" r:id="rId529" location="'МБК'!B129" display="30/254-П УПБ 2016-09-30 Отчет.xls - 'МБК'!B129"/>
    <hyperlink ref="B621" r:id="rId530" location="'МБК'!B130" display="30/254-П УПБ 2016-09-30 Отчет.xls - 'МБК'!B130"/>
    <hyperlink ref="B29" r:id="rId531" location="'МБК'!B131" display="30/254-П УПБ 2016-09-30 Отчет.xls - 'МБК'!B131"/>
    <hyperlink ref="B31" r:id="rId532" location="'МБК'!B132" display="30/254-П УПБ 2016-09-30 Отчет.xls - 'МБК'!B132"/>
    <hyperlink ref="B520" r:id="rId533" location="'МБК'!B133" display="30/254-П УПБ 2016-09-30 Отчет.xls - 'МБК'!B133"/>
    <hyperlink ref="B161" r:id="rId534" location="'МБК'!B134" display="30/254-П УПБ 2016-09-30 Отчет.xls - 'МБК'!B134"/>
    <hyperlink ref="B522" r:id="rId535" location="'МБК'!B135" display="30/254-П УПБ 2016-09-30 Отчет.xls - 'МБК'!B135"/>
    <hyperlink ref="B521" r:id="rId536" location="'МБК'!B136" display="30/254-П УПБ 2016-09-30 Отчет.xls - 'МБК'!B136"/>
    <hyperlink ref="B541" r:id="rId537" location="'МБК'!B137" display="30/254-П УПБ 2016-09-30 Отчет.xls - 'МБК'!B137"/>
    <hyperlink ref="B539" r:id="rId538" location="'МБК'!B138" display="30/254-П УПБ 2016-09-30 Отчет.xls - 'МБК'!B138"/>
    <hyperlink ref="B528" r:id="rId539" location="'МБК'!B139" display="30/254-П УПБ 2016-09-30 Отчет.xls - 'МБК'!B139"/>
    <hyperlink ref="B529" r:id="rId540" location="'МБК'!B140" display="30/254-П УПБ 2016-09-30 Отчет.xls - 'МБК'!B140"/>
    <hyperlink ref="B531" r:id="rId541" location="'МБК'!B141" display="30/254-П УПБ 2016-09-30 Отчет.xls - 'МБК'!B141"/>
    <hyperlink ref="B542" r:id="rId542" location="'МБК'!B142" display="30/254-П УПБ 2016-09-30 Отчет.xls - 'МБК'!B142"/>
    <hyperlink ref="B549" r:id="rId543" location="'МБК'!B143" display="30/254-П УПБ 2016-09-30 Отчет.xls - 'МБК'!B143"/>
    <hyperlink ref="B9" r:id="rId544" location="'МБК'!B144" display="30/254-П УПБ 2016-09-30 Отчет.xls - 'МБК'!B144"/>
    <hyperlink ref="B548" r:id="rId545" location="'МБК'!B145" display="30/254-П УПБ 2016-09-30 Отчет.xls - 'МБК'!B145"/>
    <hyperlink ref="B547" r:id="rId546" location="'МБК'!B146" display="30/254-П УПБ 2016-09-30 Отчет.xls - 'МБК'!B146"/>
    <hyperlink ref="B552" r:id="rId547" location="'МБК'!B147" display="30/254-П УПБ 2016-09-30 Отчет.xls - 'МБК'!B147"/>
    <hyperlink ref="B553" r:id="rId548" location="'МБК'!B148" display="30/254-П УПБ 2016-09-30 Отчет.xls - 'МБК'!B148"/>
    <hyperlink ref="B554" r:id="rId549" location="'МБК'!B149" display="30/254-П УПБ 2016-09-30 Отчет.xls - 'МБК'!B149"/>
    <hyperlink ref="B555" r:id="rId550" location="'МБК'!B150" display="30/254-П УПБ 2016-09-30 Отчет.xls - 'МБК'!B150"/>
    <hyperlink ref="B556" r:id="rId551" location="'МБК'!B151" display="30/254-П УПБ 2016-09-30 Отчет.xls - 'МБК'!B151"/>
    <hyperlink ref="B560" r:id="rId552" location="'МБК'!B152" display="30/254-П УПБ 2016-09-30 Отчет.xls - 'МБК'!B152"/>
    <hyperlink ref="B568" r:id="rId553" location="'МБК'!B153" display="30/254-П УПБ 2016-09-30 Отчет.xls - 'МБК'!B153"/>
    <hyperlink ref="B569" r:id="rId554" location="'МБК'!B154" display="30/254-П УПБ 2016-09-30 Отчет.xls - 'МБК'!B154"/>
    <hyperlink ref="B570" r:id="rId555" location="'МБК'!B155" display="30/254-П УПБ 2016-09-30 Отчет.xls - 'МБК'!B155"/>
    <hyperlink ref="B571" r:id="rId556" location="'МБК'!B156" display="30/254-П УПБ 2016-09-30 Отчет.xls - 'МБК'!B156"/>
    <hyperlink ref="B575" r:id="rId557" location="'МБК'!B157" display="30/254-П УПБ 2016-09-30 Отчет.xls - 'МБК'!B157"/>
    <hyperlink ref="B587" r:id="rId558" location="'МБК'!B158" display="30/254-П УПБ 2016-09-30 Отчет.xls - 'МБК'!B158"/>
    <hyperlink ref="B588" r:id="rId559" location="'МБК'!B159" display="30/254-П УПБ 2016-09-30 Отчет.xls - 'МБК'!B159"/>
    <hyperlink ref="B160" r:id="rId560" location="'МБК'!B160" display="30/254-П УПБ 2016-09-30 Отчет.xls - 'МБК'!B160"/>
    <hyperlink ref="B530" r:id="rId561" location="'МБК'!B161" display="30/254-П УПБ 2016-09-30 Отчет.xls - 'МБК'!B161"/>
    <hyperlink ref="B557" r:id="rId562" location="'МБК'!B162" display="30/254-П УПБ 2016-09-30 Отчет.xls - 'МБК'!B162"/>
    <hyperlink ref="B558" r:id="rId563" location="'МБК'!B163" display="30/254-П УПБ 2016-09-30 Отчет.xls - 'МБК'!B163"/>
    <hyperlink ref="B559" r:id="rId564" location="'МБК'!B164" display="30/254-П УПБ 2016-09-30 Отчет.xls - 'МБК'!B164"/>
    <hyperlink ref="B583" r:id="rId565" location="'МБК'!B165" display="30/254-П УПБ 2016-09-30 Отчет.xls - 'МБК'!B165"/>
    <hyperlink ref="B584" r:id="rId566" location="'МБК'!B166" display="30/254-П УПБ 2016-09-30 Отчет.xls - 'МБК'!B166"/>
    <hyperlink ref="B594" r:id="rId567" location="'МБК'!B167" display="30/254-П УПБ 2016-09-30 Отчет.xls - 'МБК'!B167"/>
    <hyperlink ref="B593" r:id="rId568" location="'МБК'!B168" display="30/254-П УПБ 2016-09-30 Отчет.xls - 'МБК'!B168"/>
    <hyperlink ref="B961" r:id="rId569" location="'МБК'!B169" display="30/254-П УПБ 2016-09-30 Отчет.xls - 'МБК'!B169"/>
    <hyperlink ref="B654" r:id="rId570" location="'МБК'!B170" display="30/254-П УПБ 2016-09-30 Отчет.xls - 'МБК'!B170"/>
    <hyperlink ref="B655" r:id="rId571" location="'МБК'!B171" display="30/254-П УПБ 2016-09-30 Отчет.xls - 'МБК'!B171"/>
    <hyperlink ref="B561" r:id="rId572" location="'МБК'!B172" display="30/254-П УПБ 2016-09-30 Отчет.xls - 'МБК'!B172"/>
    <hyperlink ref="B562" r:id="rId573" location="'МБК'!B173" display="30/254-П УПБ 2016-09-30 Отчет.xls - 'МБК'!B173"/>
    <hyperlink ref="B563" r:id="rId574" location="'МБК'!B174" display="30/254-П УПБ 2016-09-30 Отчет.xls - 'МБК'!B174"/>
    <hyperlink ref="B578" r:id="rId575" location="'МБК'!B175" display="30/254-П УПБ 2016-09-30 Отчет.xls - 'МБК'!B175"/>
    <hyperlink ref="B579" r:id="rId576" location="'МБК'!B176" display="30/254-П УПБ 2016-09-30 Отчет.xls - 'МБК'!B176"/>
    <hyperlink ref="B580" r:id="rId577" location="'МБК'!B177" display="30/254-П УПБ 2016-09-30 Отчет.xls - 'МБК'!B177"/>
    <hyperlink ref="B516" r:id="rId578" location="'МБК'!B178" display="30/254-П УПБ 2016-09-30 Отчет.xls - 'МБК'!B178"/>
    <hyperlink ref="B513" r:id="rId579" location="'МБК'!B179" display="30/254-П УПБ 2016-09-30 Отчет.xls - 'МБК'!B179"/>
    <hyperlink ref="B606" r:id="rId580" location="'МБК'!B180" display="30/254-П УПБ 2016-09-30 Отчет.xls - 'МБК'!B180"/>
    <hyperlink ref="B605" r:id="rId581" location="'МБК'!B181" display="30/254-П УПБ 2016-09-30 Отчет.xls - 'МБК'!B181"/>
    <hyperlink ref="B611" r:id="rId582" location="'МБК'!B182" display="30/254-П УПБ 2016-09-30 Отчет.xls - 'МБК'!B182"/>
    <hyperlink ref="B962" r:id="rId583" location="'МБК'!B183" display="30/254-П УПБ 2016-09-30 Отчет.xls - 'МБК'!B183"/>
    <hyperlink ref="B586" r:id="rId584" location="'МБК'!B184" display="30/254-П УПБ 2016-09-30 Отчет.xls - 'МБК'!B184"/>
    <hyperlink ref="B585" r:id="rId585" location="'МБК'!B185" display="30/254-П УПБ 2016-09-30 Отчет.xls - 'МБК'!B185"/>
    <hyperlink ref="B590" r:id="rId586" location="'МБК'!B186" display="30/254-П УПБ 2016-09-30 Отчет.xls - 'МБК'!B186"/>
    <hyperlink ref="B589" r:id="rId587" location="'МБК'!B187" display="30/254-П УПБ 2016-09-30 Отчет.xls - 'МБК'!B187"/>
    <hyperlink ref="B607" r:id="rId588" location="'МБК'!B188" display="30/254-П УПБ 2016-09-30 Отчет.xls - 'МБК'!B188"/>
    <hyperlink ref="B608" r:id="rId589" location="'МБК'!B189" display="30/254-П УПБ 2016-09-30 Отчет.xls - 'МБК'!B189"/>
    <hyperlink ref="B609" r:id="rId590" location="'МБК'!B190" display="30/254-П УПБ 2016-09-30 Отчет.xls - 'МБК'!B190"/>
    <hyperlink ref="B514" r:id="rId591" location="'МБК'!B191" display="30/254-П УПБ 2016-09-30 Отчет.xls - 'МБК'!B191"/>
    <hyperlink ref="B610" r:id="rId592" location="'МБК'!B192" display="30/254-П УПБ 2016-09-30 Отчет.xls - 'МБК'!B192"/>
    <hyperlink ref="B517" r:id="rId593" location="'МБК'!B193" display="30/254-П УПБ 2016-09-30 Отчет.xls - 'МБК'!B193"/>
    <hyperlink ref="B171" r:id="rId594" location="'МБК'!B194" display="30/254-П УПБ 2016-09-30 Отчет.xls - 'МБК'!B194"/>
    <hyperlink ref="B172" r:id="rId595" location="'МБК'!B195" display="30/254-П УПБ 2016-09-30 Отчет.xls - 'МБК'!B195"/>
    <hyperlink ref="B173" r:id="rId596" location="'МБК'!B196" display="30/254-П УПБ 2016-09-30 Отчет.xls - 'МБК'!B196"/>
    <hyperlink ref="B174" r:id="rId597" location="'МБК'!B197" display="30/254-П УПБ 2016-09-30 Отчет.xls - 'МБК'!B197"/>
    <hyperlink ref="B175" r:id="rId598" location="'МБК'!B198" display="30/254-П УПБ 2016-09-30 Отчет.xls - 'МБК'!B198"/>
    <hyperlink ref="B656" r:id="rId599" location="'МБК'!B199" display="30/254-П УПБ 2016-09-30 Отчет.xls - 'МБК'!B199"/>
    <hyperlink ref="B657" r:id="rId600" location="'МБК'!B200" display="30/254-П УПБ 2016-09-30 Отчет.xls - 'МБК'!B200"/>
    <hyperlink ref="B658" r:id="rId601" location="'МБК'!B201" display="30/254-П УПБ 2016-09-30 Отчет.xls - 'МБК'!B201"/>
    <hyperlink ref="B659" r:id="rId602" location="'МБК'!B202" display="30/254-П УПБ 2016-09-30 Отчет.xls - 'МБК'!B202"/>
    <hyperlink ref="B660" r:id="rId603" location="'МБК'!B203" display="30/254-П УПБ 2016-09-30 Отчет.xls - 'МБК'!B203"/>
    <hyperlink ref="B661" r:id="rId604" location="'МБК'!B204" display="30/254-П УПБ 2016-09-30 Отчет.xls - 'МБК'!B204"/>
    <hyperlink ref="B518" r:id="rId605" location="'МБК'!B205" display="30/254-П УПБ 2016-09-30 Отчет.xls - 'МБК'!B205"/>
    <hyperlink ref="B176" r:id="rId606" location="'МБК'!B206" display="30/254-П УПБ 2016-09-30 Отчет.xls - 'МБК'!B206"/>
    <hyperlink ref="B177" r:id="rId607" location="'МБК'!B207" display="30/254-П УПБ 2016-09-30 Отчет.xls - 'МБК'!B207"/>
    <hyperlink ref="B178" r:id="rId608" location="'МБК'!B208" display="30/254-П УПБ 2016-09-30 Отчет.xls - 'МБК'!B208"/>
    <hyperlink ref="B179" r:id="rId609" location="'МБК'!B209" display="30/254-П УПБ 2016-09-30 Отчет.xls - 'МБК'!B209"/>
    <hyperlink ref="B662" r:id="rId610" location="'МБК'!B210" display="30/254-П УПБ 2016-09-30 Отчет.xls - 'МБК'!B210"/>
    <hyperlink ref="B418" r:id="rId611" location="'МБК'!B211" display="30/254-П УПБ 2016-09-30 Отчет.xls - 'МБК'!B211"/>
    <hyperlink ref="B419" r:id="rId612" location="'МБК'!B212" display="30/254-П УПБ 2016-09-30 Отчет.xls - 'МБК'!B212"/>
    <hyperlink ref="B420" r:id="rId613" location="'МБК'!B213" display="30/254-П УПБ 2016-09-30 Отчет.xls - 'МБК'!B213"/>
    <hyperlink ref="B421" r:id="rId614" location="'МБК'!B214" display="30/254-П УПБ 2016-09-30 Отчет.xls - 'МБК'!B214"/>
    <hyperlink ref="B663" r:id="rId615" location="'МБК'!B215" display="30/254-П УПБ 2016-09-30 Отчет.xls - 'МБК'!B215"/>
    <hyperlink ref="B664" r:id="rId616" location="'МБК'!B216" display="30/254-П УПБ 2016-09-30 Отчет.xls - 'МБК'!B216"/>
    <hyperlink ref="B665" r:id="rId617" location="'МБК'!B217" display="30/254-П УПБ 2016-09-30 Отчет.xls - 'МБК'!B217"/>
    <hyperlink ref="B666" r:id="rId618" location="'МБК'!B218" display="30/254-П УПБ 2016-09-30 Отчет.xls - 'МБК'!B218"/>
    <hyperlink ref="B26" r:id="rId619" location="'МБК'!B219" display="30/254-П УПБ 2016-09-30 Отчет.xls - 'МБК'!B219"/>
    <hyperlink ref="B667" r:id="rId620" location="'МБК'!B220" display="30/254-П УПБ 2016-09-30 Отчет.xls - 'МБК'!B220"/>
    <hyperlink ref="B668" r:id="rId621" location="'МБК'!B221" display="30/254-П УПБ 2016-09-30 Отчет.xls - 'МБК'!B221"/>
    <hyperlink ref="B669" r:id="rId622" location="'МБК'!B222" display="30/254-П УПБ 2016-09-30 Отчет.xls - 'МБК'!B222"/>
    <hyperlink ref="B670" r:id="rId623" location="'МБК'!B223" display="30/254-П УПБ 2016-09-30 Отчет.xls - 'МБК'!B223"/>
    <hyperlink ref="B671" r:id="rId624" location="'МБК'!B224" display="30/254-П УПБ 2016-09-30 Отчет.xls - 'МБК'!B224"/>
    <hyperlink ref="B519" r:id="rId625" location="'МБК'!B225" display="30/254-П УПБ 2016-09-30 Отчет.xls - 'МБК'!B225"/>
    <hyperlink ref="B672" r:id="rId626" location="'МБК'!B226" display="30/254-П УПБ 2016-09-30 Отчет.xls - 'МБК'!B226"/>
    <hyperlink ref="B673" r:id="rId627" location="'МБК'!B227" display="30/254-П УПБ 2016-09-30 Отчет.xls - 'МБК'!B227"/>
    <hyperlink ref="B389" r:id="rId628" location="'МБК'!B228" display="30/254-П УПБ 2016-09-30 Отчет.xls - 'МБК'!B228"/>
    <hyperlink ref="B674" r:id="rId629" location="'МБК'!B229" display="30/254-П УПБ 2016-09-30 Отчет.xls - 'МБК'!B229"/>
    <hyperlink ref="B675" r:id="rId630" location="'МБК'!B230" display="30/254-П УПБ 2016-09-30 Отчет.xls - 'МБК'!B230"/>
    <hyperlink ref="B523" r:id="rId631" location="'МБК'!B231" display="30/254-П УПБ 2016-09-30 Отчет.xls - 'МБК'!B231"/>
    <hyperlink ref="B524" r:id="rId632" location="'МБК'!B232" display="30/254-П УПБ 2016-09-30 Отчет.xls - 'МБК'!B232"/>
    <hyperlink ref="B525" r:id="rId633" location="'МБК'!B233" display="30/254-П УПБ 2016-09-30 Отчет.xls - 'МБК'!B233"/>
    <hyperlink ref="B422" r:id="rId634" location="'МБК'!B234" display="30/254-П УПБ 2016-09-30 Отчет.xls - 'МБК'!B234"/>
    <hyperlink ref="B527" r:id="rId635" location="'МБК'!B235" display="30/254-П УПБ 2016-09-30 Отчет.xls - 'МБК'!B235"/>
    <hyperlink ref="B526" r:id="rId636" location="'МБК'!B236" display="30/254-П УПБ 2016-09-30 Отчет.xls - 'МБК'!B236"/>
    <hyperlink ref="B598" r:id="rId637" location="'МБК'!B237" display="30/254-П УПБ 2016-09-30 Отчет.xls - 'МБК'!B237"/>
    <hyperlink ref="B597" r:id="rId638" location="'МБК'!B238" display="30/254-П УПБ 2016-09-30 Отчет.xls - 'МБК'!B238"/>
    <hyperlink ref="B595" r:id="rId639" location="'МБК'!B239" display="30/254-П УПБ 2016-09-30 Отчет.xls - 'МБК'!B239"/>
    <hyperlink ref="B596" r:id="rId640" location="'МБК'!B240" display="30/254-П УПБ 2016-09-30 Отчет.xls - 'МБК'!B240"/>
    <hyperlink ref="B512" r:id="rId641" location="'МБК'!B241" display="30/254-П УПБ 2016-09-30 Отчет.xls - 'МБК'!B241"/>
    <hyperlink ref="B602" r:id="rId642" location="'МБК'!B242" display="30/254-П УПБ 2016-09-30 Отчет.xls - 'МБК'!B242"/>
    <hyperlink ref="B603" r:id="rId643" location="'МБК'!B243" display="30/254-П УПБ 2016-09-30 Отчет.xls - 'МБК'!B243"/>
    <hyperlink ref="B604" r:id="rId644" location="'МБК'!B244" display="30/254-П УПБ 2016-09-30 Отчет.xls - 'МБК'!B244"/>
    <hyperlink ref="B601" r:id="rId645" location="'МБК'!B245" display="30/254-П УПБ 2016-09-30 Отчет.xls - 'МБК'!B245"/>
    <hyperlink ref="B533" r:id="rId646" location="'МБК'!B246" display="30/254-П УПБ 2016-09-30 Отчет.xls - 'МБК'!B246"/>
    <hyperlink ref="B532" r:id="rId647" location="'МБК'!B247" display="30/254-П УПБ 2016-09-30 Отчет.xls - 'МБК'!B247"/>
    <hyperlink ref="B536" r:id="rId648" location="'МБК'!B248" display="30/254-П УПБ 2016-09-30 Отчет.xls - 'МБК'!B248"/>
    <hyperlink ref="B534" r:id="rId649" location="'МБК'!B249" display="30/254-П УПБ 2016-09-30 Отчет.xls - 'МБК'!B249"/>
    <hyperlink ref="B537" r:id="rId650" location="'МБК'!B250" display="30/254-П УПБ 2016-09-30 Отчет.xls - 'МБК'!B250"/>
    <hyperlink ref="B535" r:id="rId651" location="'МБК'!B251" display="30/254-П УПБ 2016-09-30 Отчет.xls - 'МБК'!B251"/>
    <hyperlink ref="B538" r:id="rId652" location="'МБК'!B252" display="30/254-П УПБ 2016-09-30 Отчет.xls - 'МБК'!B252"/>
    <hyperlink ref="B540" r:id="rId653" location="'МБК'!B253" display="30/254-П УПБ 2016-09-30 Отчет.xls - 'МБК'!B253"/>
    <hyperlink ref="B543" r:id="rId654" location="'МБК'!B254" display="30/254-П УПБ 2016-09-30 Отчет.xls - 'МБК'!B254"/>
    <hyperlink ref="B544" r:id="rId655" location="'МБК'!B255" display="30/254-П УПБ 2016-09-30 Отчет.xls - 'МБК'!B255"/>
    <hyperlink ref="B592" r:id="rId656" location="'МБК'!B256" display="30/254-П УПБ 2016-09-30 Отчет.xls - 'МБК'!B256"/>
    <hyperlink ref="B591" r:id="rId657" location="'МБК'!B257" display="30/254-П УПБ 2016-09-30 Отчет.xls - 'МБК'!B257"/>
    <hyperlink ref="B576" r:id="rId658" location="'МБК'!B258" display="30/254-П УПБ 2016-09-30 Отчет.xls - 'МБК'!B258"/>
    <hyperlink ref="B582" r:id="rId659" location="'МБК'!B259" display="30/254-П УПБ 2016-09-30 Отчет.xls - 'МБК'!B259"/>
    <hyperlink ref="B581" r:id="rId660" location="'МБК'!B260" display="30/254-П УПБ 2016-09-30 Отчет.xls - 'МБК'!B260"/>
    <hyperlink ref="B564" r:id="rId661" location="'МБК'!B261" display="30/254-П УПБ 2016-09-30 Отчет.xls - 'МБК'!B261"/>
    <hyperlink ref="B565" r:id="rId662" location="'МБК'!B262" display="30/254-П УПБ 2016-09-30 Отчет.xls - 'МБК'!B262"/>
    <hyperlink ref="B566" r:id="rId663" location="'МБК'!B263" display="30/254-П УПБ 2016-09-30 Отчет.xls - 'МБК'!B263"/>
    <hyperlink ref="B567" r:id="rId664" location="'МБК'!B264" display="30/254-П УПБ 2016-09-30 Отчет.xls - 'МБК'!B264"/>
    <hyperlink ref="B676" r:id="rId665" location="'МБК'!B265" display="30/254-П УПБ 2016-09-30 Отчет.xls - 'МБК'!B265"/>
    <hyperlink ref="B677" r:id="rId666" location="'МБК'!B266" display="30/254-П УПБ 2016-09-30 Отчет.xls - 'МБК'!B266"/>
    <hyperlink ref="B678" r:id="rId667" location="'МБК'!B267" display="30/254-П УПБ 2016-09-30 Отчет.xls - 'МБК'!B267"/>
    <hyperlink ref="B679" r:id="rId668" location="'МБК'!B268" display="30/254-П УПБ 2016-09-30 Отчет.xls - 'МБК'!B268"/>
    <hyperlink ref="B680" r:id="rId669" location="'МБК'!B269" display="30/254-П УПБ 2016-09-30 Отчет.xls - 'МБК'!B269"/>
    <hyperlink ref="B681" r:id="rId670" location="'МБК'!B270" display="30/254-П УПБ 2016-09-30 Отчет.xls - 'МБК'!B270"/>
    <hyperlink ref="B682" r:id="rId671" location="'МБК'!B271" display="30/254-П УПБ 2016-09-30 Отчет.xls - 'МБК'!B271"/>
    <hyperlink ref="B683" r:id="rId672" location="'МБК'!B272" display="30/254-П УПБ 2016-09-30 Отчет.xls - 'МБК'!B272"/>
    <hyperlink ref="B684" r:id="rId673" location="'МБК'!B273" display="30/254-П УПБ 2016-09-30 Отчет.xls - 'МБК'!B273"/>
    <hyperlink ref="B390" r:id="rId674" location="'МБК'!B274" display="30/254-П УПБ 2016-09-30 Отчет.xls - 'МБК'!B274"/>
    <hyperlink ref="B685" r:id="rId675" location="'МБК'!B275" display="30/254-П УПБ 2016-09-30 Отчет.xls - 'МБК'!B275"/>
    <hyperlink ref="B686" r:id="rId676" location="'МБК'!B276" display="30/254-П УПБ 2016-09-30 Отчет.xls - 'МБК'!B276"/>
    <hyperlink ref="B423" r:id="rId677" location="'МБК'!B277" display="30/254-П УПБ 2016-09-30 Отчет.xls - 'МБК'!B277"/>
    <hyperlink ref="B687" r:id="rId678" location="'МБК'!B278" display="30/254-П УПБ 2016-09-30 Отчет.xls - 'МБК'!B278"/>
    <hyperlink ref="B180" r:id="rId679" location="'МБК'!B279" display="30/254-П УПБ 2016-09-30 Отчет.xls - 'МБК'!B279"/>
    <hyperlink ref="B688" r:id="rId680" location="'МБК'!B280" display="30/254-П УПБ 2016-09-30 Отчет.xls - 'МБК'!B280"/>
    <hyperlink ref="B689" r:id="rId681" location="'МБК'!B281" display="30/254-П УПБ 2016-09-30 Отчет.xls - 'МБК'!B281"/>
    <hyperlink ref="B690" r:id="rId682" location="'МБК'!B282" display="30/254-П УПБ 2016-09-30 Отчет.xls - 'МБК'!B282"/>
    <hyperlink ref="B691" r:id="rId683" location="'МБК'!B283" display="30/254-П УПБ 2016-09-30 Отчет.xls - 'МБК'!B283"/>
    <hyperlink ref="B692" r:id="rId684" location="'МБК'!B284" display="30/254-П УПБ 2016-09-30 Отчет.xls - 'МБК'!B284"/>
    <hyperlink ref="B693" r:id="rId685" location="'МБК'!B285" display="30/254-П УПБ 2016-09-30 Отчет.xls - 'МБК'!B285"/>
    <hyperlink ref="B181" r:id="rId686" location="'МБК'!B286" display="30/254-П УПБ 2016-09-30 Отчет.xls - 'МБК'!B286"/>
    <hyperlink ref="B182" r:id="rId687" location="'МБК'!B287" display="30/254-П УПБ 2016-09-30 Отчет.xls - 'МБК'!B287"/>
    <hyperlink ref="B183" r:id="rId688" location="'МБК'!B288" display="30/254-П УПБ 2016-09-30 Отчет.xls - 'МБК'!B288"/>
    <hyperlink ref="B184" r:id="rId689" location="'МБК'!B289" display="30/254-П УПБ 2016-09-30 Отчет.xls - 'МБК'!B289"/>
    <hyperlink ref="B185" r:id="rId690" location="'МБК'!B290" display="30/254-П УПБ 2016-09-30 Отчет.xls - 'МБК'!B290"/>
    <hyperlink ref="B186" r:id="rId691" location="'МБК'!B291" display="30/254-П УПБ 2016-09-30 Отчет.xls - 'МБК'!B291"/>
    <hyperlink ref="B187" r:id="rId692" location="'МБК'!B292" display="30/254-П УПБ 2016-09-30 Отчет.xls - 'МБК'!B292"/>
    <hyperlink ref="B32" r:id="rId693" location="'МБК'!B293" display="30/254-П УПБ 2016-09-30 Отчет.xls - 'МБК'!B293"/>
    <hyperlink ref="B424" r:id="rId694" location="'МБК'!B294" display="30/254-П УПБ 2016-09-30 Отчет.xls - 'МБК'!B294"/>
    <hyperlink ref="B425" r:id="rId695" location="'МБК'!B295" display="30/254-П УПБ 2016-09-30 Отчет.xls - 'МБК'!B295"/>
    <hyperlink ref="B694" r:id="rId696" location="'МБК'!B296" display="30/254-П УПБ 2016-09-30 Отчет.xls - 'МБК'!B296"/>
    <hyperlink ref="B695" r:id="rId697" location="'МБК'!B297" display="30/254-П УПБ 2016-09-30 Отчет.xls - 'МБК'!B297"/>
    <hyperlink ref="B696" r:id="rId698" location="'МБК'!B298" display="30/254-П УПБ 2016-09-30 Отчет.xls - 'МБК'!B298"/>
    <hyperlink ref="B697" r:id="rId699" location="'МБК'!B299" display="30/254-П УПБ 2016-09-30 Отчет.xls - 'МБК'!B299"/>
    <hyperlink ref="B698" r:id="rId700" location="'МБК'!B300" display="30/254-П УПБ 2016-09-30 Отчет.xls - 'МБК'!B300"/>
    <hyperlink ref="B699" r:id="rId701" location="'МБК'!B301" display="30/254-П УПБ 2016-09-30 Отчет.xls - 'МБК'!B301"/>
    <hyperlink ref="B700" r:id="rId702" location="'МБК'!B302" display="30/254-П УПБ 2016-09-30 Отчет.xls - 'МБК'!B302"/>
    <hyperlink ref="B391" r:id="rId703" location="'МБК'!B303" display="30/254-П УПБ 2016-09-30 Отчет.xls - 'МБК'!B303"/>
    <hyperlink ref="B395" r:id="rId704" location="'МБК'!B304" display="30/254-П УПБ 2016-09-30 Отчет.xls - 'МБК'!B304"/>
    <hyperlink ref="B701" r:id="rId705" location="'МБК'!B305" display="30/254-П УПБ 2016-09-30 Отчет.xls - 'МБК'!B305"/>
    <hyperlink ref="B702" r:id="rId706" location="'МБК'!B306" display="30/254-П УПБ 2016-09-30 Отчет.xls - 'МБК'!B306"/>
    <hyperlink ref="B703" r:id="rId707" location="'МБК'!B307" display="30/254-П УПБ 2016-09-30 Отчет.xls - 'МБК'!B307"/>
    <hyperlink ref="B704" r:id="rId708" location="'МБК'!B308" display="30/254-П УПБ 2016-09-30 Отчет.xls - 'МБК'!B308"/>
    <hyperlink ref="B1304" r:id="rId709" location="'МБК'!B309" display="30/254-П УПБ 2016-09-30 Отчет.xls - 'МБК'!B309"/>
    <hyperlink ref="B392" r:id="rId710" location="'МБК'!B310" display="30/254-П УПБ 2016-09-30 Отчет.xls - 'МБК'!B310"/>
    <hyperlink ref="B396" r:id="rId711" location="'МБК'!B311" display="30/254-П УПБ 2016-09-30 Отчет.xls - 'МБК'!B311"/>
    <hyperlink ref="B426" r:id="rId712" location="'МБК'!B312" display="30/254-П УПБ 2016-09-30 Отчет.xls - 'МБК'!B312"/>
    <hyperlink ref="B427" r:id="rId713" location="'МБК'!B313" display="30/254-П УПБ 2016-09-30 Отчет.xls - 'МБК'!B313"/>
    <hyperlink ref="B428" r:id="rId714" location="'МБК'!B314" display="30/254-П УПБ 2016-09-30 Отчет.xls - 'МБК'!B314"/>
    <hyperlink ref="B429" r:id="rId715" location="'МБК'!B315" display="30/254-П УПБ 2016-09-30 Отчет.xls - 'МБК'!B315"/>
    <hyperlink ref="B430" r:id="rId716" location="'МБК'!B316" display="30/254-П УПБ 2016-09-30 Отчет.xls - 'МБК'!B316"/>
    <hyperlink ref="B705" r:id="rId717" location="'МБК'!B317" display="30/254-П УПБ 2016-09-30 Отчет.xls - 'МБК'!B317"/>
    <hyperlink ref="B706" r:id="rId718" location="'МБК'!B318" display="30/254-П УПБ 2016-09-30 Отчет.xls - 'МБК'!B318"/>
    <hyperlink ref="B707" r:id="rId719" location="'МБК'!B319" display="30/254-П УПБ 2016-09-30 Отчет.xls - 'МБК'!B319"/>
    <hyperlink ref="B708" r:id="rId720" location="'МБК'!B320" display="30/254-П УПБ 2016-09-30 Отчет.xls - 'МБК'!B320"/>
    <hyperlink ref="B709" r:id="rId721" location="'МБК'!B321" display="30/254-П УПБ 2016-09-30 Отчет.xls - 'МБК'!B321"/>
    <hyperlink ref="B710" r:id="rId722" location="'МБК'!B322" display="30/254-П УПБ 2016-09-30 Отчет.xls - 'МБК'!B322"/>
    <hyperlink ref="B711" r:id="rId723" location="'МБК'!B323" display="30/254-П УПБ 2016-09-30 Отчет.xls - 'МБК'!B323"/>
    <hyperlink ref="B1305" r:id="rId724" location="'МБК'!B324" display="30/254-П УПБ 2016-09-30 Отчет.xls - 'МБК'!B324"/>
    <hyperlink ref="B393" r:id="rId725" location="'МБК'!B325" display="30/254-П УПБ 2016-09-30 Отчет.xls - 'МБК'!B325"/>
    <hyperlink ref="B712" r:id="rId726" location="'МБК'!B326" display="30/254-П УПБ 2016-09-30 Отчет.xls - 'МБК'!B326"/>
    <hyperlink ref="B713" r:id="rId727" location="'МБК'!B327" display="30/254-П УПБ 2016-09-30 Отчет.xls - 'МБК'!B327"/>
    <hyperlink ref="B714" r:id="rId728" location="'МБК'!B328" display="30/254-П УПБ 2016-09-30 Отчет.xls - 'МБК'!B328"/>
    <hyperlink ref="B715" r:id="rId729" location="'МБК'!B329" display="30/254-П УПБ 2016-09-30 Отчет.xls - 'МБК'!B329"/>
    <hyperlink ref="B716" r:id="rId730" location="'МБК'!B330" display="30/254-П УПБ 2016-09-30 Отчет.xls - 'МБК'!B330"/>
    <hyperlink ref="B717" r:id="rId731" location="'МБК'!B331" display="30/254-П УПБ 2016-09-30 Отчет.xls - 'МБК'!B331"/>
    <hyperlink ref="B718" r:id="rId732" location="'МБК'!B332" display="30/254-П УПБ 2016-09-30 Отчет.xls - 'МБК'!B332"/>
    <hyperlink ref="B431" r:id="rId733" location="'МБК'!B333" display="30/254-П УПБ 2016-09-30 Отчет.xls - 'МБК'!B333"/>
    <hyperlink ref="B1839" r:id="rId734" location="'МБК'!B334" display="30/254-П УПБ 2016-09-30 Отчет.xls - 'МБК'!B334"/>
    <hyperlink ref="B432" r:id="rId735" location="'МБК'!B335" display="30/254-П УПБ 2016-09-30 Отчет.xls - 'МБК'!B335"/>
    <hyperlink ref="B433" r:id="rId736" location="'МБК'!B336" display="30/254-П УПБ 2016-09-30 Отчет.xls - 'МБК'!B336"/>
    <hyperlink ref="B434" r:id="rId737" location="'МБК'!B337" display="30/254-П УПБ 2016-09-30 Отчет.xls - 'МБК'!B337"/>
    <hyperlink ref="B435" r:id="rId738" location="'МБК'!B338" display="30/254-П УПБ 2016-09-30 Отчет.xls - 'МБК'!B338"/>
    <hyperlink ref="B719" r:id="rId739" location="'МБК'!B339" display="30/254-П УПБ 2016-09-30 Отчет.xls - 'МБК'!B339"/>
    <hyperlink ref="B720" r:id="rId740" location="'МБК'!B340" display="30/254-П УПБ 2016-09-30 Отчет.xls - 'МБК'!B340"/>
    <hyperlink ref="B436" r:id="rId741" location="'МБК'!B341" display="30/254-П УПБ 2016-09-30 Отчет.xls - 'МБК'!B341"/>
    <hyperlink ref="B437" r:id="rId742" location="'МБК'!B342" display="30/254-П УПБ 2016-09-30 Отчет.xls - 'МБК'!B342"/>
    <hyperlink ref="B721" r:id="rId743" location="'МБК'!B343" display="30/254-П УПБ 2016-09-30 Отчет.xls - 'МБК'!B343"/>
    <hyperlink ref="B722" r:id="rId744" location="'МБК'!B344" display="30/254-П УПБ 2016-09-30 Отчет.xls - 'МБК'!B344"/>
    <hyperlink ref="B723" r:id="rId745" location="'МБК'!B345" display="30/254-П УПБ 2016-09-30 Отчет.xls - 'МБК'!B345"/>
    <hyperlink ref="B724" r:id="rId746" location="'МБК'!B346" display="30/254-П УПБ 2016-09-30 Отчет.xls - 'МБК'!B346"/>
    <hyperlink ref="B438" r:id="rId747" location="'МБК'!B347" display="30/254-П УПБ 2016-09-30 Отчет.xls - 'МБК'!B347"/>
    <hyperlink ref="B439" r:id="rId748" location="'МБК'!B348" display="30/254-П УПБ 2016-09-30 Отчет.xls - 'МБК'!B348"/>
    <hyperlink ref="B440" r:id="rId749" location="'МБК'!B349" display="30/254-П УПБ 2016-09-30 Отчет.xls - 'МБК'!B349"/>
    <hyperlink ref="B441" r:id="rId750" location="'МБК'!B350" display="30/254-П УПБ 2016-09-30 Отчет.xls - 'МБК'!B350"/>
    <hyperlink ref="B442" r:id="rId751" location="'МБК'!B351" display="30/254-П УПБ 2016-09-30 Отчет.xls - 'МБК'!B351"/>
    <hyperlink ref="B963" r:id="rId752" location="'МБК'!B352" display="30/254-П УПБ 2016-09-30 Отчет.xls - 'МБК'!B352"/>
    <hyperlink ref="B33" r:id="rId753" location="'МБК'!B353" display="30/254-П УПБ 2016-09-30 Отчет.xls - 'МБК'!B353"/>
    <hyperlink ref="B725" r:id="rId754" location="'МБК'!B354" display="30/254-П УПБ 2016-09-30 Отчет.xls - 'МБК'!B354"/>
    <hyperlink ref="B726" r:id="rId755" location="'МБК'!B355" display="30/254-П УПБ 2016-09-30 Отчет.xls - 'МБК'!B355"/>
    <hyperlink ref="B727" r:id="rId756" location="'МБК'!B356" display="30/254-П УПБ 2016-09-30 Отчет.xls - 'МБК'!B356"/>
    <hyperlink ref="B728" r:id="rId757" location="'МБК'!B357" display="30/254-П УПБ 2016-09-30 Отчет.xls - 'МБК'!B357"/>
    <hyperlink ref="B729" r:id="rId758" location="'МБК'!B358" display="30/254-П УПБ 2016-09-30 Отчет.xls - 'МБК'!B358"/>
    <hyperlink ref="B730" r:id="rId759" location="'МБК'!B359" display="30/254-П УПБ 2016-09-30 Отчет.xls - 'МБК'!B359"/>
    <hyperlink ref="B964" r:id="rId760" location="'МБК'!B360" display="30/254-П УПБ 2016-09-30 Отчет.xls - 'МБК'!B360"/>
    <hyperlink ref="B443" r:id="rId761" location="'МБК'!B361" display="30/254-П УПБ 2016-09-30 Отчет.xls - 'МБК'!B361"/>
    <hyperlink ref="B444" r:id="rId762" location="'МБК'!B362" display="30/254-П УПБ 2016-09-30 Отчет.xls - 'МБК'!B362"/>
    <hyperlink ref="B1218" r:id="rId763" location="'МБК'!B363" display="30/254-П УПБ 2016-09-30 Отчет.xls - 'МБК'!B363"/>
    <hyperlink ref="B1219" r:id="rId764" location="'МБК'!B364" display="30/254-П УПБ 2016-09-30 Отчет.xls - 'МБК'!B364"/>
    <hyperlink ref="B445" r:id="rId765" location="'МБК'!B365" display="30/254-П УПБ 2016-09-30 Отчет.xls - 'МБК'!B365"/>
    <hyperlink ref="B1265" r:id="rId766" location="'МБК'!B366" display="30/254-П УПБ 2016-09-30 Отчет.xls - 'МБК'!B366"/>
    <hyperlink ref="B731" r:id="rId767" location="'МБК'!B367" display="30/254-П УПБ 2016-09-30 Отчет.xls - 'МБК'!B367"/>
    <hyperlink ref="B732" r:id="rId768" location="'МБК'!B368" display="30/254-П УПБ 2016-09-30 Отчет.xls - 'МБК'!B368"/>
    <hyperlink ref="B733" r:id="rId769" location="'МБК'!B369" display="30/254-П УПБ 2016-09-30 Отчет.xls - 'МБК'!B369"/>
    <hyperlink ref="B734" r:id="rId770" location="'МБК'!B370" display="30/254-П УПБ 2016-09-30 Отчет.xls - 'МБК'!B370"/>
    <hyperlink ref="B735" r:id="rId771" location="'МБК'!B371" display="30/254-П УПБ 2016-09-30 Отчет.xls - 'МБК'!B371"/>
    <hyperlink ref="B736" r:id="rId772" location="'МБК'!B372" display="30/254-П УПБ 2016-09-30 Отчет.xls - 'МБК'!B372"/>
    <hyperlink ref="B737" r:id="rId773" location="'МБК'!B373" display="30/254-П УПБ 2016-09-30 Отчет.xls - 'МБК'!B373"/>
    <hyperlink ref="B738" r:id="rId774" location="'МБК'!B374" display="30/254-П УПБ 2016-09-30 Отчет.xls - 'МБК'!B374"/>
    <hyperlink ref="B739" r:id="rId775" location="'МБК'!B375" display="30/254-П УПБ 2016-09-30 Отчет.xls - 'МБК'!B375"/>
    <hyperlink ref="B740" r:id="rId776" location="'МБК'!B376" display="30/254-П УПБ 2016-09-30 Отчет.xls - 'МБК'!B376"/>
    <hyperlink ref="B394" r:id="rId777" location="'МБК'!B377" display="30/254-П УПБ 2016-09-30 Отчет.xls - 'МБК'!B377"/>
    <hyperlink ref="B446" r:id="rId778" location="'МБК'!B378" display="30/254-П УПБ 2016-09-30 Отчет.xls - 'МБК'!B378"/>
    <hyperlink ref="B447" r:id="rId779" location="'МБК'!B379" display="30/254-П УПБ 2016-09-30 Отчет.xls - 'МБК'!B379"/>
    <hyperlink ref="B741" r:id="rId780" location="'МБК'!B380" display="30/254-П УПБ 2016-09-30 Отчет.xls - 'МБК'!B380"/>
    <hyperlink ref="B742" r:id="rId781" location="'МБК'!B381" display="30/254-П УПБ 2016-09-30 Отчет.xls - 'МБК'!B381"/>
    <hyperlink ref="B743" r:id="rId782" location="'МБК'!B382" display="30/254-П УПБ 2016-09-30 Отчет.xls - 'МБК'!B382"/>
    <hyperlink ref="B744" r:id="rId783" location="'МБК'!B383" display="30/254-П УПБ 2016-09-30 Отчет.xls - 'МБК'!B383"/>
    <hyperlink ref="B745" r:id="rId784" location="'МБК'!B384" display="30/254-П УПБ 2016-09-30 Отчет.xls - 'МБК'!B384"/>
    <hyperlink ref="B746" r:id="rId785" location="'МБК'!B385" display="30/254-П УПБ 2016-09-30 Отчет.xls - 'МБК'!B385"/>
    <hyperlink ref="B747" r:id="rId786" location="'МБК'!B386" display="30/254-П УПБ 2016-09-30 Отчет.xls - 'МБК'!B386"/>
    <hyperlink ref="B748" r:id="rId787" location="'МБК'!B387" display="30/254-П УПБ 2016-09-30 Отчет.xls - 'МБК'!B387"/>
    <hyperlink ref="B749" r:id="rId788" location="'МБК'!B388" display="30/254-П УПБ 2016-09-30 Отчет.xls - 'МБК'!B388"/>
    <hyperlink ref="B750" r:id="rId789" location="'МБК'!B389" display="30/254-П УПБ 2016-09-30 Отчет.xls - 'МБК'!B389"/>
    <hyperlink ref="B751" r:id="rId790" location="'МБК'!B390" display="30/254-П УПБ 2016-09-30 Отчет.xls - 'МБК'!B390"/>
    <hyperlink ref="B752" r:id="rId791" location="'МБК'!B391" display="30/254-П УПБ 2016-09-30 Отчет.xls - 'МБК'!B391"/>
    <hyperlink ref="B753" r:id="rId792" location="'МБК'!B392" display="30/254-П УПБ 2016-09-30 Отчет.xls - 'МБК'!B392"/>
    <hyperlink ref="B754" r:id="rId793" location="'МБК'!B393" display="30/254-П УПБ 2016-09-30 Отчет.xls - 'МБК'!B393"/>
    <hyperlink ref="B755" r:id="rId794" location="'МБК'!B394" display="30/254-П УПБ 2016-09-30 Отчет.xls - 'МБК'!B394"/>
    <hyperlink ref="B756" r:id="rId795" location="'МБК'!B395" display="30/254-П УПБ 2016-09-30 Отчет.xls - 'МБК'!B395"/>
    <hyperlink ref="B757" r:id="rId796" location="'МБК'!B396" display="30/254-П УПБ 2016-09-30 Отчет.xls - 'МБК'!B396"/>
    <hyperlink ref="B1836" r:id="rId797" location="'МБК'!B397" display="30/254-П УПБ 2016-09-30 Отчет.xls - 'МБК'!B397"/>
    <hyperlink ref="B188" r:id="rId798" location="'МБК'!B398" display="30/254-П УПБ 2016-09-30 Отчет.xls - 'МБК'!B398"/>
    <hyperlink ref="B189" r:id="rId799" location="'МБК'!B399" display="30/254-П УПБ 2016-09-30 Отчет.xls - 'МБК'!B399"/>
    <hyperlink ref="B190" r:id="rId800" location="'МБК'!B400" display="30/254-П УПБ 2016-09-30 Отчет.xls - 'МБК'!B400"/>
    <hyperlink ref="B163" r:id="rId801" location="'МБК'!B401" display="30/254-П УПБ 2016-09-30 Отчет.xls - 'МБК'!B401"/>
    <hyperlink ref="B1840" r:id="rId802" location="'МБК'!B402" display="30/254-П УПБ 2016-09-30 Отчет.xls - 'МБК'!B402"/>
    <hyperlink ref="B191" r:id="rId803" location="'МБК'!B403" display="30/254-П УПБ 2016-09-30 Отчет.xls - 'МБК'!B403"/>
    <hyperlink ref="B192" r:id="rId804" location="'МБК'!B404" display="30/254-П УПБ 2016-09-30 Отчет.xls - 'МБК'!B404"/>
    <hyperlink ref="B193" r:id="rId805" location="'МБК'!B405" display="30/254-П УПБ 2016-09-30 Отчет.xls - 'МБК'!B405"/>
    <hyperlink ref="B194" r:id="rId806" location="'МБК'!B406" display="30/254-П УПБ 2016-09-30 Отчет.xls - 'МБК'!B406"/>
    <hyperlink ref="B195" r:id="rId807" location="'МБК'!B407" display="30/254-П УПБ 2016-09-30 Отчет.xls - 'МБК'!B407"/>
    <hyperlink ref="B196" r:id="rId808" location="'МБК'!B408" display="30/254-П УПБ 2016-09-30 Отчет.xls - 'МБК'!B408"/>
    <hyperlink ref="B197" r:id="rId809" location="'МБК'!B409" display="30/254-П УПБ 2016-09-30 Отчет.xls - 'МБК'!B409"/>
    <hyperlink ref="B198" r:id="rId810" location="'МБК'!B410" display="30/254-П УПБ 2016-09-30 Отчет.xls - 'МБК'!B410"/>
    <hyperlink ref="B199" r:id="rId811" location="'МБК'!B411" display="30/254-П УПБ 2016-09-30 Отчет.xls - 'МБК'!B411"/>
    <hyperlink ref="B200" r:id="rId812" location="'МБК'!B412" display="30/254-П УПБ 2016-09-30 Отчет.xls - 'МБК'!B412"/>
    <hyperlink ref="B201" r:id="rId813" location="'МБК'!B413" display="30/254-П УПБ 2016-09-30 Отчет.xls - 'МБК'!B413"/>
    <hyperlink ref="B202" r:id="rId814" location="'МБК'!B414" display="30/254-П УПБ 2016-09-30 Отчет.xls - 'МБК'!B414"/>
    <hyperlink ref="B164" r:id="rId815" location="'МБК'!B415" display="30/254-П УПБ 2016-09-30 Отчет.xls - 'МБК'!B415"/>
    <hyperlink ref="B165" r:id="rId816" location="'МБК'!B416" display="30/254-П УПБ 2016-09-30 Отчет.xls - 'МБК'!B416"/>
    <hyperlink ref="B448" r:id="rId817" location="'МБК'!B417" display="30/254-П УПБ 2016-09-30 Отчет.xls - 'МБК'!B417"/>
    <hyperlink ref="B449" r:id="rId818" location="'МБК'!B418" display="30/254-П УПБ 2016-09-30 Отчет.xls - 'МБК'!B418"/>
    <hyperlink ref="B450" r:id="rId819" location="'МБК'!B419" display="30/254-П УПБ 2016-09-30 Отчет.xls - 'МБК'!B419"/>
    <hyperlink ref="B451" r:id="rId820" location="'МБК'!B420" display="30/254-П УПБ 2016-09-30 Отчет.xls - 'МБК'!B420"/>
    <hyperlink ref="B452" r:id="rId821" location="'МБК'!B421" display="30/254-П УПБ 2016-09-30 Отчет.xls - 'МБК'!B421"/>
    <hyperlink ref="B453" r:id="rId822" location="'МБК'!B422" display="30/254-П УПБ 2016-09-30 Отчет.xls - 'МБК'!B422"/>
    <hyperlink ref="B454" r:id="rId823" location="'МБК'!B423" display="30/254-П УПБ 2016-09-30 Отчет.xls - 'МБК'!B423"/>
    <hyperlink ref="B455" r:id="rId824" location="'МБК'!B424" display="30/254-П УПБ 2016-09-30 Отчет.xls - 'МБК'!B424"/>
    <hyperlink ref="B456" r:id="rId825" location="'МБК'!B425" display="30/254-П УПБ 2016-09-30 Отчет.xls - 'МБК'!B425"/>
    <hyperlink ref="B457" r:id="rId826" location="'МБК'!B426" display="30/254-П УПБ 2016-09-30 Отчет.xls - 'МБК'!B426"/>
    <hyperlink ref="B458" r:id="rId827" location="'МБК'!B427" display="30/254-П УПБ 2016-09-30 Отчет.xls - 'МБК'!B427"/>
    <hyperlink ref="B459" r:id="rId828" location="'МБК'!B428" display="30/254-П УПБ 2016-09-30 Отчет.xls - 'МБК'!B428"/>
    <hyperlink ref="B460" r:id="rId829" location="'МБК'!B429" display="30/254-П УПБ 2016-09-30 Отчет.xls - 'МБК'!B429"/>
    <hyperlink ref="B461" r:id="rId830" location="'МБК'!B430" display="30/254-П УПБ 2016-09-30 Отчет.xls - 'МБК'!B430"/>
    <hyperlink ref="B462" r:id="rId831" location="'МБК'!B431" display="30/254-П УПБ 2016-09-30 Отчет.xls - 'МБК'!B431"/>
    <hyperlink ref="B203" r:id="rId832" location="'МБК'!B432" display="30/254-П УПБ 2016-09-30 Отчет.xls - 'МБК'!B432"/>
    <hyperlink ref="B758" r:id="rId833" location="'МБК'!B433" display="30/254-П УПБ 2016-09-30 Отчет.xls - 'МБК'!B433"/>
    <hyperlink ref="B759" r:id="rId834" location="'МБК'!B434" display="30/254-П УПБ 2016-09-30 Отчет.xls - 'МБК'!B434"/>
    <hyperlink ref="B760" r:id="rId835" location="'МБК'!B435" display="30/254-П УПБ 2016-09-30 Отчет.xls - 'МБК'!B435"/>
    <hyperlink ref="B761" r:id="rId836" location="'МБК'!B436" display="30/254-П УПБ 2016-09-30 Отчет.xls - 'МБК'!B436"/>
    <hyperlink ref="B762" r:id="rId837" location="'МБК'!B437" display="30/254-П УПБ 2016-09-30 Отчет.xls - 'МБК'!B437"/>
    <hyperlink ref="B763" r:id="rId838" location="'МБК'!B438" display="30/254-П УПБ 2016-09-30 Отчет.xls - 'МБК'!B438"/>
    <hyperlink ref="B764" r:id="rId839" location="'МБК'!B439" display="30/254-П УПБ 2016-09-30 Отчет.xls - 'МБК'!B439"/>
    <hyperlink ref="B765" r:id="rId840" location="'МБК'!B440" display="30/254-П УПБ 2016-09-30 Отчет.xls - 'МБК'!B440"/>
    <hyperlink ref="B1837" r:id="rId841" location="'МБК'!B441" display="30/254-П УПБ 2016-09-30 Отчет.xls - 'МБК'!B441"/>
    <hyperlink ref="B1838" r:id="rId842" location="'МБК'!B442" display="30/254-П УПБ 2016-09-30 Отчет.xls - 'МБК'!B442"/>
    <hyperlink ref="B463" r:id="rId843" location="'МБК'!B443" display="30/254-П УПБ 2016-09-30 Отчет.xls - 'МБК'!B443"/>
    <hyperlink ref="B464" r:id="rId844" location="'МБК'!B444" display="30/254-П УПБ 2016-09-30 Отчет.xls - 'МБК'!B444"/>
    <hyperlink ref="B766" r:id="rId845" location="'МБК'!B445" display="30/254-П УПБ 2016-09-30 Отчет.xls - 'МБК'!B445"/>
    <hyperlink ref="B465" r:id="rId846" location="'МБК'!B446" display="30/254-П УПБ 2016-09-30 Отчет.xls - 'МБК'!B446"/>
    <hyperlink ref="B466" r:id="rId847" location="'МБК'!B447" display="30/254-П УПБ 2016-09-30 Отчет.xls - 'МБК'!B447"/>
    <hyperlink ref="B467" r:id="rId848" location="'МБК'!B448" display="30/254-П УПБ 2016-09-30 Отчет.xls - 'МБК'!B448"/>
    <hyperlink ref="B468" r:id="rId849" location="'МБК'!B449" display="30/254-П УПБ 2016-09-30 Отчет.xls - 'МБК'!B449"/>
    <hyperlink ref="B469" r:id="rId850" location="'МБК'!B450" display="30/254-П УПБ 2016-09-30 Отчет.xls - 'МБК'!B450"/>
    <hyperlink ref="B204" r:id="rId851" location="'МБК'!B451" display="30/254-П УПБ 2016-09-30 Отчет.xls - 'МБК'!B451"/>
    <hyperlink ref="B205" r:id="rId852" location="'МБК'!B452" display="30/254-П УПБ 2016-09-30 Отчет.xls - 'МБК'!B452"/>
    <hyperlink ref="B206" r:id="rId853" location="'МБК'!B453" display="30/254-П УПБ 2016-09-30 Отчет.xls - 'МБК'!B453"/>
    <hyperlink ref="B207" r:id="rId854" location="'МБК'!B454" display="30/254-П УПБ 2016-09-30 Отчет.xls - 'МБК'!B454"/>
    <hyperlink ref="B208" r:id="rId855" location="'МБК'!B455" display="30/254-П УПБ 2016-09-30 Отчет.xls - 'МБК'!B455"/>
    <hyperlink ref="B209" r:id="rId856" location="'МБК'!B456" display="30/254-П УПБ 2016-09-30 Отчет.xls - 'МБК'!B456"/>
    <hyperlink ref="B470" r:id="rId857" location="'МБК'!B457" display="30/254-П УПБ 2016-09-30 Отчет.xls - 'МБК'!B457"/>
    <hyperlink ref="B471" r:id="rId858" location="'МБК'!B458" display="30/254-П УПБ 2016-09-30 Отчет.xls - 'МБК'!B458"/>
    <hyperlink ref="B210" r:id="rId859" location="'МБК'!B459" display="30/254-П УПБ 2016-09-30 Отчет.xls - 'МБК'!B459"/>
    <hyperlink ref="B472" r:id="rId860" location="'МБК'!B460" display="30/254-П УПБ 2016-09-30 Отчет.xls - 'МБК'!B460"/>
    <hyperlink ref="B1608" r:id="rId861" location="'МБК'!B461" display="30/254-П УПБ 2016-09-30 Отчет.xls - 'МБК'!B461"/>
    <hyperlink ref="B767" r:id="rId862" location="'МБК'!B462" display="30/254-П УПБ 2016-09-30 Отчет.xls - 'МБК'!B462"/>
    <hyperlink ref="B473" r:id="rId863" location="'МБК'!B463" display="30/254-П УПБ 2016-09-30 Отчет.xls - 'МБК'!B463"/>
    <hyperlink ref="B474" r:id="rId864" location="'МБК'!B464" display="30/254-П УПБ 2016-09-30 Отчет.xls - 'МБК'!B464"/>
    <hyperlink ref="B475" r:id="rId865" location="'МБК'!B465" display="30/254-П УПБ 2016-09-30 Отчет.xls - 'МБК'!B465"/>
    <hyperlink ref="B1598" r:id="rId866" location="'МБК'!B466" display="30/254-П УПБ 2016-09-30 Отчет.xls - 'МБК'!B466"/>
    <hyperlink ref="B476" r:id="rId867" location="'МБК'!B467" display="30/254-П УПБ 2016-09-30 Отчет.xls - 'МБК'!B467"/>
    <hyperlink ref="B477" r:id="rId868" location="'МБК'!B468" display="30/254-П УПБ 2016-09-30 Отчет.xls - 'МБК'!B468"/>
    <hyperlink ref="B478" r:id="rId869" location="'МБК'!B469" display="30/254-П УПБ 2016-09-30 Отчет.xls - 'МБК'!B469"/>
    <hyperlink ref="B27" r:id="rId870" location="'МБК'!B470" display="30/254-П УПБ 2016-09-30 Отчет.xls - 'МБК'!B470"/>
    <hyperlink ref="B25" r:id="rId871" location="'МБК'!B471" display="30/254-П УПБ 2016-09-30 Отчет.xls - 'МБК'!B471"/>
    <hyperlink ref="B816" r:id="rId872" location="'Юр.лица'!B8" display="30/254-П УПБ 2016-09-30 Отчет.xls - 'Юр.лица'!B8"/>
    <hyperlink ref="B1509" r:id="rId873" location="'47101'!B8" display="30/254-П УПБ 2016-09-30 Отчет.xls - '47101'!B8"/>
    <hyperlink ref="B1511" r:id="rId874" location="'47101'!B9" display="30/254-П УПБ 2016-09-30 Отчет.xls - '47101'!B9"/>
    <hyperlink ref="B1510" r:id="rId875" location="'47101'!B10" display="30/254-П УПБ 2016-09-30 Отчет.xls - '47101'!B10"/>
    <hyperlink ref="B1746" r:id="rId876" location="'47101'!B11" display="30/254-П УПБ 2016-09-30 Отчет.xls - '47101'!B11"/>
    <hyperlink ref="B1612" r:id="rId877" location="'47101'!B12" display="30/254-П УПБ 2016-09-30 Отчет.xls - '47101'!B12"/>
    <hyperlink ref="B1507" r:id="rId878" location="'47101'!B13" display="30/254-П УПБ 2016-09-30 Отчет.xls - '47101'!B13"/>
    <hyperlink ref="B1508" r:id="rId879" location="'47101'!B14" display="30/254-П УПБ 2016-09-30 Отчет.xls - '47101'!B14"/>
    <hyperlink ref="B1512" r:id="rId880" location="'47101'!B15" display="30/254-П УПБ 2016-09-30 Отчет.xls - '47101'!B15"/>
    <hyperlink ref="B1007" r:id="rId881" location="'Векселя'!B8" display="30/254-П УПБ 2016-09-30 Отчет.xls - 'Векселя'!B8"/>
    <hyperlink ref="B45" r:id="rId882" location="'Векселя'!B9" display="30/254-П УПБ 2016-09-30 Отчет.xls - 'Векселя'!B9"/>
    <hyperlink ref="B34" r:id="rId883" location="'Векселя'!B10" display="30/254-П УПБ 2016-09-30 Отчет.xls - 'Векселя'!B10"/>
    <hyperlink ref="B1126" r:id="rId884" location="'Векселя'!B11" display="30/254-П УПБ 2016-09-30 Отчет.xls - 'Векселя'!B11"/>
    <hyperlink ref="B1127" r:id="rId885" location="'Векселя'!B12" display="30/254-П УПБ 2016-09-30 Отчет.xls - 'Векселя'!B12"/>
    <hyperlink ref="B989" r:id="rId886" location="'Векселя'!B13" display="30/254-П УПБ 2016-09-30 Отчет.xls - 'Векселя'!B13"/>
    <hyperlink ref="B983" r:id="rId887" location="'Векселя'!B14" display="30/254-П УПБ 2016-09-30 Отчет.xls - 'Векселя'!B14"/>
    <hyperlink ref="B1804" r:id="rId888" location="'Займ ДМ'!B8" display="30/254-П УПБ 2016-09-30 Отчет.xls - 'Займ ДМ'!B8"/>
    <hyperlink ref="B1805" r:id="rId889" location="'Займ ДМ'!B9" display="30/254-П УПБ 2016-09-30 Отчет.xls - 'Займ ДМ'!B9"/>
    <hyperlink ref="B1806" r:id="rId890" location="'Займ ДМ'!B10" display="30/254-П УПБ 2016-09-30 Отчет.xls - 'Займ ДМ'!B10"/>
    <hyperlink ref="B1792" r:id="rId891" location="'Займ ДМ'!B11" display="30/254-П УПБ 2016-09-30 Отчет.xls - 'Займ ДМ'!B11"/>
    <hyperlink ref="B1793" r:id="rId892" location="'Займ ДМ'!B12" display="30/254-П УПБ 2016-09-30 Отчет.xls - 'Займ ДМ'!B12"/>
    <hyperlink ref="B1794" r:id="rId893" location="'Займ ДМ'!B13" display="30/254-П УПБ 2016-09-30 Отчет.xls - 'Займ ДМ'!B13"/>
    <hyperlink ref="B1795" r:id="rId894" location="'Займ ДМ'!B14" display="30/254-П УПБ 2016-09-30 Отчет.xls - 'Займ ДМ'!B14"/>
    <hyperlink ref="B1796" r:id="rId895" location="'Займ ДМ'!B15" display="30/254-П УПБ 2016-09-30 Отчет.xls - 'Займ ДМ'!B15"/>
    <hyperlink ref="B1797" r:id="rId896" location="'Займ ДМ'!B16" display="30/254-П УПБ 2016-09-30 Отчет.xls - 'Займ ДМ'!B16"/>
    <hyperlink ref="B1798" r:id="rId897" location="'Займ ДМ'!B17" display="30/254-П УПБ 2016-09-30 Отчет.xls - 'Займ ДМ'!B17"/>
    <hyperlink ref="B1799" r:id="rId898" location="'Займ ДМ'!B18" display="30/254-П УПБ 2016-09-30 Отчет.xls - 'Займ ДМ'!B18"/>
    <hyperlink ref="B1807" r:id="rId899" location="'Займ ДМ'!B19" display="30/254-П УПБ 2016-09-30 Отчет.xls - 'Займ ДМ'!B19"/>
    <hyperlink ref="B1808" r:id="rId900" location="'Займ ДМ'!B20" display="30/254-П УПБ 2016-09-30 Отчет.xls - 'Займ ДМ'!B20"/>
    <hyperlink ref="B1800" r:id="rId901" location="'Займ ДМ'!B21" display="30/254-П УПБ 2016-09-30 Отчет.xls - 'Займ ДМ'!B21"/>
    <hyperlink ref="B1809" r:id="rId902" location="'Займ ДМ'!B22" display="30/254-П УПБ 2016-09-30 Отчет.xls - 'Займ ДМ'!B22"/>
    <hyperlink ref="B1801" r:id="rId903" location="'Займ ДМ'!B23" display="30/254-П УПБ 2016-09-30 Отчет.xls - 'Займ ДМ'!B23"/>
    <hyperlink ref="B1802" r:id="rId904" location="'Займ ДМ'!B24" display="30/254-П УПБ 2016-09-30 Отчет.xls - 'Займ ДМ'!B24"/>
    <hyperlink ref="B1473" r:id="rId905" location="'Займ ДМ'!B25" display="30/254-П УПБ 2016-09-30 Отчет.xls - 'Займ ДМ'!B25"/>
    <hyperlink ref="B274" r:id="rId906" location="'РЕПО'!B8" display="30/254-П УПБ 2016-09-30 Отчет.xls - 'РЕПО'!B8"/>
    <hyperlink ref="B275" r:id="rId907" location="'РЕПО'!B9" display="30/254-П УПБ 2016-09-30 Отчет.xls - 'РЕПО'!B9"/>
    <hyperlink ref="B276" r:id="rId908" location="'РЕПО'!B10" display="30/254-П УПБ 2016-09-30 Отчет.xls - 'РЕПО'!B10"/>
    <hyperlink ref="B277" r:id="rId909" location="'РЕПО'!B11" display="30/254-П УПБ 2016-09-30 Отчет.xls - 'РЕПО'!B11"/>
    <hyperlink ref="B35" r:id="rId910" location="'РЕПО'!B12" display="30/254-П УПБ 2016-09-30 Отчет.xls - 'РЕПО'!B12"/>
    <hyperlink ref="B36" r:id="rId911" location="'РЕПО'!B13" display="30/254-П УПБ 2016-09-30 Отчет.xls - 'РЕПО'!B13"/>
    <hyperlink ref="B37" r:id="rId912" location="'РЕПО'!B14" display="30/254-П УПБ 2016-09-30 Отчет.xls - 'РЕПО'!B14"/>
    <hyperlink ref="B38" r:id="rId913" location="'РЕПО'!B15" display="30/254-П УПБ 2016-09-30 Отчет.xls - 'РЕПО'!B15"/>
    <hyperlink ref="B39" r:id="rId914" location="'РЕПО'!B16" display="30/254-П УПБ 2016-09-30 Отчет.xls - 'РЕПО'!B16"/>
    <hyperlink ref="B40" r:id="rId915" location="'РЕПО'!B17" display="30/254-П УПБ 2016-09-30 Отчет.xls - 'РЕПО'!B17"/>
    <hyperlink ref="B41" r:id="rId916" location="'РЕПО'!B18" display="30/254-П УПБ 2016-09-30 Отчет.xls - 'РЕПО'!B18"/>
    <hyperlink ref="B42" r:id="rId917" location="'РЕПО'!B19" display="30/254-П УПБ 2016-09-30 Отчет.xls - 'РЕПО'!B19"/>
    <hyperlink ref="B43" r:id="rId918" location="'РЕПО'!B20" display="30/254-П УПБ 2016-09-30 Отчет.xls - 'РЕПО'!B20"/>
    <hyperlink ref="B44" r:id="rId919" location="'РЕПО'!B21" display="30/254-П УПБ 2016-09-30 Отчет.xls - 'РЕПО'!B21"/>
    <hyperlink ref="B346" r:id="rId920" location="'РЕПО'!B22" display="30/254-П УПБ 2016-09-30 Отчет.xls - 'РЕПО'!B22"/>
    <hyperlink ref="B347" r:id="rId921" location="'РЕПО'!B23" display="30/254-П УПБ 2016-09-30 Отчет.xls - 'РЕПО'!B23"/>
    <hyperlink ref="B348" r:id="rId922" location="'РЕПО'!B24" display="30/254-П УПБ 2016-09-30 Отчет.xls - 'РЕПО'!B24"/>
    <hyperlink ref="B349" r:id="rId923" location="'РЕПО'!B25" display="30/254-П УПБ 2016-09-30 Отчет.xls - 'РЕПО'!B25"/>
    <hyperlink ref="B350" r:id="rId924" location="'РЕПО'!B26" display="30/254-П УПБ 2016-09-30 Отчет.xls - 'РЕПО'!B26"/>
    <hyperlink ref="B351" r:id="rId925" location="'РЕПО'!B27" display="30/254-П УПБ 2016-09-30 Отчет.xls - 'РЕПО'!B27"/>
    <hyperlink ref="B352" r:id="rId926" location="'РЕПО'!B28" display="30/254-П УПБ 2016-09-30 Отчет.xls - 'РЕПО'!B28"/>
    <hyperlink ref="B353" r:id="rId927" location="'РЕПО'!B29" display="30/254-П УПБ 2016-09-30 Отчет.xls - 'РЕПО'!B29"/>
    <hyperlink ref="B354" r:id="rId928" location="'РЕПО'!B30" display="30/254-П УПБ 2016-09-30 Отчет.xls - 'РЕПО'!B30"/>
    <hyperlink ref="B355" r:id="rId929" location="'РЕПО'!B31" display="30/254-П УПБ 2016-09-30 Отчет.xls - 'РЕПО'!B31"/>
    <hyperlink ref="B356" r:id="rId930" location="'РЕПО'!B32" display="30/254-П УПБ 2016-09-30 Отчет.xls - 'РЕПО'!B32"/>
    <hyperlink ref="B357" r:id="rId931" location="'РЕПО'!B33" display="30/254-П УПБ 2016-09-30 Отчет.xls - 'РЕПО'!B33"/>
    <hyperlink ref="B358" r:id="rId932" location="'РЕПО'!B34" display="30/254-П УПБ 2016-09-30 Отчет.xls - 'РЕПО'!B34"/>
    <hyperlink ref="B359" r:id="rId933" location="'РЕПО'!B35" display="30/254-П УПБ 2016-09-30 Отчет.xls - 'РЕПО'!B35"/>
    <hyperlink ref="B360" r:id="rId934" location="'РЕПО'!B36" display="30/254-П УПБ 2016-09-30 Отчет.xls - 'РЕПО'!B36"/>
    <hyperlink ref="B361" r:id="rId935" location="'РЕПО'!B37" display="30/254-П УПБ 2016-09-30 Отчет.xls - 'РЕПО'!B37"/>
    <hyperlink ref="B278" r:id="rId936" location="'РЕПО'!B38" display="30/254-П УПБ 2016-09-30 Отчет.xls - 'РЕПО'!B38"/>
    <hyperlink ref="B279" r:id="rId937" location="'РЕПО'!B39" display="30/254-П УПБ 2016-09-30 Отчет.xls - 'РЕПО'!B39"/>
    <hyperlink ref="B280" r:id="rId938" location="'РЕПО'!B40" display="30/254-П УПБ 2016-09-30 Отчет.xls - 'РЕПО'!B40"/>
    <hyperlink ref="B490" r:id="rId939" location="'РЕПО'!B41" display="30/254-П УПБ 2016-09-30 Отчет.xls - 'РЕПО'!B41"/>
    <hyperlink ref="B281" r:id="rId940" location="'РЕПО'!B42" display="30/254-П УПБ 2016-09-30 Отчет.xls - 'РЕПО'!B42"/>
    <hyperlink ref="B282" r:id="rId941" location="'РЕПО'!B43" display="30/254-П УПБ 2016-09-30 Отчет.xls - 'РЕПО'!B43"/>
    <hyperlink ref="B283" r:id="rId942" location="'РЕПО'!B44" display="30/254-П УПБ 2016-09-30 Отчет.xls - 'РЕПО'!B44"/>
    <hyperlink ref="B284" r:id="rId943" location="'РЕПО'!B45" display="30/254-П УПБ 2016-09-30 Отчет.xls - 'РЕПО'!B45"/>
    <hyperlink ref="B285" r:id="rId944" location="'РЕПО'!B46" display="30/254-П УПБ 2016-09-30 Отчет.xls - 'РЕПО'!B46"/>
    <hyperlink ref="B286" r:id="rId945" location="'РЕПО'!B47" display="30/254-П УПБ 2016-09-30 Отчет.xls - 'РЕПО'!B47"/>
    <hyperlink ref="B287" r:id="rId946" location="'РЕПО'!B48" display="30/254-П УПБ 2016-09-30 Отчет.xls - 'РЕПО'!B48"/>
    <hyperlink ref="B288" r:id="rId947" location="'РЕПО'!B49" display="30/254-П УПБ 2016-09-30 Отчет.xls - 'РЕПО'!B49"/>
    <hyperlink ref="B289" r:id="rId948" location="'РЕПО'!B50" display="30/254-П УПБ 2016-09-30 Отчет.xls - 'РЕПО'!B50"/>
    <hyperlink ref="B290" r:id="rId949" location="'РЕПО'!B51" display="30/254-П УПБ 2016-09-30 Отчет.xls - 'РЕПО'!B51"/>
    <hyperlink ref="B291" r:id="rId950" location="'РЕПО'!B52" display="30/254-П УПБ 2016-09-30 Отчет.xls - 'РЕПО'!B52"/>
    <hyperlink ref="B292" r:id="rId951" location="'РЕПО'!B53" display="30/254-П УПБ 2016-09-30 Отчет.xls - 'РЕПО'!B53"/>
    <hyperlink ref="B293" r:id="rId952" location="'РЕПО'!B54" display="30/254-П УПБ 2016-09-30 Отчет.xls - 'РЕПО'!B54"/>
    <hyperlink ref="B294" r:id="rId953" location="'РЕПО'!B55" display="30/254-П УПБ 2016-09-30 Отчет.xls - 'РЕПО'!B55"/>
    <hyperlink ref="B904" r:id="rId954" location="'РЕПО'!B56" display="30/254-П УПБ 2016-09-30 Отчет.xls - 'РЕПО'!B56"/>
    <hyperlink ref="B374" r:id="rId955" location="'РЕПО'!B57" display="30/254-П УПБ 2016-09-30 Отчет.xls - 'РЕПО'!B57"/>
    <hyperlink ref="B295" r:id="rId956" location="'РЕПО'!B58" display="30/254-П УПБ 2016-09-30 Отчет.xls - 'РЕПО'!B58"/>
    <hyperlink ref="B296" r:id="rId957" location="'РЕПО'!B59" display="30/254-П УПБ 2016-09-30 Отчет.xls - 'РЕПО'!B59"/>
    <hyperlink ref="B905" r:id="rId958" location="'РЕПО'!B60" display="30/254-П УПБ 2016-09-30 Отчет.xls - 'РЕПО'!B60"/>
    <hyperlink ref="B273" r:id="rId959" location="'РЕПО'!B61" display="30/254-П УПБ 2016-09-30 Отчет.xls - 'РЕПО'!B61"/>
    <hyperlink ref="B297" r:id="rId960" location="'РЕПО'!B62" display="30/254-П УПБ 2016-09-30 Отчет.xls - 'РЕПО'!B62"/>
    <hyperlink ref="B298" r:id="rId961" location="'РЕПО'!B63" display="30/254-П УПБ 2016-09-30 Отчет.xls - 'РЕПО'!B63"/>
    <hyperlink ref="B299" r:id="rId962" location="'РЕПО'!B64" display="30/254-П УПБ 2016-09-30 Отчет.xls - 'РЕПО'!B64"/>
    <hyperlink ref="B300" r:id="rId963" location="'РЕПО'!B65" display="30/254-П УПБ 2016-09-30 Отчет.xls - 'РЕПО'!B65"/>
    <hyperlink ref="B301" r:id="rId964" location="'РЕПО'!B66" display="30/254-П УПБ 2016-09-30 Отчет.xls - 'РЕПО'!B66"/>
    <hyperlink ref="B302" r:id="rId965" location="'РЕПО'!B67" display="30/254-П УПБ 2016-09-30 Отчет.xls - 'РЕПО'!B67"/>
    <hyperlink ref="B303" r:id="rId966" location="'РЕПО'!B68" display="30/254-П УПБ 2016-09-30 Отчет.xls - 'РЕПО'!B68"/>
    <hyperlink ref="B906" r:id="rId967" location="'РЕПО'!B69" display="30/254-П УПБ 2016-09-30 Отчет.xls - 'РЕПО'!B69"/>
    <hyperlink ref="B304" r:id="rId968" location="'РЕПО'!B70" display="30/254-П УПБ 2016-09-30 Отчет.xls - 'РЕПО'!B70"/>
    <hyperlink ref="B305" r:id="rId969" location="'РЕПО'!B71" display="30/254-П УПБ 2016-09-30 Отчет.xls - 'РЕПО'!B71"/>
    <hyperlink ref="B957" r:id="rId970" location="'РЕПО'!B72" display="30/254-П УПБ 2016-09-30 Отчет.xls - 'РЕПО'!B72"/>
    <hyperlink ref="B306" r:id="rId971" location="'РЕПО'!B73" display="30/254-П УПБ 2016-09-30 Отчет.xls - 'РЕПО'!B73"/>
    <hyperlink ref="B307" r:id="rId972" location="'РЕПО'!B74" display="30/254-П УПБ 2016-09-30 Отчет.xls - 'РЕПО'!B74"/>
    <hyperlink ref="B907" r:id="rId973" location="'РЕПО'!B75" display="30/254-П УПБ 2016-09-30 Отчет.xls - 'РЕПО'!B75"/>
    <hyperlink ref="B908" r:id="rId974" location="'РЕПО'!B76" display="30/254-П УПБ 2016-09-30 Отчет.xls - 'РЕПО'!B76"/>
    <hyperlink ref="B909" r:id="rId975" location="'РЕПО'!B77" display="30/254-П УПБ 2016-09-30 Отчет.xls - 'РЕПО'!B77"/>
    <hyperlink ref="B910" r:id="rId976" location="'РЕПО'!B78" display="30/254-П УПБ 2016-09-30 Отчет.xls - 'РЕПО'!B78"/>
    <hyperlink ref="B911" r:id="rId977" location="'РЕПО'!B79" display="30/254-П УПБ 2016-09-30 Отчет.xls - 'РЕПО'!B79"/>
    <hyperlink ref="B375" r:id="rId978" location="'РЕПО'!B80" display="30/254-П УПБ 2016-09-30 Отчет.xls - 'РЕПО'!B80"/>
    <hyperlink ref="B224" r:id="rId979" location="'РЕПО'!B81" display="30/254-П УПБ 2016-09-30 Отчет.xls - 'РЕПО'!B81"/>
    <hyperlink ref="B225" r:id="rId980" location="'РЕПО'!B82" display="30/254-П УПБ 2016-09-30 Отчет.xls - 'РЕПО'!B82"/>
    <hyperlink ref="B226" r:id="rId981" location="'РЕПО'!B83" display="30/254-П УПБ 2016-09-30 Отчет.xls - 'РЕПО'!B83"/>
    <hyperlink ref="B227" r:id="rId982" location="'РЕПО'!B84" display="30/254-П УПБ 2016-09-30 Отчет.xls - 'РЕПО'!B84"/>
    <hyperlink ref="B228" r:id="rId983" location="'РЕПО'!B85" display="30/254-П УПБ 2016-09-30 Отчет.xls - 'РЕПО'!B85"/>
    <hyperlink ref="B229" r:id="rId984" location="'РЕПО'!B86" display="30/254-П УПБ 2016-09-30 Отчет.xls - 'РЕПО'!B86"/>
    <hyperlink ref="B376" r:id="rId985" location="'РЕПО'!B87" display="30/254-П УПБ 2016-09-30 Отчет.xls - 'РЕПО'!B87"/>
    <hyperlink ref="B230" r:id="rId986" location="'РЕПО'!B88" display="30/254-П УПБ 2016-09-30 Отчет.xls - 'РЕПО'!B88"/>
    <hyperlink ref="B912" r:id="rId987" location="'РЕПО'!B89" display="30/254-П УПБ 2016-09-30 Отчет.xls - 'РЕПО'!B89"/>
    <hyperlink ref="B913" r:id="rId988" location="'РЕПО'!B90" display="30/254-П УПБ 2016-09-30 Отчет.xls - 'РЕПО'!B90"/>
    <hyperlink ref="B914" r:id="rId989" location="'РЕПО'!B91" display="30/254-П УПБ 2016-09-30 Отчет.xls - 'РЕПО'!B91"/>
    <hyperlink ref="B915" r:id="rId990" location="'РЕПО'!B92" display="30/254-П УПБ 2016-09-30 Отчет.xls - 'РЕПО'!B92"/>
    <hyperlink ref="B308" r:id="rId991" location="'РЕПО'!B93" display="30/254-П УПБ 2016-09-30 Отчет.xls - 'РЕПО'!B93"/>
    <hyperlink ref="B309" r:id="rId992" location="'РЕПО'!B94" display="30/254-П УПБ 2016-09-30 Отчет.xls - 'РЕПО'!B94"/>
    <hyperlink ref="B310" r:id="rId993" location="'РЕПО'!B95" display="30/254-П УПБ 2016-09-30 Отчет.xls - 'РЕПО'!B95"/>
    <hyperlink ref="B311" r:id="rId994" location="'РЕПО'!B96" display="30/254-П УПБ 2016-09-30 Отчет.xls - 'РЕПО'!B96"/>
    <hyperlink ref="B916" r:id="rId995" location="'РЕПО'!B97" display="30/254-П УПБ 2016-09-30 Отчет.xls - 'РЕПО'!B97"/>
    <hyperlink ref="B312" r:id="rId996" location="'РЕПО'!B98" display="30/254-П УПБ 2016-09-30 Отчет.xls - 'РЕПО'!B98"/>
    <hyperlink ref="B313" r:id="rId997" location="'РЕПО'!B99" display="30/254-П УПБ 2016-09-30 Отчет.xls - 'РЕПО'!B99"/>
    <hyperlink ref="B377" r:id="rId998" location="'РЕПО'!B100" display="30/254-П УПБ 2016-09-30 Отчет.xls - 'РЕПО'!B100"/>
    <hyperlink ref="B362" r:id="rId999" location="'РЕПО'!B101" display="30/254-П УПБ 2016-09-30 Отчет.xls - 'РЕПО'!B101"/>
    <hyperlink ref="B314" r:id="rId1000" location="'РЕПО'!B102" display="30/254-П УПБ 2016-09-30 Отчет.xls - 'РЕПО'!B102"/>
    <hyperlink ref="B315" r:id="rId1001" location="'РЕПО'!B103" display="30/254-П УПБ 2016-09-30 Отчет.xls - 'РЕПО'!B103"/>
    <hyperlink ref="B316" r:id="rId1002" location="'РЕПО'!B104" display="30/254-П УПБ 2016-09-30 Отчет.xls - 'РЕПО'!B104"/>
    <hyperlink ref="B917" r:id="rId1003" location="'РЕПО'!B105" display="30/254-П УПБ 2016-09-30 Отчет.xls - 'РЕПО'!B105"/>
    <hyperlink ref="B918" r:id="rId1004" location="'РЕПО'!B106" display="30/254-П УПБ 2016-09-30 Отчет.xls - 'РЕПО'!B106"/>
    <hyperlink ref="B317" r:id="rId1005" location="'РЕПО'!B107" display="30/254-П УПБ 2016-09-30 Отчет.xls - 'РЕПО'!B107"/>
    <hyperlink ref="B318" r:id="rId1006" location="'РЕПО'!B108" display="30/254-П УПБ 2016-09-30 Отчет.xls - 'РЕПО'!B108"/>
    <hyperlink ref="B319" r:id="rId1007" location="'РЕПО'!B109" display="30/254-П УПБ 2016-09-30 Отчет.xls - 'РЕПО'!B109"/>
    <hyperlink ref="B320" r:id="rId1008" location="'РЕПО'!B110" display="30/254-П УПБ 2016-09-30 Отчет.xls - 'РЕПО'!B110"/>
    <hyperlink ref="B231" r:id="rId1009" location="'РЕПО'!B111" display="30/254-П УПБ 2016-09-30 Отчет.xls - 'РЕПО'!B111"/>
    <hyperlink ref="B232" r:id="rId1010" location="'РЕПО'!B112" display="30/254-П УПБ 2016-09-30 Отчет.xls - 'РЕПО'!B112"/>
    <hyperlink ref="B233" r:id="rId1011" location="'РЕПО'!B113" display="30/254-П УПБ 2016-09-30 Отчет.xls - 'РЕПО'!B113"/>
    <hyperlink ref="B234" r:id="rId1012" location="'РЕПО'!B114" display="30/254-П УПБ 2016-09-30 Отчет.xls - 'РЕПО'!B114"/>
    <hyperlink ref="B235" r:id="rId1013" location="'РЕПО'!B115" display="30/254-П УПБ 2016-09-30 Отчет.xls - 'РЕПО'!B115"/>
    <hyperlink ref="B236" r:id="rId1014" location="'РЕПО'!B116" display="30/254-П УПБ 2016-09-30 Отчет.xls - 'РЕПО'!B116"/>
    <hyperlink ref="B919" r:id="rId1015" location="'РЕПО'!B117" display="30/254-П УПБ 2016-09-30 Отчет.xls - 'РЕПО'!B117"/>
    <hyperlink ref="B920" r:id="rId1016" location="'РЕПО'!B118" display="30/254-П УПБ 2016-09-30 Отчет.xls - 'РЕПО'!B118"/>
    <hyperlink ref="B921" r:id="rId1017" location="'РЕПО'!B119" display="30/254-П УПБ 2016-09-30 Отчет.xls - 'РЕПО'!B119"/>
    <hyperlink ref="B922" r:id="rId1018" location="'РЕПО'!B120" display="30/254-П УПБ 2016-09-30 Отчет.xls - 'РЕПО'!B120"/>
    <hyperlink ref="B923" r:id="rId1019" location="'РЕПО'!B121" display="30/254-П УПБ 2016-09-30 Отчет.xls - 'РЕПО'!B121"/>
    <hyperlink ref="B924" r:id="rId1020" location="'РЕПО'!B122" display="30/254-П УПБ 2016-09-30 Отчет.xls - 'РЕПО'!B122"/>
    <hyperlink ref="B925" r:id="rId1021" location="'РЕПО'!B123" display="30/254-П УПБ 2016-09-30 Отчет.xls - 'РЕПО'!B123"/>
    <hyperlink ref="B926" r:id="rId1022" location="'РЕПО'!B124" display="30/254-П УПБ 2016-09-30 Отчет.xls - 'РЕПО'!B124"/>
    <hyperlink ref="B378" r:id="rId1023" location="'РЕПО'!B125" display="30/254-П УПБ 2016-09-30 Отчет.xls - 'РЕПО'!B125"/>
    <hyperlink ref="B927" r:id="rId1024" location="'РЕПО'!B126" display="30/254-П УПБ 2016-09-30 Отчет.xls - 'РЕПО'!B126"/>
    <hyperlink ref="B928" r:id="rId1025" location="'РЕПО'!B127" display="30/254-П УПБ 2016-09-30 Отчет.xls - 'РЕПО'!B127"/>
    <hyperlink ref="B929" r:id="rId1026" location="'РЕПО'!B128" display="30/254-П УПБ 2016-09-30 Отчет.xls - 'РЕПО'!B128"/>
    <hyperlink ref="B930" r:id="rId1027" location="'РЕПО'!B129" display="30/254-П УПБ 2016-09-30 Отчет.xls - 'РЕПО'!B129"/>
    <hyperlink ref="B931" r:id="rId1028" location="'РЕПО'!B130" display="30/254-П УПБ 2016-09-30 Отчет.xls - 'РЕПО'!B130"/>
    <hyperlink ref="B932" r:id="rId1029" location="'РЕПО'!B131" display="30/254-П УПБ 2016-09-30 Отчет.xls - 'РЕПО'!B131"/>
    <hyperlink ref="B933" r:id="rId1030" location="'РЕПО'!B132" display="30/254-П УПБ 2016-09-30 Отчет.xls - 'РЕПО'!B132"/>
    <hyperlink ref="B321" r:id="rId1031" location="'РЕПО'!B133" display="30/254-П УПБ 2016-09-30 Отчет.xls - 'РЕПО'!B133"/>
    <hyperlink ref="B322" r:id="rId1032" location="'РЕПО'!B134" display="30/254-П УПБ 2016-09-30 Отчет.xls - 'РЕПО'!B134"/>
    <hyperlink ref="B323" r:id="rId1033" location="'РЕПО'!B135" display="30/254-П УПБ 2016-09-30 Отчет.xls - 'РЕПО'!B135"/>
    <hyperlink ref="B324" r:id="rId1034" location="'РЕПО'!B136" display="30/254-П УПБ 2016-09-30 Отчет.xls - 'РЕПО'!B136"/>
    <hyperlink ref="B379" r:id="rId1035" location="'РЕПО'!B137" display="30/254-П УПБ 2016-09-30 Отчет.xls - 'РЕПО'!B137"/>
    <hyperlink ref="B934" r:id="rId1036" location="'РЕПО'!B138" display="30/254-П УПБ 2016-09-30 Отчет.xls - 'РЕПО'!B138"/>
    <hyperlink ref="B935" r:id="rId1037" location="'РЕПО'!B139" display="30/254-П УПБ 2016-09-30 Отчет.xls - 'РЕПО'!B139"/>
    <hyperlink ref="B1004" r:id="rId1038" location="'РЕПО'!B140" display="30/254-П УПБ 2016-09-30 Отчет.xls - 'РЕПО'!B140"/>
    <hyperlink ref="B325" r:id="rId1039" location="'РЕПО'!B141" display="30/254-П УПБ 2016-09-30 Отчет.xls - 'РЕПО'!B141"/>
    <hyperlink ref="B326" r:id="rId1040" location="'РЕПО'!B142" display="30/254-П УПБ 2016-09-30 Отчет.xls - 'РЕПО'!B142"/>
    <hyperlink ref="B327" r:id="rId1041" location="'РЕПО'!B143" display="30/254-П УПБ 2016-09-30 Отчет.xls - 'РЕПО'!B143"/>
    <hyperlink ref="B328" r:id="rId1042" location="'РЕПО'!B144" display="30/254-П УПБ 2016-09-30 Отчет.xls - 'РЕПО'!B144"/>
    <hyperlink ref="B329" r:id="rId1043" location="'РЕПО'!B145" display="30/254-П УПБ 2016-09-30 Отчет.xls - 'РЕПО'!B145"/>
    <hyperlink ref="B330" r:id="rId1044" location="'РЕПО'!B146" display="30/254-П УПБ 2016-09-30 Отчет.xls - 'РЕПО'!B146"/>
    <hyperlink ref="B331" r:id="rId1045" location="'РЕПО'!B147" display="30/254-П УПБ 2016-09-30 Отчет.xls - 'РЕПО'!B147"/>
    <hyperlink ref="B332" r:id="rId1046" location="'РЕПО'!B148" display="30/254-П УПБ 2016-09-30 Отчет.xls - 'РЕПО'!B148"/>
    <hyperlink ref="B333" r:id="rId1047" location="'РЕПО'!B149" display="30/254-П УПБ 2016-09-30 Отчет.xls - 'РЕПО'!B149"/>
    <hyperlink ref="B936" r:id="rId1048" location="'РЕПО'!B150" display="30/254-П УПБ 2016-09-30 Отчет.xls - 'РЕПО'!B150"/>
    <hyperlink ref="B937" r:id="rId1049" location="'РЕПО'!B151" display="30/254-П УПБ 2016-09-30 Отчет.xls - 'РЕПО'!B151"/>
    <hyperlink ref="B958" r:id="rId1050" location="'РЕПО'!B152" display="30/254-П УПБ 2016-09-30 Отчет.xls - 'РЕПО'!B152"/>
    <hyperlink ref="B334" r:id="rId1051" location="'РЕПО'!B153" display="30/254-П УПБ 2016-09-30 Отчет.xls - 'РЕПО'!B153"/>
    <hyperlink ref="B335" r:id="rId1052" location="'РЕПО'!B154" display="30/254-П УПБ 2016-09-30 Отчет.xls - 'РЕПО'!B154"/>
    <hyperlink ref="B336" r:id="rId1053" location="'РЕПО'!B155" display="30/254-П УПБ 2016-09-30 Отчет.xls - 'РЕПО'!B155"/>
    <hyperlink ref="B337" r:id="rId1054" location="'РЕПО'!B156" display="30/254-П УПБ 2016-09-30 Отчет.xls - 'РЕПО'!B156"/>
    <hyperlink ref="B338" r:id="rId1055" location="'РЕПО'!B157" display="30/254-П УПБ 2016-09-30 Отчет.xls - 'РЕПО'!B157"/>
    <hyperlink ref="B339" r:id="rId1056" location="'РЕПО'!B158" display="30/254-П УПБ 2016-09-30 Отчет.xls - 'РЕПО'!B158"/>
    <hyperlink ref="B938" r:id="rId1057" location="'РЕПО'!B159" display="30/254-П УПБ 2016-09-30 Отчет.xls - 'РЕПО'!B159"/>
    <hyperlink ref="B939" r:id="rId1058" location="'РЕПО'!B160" display="30/254-П УПБ 2016-09-30 Отчет.xls - 'РЕПО'!B160"/>
    <hyperlink ref="B940" r:id="rId1059" location="'РЕПО'!B161" display="30/254-П УПБ 2016-09-30 Отчет.xls - 'РЕПО'!B161"/>
    <hyperlink ref="B941" r:id="rId1060" location="'РЕПО'!B162" display="30/254-П УПБ 2016-09-30 Отчет.xls - 'РЕПО'!B162"/>
    <hyperlink ref="B942" r:id="rId1061" location="'РЕПО'!B163" display="30/254-П УПБ 2016-09-30 Отчет.xls - 'РЕПО'!B163"/>
    <hyperlink ref="B943" r:id="rId1062" location="'РЕПО'!B164" display="30/254-П УПБ 2016-09-30 Отчет.xls - 'РЕПО'!B164"/>
    <hyperlink ref="B944" r:id="rId1063" location="'РЕПО'!B165" display="30/254-П УПБ 2016-09-30 Отчет.xls - 'РЕПО'!B165"/>
    <hyperlink ref="B945" r:id="rId1064" location="'РЕПО'!B166" display="30/254-П УПБ 2016-09-30 Отчет.xls - 'РЕПО'!B166"/>
    <hyperlink ref="B380" r:id="rId1065" location="'РЕПО'!B167" display="30/254-П УПБ 2016-09-30 Отчет.xls - 'РЕПО'!B167"/>
    <hyperlink ref="B340" r:id="rId1066" location="'РЕПО'!B168" display="30/254-П УПБ 2016-09-30 Отчет.xls - 'РЕПО'!B168"/>
    <hyperlink ref="B341" r:id="rId1067" location="'РЕПО'!B169" display="30/254-П УПБ 2016-09-30 Отчет.xls - 'РЕПО'!B169"/>
    <hyperlink ref="B959" r:id="rId1068" location="'РЕПО'!B170" display="30/254-П УПБ 2016-09-30 Отчет.xls - 'РЕПО'!B170"/>
    <hyperlink ref="B342" r:id="rId1069" location="'РЕПО'!B171" display="30/254-П УПБ 2016-09-30 Отчет.xls - 'РЕПО'!B171"/>
    <hyperlink ref="B343" r:id="rId1070" location="'РЕПО'!B172" display="30/254-П УПБ 2016-09-30 Отчет.xls - 'РЕПО'!B172"/>
    <hyperlink ref="B946" r:id="rId1071" location="'РЕПО'!B173" display="30/254-П УПБ 2016-09-30 Отчет.xls - 'РЕПО'!B173"/>
    <hyperlink ref="B947" r:id="rId1072" location="'РЕПО'!B174" display="30/254-П УПБ 2016-09-30 Отчет.xls - 'РЕПО'!B174"/>
    <hyperlink ref="B948" r:id="rId1073" location="'РЕПО'!B175" display="30/254-П УПБ 2016-09-30 Отчет.xls - 'РЕПО'!B175"/>
    <hyperlink ref="B363" r:id="rId1074" location="'РЕПО'!B176" display="30/254-П УПБ 2016-09-30 Отчет.xls - 'РЕПО'!B176"/>
    <hyperlink ref="B1937" r:id="rId1075" location="'РЕПО'!B177" display="30/254-П УПБ 2016-09-30 Отчет.xls - 'РЕПО'!B177"/>
    <hyperlink ref="B344" r:id="rId1076" location="'РЕПО'!B178" display="30/254-П УПБ 2016-09-30 Отчет.xls - 'РЕПО'!B178"/>
    <hyperlink ref="B345" r:id="rId1077" location="'РЕПО'!B179" display="30/254-П УПБ 2016-09-30 Отчет.xls - 'РЕПО'!B179"/>
    <hyperlink ref="B1178" r:id="rId1078" location="'Треб.47408 ЦБ'!B8" display="30/254-П УПБ 2016-09-30 Отчет.xls - 'Треб.47408 ЦБ'!B8"/>
    <hyperlink ref="B1089" r:id="rId1079" location="'Треб.47408 ЦБ'!B9" display="30/254-П УПБ 2016-09-30 Отчет.xls - 'Треб.47408 ЦБ'!B9"/>
    <hyperlink ref="B1113" r:id="rId1080" location="'Треб.47408 ЦБ'!B10" display="30/254-П УПБ 2016-09-30 Отчет.xls - 'Треб.47408 ЦБ'!B10"/>
    <hyperlink ref="B1588" r:id="rId1081" location="'Треб.47408 ЦБ'!B11" display="30/254-П УПБ 2016-09-30 Отчет.xls - 'Треб.47408 ЦБ'!B11"/>
    <hyperlink ref="B1775" r:id="rId1082" location="'Треб.47408 ЦБ'!B12" display="30/254-П УПБ 2016-09-30 Отчет.xls - 'Треб.47408 ЦБ'!B12"/>
    <hyperlink ref="B1495" r:id="rId1083" location="'Треб.47408 ЦБ'!B13" display="30/254-П УПБ 2016-09-30 Отчет.xls - 'Треб.47408 ЦБ'!B13"/>
    <hyperlink ref="B4" r:id="rId1084" location="'Треб.47408 ЦБ'!B14" display="30/254-П УПБ 2016-09-30 Отчет.xls - 'Треб.47408 ЦБ'!B14"/>
    <hyperlink ref="B817" r:id="rId1085" location="'Треб.47408 ЦБ'!B15" display="30/254-П УПБ 2016-09-30 Отчет.xls - 'Треб.47408 ЦБ'!B15"/>
    <hyperlink ref="B818" r:id="rId1086" location="'Треб.47408 ЦБ'!B16" display="30/254-П УПБ 2016-09-30 Отчет.xls - 'Треб.47408 ЦБ'!B16"/>
    <hyperlink ref="B368" r:id="rId1087" location="'Треб.47408 ЦБ'!B17" display="30/254-П УПБ 2016-09-30 Отчет.xls - 'Треб.47408 ЦБ'!B17"/>
    <hyperlink ref="B48" r:id="rId1088" location="'Треб.47408 ЦБ'!B18" display="30/254-П УПБ 2016-09-30 Отчет.xls - 'Треб.47408 ЦБ'!B18"/>
    <hyperlink ref="B129" r:id="rId1089" location="'Треб.47408 ЦБ'!B19" display="30/254-П УПБ 2016-09-30 Отчет.xls - 'Треб.47408 ЦБ'!B19"/>
    <hyperlink ref="B1141" r:id="rId1090" location="'Основ'!B8" display="30/254-П УРПЗ 2016-09-30 Отчет.xls - 'Основ'!B8"/>
    <hyperlink ref="B1139" r:id="rId1091" location="'Основ'!B9" display="30/254-П УРПЗ 2016-09-30 Отчет.xls - 'Основ'!B9"/>
    <hyperlink ref="B1140" r:id="rId1092" location="'Основ'!B10" display="30/254-П УРПЗ 2016-09-30 Отчет.xls - 'Основ'!B10"/>
    <hyperlink ref="B846" r:id="rId1093" location="'Основ'!B12" display="30/254-П УРПЗ 2016-09-30 Отчет.xls - 'Основ'!B12"/>
    <hyperlink ref="B847" r:id="rId1094" location="'Основ'!B13" display="30/254-П УРПЗ 2016-09-30 Отчет.xls - 'Основ'!B13"/>
    <hyperlink ref="B848" r:id="rId1095" location="'Основ'!B14" display="30/254-П УРПЗ 2016-09-30 Отчет.xls - 'Основ'!B14"/>
    <hyperlink ref="B849" r:id="rId1096" location="'Основ'!B15" display="30/254-П УРПЗ 2016-09-30 Отчет.xls - 'Основ'!B15"/>
    <hyperlink ref="B850" r:id="rId1097" location="'Основ'!B16" display="30/254-П УРПЗ 2016-09-30 Отчет.xls - 'Основ'!B16"/>
    <hyperlink ref="B851" r:id="rId1098" location="'Основ'!B18" display="30/254-П УРПЗ 2016-09-30 Отчет.xls - 'Основ'!B18"/>
    <hyperlink ref="B784" r:id="rId1099" location="'Основ'!B21" display="30/254-П УРПЗ 2016-09-30 Отчет.xls - 'Основ'!B21"/>
    <hyperlink ref="B785" r:id="rId1100" location="'Основ'!B39" display="30/254-П УРПЗ 2016-09-30 Отчет.xls - 'Основ'!B39"/>
    <hyperlink ref="B786" r:id="rId1101" location="'Основ'!B66" display="30/254-П УРПЗ 2016-09-30 Отчет.xls - 'Основ'!B66"/>
    <hyperlink ref="B1337" r:id="rId1102" location="'Основ'!B70" display="30/254-П УРПЗ 2016-09-30 Отчет.xls - 'Основ'!B70"/>
    <hyperlink ref="B1335" r:id="rId1103" location="'Основ'!B71" display="30/254-П УРПЗ 2016-09-30 Отчет.xls - 'Основ'!B71"/>
    <hyperlink ref="B1338" r:id="rId1104" location="'Основ'!B72" display="30/254-П УРПЗ 2016-09-30 Отчет.xls - 'Основ'!B72"/>
    <hyperlink ref="B1452" r:id="rId1105" location="'Основ'!B73" display="30/254-П УРПЗ 2016-09-30 Отчет.xls - 'Основ'!B73"/>
    <hyperlink ref="B1453" r:id="rId1106" location="'Основ'!B74" display="30/254-П УРПЗ 2016-09-30 Отчет.xls - 'Основ'!B74"/>
    <hyperlink ref="B1454" r:id="rId1107" location="'Основ'!B75" display="30/254-П УРПЗ 2016-09-30 Отчет.xls - 'Основ'!B75"/>
    <hyperlink ref="B1455" r:id="rId1108" location="'Основ'!B76" display="30/254-П УРПЗ 2016-09-30 Отчет.xls - 'Основ'!B76"/>
    <hyperlink ref="B1456" r:id="rId1109" location="'Основ'!B77" display="30/254-П УРПЗ 2016-09-30 Отчет.xls - 'Основ'!B77"/>
    <hyperlink ref="B1457" r:id="rId1110" location="'Основ'!B78" display="30/254-П УРПЗ 2016-09-30 Отчет.xls - 'Основ'!B78"/>
    <hyperlink ref="B1447" r:id="rId1111" location="'Основ'!B80" display="30/254-П УРПЗ 2016-09-30 Отчет.xls - 'Основ'!B80"/>
    <hyperlink ref="B1448" r:id="rId1112" location="'Основ'!B81" display="30/254-П УРПЗ 2016-09-30 Отчет.xls - 'Основ'!B81"/>
    <hyperlink ref="B1449" r:id="rId1113" location="'Основ'!B82" display="30/254-П УРПЗ 2016-09-30 Отчет.xls - 'Основ'!B82"/>
    <hyperlink ref="B1450" r:id="rId1114" location="'Основ'!B83" display="30/254-П УРПЗ 2016-09-30 Отчет.xls - 'Основ'!B83"/>
    <hyperlink ref="B1445" r:id="rId1115" location="'Основ'!B84" display="30/254-П УРПЗ 2016-09-30 Отчет.xls - 'Основ'!B84"/>
    <hyperlink ref="B1446" r:id="rId1116" location="'Основ'!B85" display="30/254-П УРПЗ 2016-09-30 Отчет.xls - 'Основ'!B85"/>
    <hyperlink ref="B1436" r:id="rId1117" location="'Основ'!B86" display="30/254-П УРПЗ 2016-09-30 Отчет.xls - 'Основ'!B86"/>
    <hyperlink ref="B1435" r:id="rId1118" location="'Основ'!B87" display="30/254-П УРПЗ 2016-09-30 Отчет.xls - 'Основ'!B87"/>
    <hyperlink ref="B1434" r:id="rId1119" location="'Основ'!B88" display="30/254-П УРПЗ 2016-09-30 Отчет.xls - 'Основ'!B88"/>
    <hyperlink ref="B856" r:id="rId1120" location="'Основ'!B89" display="30/254-П УРПЗ 2016-09-30 Отчет.xls - 'Основ'!B89"/>
    <hyperlink ref="B857" r:id="rId1121" location="'Основ'!B90" display="30/254-П УРПЗ 2016-09-30 Отчет.xls - 'Основ'!B90"/>
    <hyperlink ref="B858" r:id="rId1122" location="'Основ'!B91" display="30/254-П УРПЗ 2016-09-30 Отчет.xls - 'Основ'!B91"/>
    <hyperlink ref="B1504" r:id="rId1123" location="'Основ'!B92" display="30/254-П УРПЗ 2016-09-30 Отчет.xls - 'Основ'!B92"/>
    <hyperlink ref="B1505" r:id="rId1124" location="'Основ'!B93" display="30/254-П УРПЗ 2016-09-30 Отчет.xls - 'Основ'!B93"/>
    <hyperlink ref="B1503" r:id="rId1125" location="'Основ'!B94" display="30/254-П УРПЗ 2016-09-30 Отчет.xls - 'Основ'!B94"/>
    <hyperlink ref="B1053" r:id="rId1126" location="'Основ'!B95" display="30/254-П УРПЗ 2016-09-30 Отчет.xls - 'Основ'!B95"/>
    <hyperlink ref="B1054" r:id="rId1127" location="'Основ'!B96" display="30/254-П УРПЗ 2016-09-30 Отчет.xls - 'Основ'!B96"/>
    <hyperlink ref="B860" r:id="rId1128" location="'Основ'!B97" display="30/254-П УРПЗ 2016-09-30 Отчет.xls - 'Основ'!B97"/>
    <hyperlink ref="B861" r:id="rId1129" location="'Основ'!B98" display="30/254-П УРПЗ 2016-09-30 Отчет.xls - 'Основ'!B98"/>
    <hyperlink ref="B1522" r:id="rId1130" location="'Основ'!B99" display="30/254-П УРПЗ 2016-09-30 Отчет.xls - 'Основ'!B99"/>
    <hyperlink ref="B1063" r:id="rId1131" location="'Основ'!B101" display="30/254-П УРПЗ 2016-09-30 Отчет.xls - 'Основ'!B101"/>
    <hyperlink ref="B1221" r:id="rId1132" location="'Основ'!B102" display="30/254-П УРПЗ 2016-09-30 Отчет.xls - 'Основ'!B102"/>
    <hyperlink ref="B1222" r:id="rId1133" location="'Основ'!B103" display="30/254-П УРПЗ 2016-09-30 Отчет.xls - 'Основ'!B103"/>
    <hyperlink ref="B1223" r:id="rId1134" location="'Основ'!B104" display="30/254-П УРПЗ 2016-09-30 Отчет.xls - 'Основ'!B104"/>
    <hyperlink ref="B1224" r:id="rId1135" location="'Основ'!B105" display="30/254-П УРПЗ 2016-09-30 Отчет.xls - 'Основ'!B105"/>
    <hyperlink ref="B1347" r:id="rId1136" location="'Основ'!B106" display="30/254-П УРПЗ 2016-09-30 Отчет.xls - 'Основ'!B106"/>
    <hyperlink ref="B1591" r:id="rId1137" location="'Основ'!B107" display="30/254-П УРПЗ 2016-09-30 Отчет.xls - 'Основ'!B107"/>
    <hyperlink ref="B1592" r:id="rId1138" location="'Основ'!B108" display="30/254-П УРПЗ 2016-09-30 Отчет.xls - 'Основ'!B108"/>
    <hyperlink ref="B1203" r:id="rId1139" location="'Основ'!B109" display="30/254-П УРПЗ 2016-09-30 Отчет.xls - 'Основ'!B109"/>
    <hyperlink ref="B1204" r:id="rId1140" location="'Основ'!B110" display="30/254-П УРПЗ 2016-09-30 Отчет.xls - 'Основ'!B110"/>
    <hyperlink ref="B1205" r:id="rId1141" location="'Основ'!B111" display="30/254-П УРПЗ 2016-09-30 Отчет.xls - 'Основ'!B111"/>
    <hyperlink ref="B1206" r:id="rId1142" location="'Основ'!B112" display="30/254-П УРПЗ 2016-09-30 Отчет.xls - 'Основ'!B112"/>
    <hyperlink ref="B1207" r:id="rId1143" location="'Основ'!B113" display="30/254-П УРПЗ 2016-09-30 Отчет.xls - 'Основ'!B113"/>
    <hyperlink ref="B1208" r:id="rId1144" location="'Основ'!B114" display="30/254-П УРПЗ 2016-09-30 Отчет.xls - 'Основ'!B114"/>
    <hyperlink ref="B262" r:id="rId1145" location="'Основ'!B115" display="30/254-П УРПЗ 2016-09-30 Отчет.xls - 'Основ'!B115"/>
    <hyperlink ref="B966" r:id="rId1146" location="'Основ'!B122" display="30/254-П УРПЗ 2016-09-30 Отчет.xls - 'Основ'!B122"/>
    <hyperlink ref="B965" r:id="rId1147" location="'Основ'!B123" display="30/254-П УРПЗ 2016-09-30 Отчет.xls - 'Основ'!B123"/>
    <hyperlink ref="B967" r:id="rId1148" location="'Основ'!B124" display="30/254-П УРПЗ 2016-09-30 Отчет.xls - 'Основ'!B124"/>
    <hyperlink ref="B968" r:id="rId1149" location="'Основ'!B125" display="30/254-П УРПЗ 2016-09-30 Отчет.xls - 'Основ'!B125"/>
    <hyperlink ref="B969" r:id="rId1150" location="'Основ'!B126" display="30/254-П УРПЗ 2016-09-30 Отчет.xls - 'Основ'!B126"/>
    <hyperlink ref="B970" r:id="rId1151" location="'Основ'!B127" display="30/254-П УРПЗ 2016-09-30 Отчет.xls - 'Основ'!B127"/>
    <hyperlink ref="B971" r:id="rId1152" location="'Основ'!B128" display="30/254-П УРПЗ 2016-09-30 Отчет.xls - 'Основ'!B128"/>
    <hyperlink ref="B1247" r:id="rId1153" location="'Основ'!B129" display="30/254-П УРПЗ 2016-09-30 Отчет.xls - 'Основ'!B129"/>
    <hyperlink ref="B1248" r:id="rId1154" location="'Основ'!B130" display="30/254-П УРПЗ 2016-09-30 Отчет.xls - 'Основ'!B130"/>
    <hyperlink ref="B1621" r:id="rId1155" location="'Основ'!B131" display="30/254-П УРПЗ 2016-09-30 Отчет.xls - 'Основ'!B131"/>
    <hyperlink ref="B1622" r:id="rId1156" location="'Основ'!B132" display="30/254-П УРПЗ 2016-09-30 Отчет.xls - 'Основ'!B132"/>
    <hyperlink ref="B1623" r:id="rId1157" location="'Основ'!B133" display="30/254-П УРПЗ 2016-09-30 Отчет.xls - 'Основ'!B133"/>
    <hyperlink ref="B1624" r:id="rId1158" location="'Основ'!B134" display="30/254-П УРПЗ 2016-09-30 Отчет.xls - 'Основ'!B134"/>
    <hyperlink ref="B1625" r:id="rId1159" location="'Основ'!B135" display="30/254-П УРПЗ 2016-09-30 Отчет.xls - 'Основ'!B135"/>
    <hyperlink ref="B1626" r:id="rId1160" location="'Основ'!B136" display="30/254-П УРПЗ 2016-09-30 Отчет.xls - 'Основ'!B136"/>
    <hyperlink ref="B1627" r:id="rId1161" location="'Основ'!B137" display="30/254-П УРПЗ 2016-09-30 Отчет.xls - 'Основ'!B137"/>
    <hyperlink ref="B1645" r:id="rId1162" location="'Основ'!B138" display="30/254-П УРПЗ 2016-09-30 Отчет.xls - 'Основ'!B138"/>
    <hyperlink ref="B1035" r:id="rId1163" location="'Основ'!B139" display="30/254-П УРПЗ 2016-09-30 Отчет.xls - 'Основ'!B139"/>
    <hyperlink ref="B1036" r:id="rId1164" location="'Основ'!B140" display="30/254-П УРПЗ 2016-09-30 Отчет.xls - 'Основ'!B140"/>
    <hyperlink ref="B1151" r:id="rId1165" location="'Основ'!B141" display="30/254-П УРПЗ 2016-09-30 Отчет.xls - 'Основ'!B141"/>
    <hyperlink ref="B1152" r:id="rId1166" location="'Основ'!B142" display="30/254-П УРПЗ 2016-09-30 Отчет.xls - 'Основ'!B142"/>
    <hyperlink ref="B804" r:id="rId1167" location="'Основ'!B144" display="30/254-П УРПЗ 2016-09-30 Отчет.xls - 'Основ'!B144"/>
    <hyperlink ref="B859" r:id="rId1168" location="'Основ'!B145" display="30/254-П УРПЗ 2016-09-30 Отчет.xls - 'Основ'!B145"/>
    <hyperlink ref="B1260" r:id="rId1169" location="'Основ'!B146" display="30/254-П УРПЗ 2016-09-30 Отчет.xls - 'Основ'!B146"/>
    <hyperlink ref="B1685" r:id="rId1170" location="'Основ'!B147" display="30/254-П УРПЗ 2016-09-30 Отчет.xls - 'Основ'!B147"/>
    <hyperlink ref="B1686" r:id="rId1171" location="'Основ'!B148" display="30/254-П УРПЗ 2016-09-30 Отчет.xls - 'Основ'!B148"/>
    <hyperlink ref="B1687" r:id="rId1172" location="'Основ'!B149" display="30/254-П УРПЗ 2016-09-30 Отчет.xls - 'Основ'!B149"/>
    <hyperlink ref="B1688" r:id="rId1173" location="'Основ'!B150" display="30/254-П УРПЗ 2016-09-30 Отчет.xls - 'Основ'!B150"/>
    <hyperlink ref="B1689" r:id="rId1174" location="'Основ'!B151" display="30/254-П УРПЗ 2016-09-30 Отчет.xls - 'Основ'!B151"/>
    <hyperlink ref="B1666" r:id="rId1175" location="'Основ'!B152" display="30/254-П УРПЗ 2016-09-30 Отчет.xls - 'Основ'!B152"/>
    <hyperlink ref="B1667" r:id="rId1176" location="'Основ'!B153" display="30/254-П УРПЗ 2016-09-30 Отчет.xls - 'Основ'!B153"/>
    <hyperlink ref="B1668" r:id="rId1177" location="'Основ'!B154" display="30/254-П УРПЗ 2016-09-30 Отчет.xls - 'Основ'!B154"/>
    <hyperlink ref="B1669" r:id="rId1178" location="'Основ'!B155" display="30/254-П УРПЗ 2016-09-30 Отчет.xls - 'Основ'!B155"/>
    <hyperlink ref="B1670" r:id="rId1179" location="'Основ'!B156" display="30/254-П УРПЗ 2016-09-30 Отчет.xls - 'Основ'!B156"/>
    <hyperlink ref="B1671" r:id="rId1180" location="'Основ'!B157" display="30/254-П УРПЗ 2016-09-30 Отчет.xls - 'Основ'!B157"/>
    <hyperlink ref="B1672" r:id="rId1181" location="'Основ'!B158" display="30/254-П УРПЗ 2016-09-30 Отчет.xls - 'Основ'!B158"/>
    <hyperlink ref="B1673" r:id="rId1182" location="'Основ'!B159" display="30/254-П УРПЗ 2016-09-30 Отчет.xls - 'Основ'!B159"/>
    <hyperlink ref="B1674" r:id="rId1183" location="'Основ'!B160" display="30/254-П УРПЗ 2016-09-30 Отчет.xls - 'Основ'!B160"/>
    <hyperlink ref="B1675" r:id="rId1184" location="'Основ'!B161" display="30/254-П УРПЗ 2016-09-30 Отчет.xls - 'Основ'!B161"/>
    <hyperlink ref="B884" r:id="rId1185" location="'Основ'!B162" display="30/254-П УРПЗ 2016-09-30 Отчет.xls - 'Основ'!B162"/>
    <hyperlink ref="B887" r:id="rId1186" location="'Основ'!B163" display="30/254-П УРПЗ 2016-09-30 Отчет.xls - 'Основ'!B163"/>
    <hyperlink ref="B885" r:id="rId1187" location="'Основ'!B164" display="30/254-П УРПЗ 2016-09-30 Отчет.xls - 'Основ'!B164"/>
    <hyperlink ref="B886" r:id="rId1188" location="'Основ'!B165" display="30/254-П УРПЗ 2016-09-30 Отчет.xls - 'Основ'!B165"/>
    <hyperlink ref="B783" r:id="rId1189" location="'Основ'!B166" display="30/254-П УРПЗ 2016-09-30 Отчет.xls - 'Основ'!B166"/>
    <hyperlink ref="B1211" r:id="rId1190" location="'Основ'!B167" display="30/254-П УРПЗ 2016-09-30 Отчет.xls - 'Основ'!B167"/>
    <hyperlink ref="B1309" r:id="rId1191" location="'Основ'!B168" display="30/254-П УРПЗ 2016-09-30 Отчет.xls - 'Основ'!B168"/>
    <hyperlink ref="B1554" r:id="rId1192" location="'Основ'!B169" display="30/254-П УРПЗ 2016-09-30 Отчет.xls - 'Основ'!B169"/>
    <hyperlink ref="B1555" r:id="rId1193" location="'Основ'!B170" display="30/254-П УРПЗ 2016-09-30 Отчет.xls - 'Основ'!B170"/>
    <hyperlink ref="B1523" r:id="rId1194" location="'Основ'!B171" display="30/254-П УРПЗ 2016-09-30 Отчет.xls - 'Основ'!B171"/>
    <hyperlink ref="B1719" r:id="rId1195" location="'Основ'!B172" display="30/254-П УРПЗ 2016-09-30 Отчет.xls - 'Основ'!B172"/>
    <hyperlink ref="B1720" r:id="rId1196" location="'Основ'!B173" display="30/254-П УРПЗ 2016-09-30 Отчет.xls - 'Основ'!B173"/>
    <hyperlink ref="B1721" r:id="rId1197" location="'Основ'!B174" display="30/254-П УРПЗ 2016-09-30 Отчет.xls - 'Основ'!B174"/>
    <hyperlink ref="B903" r:id="rId1198" location="'Основ'!B175" display="30/254-П УРПЗ 2016-09-30 Отчет.xls - 'Основ'!B175"/>
    <hyperlink ref="B1557" r:id="rId1199" location="'Основ'!B179" display="30/254-П УРПЗ 2016-09-30 Отчет.xls - 'Основ'!B179"/>
    <hyperlink ref="B56" r:id="rId1200" location="'Основ'!B180" display="30/254-П УРПЗ 2016-09-30 Отчет.xls - 'Основ'!B180"/>
    <hyperlink ref="B60" r:id="rId1201" location="'Основ'!B181" display="30/254-П УРПЗ 2016-09-30 Отчет.xls - 'Основ'!B181"/>
    <hyperlink ref="B62" r:id="rId1202" location="'Основ'!B182" display="30/254-П УРПЗ 2016-09-30 Отчет.xls - 'Основ'!B182"/>
    <hyperlink ref="B58" r:id="rId1203" location="'Основ'!B183" display="30/254-П УРПЗ 2016-09-30 Отчет.xls - 'Основ'!B183"/>
    <hyperlink ref="B59" r:id="rId1204" location="'Основ'!B184" display="30/254-П УРПЗ 2016-09-30 Отчет.xls - 'Основ'!B184"/>
    <hyperlink ref="B61" r:id="rId1205" location="'Основ'!B185" display="30/254-П УРПЗ 2016-09-30 Отчет.xls - 'Основ'!B185"/>
    <hyperlink ref="B57" r:id="rId1206" location="'Основ'!B186" display="30/254-П УРПЗ 2016-09-30 Отчет.xls - 'Основ'!B186"/>
    <hyperlink ref="B1128" r:id="rId1207" location="'Основ'!B187" display="30/254-П УРПЗ 2016-09-30 Отчет.xls - 'Основ'!B187"/>
    <hyperlink ref="B492" r:id="rId1208" location="'Основ'!B188" display="30/254-П УРПЗ 2016-09-30 Отчет.xls - 'Основ'!B188"/>
    <hyperlink ref="B493" r:id="rId1209" location="'Основ'!B189" display="30/254-П УРПЗ 2016-09-30 Отчет.xls - 'Основ'!B189"/>
    <hyperlink ref="B1791" r:id="rId1210" location="'Основ'!B190" display="30/254-П УРПЗ 2016-09-30 Отчет.xls - 'Основ'!B190"/>
    <hyperlink ref="B1563" r:id="rId1211" location="'Основ'!B191" display="30/254-П УРПЗ 2016-09-30 Отчет.xls - 'Основ'!B191"/>
    <hyperlink ref="B1564" r:id="rId1212" location="'Основ'!B192" display="30/254-П УРПЗ 2016-09-30 Отчет.xls - 'Основ'!B192"/>
    <hyperlink ref="B1565" r:id="rId1213" location="'Основ'!B193" display="30/254-П УРПЗ 2016-09-30 Отчет.xls - 'Основ'!B193"/>
    <hyperlink ref="B1702" r:id="rId1214" location="'Основ'!B194" display="30/254-П УРПЗ 2016-09-30 Отчет.xls - 'Основ'!B194"/>
    <hyperlink ref="B1703" r:id="rId1215" location="'Основ'!B195" display="30/254-П УРПЗ 2016-09-30 Отчет.xls - 'Основ'!B195"/>
    <hyperlink ref="B1704" r:id="rId1216" location="'Основ'!B196" display="30/254-П УРПЗ 2016-09-30 Отчет.xls - 'Основ'!B196"/>
    <hyperlink ref="B1705" r:id="rId1217" location="'Основ'!B197" display="30/254-П УРПЗ 2016-09-30 Отчет.xls - 'Основ'!B197"/>
    <hyperlink ref="B1706" r:id="rId1218" location="'Основ'!B198" display="30/254-П УРПЗ 2016-09-30 Отчет.xls - 'Основ'!B198"/>
    <hyperlink ref="B1707" r:id="rId1219" location="'Основ'!B199" display="30/254-П УРПЗ 2016-09-30 Отчет.xls - 'Основ'!B199"/>
    <hyperlink ref="B1708" r:id="rId1220" location="'Основ'!B200" display="30/254-П УРПЗ 2016-09-30 Отчет.xls - 'Основ'!B200"/>
    <hyperlink ref="B1709" r:id="rId1221" location="'Основ'!B201" display="30/254-П УРПЗ 2016-09-30 Отчет.xls - 'Основ'!B201"/>
    <hyperlink ref="B1856" r:id="rId1222" location="'Основ'!B202" display="30/254-П УРПЗ 2016-09-30 Отчет.xls - 'Основ'!B202"/>
    <hyperlink ref="B1857" r:id="rId1223" location="'Основ'!B203" display="30/254-П УРПЗ 2016-09-30 Отчет.xls - 'Основ'!B203"/>
    <hyperlink ref="B1850" r:id="rId1224" location="'Основ'!B204" display="30/254-П УРПЗ 2016-09-30 Отчет.xls - 'Основ'!B204"/>
    <hyperlink ref="B1851" r:id="rId1225" location="'Основ'!B205" display="30/254-П УРПЗ 2016-09-30 Отчет.xls - 'Основ'!B205"/>
    <hyperlink ref="B1852" r:id="rId1226" location="'Основ'!B206" display="30/254-П УРПЗ 2016-09-30 Отчет.xls - 'Основ'!B206"/>
    <hyperlink ref="B1853" r:id="rId1227" location="'Основ'!B207" display="30/254-П УРПЗ 2016-09-30 Отчет.xls - 'Основ'!B207"/>
    <hyperlink ref="B1465" r:id="rId1228" location="'Основ'!B208" display="30/254-П УРПЗ 2016-09-30 Отчет.xls - 'Основ'!B208"/>
    <hyperlink ref="B1466" r:id="rId1229" location="'Основ'!B209" display="30/254-П УРПЗ 2016-09-30 Отчет.xls - 'Основ'!B209"/>
    <hyperlink ref="B1467" r:id="rId1230" location="'Основ'!B210" display="30/254-П УРПЗ 2016-09-30 Отчет.xls - 'Основ'!B210"/>
    <hyperlink ref="B1468" r:id="rId1231" location="'Основ'!B211" display="30/254-П УРПЗ 2016-09-30 Отчет.xls - 'Основ'!B211"/>
    <hyperlink ref="B1860" r:id="rId1232" location="'Основ'!B212" display="30/254-П УРПЗ 2016-09-30 Отчет.xls - 'Основ'!B212"/>
    <hyperlink ref="B787" r:id="rId1233" location="'Основ'!B213" display="30/254-П УРПЗ 2016-09-30 Отчет.xls - 'Основ'!B213"/>
    <hyperlink ref="B1921" r:id="rId1234" location="'Основ'!B214" display="30/254-П УРПЗ 2016-09-30 Отчет.xls - 'Основ'!B214"/>
    <hyperlink ref="B1922" r:id="rId1235" location="'Основ'!B215" display="30/254-П УРПЗ 2016-09-30 Отчет.xls - 'Основ'!B215"/>
    <hyperlink ref="B1923" r:id="rId1236" location="'Основ'!B216" display="30/254-П УРПЗ 2016-09-30 Отчет.xls - 'Основ'!B216"/>
    <hyperlink ref="B1924" r:id="rId1237" location="'Основ'!B217" display="30/254-П УРПЗ 2016-09-30 Отчет.xls - 'Основ'!B217"/>
    <hyperlink ref="B1925" r:id="rId1238" location="'Основ'!B218" display="30/254-П УРПЗ 2016-09-30 Отчет.xls - 'Основ'!B218"/>
    <hyperlink ref="B1926" r:id="rId1239" location="'Основ'!B219" display="30/254-П УРПЗ 2016-09-30 Отчет.xls - 'Основ'!B219"/>
    <hyperlink ref="B1927" r:id="rId1240" location="'Основ'!B220" display="30/254-П УРПЗ 2016-09-30 Отчет.xls - 'Основ'!B220"/>
    <hyperlink ref="B1928" r:id="rId1241" location="'Основ'!B221" display="30/254-П УРПЗ 2016-09-30 Отчет.xls - 'Основ'!B221"/>
    <hyperlink ref="B1929" r:id="rId1242" location="'Основ'!B222" display="30/254-П УРПЗ 2016-09-30 Отчет.xls - 'Основ'!B222"/>
    <hyperlink ref="B1930" r:id="rId1243" location="'Основ'!B223" display="30/254-П УРПЗ 2016-09-30 Отчет.xls - 'Основ'!B223"/>
    <hyperlink ref="B1931" r:id="rId1244" location="'Основ'!B224" display="30/254-П УРПЗ 2016-09-30 Отчет.xls - 'Основ'!B224"/>
    <hyperlink ref="B1932" r:id="rId1245" location="'Основ'!B225" display="30/254-П УРПЗ 2016-09-30 Отчет.xls - 'Основ'!B225"/>
    <hyperlink ref="B1933" r:id="rId1246" location="'Основ'!B227" display="30/254-П УРПЗ 2016-09-30 Отчет.xls - 'Основ'!B227"/>
    <hyperlink ref="B1934" r:id="rId1247" location="'Основ'!B228" display="30/254-П УРПЗ 2016-09-30 Отчет.xls - 'Основ'!B228"/>
    <hyperlink ref="B1935" r:id="rId1248" location="'Основ'!B229" display="30/254-П УРПЗ 2016-09-30 Отчет.xls - 'Основ'!B229"/>
    <hyperlink ref="B1936" r:id="rId1249" location="'Основ'!B230" display="30/254-П УРПЗ 2016-09-30 Отчет.xls - 'Основ'!B230"/>
    <hyperlink ref="B1854" r:id="rId1250" location="'Основ'!B231" display="30/254-П УРПЗ 2016-09-30 Отчет.xls - 'Основ'!B231"/>
    <hyperlink ref="B1855" r:id="rId1251" location="'Основ'!B232" display="30/254-П УРПЗ 2016-09-30 Отчет.xls - 'Основ'!B232"/>
    <hyperlink ref="B1939" r:id="rId1252" location="'Основ'!B233" display="30/254-П УРПЗ 2016-09-30 Отчет.xls - 'Основ'!B233"/>
    <hyperlink ref="B1940" r:id="rId1253" location="'Основ'!B234" display="30/254-П УРПЗ 2016-09-30 Отчет.xls - 'Основ'!B234"/>
    <hyperlink ref="B1941" r:id="rId1254" location="'Основ'!B235" display="30/254-П УРПЗ 2016-09-30 Отчет.xls - 'Основ'!B235"/>
    <hyperlink ref="B1517" r:id="rId1255" location="'Основ'!B236" display="30/254-П УРПЗ 2016-09-30 Отчет.xls - 'Основ'!B236"/>
    <hyperlink ref="B1518" r:id="rId1256" location="'Основ'!B237" display="30/254-П УРПЗ 2016-09-30 Отчет.xls - 'Основ'!B237"/>
    <hyperlink ref="B868" r:id="rId1257" location="'Основ'!B238" display="30/254-П УРПЗ 2016-09-30 Отчет.xls - 'Основ'!B238"/>
    <hyperlink ref="B869" r:id="rId1258" location="'Основ'!B239" display="30/254-П УРПЗ 2016-09-30 Отчет.xls - 'Основ'!B239"/>
    <hyperlink ref="B788" r:id="rId1259" location="'Основ'!B240" display="30/254-П УРПЗ 2016-09-30 Отчет.xls - 'Основ'!B240"/>
    <hyperlink ref="B790" r:id="rId1260" location="'Основ'!B241" display="30/254-П УРПЗ 2016-09-30 Отчет.xls - 'Основ'!B241"/>
    <hyperlink ref="B794" r:id="rId1261" location="'Основ'!B242" display="30/254-П УРПЗ 2016-09-30 Отчет.xls - 'Основ'!B242"/>
    <hyperlink ref="B793" r:id="rId1262" location="'Основ'!B243" display="30/254-П УРПЗ 2016-09-30 Отчет.xls - 'Основ'!B243"/>
    <hyperlink ref="B789" r:id="rId1263" location="'Основ'!B244" display="30/254-П УРПЗ 2016-09-30 Отчет.xls - 'Основ'!B244"/>
    <hyperlink ref="B791" r:id="rId1264" location="'Основ'!B245" display="30/254-П УРПЗ 2016-09-30 Отчет.xls - 'Основ'!B245"/>
    <hyperlink ref="B792" r:id="rId1265" location="'Основ'!B246" display="30/254-П УРПЗ 2016-09-30 Отчет.xls - 'Основ'!B246"/>
    <hyperlink ref="B796" r:id="rId1266" location="'Основ'!B247" display="30/254-П УРПЗ 2016-09-30 Отчет.xls - 'Основ'!B247"/>
    <hyperlink ref="B797" r:id="rId1267" location="'Основ'!B248" display="30/254-П УРПЗ 2016-09-30 Отчет.xls - 'Основ'!B248"/>
    <hyperlink ref="B795" r:id="rId1268" location="'Основ'!B249" display="30/254-П УРПЗ 2016-09-30 Отчет.xls - 'Основ'!B249"/>
    <hyperlink ref="B799" r:id="rId1269" location="'Основ'!B250" display="30/254-П УРПЗ 2016-09-30 Отчет.xls - 'Основ'!B250"/>
    <hyperlink ref="B798" r:id="rId1270" location="'Основ'!B251" display="30/254-П УРПЗ 2016-09-30 Отчет.xls - 'Основ'!B251"/>
    <hyperlink ref="B800" r:id="rId1271" location="'Основ'!B252" display="30/254-П УРПЗ 2016-09-30 Отчет.xls - 'Основ'!B252"/>
    <hyperlink ref="B801" r:id="rId1272" location="'Основ'!B253" display="30/254-П УРПЗ 2016-09-30 Отчет.xls - 'Основ'!B253"/>
    <hyperlink ref="B1285" r:id="rId1273" location="'Основ'!B255" display="30/254-П УРПЗ 2016-09-30 Отчет.xls - 'Основ'!B255"/>
    <hyperlink ref="B1287" r:id="rId1274" location="'Основ'!B256" display="30/254-П УРПЗ 2016-09-30 Отчет.xls - 'Основ'!B256"/>
    <hyperlink ref="B1286" r:id="rId1275" location="'Основ'!B257" display="30/254-П УРПЗ 2016-09-30 Отчет.xls - 'Основ'!B257"/>
    <hyperlink ref="B1192" r:id="rId1276" location="'Основ'!B258" display="30/254-П УРПЗ 2016-09-30 Отчет.xls - 'Основ'!B258"/>
    <hyperlink ref="B802" r:id="rId1277" location="'Основ'!B259" display="30/254-П УРПЗ 2016-09-30 Отчет.xls - 'Основ'!B259"/>
    <hyperlink ref="B803" r:id="rId1278" location="'Основ'!B260" display="30/254-П УРПЗ 2016-09-30 Отчет.xls - 'Основ'!B260"/>
    <hyperlink ref="B1269" r:id="rId1279" location="'Основ'!B261" display="30/254-П УРПЗ 2016-09-30 Отчет.xls - 'Основ'!B261"/>
    <hyperlink ref="B253" r:id="rId1280" location="'Основ'!B262" display="30/254-П УРПЗ 2016-09-30 Отчет.xls - 'Основ'!B262"/>
    <hyperlink ref="B251" r:id="rId1281" location="'Основ'!B263" display="30/254-П УРПЗ 2016-09-30 Отчет.xls - 'Основ'!B263"/>
    <hyperlink ref="B252" r:id="rId1282" location="'Основ'!B264" display="30/254-П УРПЗ 2016-09-30 Отчет.xls - 'Основ'!B264"/>
    <hyperlink ref="B1296" r:id="rId1283" location="'Основ'!B265" display="30/254-П УРПЗ 2016-09-30 Отчет.xls - 'Основ'!B265"/>
    <hyperlink ref="B1253" r:id="rId1284" location="'Основ'!B266" display="30/254-П УРПЗ 2016-09-30 Отчет.xls - 'Основ'!B266"/>
    <hyperlink ref="B1297" r:id="rId1285" location="'Основ'!B267" display="30/254-П УРПЗ 2016-09-30 Отчет.xls - 'Основ'!B267"/>
    <hyperlink ref="B1288" r:id="rId1286" location="'Основ'!B268" display="30/254-П УРПЗ 2016-09-30 Отчет.xls - 'Основ'!B268"/>
    <hyperlink ref="B1289" r:id="rId1287" location="'Основ'!B269" display="30/254-П УРПЗ 2016-09-30 Отчет.xls - 'Основ'!B269"/>
    <hyperlink ref="B1290" r:id="rId1288" location="'Основ'!B270" display="30/254-П УРПЗ 2016-09-30 Отчет.xls - 'Основ'!B270"/>
    <hyperlink ref="B1291" r:id="rId1289" location="'Основ'!B271" display="30/254-П УРПЗ 2016-09-30 Отчет.xls - 'Основ'!B271"/>
    <hyperlink ref="B1184" r:id="rId1290" location="'Основ'!B272" display="30/254-П УРПЗ 2016-09-30 Отчет.xls - 'Основ'!B272"/>
    <hyperlink ref="B1696" r:id="rId1291" location="'Основ'!B273" display="30/254-П УРПЗ 2016-09-30 Отчет.xls - 'Основ'!B273"/>
    <hyperlink ref="B1697" r:id="rId1292" location="'Основ'!B274" display="30/254-П УРПЗ 2016-09-30 Отчет.xls - 'Основ'!B274"/>
    <hyperlink ref="B1698" r:id="rId1293" location="'Основ'!B275" display="30/254-П УРПЗ 2016-09-30 Отчет.xls - 'Основ'!B275"/>
    <hyperlink ref="B1699" r:id="rId1294" location="'Основ'!B276" display="30/254-П УРПЗ 2016-09-30 Отчет.xls - 'Основ'!B276"/>
    <hyperlink ref="B1700" r:id="rId1295" location="'Основ'!B277" display="30/254-П УРПЗ 2016-09-30 Отчет.xls - 'Основ'!B277"/>
    <hyperlink ref="B1701" r:id="rId1296" location="'Основ'!B278" display="30/254-П УРПЗ 2016-09-30 Отчет.xls - 'Основ'!B278"/>
    <hyperlink ref="B1437" r:id="rId1297" location="'Основ'!B8" display="30/254-П УСКЗДО (ДО) 2016-09-30 Отчет.xls - 'Основ'!B8"/>
    <hyperlink ref="B1033" r:id="rId1298" location="'Основ'!B28" display="30/254-П УСКЗДО (ДО) 2016-09-30 Отчет.xls - 'Основ'!B28"/>
    <hyperlink ref="B495" r:id="rId1299" location="'Основ'!B30" display="30/254-П УСКЗДО (ДО) 2016-09-30 Отчет.xls - 'Основ'!B30"/>
    <hyperlink ref="B496" r:id="rId1300" location="'Основ'!B31" display="30/254-П УСКЗДО (ДО) 2016-09-30 Отчет.xls - 'Основ'!B31"/>
    <hyperlink ref="B1835" r:id="rId1301" location="'Основ'!B32" display="30/254-П УСКЗДО (ДО) 2016-09-30 Отчет.xls - 'Основ'!B32"/>
    <hyperlink ref="B497" r:id="rId1302" location="'Основ'!B33" display="30/254-П УСКЗДО (ДО) 2016-09-30 Отчет.xls - 'Основ'!B33"/>
    <hyperlink ref="B1849" r:id="rId1303" location="'Основ'!B34" display="30/254-П УСКЗДО (ДО) 2016-09-30 Отчет.xls - 'Основ'!B34"/>
    <hyperlink ref="B881" r:id="rId1304" location="'Основ'!B36" display="30/254-П УСКЗДО (ДО) 2016-09-30 Отчет.xls - 'Основ'!B36"/>
    <hyperlink ref="B882" r:id="rId1305" location="'Основ'!B37" display="30/254-П УСКЗДО (ДО) 2016-09-30 Отчет.xls - 'Основ'!B37"/>
    <hyperlink ref="B883" r:id="rId1306" location="'Основ'!B38" display="30/254-П УСКЗДО (ДО) 2016-09-30 Отчет.xls - 'Основ'!B38"/>
    <hyperlink ref="B813" r:id="rId1307" location="'Основ'!B39" display="30/254-П УСКЗДО (ДО) 2016-09-30 Отчет.xls - 'Основ'!B39"/>
    <hyperlink ref="B811" r:id="rId1308" location="'Основ'!B40" display="30/254-П УСКЗДО (ДО) 2016-09-30 Отчет.xls - 'Основ'!B40"/>
    <hyperlink ref="B812" r:id="rId1309" location="'Основ'!B41" display="30/254-П УСКЗДО (ДО) 2016-09-30 Отчет.xls - 'Основ'!B41"/>
    <hyperlink ref="B814" r:id="rId1310" location="'Основ'!B42" display="30/254-П УСКЗДО (ДО) 2016-09-30 Отчет.xls - 'Основ'!B42"/>
    <hyperlink ref="B1883" r:id="rId1311" location="'Основ'!B43" display="30/254-П УСКЗДО (ДО) 2016-09-30 Отчет.xls - 'Основ'!B43"/>
    <hyperlink ref="B1092" r:id="rId1312" location="'Основ'!B51" display="30/254-П УСКЗДО (ДО) 2016-09-30 Отчет.xls - 'Основ'!B51"/>
    <hyperlink ref="B494" r:id="rId1313" location="'Основ'!B8" display="30/254-П УСКЗДО 2016-09-30 Отчет.xls - 'Основ'!B8"/>
    <hyperlink ref="B78" r:id="rId1314" location="'Основ'!B9" display="30/254-П УСКЗДО 2016-09-30 Отчет.xls - 'Основ'!B9"/>
    <hyperlink ref="B123" r:id="rId1315" location="'Основ'!B10" display="30/254-П УСКЗДО 2016-09-30 Отчет.xls - 'Основ'!B10"/>
    <hyperlink ref="B212" r:id="rId1316" location="'Основ'!B11" display="30/254-П УСКЗДО 2016-09-30 Отчет.xls - 'Основ'!B11"/>
    <hyperlink ref="B239" r:id="rId1317" location="'Основ'!B12" display="30/254-П УСКЗДО 2016-09-30 Отчет.xls - 'Основ'!B12"/>
    <hyperlink ref="B213" r:id="rId1318" location="'Основ'!B13" display="30/254-П УСКЗДО 2016-09-30 Отчет.xls - 'Основ'!B13"/>
    <hyperlink ref="B214" r:id="rId1319" location="'Основ'!B14" display="30/254-П УСКЗДО 2016-09-30 Отчет.xls - 'Основ'!B14"/>
    <hyperlink ref="B215" r:id="rId1320" location="'Основ'!B15" display="30/254-П УСКЗДО 2016-09-30 Отчет.xls - 'Основ'!B15"/>
    <hyperlink ref="B216" r:id="rId1321" location="'Основ'!B16" display="30/254-П УСКЗДО 2016-09-30 Отчет.xls - 'Основ'!B16"/>
    <hyperlink ref="B217" r:id="rId1322" location="'Основ'!B17" display="30/254-П УСКЗДО 2016-09-30 Отчет.xls - 'Основ'!B17"/>
    <hyperlink ref="B218" r:id="rId1323" location="'Основ'!B18" display="30/254-П УСКЗДО 2016-09-30 Отчет.xls - 'Основ'!B18"/>
    <hyperlink ref="B499" r:id="rId1324" location="'Основ'!B19" display="30/254-П УСКЗДО 2016-09-30 Отчет.xls - 'Основ'!B19"/>
    <hyperlink ref="B772" r:id="rId1325" location="'Основ'!B20" display="30/254-П УСКЗДО 2016-09-30 Отчет.xls - 'Основ'!B20"/>
    <hyperlink ref="B219" r:id="rId1326" location="'Основ'!B21" display="30/254-П УСКЗДО 2016-09-30 Отчет.xls - 'Основ'!B21"/>
    <hyperlink ref="B240" r:id="rId1327" location="'Основ'!B22" display="30/254-П УСКЗДО 2016-09-30 Отчет.xls - 'Основ'!B22"/>
    <hyperlink ref="B241" r:id="rId1328" location="'Основ'!B23" display="30/254-П УСКЗДО 2016-09-30 Отчет.xls - 'Основ'!B23"/>
    <hyperlink ref="B773" r:id="rId1329" location="'Основ'!B24" display="30/254-П УСКЗДО 2016-09-30 Отчет.xls - 'Основ'!B24"/>
    <hyperlink ref="B220" r:id="rId1330" location="'Основ'!B25" display="30/254-П УСКЗДО 2016-09-30 Отчет.xls - 'Основ'!B25"/>
    <hyperlink ref="B221" r:id="rId1331" location="'Основ'!B26" display="30/254-П УСКЗДО 2016-09-30 Отчет.xls - 'Основ'!B26"/>
    <hyperlink ref="B1365" r:id="rId1332" location="'Основ'!B27" display="30/254-П УСКЗДО 2016-09-30 Отчет.xls - 'Основ'!B27"/>
    <hyperlink ref="B222" r:id="rId1333" location="'Основ'!B28" display="30/254-П УСКЗДО 2016-09-30 Отчет.xls - 'Основ'!B28"/>
    <hyperlink ref="B774" r:id="rId1334" location="'Основ'!B29" display="30/254-П УСКЗДО 2016-09-30 Отчет.xls - 'Основ'!B29"/>
    <hyperlink ref="B242" r:id="rId1335" location="'Основ'!B30" display="30/254-П УСКЗДО 2016-09-30 Отчет.xls - 'Основ'!B30"/>
    <hyperlink ref="B896" r:id="rId1336" location="'Основ'!B31" display="30/254-П УСКЗДО 2016-09-30 Отчет.xls - 'Основ'!B31"/>
    <hyperlink ref="B1366" r:id="rId1337" location="'Основ'!B32" display="30/254-П УСКЗДО 2016-09-30 Отчет.xls - 'Основ'!B32"/>
    <hyperlink ref="B243" r:id="rId1338" location="'Основ'!B33" display="30/254-П УСКЗДО 2016-09-30 Отчет.xls - 'Основ'!B33"/>
    <hyperlink ref="B775" r:id="rId1339" location="'Основ'!B34" display="30/254-П УСКЗДО 2016-09-30 Отчет.xls - 'Основ'!B34"/>
    <hyperlink ref="B776" r:id="rId1340" location="'Основ'!B35" display="30/254-П УСКЗДО 2016-09-30 Отчет.xls - 'Основ'!B35"/>
    <hyperlink ref="B1006" r:id="rId1341" location="'Основ'!B36" display="30/254-П УСКЗДО 2016-09-30 Отчет.xls - 'Основ'!B36"/>
    <hyperlink ref="B777" r:id="rId1342" location="'Основ'!B37" display="30/254-П УСКЗДО 2016-09-30 Отчет.xls - 'Основ'!B37"/>
    <hyperlink ref="B897" r:id="rId1343" location="'Основ'!B38" display="30/254-П УСКЗДО 2016-09-30 Отчет.xls - 'Основ'!B38"/>
    <hyperlink ref="B1040" r:id="rId1344" location="'Основ'!B39" display="30/254-П УСКЗДО 2016-09-30 Отчет.xls - 'Основ'!B39"/>
    <hyperlink ref="B778" r:id="rId1345" location="'Основ'!B40" display="30/254-П УСКЗДО 2016-09-30 Отчет.xls - 'Основ'!B40"/>
    <hyperlink ref="B270" r:id="rId1346" location="'Основ'!B41" display="30/254-П УСКЗДО 2016-09-30 Отчет.xls - 'Основ'!B41"/>
    <hyperlink ref="B1034" r:id="rId1347" location="'Основ'!B42" display="30/254-П УСКЗДО 2016-09-30 Отчет.xls - 'Основ'!B42"/>
    <hyperlink ref="B1000" r:id="rId1348" location="'Основ'!B43" display="30/254-П УСКЗДО 2016-09-30 Отчет.xls - 'Основ'!B43"/>
    <hyperlink ref="B223" r:id="rId1349" location="'Основ'!B44" display="30/254-П УСКЗДО 2016-09-30 Отчет.xls - 'Основ'!B44"/>
    <hyperlink ref="B985" r:id="rId1350" location="'Основ'!B45" display="30/254-П УСКЗДО 2016-09-30 Отчет.xls - 'Основ'!B45"/>
    <hyperlink ref="B257" r:id="rId1351" location="'Основ'!B46" display="30/254-П УСКЗДО 2016-09-30 Отчет.xls - 'Основ'!B46"/>
    <hyperlink ref="B147" r:id="rId1352" location="'Основ'!B47" display="30/254-П УСКЗДО 2016-09-30 Отчет.xls - 'Основ'!B47"/>
    <hyperlink ref="B779" r:id="rId1353" location="'Основ'!B48" display="30/254-П УСКЗДО 2016-09-30 Отчет.xls - 'Основ'!B48"/>
    <hyperlink ref="B1010" r:id="rId1354" location="'Основ'!B49" display="30/254-П УСКЗДО 2016-09-30 Отчет.xls - 'Основ'!B49"/>
    <hyperlink ref="B954" r:id="rId1355" location="'Основ'!B50" display="30/254-П УСКЗДО 2016-09-30 Отчет.xls - 'Основ'!B50"/>
    <hyperlink ref="B110" r:id="rId1356" location="'Основ'!B51" display="30/254-П УСКЗДО 2016-09-30 Отчет.xls - 'Основ'!B51"/>
    <hyperlink ref="B898" r:id="rId1357" location="'Основ'!B52" display="30/254-П УСКЗДО 2016-09-30 Отчет.xls - 'Основ'!B52"/>
    <hyperlink ref="B111" r:id="rId1358" location="'Основ'!B53" display="30/254-П УСКЗДО 2016-09-30 Отчет.xls - 'Основ'!B53"/>
    <hyperlink ref="B1073" r:id="rId1359" location="'Основ'!B54" display="30/254-П УСКЗДО 2016-09-30 Отчет.xls - 'Основ'!B54"/>
    <hyperlink ref="B1001" r:id="rId1360" location="'Основ'!B55" display="30/254-П УСКЗДО 2016-09-30 Отчет.xls - 'Основ'!B55"/>
    <hyperlink ref="B1090" r:id="rId1361" location="'Основ'!B56" display="30/254-П УСКЗДО 2016-09-30 Отчет.xls - 'Основ'!B56"/>
    <hyperlink ref="B780" r:id="rId1362" location="'Основ'!B57" display="30/254-П УСКЗДО 2016-09-30 Отчет.xls - 'Основ'!B57"/>
    <hyperlink ref="B1108" r:id="rId1363" location="'Основ'!B58" display="30/254-П УСКЗДО 2016-09-30 Отчет.xls - 'Основ'!B58"/>
    <hyperlink ref="B482" r:id="rId1364" location="'Основ'!B59" display="30/254-П УСКЗДО 2016-09-30 Отчет.xls - 'Основ'!B59"/>
    <hyperlink ref="B483" r:id="rId1365" location="'Основ'!B60" display="30/254-П УСКЗДО 2016-09-30 Отчет.xls - 'Основ'!B60"/>
    <hyperlink ref="B781" r:id="rId1366" location="'Основ'!B61" display="30/254-П УСКЗДО 2016-09-30 Отчет.xls - 'Основ'!B61"/>
    <hyperlink ref="B1012" r:id="rId1367" location="'Основ'!B62" display="30/254-П УСКЗДО 2016-09-30 Отчет.xls - 'Основ'!B62"/>
    <hyperlink ref="B1011" r:id="rId1368" location="'Основ'!B63" display="30/254-П УСКЗДО 2016-09-30 Отчет.xls - 'Основ'!B63"/>
    <hyperlink ref="B899" r:id="rId1369" location="'Основ'!B64" display="30/254-П УСКЗДО 2016-09-30 Отчет.xls - 'Основ'!B64"/>
    <hyperlink ref="B900" r:id="rId1370" location="'Основ'!B65" display="30/254-П УСКЗДО 2016-09-30 Отчет.xls - 'Основ'!B65"/>
    <hyperlink ref="B1074" r:id="rId1371" location="'Основ'!B66" display="30/254-П УСКЗДО 2016-09-30 Отчет.xls - 'Основ'!B66"/>
    <hyperlink ref="B1013" r:id="rId1372" location="'Основ'!B67" display="30/254-П УСКЗДО 2016-09-30 Отчет.xls - 'Основ'!B67"/>
    <hyperlink ref="B1014" r:id="rId1373" location="'Основ'!B68" display="30/254-П УСКЗДО 2016-09-30 Отчет.xls - 'Основ'!B68"/>
    <hyperlink ref="B1015" r:id="rId1374" location="'Основ'!B69" display="30/254-П УСКЗДО 2016-09-30 Отчет.xls - 'Основ'!B69"/>
    <hyperlink ref="B1016" r:id="rId1375" location="'Основ'!B70" display="30/254-П УСКЗДО 2016-09-30 Отчет.xls - 'Основ'!B70"/>
    <hyperlink ref="B1145" r:id="rId1376" location="'Основ'!B71" display="30/254-П УСКЗДО 2016-09-30 Отчет.xls - 'Основ'!B71"/>
    <hyperlink ref="B951" r:id="rId1377" location="'Основ'!B72" display="30/254-П УСКЗДО 2016-09-30 Отчет.xls - 'Основ'!B72"/>
    <hyperlink ref="B952" r:id="rId1378" location="'Основ'!B73" display="30/254-П УСКЗДО 2016-09-30 Отчет.xls - 'Основ'!B73"/>
    <hyperlink ref="B953" r:id="rId1379" location="'Основ'!B74" display="30/254-П УСКЗДО 2016-09-30 Отчет.xls - 'Основ'!B74"/>
    <hyperlink ref="B1017" r:id="rId1380" location="'Основ'!B75" display="30/254-П УСКЗДО 2016-09-30 Отчет.xls - 'Основ'!B75"/>
    <hyperlink ref="B480" r:id="rId1381" location="'Основ'!B76" display="30/254-П УСКЗДО 2016-09-30 Отчет.xls - 'Основ'!B76"/>
    <hyperlink ref="B481" r:id="rId1382" location="'Основ'!B77" display="30/254-П УСКЗДО 2016-09-30 Отчет.xls - 'Основ'!B77"/>
    <hyperlink ref="B50" r:id="rId1383" location="'Основ'!B78" display="30/254-П УСКЗДО 2016-09-30 Отчет.xls - 'Основ'!B78"/>
    <hyperlink ref="B1008" r:id="rId1384" location="'Основ'!B79" display="30/254-П УСКЗДО 2016-09-30 Отчет.xls - 'Основ'!B79"/>
    <hyperlink ref="B1154" r:id="rId1385" location="'Основ'!B80" display="30/254-П УСКЗДО 2016-09-30 Отчет.xls - 'Основ'!B80"/>
    <hyperlink ref="B1155" r:id="rId1386" location="'Основ'!B81" display="30/254-П УСКЗДО 2016-09-30 Отчет.xls - 'Основ'!B81"/>
    <hyperlink ref="B1153" r:id="rId1387" location="'Основ'!B82" display="30/254-П УСКЗДО 2016-09-30 Отчет.xls - 'Основ'!B82"/>
    <hyperlink ref="B51" r:id="rId1388" location="'Основ'!B83" display="30/254-П УСКЗДО 2016-09-30 Отчет.xls - 'Основ'!B83"/>
    <hyperlink ref="B500" r:id="rId1389" location="'Основ'!B84" display="30/254-П УСКЗДО 2016-09-30 Отчет.xls - 'Основ'!B84"/>
    <hyperlink ref="B501" r:id="rId1390" location="'Основ'!B85" display="30/254-П УСКЗДО 2016-09-30 Отчет.xls - 'Основ'!B85"/>
    <hyperlink ref="B1018" r:id="rId1391" location="'Основ'!B86" display="30/254-П УСКЗДО 2016-09-30 Отчет.xls - 'Основ'!B86"/>
    <hyperlink ref="B1172" r:id="rId1392" location="'Основ'!B87" display="30/254-П УСКЗДО 2016-09-30 Отчет.xls - 'Основ'!B87"/>
    <hyperlink ref="B1173" r:id="rId1393" location="'Основ'!B88" display="30/254-П УСКЗДО 2016-09-30 Отчет.xls - 'Основ'!B88"/>
    <hyperlink ref="B1160" r:id="rId1394" location="'Основ'!B89" display="30/254-П УСКЗДО 2016-09-30 Отчет.xls - 'Основ'!B89"/>
    <hyperlink ref="B1180" r:id="rId1395" location="'Основ'!B90" display="30/254-П УСКЗДО 2016-09-30 Отчет.xls - 'Основ'!B90"/>
    <hyperlink ref="B1162" r:id="rId1396" location="'Основ'!B91" display="30/254-П УСКЗДО 2016-09-30 Отчет.xls - 'Основ'!B91"/>
    <hyperlink ref="B1163" r:id="rId1397" location="'Основ'!B92" display="30/254-П УСКЗДО 2016-09-30 Отчет.xls - 'Основ'!B92"/>
    <hyperlink ref="B260" r:id="rId1398" location="'Основ'!B93" display="30/254-П УСКЗДО 2016-09-30 Отчет.xls - 'Основ'!B93"/>
    <hyperlink ref="B118" r:id="rId1399" location="'Основ'!B94" display="30/254-П УСКЗДО 2016-09-30 Отчет.xls - 'Основ'!B94"/>
    <hyperlink ref="B119" r:id="rId1400" location="'Основ'!B95" display="30/254-П УСКЗДО 2016-09-30 Отчет.xls - 'Основ'!B95"/>
    <hyperlink ref="B131" r:id="rId1401" location="'Основ'!B96" display="30/254-П УСКЗДО 2016-09-30 Отчет.xls - 'Основ'!B96"/>
    <hyperlink ref="B132" r:id="rId1402" location="'Основ'!B97" display="30/254-П УСКЗДО 2016-09-30 Отчет.xls - 'Основ'!B97"/>
    <hyperlink ref="B102" r:id="rId1403" location="'Основ'!B98" display="30/254-П УСКЗДО 2016-09-30 Отчет.xls - 'Основ'!B98"/>
    <hyperlink ref="B782" r:id="rId1404" location="'Основ'!B99" display="30/254-П УСКЗДО 2016-09-30 Отчет.xls - 'Основ'!B99"/>
    <hyperlink ref="B955" r:id="rId1405" location="'Основ'!B100" display="30/254-П УСКЗДО 2016-09-30 Отчет.xls - 'Основ'!B100"/>
    <hyperlink ref="B1225" r:id="rId1406" location="'Основ'!B101" display="30/254-П УСКЗДО 2016-09-30 Отчет.xls - 'Основ'!B101"/>
    <hyperlink ref="B491" r:id="rId1407" location="'Основ'!B102" display="30/254-П УСКЗДО 2016-09-30 Отчет.xls - 'Основ'!B102"/>
    <hyperlink ref="B1103" r:id="rId1408" location="'Основ'!B103" display="30/254-П УСКЗДО 2016-09-30 Отчет.xls - 'Основ'!B103"/>
    <hyperlink ref="B1102" r:id="rId1409" location="'Основ'!B104" display="30/254-П УСКЗДО 2016-09-30 Отчет.xls - 'Основ'!B104"/>
    <hyperlink ref="B977" r:id="rId1410" location="'Основ'!B105" display="30/254-П УСКЗДО 2016-09-30 Отчет.xls - 'Основ'!B105"/>
    <hyperlink ref="B978" r:id="rId1411" location="'Основ'!B106" display="30/254-П УСКЗДО 2016-09-30 Отчет.xls - 'Основ'!B106"/>
    <hyperlink ref="B67" r:id="rId1412" location="'Основ'!B107" display="30/254-П УСКЗДО 2016-09-30 Отчет.xls - 'Основ'!B107"/>
    <hyperlink ref="B986" r:id="rId1413" location="'Основ'!B108" display="30/254-П УСКЗДО 2016-09-30 Отчет.xls - 'Основ'!B108"/>
    <hyperlink ref="B1298" r:id="rId1414" location="'Основ'!B109" display="30/254-П УСКЗДО 2016-09-30 Отчет.xls - 'Основ'!B109"/>
    <hyperlink ref="B1299" r:id="rId1415" location="'Основ'!B110" display="30/254-П УСКЗДО 2016-09-30 Отчет.xls - 'Основ'!B110"/>
    <hyperlink ref="B101" r:id="rId1416" location="'Основ'!B111" display="30/254-П УСКЗДО 2016-09-30 Отчет.xls - 'Основ'!B111"/>
    <hyperlink ref="B1104" r:id="rId1417" location="'Основ'!B112" display="30/254-П УСКЗДО 2016-09-30 Отчет.xls - 'Основ'!B112"/>
    <hyperlink ref="B1117" r:id="rId1418" location="'Основ'!B113" display="30/254-П УСКЗДО 2016-09-30 Отчет.xls - 'Основ'!B113"/>
    <hyperlink ref="B1312" r:id="rId1419" location="'Основ'!B114" display="30/254-П УСКЗДО 2016-09-30 Отчет.xls - 'Основ'!B114"/>
    <hyperlink ref="B1336" r:id="rId1420" location="'Основ'!B115" display="30/254-П УСКЗДО 2016-09-30 Отчет.xls - 'Основ'!B115"/>
    <hyperlink ref="B484" r:id="rId1421" location="'Основ'!B116" display="30/254-П УСКЗДО 2016-09-30 Отчет.xls - 'Основ'!B116"/>
    <hyperlink ref="B1429" r:id="rId1422" location="'Основ'!B117" display="30/254-П УСКЗДО 2016-09-30 Отчет.xls - 'Основ'!B117"/>
    <hyperlink ref="B1475" r:id="rId1423" location="'Основ'!B118" display="30/254-П УСКЗДО 2016-09-30 Отчет.xls - 'Основ'!B118"/>
    <hyperlink ref="B1341" r:id="rId1424" location="'Основ'!B119" display="30/254-П УСКЗДО 2016-09-30 Отчет.xls - 'Основ'!B119"/>
    <hyperlink ref="B1342" r:id="rId1425" location="'Основ'!B120" display="30/254-П УСКЗДО 2016-09-30 Отчет.xls - 'Основ'!B120"/>
    <hyperlink ref="B1343" r:id="rId1426" location="'Основ'!B121" display="30/254-П УСКЗДО 2016-09-30 Отчет.xls - 'Основ'!B121"/>
    <hyperlink ref="B237" r:id="rId1427" location="'Основ'!B122" display="30/254-П УСКЗДО 2016-09-30 Отчет.xls - 'Основ'!B122"/>
    <hyperlink ref="B53" r:id="rId1428" location="'Основ'!B123" display="30/254-П УСКЗДО 2016-09-30 Отчет.xls - 'Основ'!B123"/>
    <hyperlink ref="B1166" r:id="rId1429" location="'Основ'!B124" display="30/254-П УСКЗДО 2016-09-30 Отчет.xls - 'Основ'!B124"/>
    <hyperlink ref="B1520" r:id="rId1430" location="'Основ'!B125" display="30/254-П УСКЗДО 2016-09-30 Отчет.xls - 'Основ'!B125"/>
    <hyperlink ref="B1521" r:id="rId1431" location="'Основ'!B126" display="30/254-П УСКЗДО 2016-09-30 Отчет.xls - 'Основ'!B126"/>
    <hyperlink ref="B1020" r:id="rId1432" location="'Основ'!B127" display="30/254-П УСКЗДО 2016-09-30 Отчет.xls - 'Основ'!B127"/>
    <hyperlink ref="B1021" r:id="rId1433" location="'Основ'!B128" display="30/254-П УСКЗДО 2016-09-30 Отчет.xls - 'Основ'!B128"/>
    <hyperlink ref="B1212" r:id="rId1434" location="'Основ'!B129" display="30/254-П УСКЗДО 2016-09-30 Отчет.xls - 'Основ'!B129"/>
    <hyperlink ref="B1019" r:id="rId1435" location="'Основ'!B130" display="30/254-П УСКЗДО 2016-09-30 Отчет.xls - 'Основ'!B130"/>
    <hyperlink ref="B54" r:id="rId1436" location="'Основ'!B131" display="30/254-П УСКЗДО 2016-09-30 Отчет.xls - 'Основ'!B131"/>
    <hyperlink ref="B1371" r:id="rId1437" location="'Основ'!B132" display="30/254-П УСКЗДО 2016-09-30 Отчет.xls - 'Основ'!B132"/>
    <hyperlink ref="B1022" r:id="rId1438" location="'Основ'!B133" display="30/254-П УСКЗДО 2016-09-30 Отчет.xls - 'Основ'!B133"/>
    <hyperlink ref="B133" r:id="rId1439" location="'Основ'!B134" display="30/254-П УСКЗДО 2016-09-30 Отчет.xls - 'Основ'!B134"/>
    <hyperlink ref="B1362" r:id="rId1440" location="'Основ'!B135" display="30/254-П УСКЗДО 2016-09-30 Отчет.xls - 'Основ'!B135"/>
    <hyperlink ref="B987" r:id="rId1441" location="'Основ'!B136" display="30/254-П УСКЗДО 2016-09-30 Отчет.xls - 'Основ'!B136"/>
    <hyperlink ref="B261" r:id="rId1442" location="'Основ'!B137" display="30/254-П УСКЗДО 2016-09-30 Отчет.xls - 'Основ'!B137"/>
    <hyperlink ref="B1189" r:id="rId1443" location="'Основ'!B138" display="30/254-П УСКЗДО 2016-09-30 Отчет.xls - 'Основ'!B138"/>
    <hyperlink ref="B152" r:id="rId1444" location="'Основ'!B139" display="30/254-П УСКЗДО 2016-09-30 Отчет.xls - 'Основ'!B139"/>
    <hyperlink ref="B1105" r:id="rId1445" location="'Основ'!B140" display="30/254-П УСКЗДО 2016-09-30 Отчет.xls - 'Основ'!B140"/>
    <hyperlink ref="B1106" r:id="rId1446" location="'Основ'!B141" display="30/254-П УСКЗДО 2016-09-30 Отчет.xls - 'Основ'!B141"/>
    <hyperlink ref="B1373" r:id="rId1447" location="'Основ'!B142" display="30/254-П УСКЗДО 2016-09-30 Отчет.xls - 'Основ'!B142"/>
    <hyperlink ref="B1374" r:id="rId1448" location="'Основ'!B143" display="30/254-П УСКЗДО 2016-09-30 Отчет.xls - 'Основ'!B143"/>
    <hyperlink ref="B1372" r:id="rId1449" location="'Основ'!B144" display="30/254-П УСКЗДО 2016-09-30 Отчет.xls - 'Основ'!B144"/>
    <hyperlink ref="B1300" r:id="rId1450" location="'Основ'!B145" display="30/254-П УСКЗДО 2016-09-30 Отчет.xls - 'Основ'!B145"/>
    <hyperlink ref="B1469" r:id="rId1451" location="'Основ'!B146" display="30/254-П УСКЗДО 2016-09-30 Отчет.xls - 'Основ'!B146"/>
    <hyperlink ref="B1356" r:id="rId1452" location="'Основ'!B147" display="30/254-П УСКЗДО 2016-09-30 Отчет.xls - 'Основ'!B147"/>
    <hyperlink ref="B372" r:id="rId1453" location="'Основ'!B148" display="30/254-П УСКЗДО 2016-09-30 Отчет.xls - 'Основ'!B148"/>
    <hyperlink ref="B1107" r:id="rId1454" location="'Основ'!B149" display="30/254-П УСКЗДО 2016-09-30 Отчет.xls - 'Основ'!B149"/>
    <hyperlink ref="B1357" r:id="rId1455" location="'Основ'!B150" display="30/254-П УСКЗДО 2016-09-30 Отчет.xls - 'Основ'!B150"/>
    <hyperlink ref="B819" r:id="rId1456" location="'Основ'!B151" display="30/254-П УСКЗДО 2016-09-30 Отчет.xls - 'Основ'!B151"/>
    <hyperlink ref="B258" r:id="rId1457" location="'Основ'!B152" display="30/254-П УСКЗДО 2016-09-30 Отчет.xls - 'Основ'!B152"/>
    <hyperlink ref="B121" r:id="rId1458" location="'Основ'!B153" display="30\254-П УСКЗДО 2016-09-30 Отчет.xls - 'Основ'!B153"/>
    <hyperlink ref="B1075" r:id="rId1459" location="'Основ'!B154" display="30/254-П УСКЗДО 2016-09-30 Отчет.xls - 'Основ'!B154"/>
    <hyperlink ref="B1076" r:id="rId1460" location="'Основ'!B155" display="30/254-П УСКЗДО 2016-09-30 Отчет.xls - 'Основ'!B155"/>
    <hyperlink ref="B1425" r:id="rId1461" location="'Основ'!B156" display="30/254-П УСКЗДО 2016-09-30 Отчет.xls - 'Основ'!B156"/>
    <hyperlink ref="B1317" r:id="rId1462" location="'Основ'!B157" display="30/254-П УСКЗДО 2016-09-30 Отчет.xls - 'Основ'!B157"/>
    <hyperlink ref="B1430" r:id="rId1463" location="'Основ'!B158" display="30/254-П УСКЗДО 2016-09-30 Отчет.xls - 'Основ'!B158"/>
    <hyperlink ref="B1306" r:id="rId1464" location="'Основ'!B159" display="30/254-П УСКЗДО 2016-09-30 Отчет.xls - 'Основ'!B159"/>
    <hyperlink ref="B259" r:id="rId1465" location="'Основ'!B160" display="30/254-П УСКЗДО 2016-09-30 Отчет.xls - 'Основ'!B160"/>
    <hyperlink ref="B1547" r:id="rId1466" location="'Основ'!B161" display="30/254-П УСКЗДО 2016-09-30 Отчет.xls - 'Основ'!B161"/>
    <hyperlink ref="B1545" r:id="rId1467" location="'Основ'!B162" display="30/254-П УСКЗДО 2016-09-30 Отчет.xls - 'Основ'!B162"/>
    <hyperlink ref="B1213" r:id="rId1468" location="'Основ'!B163" display="30/254-П УСКЗДО 2016-09-30 Отчет.xls - 'Основ'!B163"/>
    <hyperlink ref="B1109" r:id="rId1469" location="'Основ'!B164" display="30/254-П УСКЗДО 2016-09-30 Отчет.xls - 'Основ'!B164"/>
    <hyperlink ref="B1077" r:id="rId1470" location="'Основ'!B165" display="30/254-П УСКЗДО 2016-09-30 Отчет.xls - 'Основ'!B165"/>
    <hyperlink ref="B1078" r:id="rId1471" location="'Основ'!B166" display="30/254-П УСКЗДО 2016-09-30 Отчет.xls - 'Основ'!B166"/>
    <hyperlink ref="B1344" r:id="rId1472" location="'Основ'!B167" display="30/254-П УСКЗДО 2016-09-30 Отчет.xls - 'Основ'!B167"/>
    <hyperlink ref="B1463" r:id="rId1473" location="'Основ'!B168" display="30/254-П УСКЗДО 2016-09-30 Отчет.xls - 'Основ'!B168"/>
    <hyperlink ref="B238" r:id="rId1474" location="'Основ'!B169" display="30/254-П УСКЗДО 2016-09-30 Отчет.xls - 'Основ'!B169"/>
    <hyperlink ref="B991" r:id="rId1475" location="'Основ'!B170" display="30/254-П УСКЗДО 2016-09-30 Отчет.xls - 'Основ'!B170"/>
    <hyperlink ref="B770" r:id="rId1476" location="'Основ'!B171" display="30/254-П УСКЗДО 2016-09-30 Отчет.xls - 'Основ'!B171"/>
    <hyperlink ref="B1559" r:id="rId1477" location="'Основ'!B172" display="30/254-П УСКЗДО 2016-09-30 Отчет.xls - 'Основ'!B172"/>
    <hyperlink ref="B1328" r:id="rId1478" location="'Основ'!B173" display="30/254-П УСКЗДО 2016-09-30 Отчет.xls - 'Основ'!B173"/>
    <hyperlink ref="B1169" r:id="rId1479" location="'Основ'!B174" display="30/254-П УСКЗДО 2016-09-30 Отчет.xls - 'Основ'!B174"/>
    <hyperlink ref="B1170" r:id="rId1480" location="'Основ'!B175" display="30/254-П УСКЗДО 2016-09-30 Отчет.xls - 'Основ'!B175"/>
    <hyperlink ref="B893" r:id="rId1481" location="'Основ'!B176" display="30/254-П УСКЗДО 2016-09-30 Отчет.xls - 'Основ'!B176"/>
    <hyperlink ref="B894" r:id="rId1482" location="'Основ'!B177" display="30/254-П УСКЗДО 2016-09-30 Отчет.xls - 'Основ'!B177"/>
    <hyperlink ref="B1605" r:id="rId1483" location="'Основ'!B178" display="30/254-П УСКЗДО 2016-09-30 Отчет.xls - 'Основ'!B178"/>
    <hyperlink ref="B134" r:id="rId1484" location="'Основ'!B179" display="30/254-П УСКЗДО 2016-09-30 Отчет.xls - 'Основ'!B179"/>
    <hyperlink ref="B1079" r:id="rId1485" location="'Основ'!B180" display="30/254-П УСКЗДО 2016-09-30 Отчет.xls - 'Основ'!B180"/>
    <hyperlink ref="B1080" r:id="rId1486" location="'Основ'!B181" display="30/254-П УСКЗДО 2016-09-30 Отчет.xls - 'Основ'!B181"/>
    <hyperlink ref="B807" r:id="rId1487" location="'Основ'!B182" display="30/254-П УСКЗДО 2016-09-30 Отчет.xls - 'Основ'!B182"/>
    <hyperlink ref="B895" r:id="rId1488" location="'Основ'!B183" display="30/254-П УСКЗДО 2016-09-30 Отчет.xls - 'Основ'!B183"/>
    <hyperlink ref="B1002" r:id="rId1489" location="'Основ'!B184" display="30/254-П УСКЗДО 2016-09-30 Отчет.xls - 'Основ'!B184"/>
    <hyperlink ref="B1003" r:id="rId1490" location="'Основ'!B185" display="30/254-П УСКЗДО 2016-09-30 Отчет.xls - 'Основ'!B185"/>
    <hyperlink ref="B244" r:id="rId1491" location="'Основ'!B186" display="30/254-П УСКЗДО 2016-09-30 Отчет.xls - 'Основ'!B186"/>
    <hyperlink ref="B1590" r:id="rId1492" location="'Основ'!B187" display="30/254-П УСКЗДО 2016-09-30 Отчет.xls - 'Основ'!B187"/>
    <hyperlink ref="B1586" r:id="rId1493" location="'Основ'!B188" display="30/254-П УСКЗДО 2016-09-30 Отчет.xls - 'Основ'!B188"/>
    <hyperlink ref="B1573" r:id="rId1494" location="'Основ'!B189" display="30/254-П УСКЗДО 2016-09-30 Отчет.xls - 'Основ'!B189"/>
    <hyperlink ref="B1358" r:id="rId1495" location="'Основ'!B190" display="30/254-П УСКЗДО 2016-09-30 Отчет.xls - 'Основ'!B190"/>
    <hyperlink ref="B1359" r:id="rId1496" location="'Основ'!B191" display="30/254-П УСКЗДО 2016-09-30 Отчет.xls - 'Основ'!B191"/>
    <hyperlink ref="B1556" r:id="rId1497" location="'Основ'!B192" display="30/254-П УСКЗДО 2016-09-30 Отчет.xls - 'Основ'!B192"/>
    <hyperlink ref="B55" r:id="rId1498" location="'Основ'!B193" display="30/254-П УСКЗДО 2016-09-30 Отчет.xls - 'Основ'!B193"/>
    <hyperlink ref="B1214" r:id="rId1499" location="'Основ'!B194" display="30/254-П УСКЗДО 2016-09-30 Отчет.xls - 'Основ'!B194"/>
    <hyperlink ref="B1041" r:id="rId1500" location="'Основ'!B195" display="30/254-П УСКЗДО 2016-09-30 Отчет.xls - 'Основ'!B195"/>
    <hyperlink ref="B1572" r:id="rId1501" location="'Основ'!B196" display="30/254-П УСКЗДО 2016-09-30 Отчет.xls - 'Основ'!B196"/>
    <hyperlink ref="B1167" r:id="rId1502" location="'Основ'!B197" display="30/254-П УСКЗДО 2016-09-30 Отчет.xls - 'Основ'!B197"/>
    <hyperlink ref="B105" r:id="rId1503" location="'Основ'!B198" display="30/254-П УСКЗДО 2016-09-30 Отчет.xls - 'Основ'!B198"/>
    <hyperlink ref="B1233" r:id="rId1504" location="'Основ'!B199" display="30/254-П УСКЗДО 2016-09-30 Отчет.xls - 'Основ'!B199"/>
    <hyperlink ref="B1234" r:id="rId1505" location="'Основ'!B200" display="30/254-П УСКЗДО 2016-09-30 Отчет.xls - 'Основ'!B200"/>
    <hyperlink ref="B1619" r:id="rId1506" location="'Основ'!B201" display="30/254-П УСКЗДО 2016-09-30 Отчет.xls - 'Основ'!B201"/>
    <hyperlink ref="B1179" r:id="rId1507" location="'Основ'!B202" display="30/254-П УСКЗДО 2016-09-30 Отчет.xls - 'Основ'!B202"/>
    <hyperlink ref="B1313" r:id="rId1508" location="'Основ'!B203" display="30/254-П УСКЗДО 2016-09-30 Отчет.xls - 'Основ'!B203"/>
    <hyperlink ref="B1611" r:id="rId1509" location="'Основ'!B204" display="30/254-П УСКЗДО 2016-09-30 Отчет.xls - 'Основ'!B204"/>
    <hyperlink ref="B1431" r:id="rId1510" location="'Основ'!B205" display="30/254-П УСКЗДО 2016-09-30 Отчет.xls - 'Основ'!B205"/>
    <hyperlink ref="B1081" r:id="rId1511" location="'Основ'!B206" display="30/254-П УСКЗДО 2016-09-30 Отчет.xls - 'Основ'!B206"/>
    <hyperlink ref="B52" r:id="rId1512" location="'Основ'!B207" display="30/254-П УСКЗДО 2016-09-30 Отчет.xls - 'Основ'!B207"/>
    <hyperlink ref="B371" r:id="rId1513" location="'Основ'!B208" display="30/254-П УСКЗДО 2016-09-30 Отчет.xls - 'Основ'!B208"/>
    <hyperlink ref="B1324" r:id="rId1514" location="'Основ'!B209" display="30/254-П УСКЗДО 2016-09-30 Отчет.xls - 'Основ'!B209"/>
    <hyperlink ref="B805" r:id="rId1515" location="'Основ'!B210" display="30/254-П УСКЗДО 2016-09-30 Отчет.xls - 'Основ'!B210"/>
    <hyperlink ref="B1583" r:id="rId1516" location="'Основ'!B211" display="30/254-П УСКЗДО 2016-09-30 Отчет.xls - 'Основ'!B211"/>
    <hyperlink ref="B1432" r:id="rId1517" location="'Основ'!B212" display="30/254-П УСКЗДО 2016-09-30 Отчет.xls - 'Основ'!B212"/>
    <hyperlink ref="B1433" r:id="rId1518" location="'Основ'!B213" display="30/254-П УСКЗДО 2016-09-30 Отчет.xls - 'Основ'!B213"/>
    <hyperlink ref="B1617" r:id="rId1519" location="'Основ'!B214" display="30/254-П УСКЗДО 2016-09-30 Отчет.xls - 'Основ'!B214"/>
    <hyperlink ref="B1424" r:id="rId1520" location="'Основ'!B215" display="30/254-П УСКЗДО 2016-09-30 Отчет.xls - 'Основ'!B215"/>
    <hyperlink ref="B1301" r:id="rId1521" location="'Основ'!B216" display="30/254-П УСКЗДО 2016-09-30 Отчет.xls - 'Основ'!B216"/>
    <hyperlink ref="B1302" r:id="rId1522" location="'Основ'!B217" display="30/254-П УСКЗДО 2016-09-30 Отчет.xls - 'Основ'!B217"/>
    <hyperlink ref="B891" r:id="rId1523" location="'Основ'!B218" display="30/254-П УСКЗДО 2016-09-30 Отчет.xls - 'Основ'!B218"/>
    <hyperlink ref="B1618" r:id="rId1524" location="'Основ'!B219" display="30/254-П УСКЗДО 2016-09-30 Отчет.xls - 'Основ'!B219"/>
    <hyperlink ref="B1340" r:id="rId1525" location="'Основ'!B220" display="30/254-П УСКЗДО 2016-09-30 Отчет.xls - 'Основ'!B220"/>
    <hyperlink ref="B1226" r:id="rId1526" location="'Основ'!B221" display="30/254-П УСКЗДО 2016-09-30 Отчет.xls - 'Основ'!B221"/>
    <hyperlink ref="B1615" r:id="rId1527" location="'Основ'!B222" display="30/254-П УСКЗДО 2016-09-30 Отчет.xls - 'Основ'!B222"/>
    <hyperlink ref="B1118" r:id="rId1528" location="'Основ'!B223" display="30/254-П УСКЗДО 2016-09-30 Отчет.xls - 'Основ'!B223"/>
    <hyperlink ref="B1123" r:id="rId1529" location="'Основ'!B224" display="30/254-П УСКЗДО 2016-09-30 Отчет.xls - 'Основ'!B224"/>
    <hyperlink ref="B254" r:id="rId1530" location="'Основ'!B225" display="30/254-П УСКЗДО 2016-09-30 Отчет.xls - 'Основ'!B225"/>
    <hyperlink ref="B1325" r:id="rId1531" location="'Основ'!B226" display="30/254-П УСКЗДО 2016-09-30 Отчет.xls - 'Основ'!B226"/>
    <hyperlink ref="B112" r:id="rId1532" location="'Основ'!B227" display="30/254-П УСКЗДО 2016-09-30 Отчет.xls - 'Основ'!B227"/>
    <hyperlink ref="B130" r:id="rId1533" location="'Основ'!B228" display="30/254-П УСКЗДО 2016-09-30 Отчет.xls - 'Основ'!B228"/>
    <hyperlink ref="B1634" r:id="rId1534" location="'Основ'!B229" display="30/254-П УСКЗДО 2016-09-30 Отчет.xls - 'Основ'!B229"/>
    <hyperlink ref="B1633" r:id="rId1535" location="'Основ'!B230" display="30/254-П УСКЗДО 2016-09-30 Отчет.xls - 'Основ'!B230"/>
    <hyperlink ref="B135" r:id="rId1536" location="'Основ'!B231" display="30/254-П УСКЗДО 2016-09-30 Отчет.xls - 'Основ'!B231"/>
    <hyperlink ref="B485" r:id="rId1537" location="'Основ'!B232" display="30/254-П УСКЗДО 2016-09-30 Отчет.xls - 'Основ'!B232"/>
    <hyperlink ref="B137" r:id="rId1538" location="'Основ'!B233" display="30/254-П УСКЗДО 2016-09-30 Отчет.xls - 'Основ'!B233"/>
    <hyperlink ref="B136" r:id="rId1539" location="'Основ'!B234" display="30/254-П УСКЗДО 2016-09-30 Отчет.xls - 'Основ'!B234"/>
    <hyperlink ref="B138" r:id="rId1540" location="'Основ'!B235" display="30/254-П УСКЗДО 2016-09-30 Отчет.xls - 'Основ'!B235"/>
    <hyperlink ref="B139" r:id="rId1541" location="'Основ'!B236" display="30/254-П УСКЗДО 2016-09-30 Отчет.xls - 'Основ'!B236"/>
    <hyperlink ref="B1137" r:id="rId1542" location="'Основ'!B237" display="30/254-П УСКЗДО 2016-09-30 Отчет.xls - 'Основ'!B237"/>
    <hyperlink ref="B486" r:id="rId1543" location="'Основ'!B238" display="30/254-П УСКЗДО 2016-09-30 Отчет.xls - 'Основ'!B238"/>
    <hyperlink ref="B487" r:id="rId1544" location="'Основ'!B239" display="30/254-П УСКЗДО 2016-09-30 Отчет.xls - 'Основ'!B239"/>
    <hyperlink ref="B488" r:id="rId1545" location="'Основ'!B240" display="30/254-П УСКЗДО 2016-09-30 Отчет.xls - 'Основ'!B240"/>
    <hyperlink ref="B106" r:id="rId1546" location="'Основ'!B241" display="30/254-П УСКЗДО 2016-09-30 Отчет.xls - 'Основ'!B241"/>
    <hyperlink ref="B1542" r:id="rId1547" location="'Основ'!B242" display="30/254-П УСКЗДО 2016-09-30 Отчет.xls - 'Основ'!B242"/>
    <hyperlink ref="B1232" r:id="rId1548" location="'Основ'!B243" display="30/254-П УСКЗДО 2016-09-30 Отчет.xls - 'Основ'!B243"/>
    <hyperlink ref="B1111" r:id="rId1549" location="'Основ'!B244" display="30/254-П УСКЗДО 2016-09-30 Отчет.xls - 'Основ'!B244"/>
    <hyperlink ref="B1360" r:id="rId1550" location="'Основ'!B245" display="30/254-П УСКЗДО 2016-09-30 Отчет.xls - 'Основ'!B245"/>
    <hyperlink ref="B77" r:id="rId1551" location="'Основ'!B246" display="30/254-П УСКЗДО 2016-09-30 Отчет.xls - 'Основ'!B246"/>
    <hyperlink ref="B1661" r:id="rId1552" location="'Основ'!B247" display="30/254-П УСКЗДО 2016-09-30 Отчет.xls - 'Основ'!B247"/>
    <hyperlink ref="B1330" r:id="rId1553" location="'Основ'!B248" display="30/254-П УСКЗДО 2016-09-30 Отчет.xls - 'Основ'!B248"/>
    <hyperlink ref="B1652" r:id="rId1554" location="'Основ'!B249" display="30/254-П УСКЗДО 2016-09-30 Отчет.xls - 'Основ'!B249"/>
    <hyperlink ref="B1138" r:id="rId1555" location="'Основ'!B250" display="30/254-П УСКЗДО 2016-09-30 Отчет.xls - 'Основ'!B250"/>
    <hyperlink ref="B49" r:id="rId1556" location="'Основ'!B251" display="30/254-П УСКЗДО 2016-09-30 Отчет.xls - 'Основ'!B251"/>
    <hyperlink ref="B1684" r:id="rId1557" location="'Основ'!B252" display="30/254-П УСКЗДО 2016-09-30 Отчет.xls - 'Основ'!B252"/>
    <hyperlink ref="B1546" r:id="rId1558" location="'Основ'!B253" display="30/254-П УСКЗДО 2016-09-30 Отчет.xls - 'Основ'!B253"/>
    <hyperlink ref="B1229" r:id="rId1559" location="'Основ'!B254" display="30/254-П УСКЗДО 2016-09-30 Отчет.xls - 'Основ'!B254"/>
    <hyperlink ref="B1230" r:id="rId1560" location="'Основ'!B255" display="30/254-П УСКЗДО 2016-09-30 Отчет.xls - 'Основ'!B255"/>
    <hyperlink ref="B992" r:id="rId1561" location="'Основ'!B256" display="30/254-П УСКЗДО 2016-09-30 Отчет.xls - 'Основ'!B256"/>
    <hyperlink ref="B108" r:id="rId1562" location="'Основ'!B257" display="30/254-П УСКЗДО 2016-09-30 Отчет.xls - 'Основ'!B257"/>
    <hyperlink ref="B1710" r:id="rId1563" location="'Основ'!B258" display="30/254-П УСКЗДО 2016-09-30 Отчет.xls - 'Основ'!B258"/>
    <hyperlink ref="B1678" r:id="rId1564" location="'Основ'!B259" display="30/254-П УСКЗДО 2016-09-30 Отчет.xls - 'Основ'!B259"/>
    <hyperlink ref="B1646" r:id="rId1565" location="'Основ'!B260" display="30/254-П УСКЗДО 2016-09-30 Отчет.xls - 'Основ'!B260"/>
    <hyperlink ref="B1009" r:id="rId1566" location="'Основ'!B261" display="30/254-П УСКЗДО 2016-09-30 Отчет.xls - 'Основ'!B261"/>
    <hyperlink ref="B1662" r:id="rId1567" location="'Основ'!B262" display="30/254-П УСКЗДО 2016-09-30 Отчет.xls - 'Основ'!B262"/>
    <hyperlink ref="B1663" r:id="rId1568" location="'Основ'!B263" display="30/254-П УСКЗДО 2016-09-30 Отчет.xls - 'Основ'!B263"/>
    <hyperlink ref="B113" r:id="rId1569" location="'Основ'!B264" display="30/254-П УСКЗДО 2016-09-30 Отчет.xls - 'Основ'!B264"/>
    <hyperlink ref="B1042" r:id="rId1570" location="'Основ'!B265" display="30/254-П УСКЗДО 2016-09-30 Отчет.xls - 'Основ'!B265"/>
    <hyperlink ref="B1726" r:id="rId1571" location="'Основ'!B266" display="30/254-П УСКЗДО 2016-09-30 Отчет.xls - 'Основ'!B266"/>
    <hyperlink ref="B1732" r:id="rId1572" location="'Основ'!B267" display="30/254-П УСКЗДО 2016-09-30 Отчет.xls - 'Основ'!B267"/>
    <hyperlink ref="B1729" r:id="rId1573" location="'Основ'!B268" display="30/254-П УСКЗДО 2016-09-30 Отчет.xls - 'Основ'!B268"/>
    <hyperlink ref="B1728" r:id="rId1574" location="'Основ'!B269" display="30/254-П УСКЗДО 2016-09-30 Отчет.xls - 'Основ'!B269"/>
    <hyperlink ref="B1541" r:id="rId1575" location="'Основ'!B270" display="30/254-П УСКЗДО 2016-09-30 Отчет.xls - 'Основ'!B270"/>
    <hyperlink ref="B1676" r:id="rId1576" location="'Основ'!B271" display="30/254-П УСКЗДО 2016-09-30 Отчет.xls - 'Основ'!B271"/>
    <hyperlink ref="B68" r:id="rId1577" location="'Основ'!B272" display="30/254-П УСКЗДО 2016-09-30 Отчет.xls - 'Основ'!B272"/>
    <hyperlink ref="B71" r:id="rId1578" location="'Основ'!B273" display="30/254-П УСКЗДО 2016-09-30 Отчет.xls - 'Основ'!B273"/>
    <hyperlink ref="B107" r:id="rId1579" location="'Основ'!B274" display="30/254-П УСКЗДО 2016-09-30 Отчет.xls - 'Основ'!B274"/>
    <hyperlink ref="B114" r:id="rId1580" location="'Основ'!B275" display="30/254-П УСКЗДО 2016-09-30 Отчет.xls - 'Основ'!B275"/>
    <hyperlink ref="B69" r:id="rId1581" location="'Основ'!B276" display="30/254-П УСКЗДО 2016-09-30 Отчет.xls - 'Основ'!B276"/>
    <hyperlink ref="B70" r:id="rId1582" location="'Основ'!B277" display="30/254-П УСКЗДО 2016-09-30 Отчет.xls - 'Основ'!B277"/>
    <hyperlink ref="B72" r:id="rId1583" location="'Основ'!B278" display="30/254-П УСКЗДО 2016-09-30 Отчет.xls - 'Основ'!B278"/>
    <hyperlink ref="B73" r:id="rId1584" location="'Основ'!B279" display="30/254-П УСКЗДО 2016-09-30 Отчет.xls - 'Основ'!B279"/>
    <hyperlink ref="B1749" r:id="rId1585" location="'Основ'!B280" display="30/254-П УСКЗДО 2016-09-30 Отчет.xls - 'Основ'!B280"/>
    <hyperlink ref="B1023" r:id="rId1586" location="'Основ'!B281" display="30/254-П УСКЗДО 2016-09-30 Отчет.xls - 'Основ'!B281"/>
    <hyperlink ref="B1664" r:id="rId1587" location="'Основ'!B282" display="30/254-П УСКЗДО 2016-09-30 Отчет.xls - 'Основ'!B282"/>
    <hyperlink ref="B1310" r:id="rId1588" location="'Основ'!B283" display="30/254-П УСКЗДО 2016-09-30 Отчет.xls - 'Основ'!B283"/>
    <hyperlink ref="B1307" r:id="rId1589" location="'Основ'!B284" display="30/254-П УСКЗДО 2016-09-30 Отчет.xls - 'Основ'!B284"/>
    <hyperlink ref="B1112" r:id="rId1590" location="'Основ'!B285" display="30/254-П УСКЗДО 2016-09-30 Отчет.xls - 'Основ'!B285"/>
    <hyperlink ref="B143" r:id="rId1591" location="'Основ'!B286" display="30/254-П УСКЗДО 2016-09-30 Отчет.xls - 'Основ'!B286"/>
    <hyperlink ref="B142" r:id="rId1592" location="'Основ'!B287" display="30/254-П УСКЗДО 2016-09-30 Отчет.xls - 'Основ'!B287"/>
    <hyperlink ref="B141" r:id="rId1593" location="'Основ'!B288" display="30/254-П УСКЗДО 2016-09-30 Отчет.xls - 'Основ'!B288"/>
    <hyperlink ref="B140" r:id="rId1594" location="'Основ'!B289" display="30/254-П УСКЗДО 2016-09-30 Отчет.xls - 'Основ'!B289"/>
    <hyperlink ref="B1171" r:id="rId1595" location="'Основ'!B290" display="30/254-П УСКЗДО 2016-09-30 Отчет.xls - 'Основ'!B290"/>
    <hyperlink ref="B75" r:id="rId1596" location="'Основ'!B291" display="30/254-П УСКЗДО 2016-09-30 Отчет.xls - 'Основ'!B291"/>
    <hyperlink ref="B1762" r:id="rId1597" location="'Основ'!B292" display="30/254-П УСКЗДО 2016-09-30 Отчет.xls - 'Основ'!B292"/>
    <hyperlink ref="B74" r:id="rId1598" location="'Основ'!B293" display="30/254-П УСКЗДО 2016-09-30 Отчет.xls - 'Основ'!B293"/>
    <hyperlink ref="B153" r:id="rId1599" location="'Основ'!B294" display="30/254-П УСКЗДО 2016-09-30 Отчет.xls - 'Основ'!B294"/>
    <hyperlink ref="B154" r:id="rId1600" location="'Основ'!B295" display="30/254-П УСКЗДО 2016-09-30 Отчет.xls - 'Основ'!B295"/>
    <hyperlink ref="B155" r:id="rId1601" location="'Основ'!B296" display="30/254-П УСКЗДО 2016-09-30 Отчет.xls - 'Основ'!B296"/>
    <hyperlink ref="B158" r:id="rId1602" location="'Основ'!B297" display="30/254-П УСКЗДО 2016-09-30 Отчет.xls - 'Основ'!B297"/>
    <hyperlink ref="B156" r:id="rId1603" location="'Основ'!B298" display="30/254-П УСКЗДО 2016-09-30 Отчет.xls - 'Основ'!B298"/>
    <hyperlink ref="B157" r:id="rId1604" location="'Основ'!B299" display="30/254-П УСКЗДО 2016-09-30 Отчет.xls - 'Основ'!B299"/>
    <hyperlink ref="B159" r:id="rId1605" location="'Основ'!B300" display="30/254-П УСКЗДО 2016-09-30 Отчет.xls - 'Основ'!B300"/>
    <hyperlink ref="B1350" r:id="rId1606" location="'Основ'!B301" display="30/254-П УСКЗДО 2016-09-30 Отчет.xls - 'Основ'!B301"/>
    <hyperlink ref="B1574" r:id="rId1607" location="'Основ'!B302" display="30/254-П УСКЗДО 2016-09-30 Отчет.xls - 'Основ'!B302"/>
    <hyperlink ref="B1575" r:id="rId1608" location="'Основ'!B303" display="30/254-П УСКЗДО 2016-09-30 Отчет.xls - 'Основ'!B303"/>
    <hyperlink ref="B1215" r:id="rId1609" location="'Основ'!B304" display="30/254-П УСКЗДО 2016-09-30 Отчет.xls - 'Основ'!B304"/>
    <hyperlink ref="B1351" r:id="rId1610" location="'Основ'!B305" display="30/254-П УСКЗДО 2016-09-30 Отчет.xls - 'Основ'!B305"/>
    <hyperlink ref="B1682" r:id="rId1611" location="'Основ'!B306" display="30/254-П УСКЗДО 2016-09-30 Отчет.xls - 'Основ'!B306"/>
    <hyperlink ref="B1653" r:id="rId1612" location="'Основ'!B307" display="30/254-П УСКЗДО 2016-09-30 Отчет.xls - 'Основ'!B307"/>
    <hyperlink ref="B1711" r:id="rId1613" location="'Основ'!B308" display="30/254-П УСКЗДО 2016-09-30 Отчет.xls - 'Основ'!B308"/>
    <hyperlink ref="B1767" r:id="rId1614" location="'Основ'!B309" display="30/254-П УСКЗДО 2016-09-30 Отчет.xls - 'Основ'!B309"/>
    <hyperlink ref="B1768" r:id="rId1615" location="'Основ'!B310" display="30/254-П УСКЗДО 2016-09-30 Отчет.xls - 'Основ'!B310"/>
    <hyperlink ref="B1769" r:id="rId1616" location="'Основ'!B311" display="30/254-П УСКЗДО 2016-09-30 Отчет.xls - 'Основ'!B311"/>
    <hyperlink ref="B1482" r:id="rId1617" location="'Основ'!B312" display="30/254-П УСКЗДО 2016-09-30 Отчет.xls - 'Основ'!B312"/>
    <hyperlink ref="B1483" r:id="rId1618" location="'Основ'!B313" display="30/254-П УСКЗДО 2016-09-30 Отчет.xls - 'Основ'!B313"/>
    <hyperlink ref="B1727" r:id="rId1619" location="'Основ'!B314" display="30/254-П УСКЗДО 2016-09-30 Отчет.xls - 'Основ'!B314"/>
    <hyperlink ref="B1731" r:id="rId1620" location="'Основ'!B315" display="30/254-П УСКЗДО 2016-09-30 Отчет.xls - 'Основ'!B315"/>
    <hyperlink ref="B823" r:id="rId1621" location="'Основ'!B316" display="30/254-П УСКЗДО 2016-09-30 Отчет.xls - 'Основ'!B316"/>
    <hyperlink ref="B1782" r:id="rId1622" location="'Основ'!B317" display="30/254-П УСКЗДО 2016-09-30 Отчет.xls - 'Основ'!B317"/>
    <hyperlink ref="B1783" r:id="rId1623" location="'Основ'!B318" display="30/254-П УСКЗДО 2016-09-30 Отчет.xls - 'Основ'!B318"/>
    <hyperlink ref="B1654" r:id="rId1624" location="'Основ'!B319" display="30/254-П УСКЗДО 2016-09-30 Отчет.xls - 'Основ'!B319"/>
    <hyperlink ref="B1677" r:id="rId1625" location="'Основ'!B320" display="30/254-П УСКЗДО 2016-09-30 Отчет.xls - 'Основ'!B320"/>
    <hyperlink ref="B1789" r:id="rId1626" location="'Основ'!B321" display="30/254-П УСКЗДО 2016-09-30 Отчет.xls - 'Основ'!B321"/>
    <hyperlink ref="B972" r:id="rId1627" location="'Основ'!B322" display="30/254-П УСКЗДО 2016-09-30 Отчет.xls - 'Основ'!B322"/>
    <hyperlink ref="B1311" r:id="rId1628" location="'Основ'!B323" display="30/254-П УСКЗДО 2016-09-30 Отчет.xls - 'Основ'!B323"/>
    <hyperlink ref="B1220" r:id="rId1629" location="'Основ'!B324" display="30/254-П УСКЗДО 2016-09-30 Отчет.xls - 'Основ'!B324"/>
    <hyperlink ref="B990" r:id="rId1630" location="'Основ'!B325" display="30/254-П УСКЗДО 2016-09-30 Отчет.xls - 'Основ'!B325"/>
    <hyperlink ref="B1771" r:id="rId1631" location="'Основ'!B326" display="30/254-П УСКЗДО 2016-09-30 Отчет.xls - 'Основ'!B326"/>
    <hyperlink ref="B1094" r:id="rId1632" location="'Основ'!B327" display="30/254-П УСКЗДО 2016-09-30 Отчет.xls - 'Основ'!B327"/>
    <hyperlink ref="B115" r:id="rId1633" location="'Основ'!B328" display="30/254-П УСКЗДО 2016-09-30 Отчет.xls - 'Основ'!B328"/>
    <hyperlink ref="B116" r:id="rId1634" location="'Основ'!B329" display="30/254-П УСКЗДО 2016-09-30 Отчет.xls - 'Основ'!B329"/>
    <hyperlink ref="B1093" r:id="rId1635" location="'Основ'!B330" display="30/254-П УСКЗДО 2016-09-30 Отчет.xls - 'Основ'!B330"/>
    <hyperlink ref="B1361" r:id="rId1636" location="'Основ'!B331" display="30/254-П УСКЗДО 2016-09-30 Отчет.xls - 'Основ'!B331"/>
    <hyperlink ref="B1050" r:id="rId1637" location="'Основ'!B332" display="30/254-П УСКЗДО 2016-09-30 Отчет.xls - 'Основ'!B332"/>
    <hyperlink ref="B1150" r:id="rId1638" location="'Основ'!B333" display="30/254-П УСКЗДО 2016-09-30 Отчет.xls - 'Основ'!B333"/>
    <hyperlink ref="B1848" r:id="rId1639" location="'Основ'!B334" display="30/254-П УСКЗДО 2016-09-30 Отчет.xls - 'Основ'!B334"/>
    <hyperlink ref="B1194" r:id="rId1640" location="'Основ'!B335" display="30/254-П УСКЗДО 2016-09-30 Отчет.xls - 'Основ'!B335"/>
    <hyperlink ref="B1648" r:id="rId1641" location="'Основ'!B336" display="30/254-П УСКЗДО 2016-09-30 Отчет.xls - 'Основ'!B336"/>
    <hyperlink ref="B1647" r:id="rId1642" location="'Основ'!B337" display="30/254-П УСКЗДО 2016-09-30 Отчет.xls - 'Основ'!B337"/>
    <hyperlink ref="B1083" r:id="rId1643" location="'Основ'!B338" display="30/254-П УСКЗДО 2016-09-30 Отчет.xls - 'Основ'!B338"/>
    <hyperlink ref="B1620" r:id="rId1644" location="'Основ'!B339" display="30/254-П УСКЗДО 2016-09-30 Отчет.xls - 'Основ'!B339"/>
    <hyperlink ref="B982" r:id="rId1645" location="'Основ'!B340" display="30/254-П УСКЗДО 2016-09-30 Отчет.xls - 'Основ'!B340"/>
    <hyperlink ref="B1892" r:id="rId1646" location="'Основ'!B341" display="30/254-П УСКЗДО 2016-09-30 Отчет.xls - 'Основ'!B341"/>
    <hyperlink ref="B1747" r:id="rId1647" location="'Основ'!B342" display="30/254-П УСКЗДО 2016-09-30 Отчет.xls - 'Основ'!B342"/>
    <hyperlink ref="B1843" r:id="rId1648" location="'Основ'!B343" display="30/254-П УСКЗДО 2016-09-30 Отчет.xls - 'Основ'!B343"/>
    <hyperlink ref="B1024" r:id="rId1649" location="'Основ'!B344" display="30/254-П УСКЗДО 2016-09-30 Отчет.xls - 'Основ'!B344"/>
    <hyperlink ref="B76" r:id="rId1650" location="'Основ'!B345" display="30/254-П УСКЗДО 2016-09-30 Отчет.xls - 'Основ'!B345"/>
    <hyperlink ref="B1095" r:id="rId1651" location="'Основ'!B346" display="30/254-П УСКЗДО 2016-09-30 Отчет.xls - 'Основ'!B346"/>
    <hyperlink ref="B1025" r:id="rId1652" location="'Основ'!B347" display="30/254-П УСКЗДО 2016-09-30 Отчет.xls - 'Основ'!B347"/>
    <hyperlink ref="B1026" r:id="rId1653" location="'Основ'!B348" display="30/254-П УСКЗДО 2016-09-30 Отчет.xls - 'Основ'!B348"/>
    <hyperlink ref="B1183" r:id="rId1654" location="'Основ'!B349" display="30/254-П УСКЗДО 2016-09-30 Отчет.xls - 'Основ'!B349"/>
    <hyperlink ref="B1649" r:id="rId1655" location="'Основ'!B350" display="30/254-П УСКЗДО 2016-09-30 Отчет.xls - 'Основ'!B350"/>
    <hyperlink ref="B117" r:id="rId1656" location="'Основ'!B351" display="30/254-П УСКЗДО 2016-09-30 Отчет.xls - 'Основ'!B351"/>
    <hyperlink ref="B144" r:id="rId1657" location="'Основ'!B352" display="30/254-П УСКЗДО 2016-09-30 Отчет.xls - 'Основ'!B352"/>
    <hyperlink ref="B145" r:id="rId1658" location="'Основ'!B353" display="30/254-П УСКЗДО 2016-09-30 Отчет.xls - 'Основ'!B353"/>
    <hyperlink ref="B146" r:id="rId1659" location="'Основ'!B354" display="30/254-П УСКЗДО 2016-09-30 Отчет.xls - 'Основ'!B354"/>
    <hyperlink ref="B1920" r:id="rId1660" location="'Основ'!B355" display="30/254-П УСКЗДО 2016-09-30 Отчет.xls - 'Основ'!B355"/>
    <hyperlink ref="B1842" r:id="rId1661" location="'Основ'!B356" display="30/254-П УСКЗДО 2016-09-30 Отчет.xls - 'Основ'!B356"/>
    <hyperlink ref="B1841" r:id="rId1662" location="'Основ'!B357" display="30/254-П УСКЗДО 2016-09-30 Отчет.xls - 'Основ'!B357"/>
    <hyperlink ref="B1051" r:id="rId1663" location="'Основ'!B358" display="30/254-П УСКЗДО 2016-09-30 Отчет.xls - 'Основ'!B358"/>
    <hyperlink ref="B1942" r:id="rId1664" location="'Основ'!B359" display="30/254-П УСКЗДО 2016-09-30 Отчет.xls - 'Основ'!B359"/>
    <hyperlink ref="B1110" r:id="rId1665" location="'Основ'!B360" display="30/254-П УСКЗДО 2016-09-30 Отчет.xls - 'Основ'!B360"/>
    <hyperlink ref="B1303" r:id="rId1666" location="'Основ'!B361" display="30/254-П УСКЗДО 2016-09-30 Отчет.xls - 'Основ'!B361"/>
    <hyperlink ref="B109" r:id="rId1667" location="'Основ'!B362" display="30/254-П УСКЗДО 2016-09-30 Отчет.xls - 'Основ'!B362"/>
    <hyperlink ref="B1131" r:id="rId1668" location="'Основ'!B363" display="30/254-П УСКЗДО 2016-09-30 Отчет.xls - 'Основ'!B363"/>
    <hyperlink ref="B1028" r:id="rId1669" location="'Основ'!B364" display="30/254-П УСКЗДО 2016-09-30 Отчет.xls - 'Основ'!B364"/>
    <hyperlink ref="B1082" r:id="rId1670" location="'Основ'!B365" display="30/254-П УСКЗДО 2016-09-30 Отчет.xls - 'Основ'!B365"/>
    <hyperlink ref="B1459" r:id="rId1671" location="'Основ'!B366" display="30/254-П УСКЗДО 2016-09-30 Отчет.xls - 'Основ'!B366"/>
    <hyperlink ref="B1383" r:id="rId1672" location="'Основ'!B367" display="30/254-П УСКЗДО 2016-09-30 Отчет.xls - 'Основ'!B367"/>
    <hyperlink ref="B1384" r:id="rId1673" location="'Основ'!B368" display="30/254-П УСКЗДО 2016-09-30 Отчет.xls - 'Основ'!B368"/>
    <hyperlink ref="B1381" r:id="rId1674" location="'Основ'!B369" display="30/254-П УСКЗДО 2016-09-30 Отчет.xls - 'Основ'!B369"/>
    <hyperlink ref="B1382" r:id="rId1675" location="'Основ'!B370" display="30/254-П УСКЗДО 2016-09-30 Отчет.xls - 'Основ'!B370"/>
    <hyperlink ref="B1115" r:id="rId1676" location="'Основ'!B371" display="30/254-П УСКЗДО 2016-09-30 Отчет.xls - 'Основ'!B371"/>
    <hyperlink ref="B1116" r:id="rId1677" location="'Основ'!B372" display="30/254-П УСКЗДО 2016-09-30 Отчет.xls - 'Основ'!B372"/>
    <hyperlink ref="B1322" r:id="rId1678" location="'Основ'!B373" display="30/254-П УСКЗДО 2016-09-30 Отчет.xls - 'Основ'!B373"/>
    <hyperlink ref="B126" r:id="rId1679" location="'Основ'!B374" display="30/254-П УСКЗДО 2016-09-30 Отчет.xls - 'Основ'!B374"/>
    <hyperlink ref="B127" r:id="rId1680" location="'Основ'!B375" display="30/254-П УСКЗДО 2016-09-30 Отчет.xls - 'Основ'!B375"/>
    <hyperlink ref="B1587" r:id="rId1681" location="'Основ'!B376" display="30/254-П УСКЗДО 2016-09-30 Отчет.xls - 'Основ'!B376"/>
    <hyperlink ref="B1585" r:id="rId1682" location="'Основ'!B377" display="30/254-П УСКЗДО 2016-09-30 Отчет.xls - 'Основ'!B377"/>
    <hyperlink ref="B997" r:id="rId1683" location="'Основ'!B378" display="30/254-П УСКЗДО 2016-09-30 Отчет.xls - 'Основ'!B378"/>
    <hyperlink ref="B998" r:id="rId1684" location="'Основ'!B379" display="30/254-П УСКЗДО 2016-09-30 Отчет.xls - 'Основ'!B379"/>
    <hyperlink ref="B1334" r:id="rId1685" location="'Основ'!B380" display="30/254-П УСКЗДО 2016-09-30 Отчет.xls - 'Основ'!B380"/>
    <hyperlink ref="B1175" r:id="rId1686" location="'Основ'!B381" display="30/254-П УСКЗДО 2016-09-30 Отчет.xls - 'Основ'!B381"/>
    <hyperlink ref="B1176" r:id="rId1687" location="'Основ'!B382" display="30/254-П УСКЗДО 2016-09-30 Отчет.xls - 'Основ'!B382"/>
    <hyperlink ref="B820" r:id="rId1688" location="'Основ'!B383" display="30/254-П УСКЗДО 2016-09-30 Отчет.xls - 'Основ'!B383"/>
    <hyperlink ref="B821" r:id="rId1689" location="'Основ'!B384" display="30/254-П УСКЗДО 2016-09-30 Отчет.xls - 'Основ'!B384"/>
    <hyperlink ref="B1552" r:id="rId1690" location="'Основ'!B385" display="30/254-П УСКЗДО 2016-09-30 Отчет.xls - 'Основ'!B385"/>
    <hyperlink ref="B1548" r:id="rId1691" location="'Основ'!B386" display="30/254-П УСКЗДО 2016-09-30 Отчет.xls - 'Основ'!B386"/>
    <hyperlink ref="B1494" r:id="rId1692" location="'Основ'!B387" display="30/254-П УСКЗДО 2016-09-30 Отчет.xls - 'Основ'!B387"/>
    <hyperlink ref="B1458" r:id="rId1693" location="'Основ'!B388" display="30/254-П УСКЗДО 2016-09-30 Отчет.xls - 'Основ'!B388"/>
    <hyperlink ref="B1375" r:id="rId1694" location="'Основ'!B389" display="30/254-П УСКЗДО 2016-09-30 Отчет.xls - 'Основ'!B389"/>
    <hyperlink ref="B1376" r:id="rId1695" location="'Основ'!B390" display="30/254-П УСКЗДО 2016-09-30 Отчет.xls - 'Основ'!B390"/>
    <hyperlink ref="B1377" r:id="rId1696" location="'Основ'!B391" display="30/254-П УСКЗДО 2016-09-30 Отчет.xls - 'Основ'!B391"/>
    <hyperlink ref="B1378" r:id="rId1697" location="'Основ'!B392" display="30/254-П УСКЗДО 2016-09-30 Отчет.xls - 'Основ'!B392"/>
    <hyperlink ref="B1379" r:id="rId1698" location="'Основ'!B393" display="30/254-П УСКЗДО 2016-09-30 Отчет.xls - 'Основ'!B393"/>
    <hyperlink ref="B1380" r:id="rId1699" location="'Основ'!B394" display="30/254-П УСКЗДО 2016-09-30 Отчет.xls - 'Основ'!B394"/>
    <hyperlink ref="B104" r:id="rId1700" location="'Основ'!B395" display="30/254-П УСКЗДО 2016-09-30 Отчет.xls - 'Основ'!B395"/>
    <hyperlink ref="B1331" r:id="rId1701" location="'Основ'!B396" display="30/254-П УСКЗДО 2016-09-30 Отчет.xls - 'Основ'!B396"/>
    <hyperlink ref="B1318" r:id="rId1702" location="'Основ'!B397" display="30/254-П УСКЗДО 2016-09-30 Отчет.xls - 'Основ'!B397"/>
    <hyperlink ref="B1319" r:id="rId1703" location="'Основ'!B398" display="30/254-П УСКЗДО 2016-09-30 Отчет.xls - 'Основ'!B398"/>
    <hyperlink ref="B1320" r:id="rId1704" location="'Основ'!B399" display="30/254-П УСКЗДО 2016-09-30 Отчет.xls - 'Основ'!B399"/>
    <hyperlink ref="B1321" r:id="rId1705" location="'Основ'!B400" display="30/254-П УСКЗДО 2016-09-30 Отчет.xls - 'Основ'!B400"/>
    <hyperlink ref="B1027" r:id="rId1706" location="'Основ'!B401" display="30/254-П УСКЗДО 2016-09-30 Отчет.xls - 'Основ'!B401"/>
    <hyperlink ref="B1200" r:id="rId1707" location="'Основ'!B402" display="30/254-П УСКЗДО 2016-09-30 Отчет.xls - 'Основ'!B402"/>
    <hyperlink ref="B1345" r:id="rId1708" location="'Основ'!B403" display="30/254-П УСКЗДО 2016-09-30 Отчет.xls - 'Основ'!B403"/>
    <hyperlink ref="B979" r:id="rId1709" location="'Основ'!B404" display="30/254-П УСКЗДО 2016-09-30 Отчет.xls - 'Основ'!B404"/>
    <hyperlink ref="B1500" r:id="rId1710" location="'Основ'!B405" display="30/254-П УСКЗДО 2016-09-30 Отчет.xls - 'Основ'!B405"/>
    <hyperlink ref="B1147" r:id="rId1711" location="'Основ'!B406" display="30/254-П УСКЗДО 2016-09-30 Отчет.xls - 'Основ'!B406"/>
    <hyperlink ref="B815" r:id="rId1712" location="'Основ'!B407" display="30/254-П УСКЗДО 2016-09-30 Отчет.xls - 'Основ'!B407"/>
    <hyperlink ref="B1323" r:id="rId1713" location="'Основ'!B408" display="30/254-П УСКЗДО 2016-09-30 Отчет.xls - 'Основ'!B408"/>
    <hyperlink ref="B1725" r:id="rId1714" location="'Основ'!B409" display="30/254-П УСКЗДО 2016-09-30 Отчет.xls - 'Основ'!B409"/>
    <hyperlink ref="B1938" r:id="rId1715" location="'Основ'!B410" display="30/254-П УСКЗДО 2016-09-30 Отчет.xls - 'Основ'!B410"/>
    <hyperlink ref="B99" r:id="rId1716" location="'Основ'!B411" display="30/254-П УСКЗДО 2016-09-30 Отчет.xls - 'Основ'!B411"/>
    <hyperlink ref="B100" r:id="rId1717" location="'Основ'!B412" display="30/254-П УСКЗДО 2016-09-30 Отчет.xls - 'Основ'!B412"/>
    <hyperlink ref="B1186" r:id="rId1718" location="'Основ'!B413" display="30/254-П УСКЗДО 2016-09-30 Отчет.xls - 'Основ'!B413"/>
    <hyperlink ref="B1134" r:id="rId1719" location="'Основ'!B414" display="30/254-П УСКЗДО 2016-09-30 Отчет.xls - 'Основ'!B414"/>
    <hyperlink ref="B1859" r:id="rId1720" location="'Основ'!B415" display="30/254-П УСКЗДО 2016-09-30 Отчет.xls - 'Основ'!B415"/>
    <hyperlink ref="B1858" r:id="rId1721" location="'Основ'!B416" display="30/254-П УСКЗДО 2016-09-30 Отчет.xls - 'Основ'!B416"/>
    <hyperlink ref="B120" r:id="rId1722" location="'Основ'!B417" display="30/254-П УСКЗДО 2016-09-30 Отчет.xls - 'Основ'!B417"/>
    <hyperlink ref="B271" r:id="rId1723" location="'Основ'!B418" display="30/254-П УСКЗДО 2016-09-30 Отчет.xls - 'Основ'!B418"/>
    <hyperlink ref="B272" r:id="rId1724" location="'Основ'!B419" display="30/254-П УСКЗДО 2016-09-30 Отчет.xls - 'Основ'!B419"/>
    <hyperlink ref="B1780" r:id="rId1725" location="'Основ'!B420" display="30/254-П УСКЗДО 2016-09-30 Отчет.xls - 'Основ'!B420"/>
    <hyperlink ref="B1781" r:id="rId1726" location="'Основ'!B421" display="30/254-П УСКЗДО 2016-09-30 Отчет.xls - 'Основ'!B421"/>
    <hyperlink ref="B1818" r:id="rId1727" location="'Основ'!B422" display="30/254-П УСКЗДО 2016-09-30 Отчет.xls - 'Основ'!B422"/>
    <hyperlink ref="B1346" r:id="rId1728" location="'Основ'!B423" display="30/254-П УСКЗДО 2016-09-30 Отчет.xls - 'Основ'!B423"/>
    <hyperlink ref="B63" r:id="rId1729" location="'Основ'!B424" display="30/254-П УСКЗДО 2016-09-30 Отчет.xls - 'Основ'!B424"/>
    <hyperlink ref="B64" r:id="rId1730" location="'Основ'!B425" display="30/254-П УСКЗДО 2016-09-30 Отчет.xls - 'Основ'!B425"/>
    <hyperlink ref="B65" r:id="rId1731" location="'Основ'!B426" display="30/254-П УСКЗДО 2016-09-30 Отчет.xls - 'Основ'!B426"/>
    <hyperlink ref="B66" r:id="rId1732" location="'Основ'!B427" display="30/254-П УСКЗДО 2016-09-30 Отчет.xls - 'Основ'!B427"/>
    <hyperlink ref="B980" r:id="rId1733" location="'Основ'!B428" display="30/254-П УСКЗДО 2016-09-30 Отчет.xls - 'Основ'!B428"/>
    <hyperlink ref="B981" r:id="rId1734" location="'Основ'!B429" display="30/254-П УСКЗДО 2016-09-30 Отчет.xls - 'Основ'!B429"/>
    <hyperlink ref="B826" r:id="rId1735" location="'Основ'!B430" display="30/254-П УСКЗДО 2016-09-30 Отчет.xls - 'Основ'!B430"/>
    <hyperlink ref="B1873" r:id="rId1736" location="'Основ'!B431" display="30/254-П УСКЗДО 2016-09-30 Отчет.xls - 'Основ'!B431"/>
    <hyperlink ref="B1874" r:id="rId1737" location="'Основ'!B432" display="30/254-П УСКЗДО 2016-09-30 Отчет.xls - 'Основ'!B432"/>
    <hyperlink ref="B1135" r:id="rId1738" location="'Основ'!B433" display="30/254-П УСКЗДО 2016-09-30 Отчет.xls - 'Основ'!B433"/>
    <hyperlink ref="B1885" r:id="rId1739" location="'Основ'!B434" display="30/254-П УСКЗДО 2016-09-30 Отчет.xls - 'Основ'!B434"/>
    <hyperlink ref="B1901" r:id="rId1740" location="'Основ'!B435" display="30/254-П УСКЗДО 2016-09-30 Отчет.xls - 'Основ'!B435"/>
    <hyperlink ref="B1136" r:id="rId1741" location="'Основ'!B436" display="30/254-П УСКЗДО 2016-09-30 Отчет.xls - 'Основ'!B436"/>
    <hyperlink ref="B1861" r:id="rId1742" location="'Основ'!B437" display="30/254-П УСКЗДО 2016-09-30 Отчет.xls - 'Основ'!B437"/>
    <hyperlink ref="B122" r:id="rId1743" location="'Основ'!B438" display="30/254-П УСКЗДО 2016-09-30 Отчет.xls - 'Основ'!B438"/>
    <hyperlink ref="B1498" r:id="rId1744" location="'Основ'!B439" display="30/254-П УСКЗДО 2016-09-30 Отчет.xls - 'Основ'!B439"/>
    <hyperlink ref="B1499" r:id="rId1745" location="'Основ'!B440" display="30/254-П УСКЗДО 2016-09-30 Отчет.xls - 'Основ'!B440"/>
    <hyperlink ref="B1549" r:id="rId1746" location="'Основ'!B441" display="30/254-П УСКЗДО 2016-09-30 Отчет.xls - 'Основ'!B441"/>
    <hyperlink ref="B1550" r:id="rId1747" location="'Основ'!B442" display="30/254-П УСКЗДО 2016-09-30 Отчет.xls - 'Основ'!B442"/>
    <hyperlink ref="B1551" r:id="rId1748" location="'Основ'!B443" display="30/254-П УСКЗДО 2016-09-30 Отчет.xls - 'Основ'!B443"/>
    <hyperlink ref="B1156" r:id="rId1749" location="'Основ'!B444" display="30/254-П УСКЗДО 2016-09-30 Отчет.xls - 'Основ'!B444"/>
    <hyperlink ref="B1157" r:id="rId1750" location="'Основ'!B445" display="30/254-П УСКЗДО 2016-09-30 Отчет.xls - 'Основ'!B445"/>
    <hyperlink ref="B1159" r:id="rId1751" location="'Основ'!B446" display="30/254-П УСКЗДО 2016-09-30 Отчет.xls - 'Основ'!B446"/>
    <hyperlink ref="B1158" r:id="rId1752" location="'Основ'!B447" display="30/254-П УСКЗДО 2016-09-30 Отчет.xls - 'Основ'!B447"/>
    <hyperlink ref="B870" r:id="rId1753" location="'Основ'!B448" display="30/254-П УСКЗДО 2016-09-30 Отчет.xls - 'Основ'!B448"/>
    <hyperlink ref="B871" r:id="rId1754" location="'Основ'!B449" display="30/254-П УСКЗДО 2016-09-30 Отчет.xls - 'Основ'!B449"/>
    <hyperlink ref="B498" r:id="rId1755" location="'Основ'!B450" display="30/254-П УСКЗДО 2016-09-30 Отчет.xls - 'Основ'!B450"/>
    <hyperlink ref="B1741" r:id="rId1756" location="'Основ'!B451" display="30/254-П УСКЗДО 2016-09-30 Отчет.xls - 'Основ'!B451"/>
    <hyperlink ref="B1869" r:id="rId1757" location="'Основ'!B452" display="30/254-П УСКЗДО 2016-09-30 Отчет.xls - 'Основ'!B452"/>
    <hyperlink ref="B1864" r:id="rId1758" location="'Основ'!B453" display="30/254-П УСКЗДО 2016-09-30 Отчет.xls - 'Основ'!B453"/>
    <hyperlink ref="B808" r:id="rId1759" location="'Основ'!B454" display="30/254-П УСКЗДО 2016-09-30 Отчет.xls - 'Основ'!B454"/>
    <hyperlink ref="B888" r:id="rId1760" location="'Основ'!B455" display="30/254-П УСКЗДО 2016-09-30 Отчет.xls - 'Основ'!B455"/>
    <hyperlink ref="B845" r:id="rId1761" location="'Основ'!B456" display="30/254-П УСКЗДО 2016-09-30 Отчет.xls - 'Основ'!B456"/>
    <hyperlink ref="B211" r:id="rId1762" location="'Основ'!B457" display="30/254-П УСКЗДО 2016-09-30 Отчет.xls - 'Основ'!B457"/>
    <hyperlink ref="B1770" r:id="rId1763" location="'Основ'!B458" display="30/254-П УСКЗДО 2016-09-30 Отчет.xls - 'Основ'!B458"/>
    <hyperlink ref="B1821" r:id="rId1764" location="'Основ'!B459" display="30/254-П УСКЗДО 2016-09-30 Отчет.xls - 'Основ'!B459"/>
    <hyperlink ref="B824" r:id="rId1765" location="'Основ'!B460" display="30/254-П УСКЗДО 2016-09-30 Отчет.xls - 'Основ'!B460"/>
    <hyperlink ref="B1882" r:id="rId1766" location="'Основ'!B461" display="30/254-П УСКЗДО 2016-09-30 Отчет.xls - 'Основ'!B461"/>
    <hyperlink ref="B825" r:id="rId1767" location="'Основ'!B462" display="30/254-П УСКЗДО 2016-09-30 Отчет.xls - 'Основ'!B462"/>
    <hyperlink ref="B1891" r:id="rId1768" location="'Основ'!B463" display="30/254-П УСКЗДО 2016-09-30 Отчет.xls - 'Основ'!B463"/>
    <hyperlink ref="B1862" r:id="rId1769" location="'Основ'!B464" display="30/254-П УСКЗДО 2016-09-30 Отчет.xls - 'Основ'!B464"/>
    <hyperlink ref="B809" r:id="rId1770" location="'Основ'!B465" display="30/254-П УСКЗДО 2016-09-30 Отчет.xls - 'Основ'!B465"/>
    <hyperlink ref="B879" r:id="rId1771" location="'Основ'!B466" display="30/254-П УСКЗДО 2016-09-30 Отчет.xls - 'Основ'!B466"/>
    <hyperlink ref="B880" r:id="rId1772" location="'Основ'!B467" display="30/254-П УСКЗДО 2016-09-30 Отчет.xls - 'Основ'!B467"/>
    <hyperlink ref="B1822" r:id="rId1773" location="'Основ'!B468" display="30/254-П УСКЗДО 2016-09-30 Отчет.xls - 'Основ'!B468"/>
    <hyperlink ref="B1868" r:id="rId1774" location="'Основ'!B469" display="30/254-П УСКЗДО 2016-09-30 Отчет.xls - 'Основ'!B469"/>
    <hyperlink ref="B502" r:id="rId1775" location="'Основ'!B470" display="30/254-П УСКЗДО 2016-09-30 Отчет.xls - 'Основ'!B470"/>
    <hyperlink ref="B503" r:id="rId1776" location="'Основ'!B471" display="30/254-П УСКЗДО 2016-09-30 Отчет.xls - 'Основ'!B471"/>
    <hyperlink ref="B827" r:id="rId1777" location="'Основ'!B472" display="30/254-П УСКЗДО 2016-09-30 Отчет.xls - 'Основ'!B472"/>
    <hyperlink ref="B873" r:id="rId1778" location="'Основ'!B473" display="30/254-П УСКЗДО 2016-09-30 Отчет.xls - 'Основ'!B473"/>
    <hyperlink ref="B874" r:id="rId1779" location="'Основ'!B474" display="30/254-П УСКЗДО 2016-09-30 Отчет.xls - 'Основ'!B474"/>
    <hyperlink ref="B872" r:id="rId1780" location="'Основ'!B475" display="30/254-П УСКЗДО 2016-09-30 Отчет.xls - 'Основ'!B475"/>
    <hyperlink ref="B875" r:id="rId1781" location="'Основ'!B476" display="30/254-П УСКЗДО 2016-09-30 Отчет.xls - 'Основ'!B476"/>
    <hyperlink ref="B876" r:id="rId1782" location="'Основ'!B477" display="30/254-П УСКЗДО 2016-09-30 Отчет.xls - 'Основ'!B477"/>
    <hyperlink ref="B1876" r:id="rId1783" location="'Основ'!B478" display="30/254-П УСКЗДО 2016-09-30 Отчет.xls - 'Основ'!B478"/>
    <hyperlink ref="B877" r:id="rId1784" location="'Основ'!B479" display="30/254-П УСКЗДО 2016-09-30 Отчет.xls - 'Основ'!B479"/>
    <hyperlink ref="B878" r:id="rId1785" location="'Основ'!B480" display="30/254-П УСКЗДО 2016-09-30 Отчет.xls - 'Основ'!B480"/>
    <hyperlink ref="B1863" r:id="rId1786" location="'Основ'!B481" display="30/254-П УСКЗДО 2016-09-30 Отчет.xls - 'Основ'!B481"/>
    <hyperlink ref="B1879" r:id="rId1787" location="'Основ'!B482" display="30/254-П УСКЗДО 2016-09-30 Отчет.xls - 'Основ'!B482"/>
    <hyperlink ref="B1884" r:id="rId1788" location="'Основ'!B483" display="30/254-П УСКЗДО 2016-09-30 Отчет.xls - 'Основ'!B483"/>
    <hyperlink ref="B1867" r:id="rId1789" location="'Основ'!B484" display="30/254-П УСКЗДО 2016-09-30 Отчет.xls - 'Основ'!B484"/>
    <hyperlink ref="B1871" r:id="rId1790" location="'Основ'!B485" display="30/254-П УСКЗДО 2016-09-30 Отчет.xls - 'Основ'!B485"/>
    <hyperlink ref="B1772" r:id="rId1791" location="'Основ'!B486" display="30/254-П УСКЗДО 2016-09-30 Отчет.xls - 'Основ'!B486"/>
    <hyperlink ref="B1877" r:id="rId1792" location="'Основ'!B487" display="30/254-П УСКЗДО 2016-09-30 Отчет.xls - 'Основ'!B487"/>
    <hyperlink ref="B1878" r:id="rId1793" location="'Основ'!B488" display="30/254-П УСКЗДО 2016-09-30 Отчет.xls - 'Основ'!B488"/>
    <hyperlink ref="B1872" r:id="rId1794" location="'Основ'!B489" display="30/254-П УСКЗДО 2016-09-30 Отчет.xls - 'Основ'!B489"/>
    <hyperlink ref="B1773" r:id="rId1795" location="'Основ'!B490" display="30/254-П УСКЗДО 2016-09-30 Отчет.xls - 'Основ'!B490"/>
    <hyperlink ref="B1865" r:id="rId1796" location="'Основ'!B491" display="30/254-П УСКЗДО 2016-09-30 Отчет.xls - 'Основ'!B491"/>
    <hyperlink ref="B1890" r:id="rId1797" location="'Основ'!B492" display="30/254-П УСКЗДО 2016-09-30 Отчет.xls - 'Основ'!B492"/>
    <hyperlink ref="B1875" r:id="rId1798" location="'Основ'!B493" display="30/254-П УСКЗДО 2016-09-30 Отчет.xls - 'Основ'!B493"/>
    <hyperlink ref="B1888" r:id="rId1799" location="'Основ'!B494" display="30/254-П УСКЗДО 2016-09-30 Отчет.xls - 'Основ'!B494"/>
    <hyperlink ref="B1902" r:id="rId1800" location="'Основ'!B495" display="30/254-П УСКЗДО 2016-09-30 Отчет.xls - 'Основ'!B495"/>
    <hyperlink ref="B1880" r:id="rId1801" location="'Основ'!B496" display="30/254-П УСКЗДО 2016-09-30 Отчет.xls - 'Основ'!B496"/>
    <hyperlink ref="B1889" r:id="rId1802" location="'Основ'!B497" display="30/254-П УСКЗДО 2016-09-30 Отчет.xls - 'Основ'!B497"/>
    <hyperlink ref="B255" r:id="rId1803" location="'Основ'!B498" display="30/254-П УСКЗДО 2016-09-30 Отчет.xls - 'Основ'!B498"/>
    <hyperlink ref="B256" r:id="rId1804" location="'Основ'!B499" display="30/254-П УСКЗДО 2016-09-30 Отчет.xls - 'Основ'!B499"/>
    <hyperlink ref="B1774" r:id="rId1805" location="'Основ'!B500" display="30/254-П УСКЗДО 2016-09-30 Отчет.xls - 'Основ'!B500"/>
    <hyperlink ref="B1886" r:id="rId1806" location="'Основ'!B501" display="30/254-П УСКЗДО 2016-09-30 Отчет.xls - 'Основ'!B501"/>
    <hyperlink ref="B1887" r:id="rId1807" location="'Основ'!B502" display="30/254-П УСКЗДО 2016-09-30 Отчет.xls - 'Основ'!B502"/>
    <hyperlink ref="B1897" r:id="rId1808" location="'Основ'!B503" display="30/254-П УСКЗДО 2016-09-30 Отчет.xls - 'Основ'!B503"/>
    <hyperlink ref="B1831" r:id="rId1809" location="'Основ'!B504" display="30/254-П УСКЗДО 2016-09-30 Отчет.xls - 'Основ'!B504"/>
    <hyperlink ref="B769" r:id="rId1810" location="'Основ'!B505" display="30/254-П УСКЗДО 2016-09-30 Отчет.xls - 'Основ'!B505"/>
    <hyperlink ref="B1130" r:id="rId1811" location="'Основ'!B506" display="30/254-П УСКЗДО 2016-09-30 Отчет.xls - 'Основ'!B506"/>
    <hyperlink ref="B263" r:id="rId1812" location="'Основ'!B507" display="30/254-П УСКЗДО 2016-09-30 Отчет.xls - 'Основ'!B507"/>
    <hyperlink ref="B1308" r:id="rId1813" location="'Основ'!B508" display="30/254-П УСКЗДО 2016-09-30 Отчет.xls - 'Основ'!B508"/>
    <hyperlink ref="B1146" r:id="rId1814" location="'Основ'!B509" display="30/254-П УСКЗДО 2016-09-30 Отчет.xls - 'Основ'!B509"/>
    <hyperlink ref="B768" r:id="rId1815" location="'Основ'!B510" display="30/254-П УСКЗДО 2016-09-30 Отчет.xls - 'Основ'!B510"/>
    <hyperlink ref="B1084" r:id="rId1816" location="'Основ'!B511" display="30/254-П УСКЗДО 2016-09-30 Отчет.xls - 'Основ'!B511"/>
    <hyperlink ref="B1174" r:id="rId1817" location="'Основ'!B512" display="30/254-П УСКЗДО 2016-09-30 Отчет.xls - 'Основ'!B512"/>
    <hyperlink ref="B1201" r:id="rId1818" location="'Основ'!B513" display="30/254-П УСКЗДО 2016-09-30 Отчет.xls - 'Основ'!B513"/>
    <hyperlink ref="B1029" r:id="rId1819" location="'Основ'!B514" display="30/254-П УСКЗДО 2016-09-30 Отчет.xls - 'Основ'!B514"/>
    <hyperlink ref="B1085" r:id="rId1820" location="'Основ'!B515" display="30/254-П УСКЗДО 2016-09-30 Отчет.xls - 'Основ'!B515"/>
    <hyperlink ref="B1444" r:id="rId1821" location="'Основ'!B516" display="30/254-П УСКЗДО 2016-09-30 Отчет.xls - 'Основ'!B516"/>
    <hyperlink ref="B822" r:id="rId1822" location="'Основ'!B517" display="30/254-П УСКЗДО 2016-09-30 Отчет.xls - 'Основ'!B517"/>
    <hyperlink ref="B1593" r:id="rId1823" location="'Основ'!B518" display="30/254-П УСКЗДО 2016-09-30 Отчет.xls - 'Основ'!B518"/>
    <hyperlink ref="B1594" r:id="rId1824" location="'Основ'!B519" display="30/254-П УСКЗДО 2016-09-30 Отчет.xls - 'Основ'!B519"/>
    <hyperlink ref="B1177" r:id="rId1825" location="'Основ'!B520" display="30/254-П УСКЗДО 2016-09-30 Отчет.xls - 'Основ'!B520"/>
    <hyperlink ref="B128" r:id="rId1826" location="'Основ'!B521" display="30/254-П УСКЗДО 2016-09-30 Отчет.xls - 'Основ'!B521"/>
    <hyperlink ref="B999" r:id="rId1827" location="'Основ'!B522" display="30/254-П УСКЗДО 2016-09-30 Отчет.xls - 'Основ'!B522"/>
    <hyperlink ref="B902" r:id="rId1828" location="'Основ'!B523" display="30/254-П УСКЗДО 2016-09-30 Отчет.xls - 'Основ'!B523"/>
    <hyperlink ref="B1333" r:id="rId1829" location="'Основ'!B524" display="30/254-П УСКЗДО 2016-09-30 Отчет.xls - 'Основ'!B524"/>
    <hyperlink ref="B1461" r:id="rId1830" location="'Основ'!B525" display="30/254-П УСКЗДО 2016-09-30 Отчет.xls - 'Основ'!B525"/>
    <hyperlink ref="B1462" r:id="rId1831" location="'Основ'!B526" display="30/254-П УСКЗДО 2016-09-30 Отчет.xls - 'Основ'!B526"/>
    <hyperlink ref="B993" r:id="rId1832" location="'Основ'!B527" display="30/254-П УСКЗДО 2016-09-30 Отчет.xls - 'Основ'!B527"/>
    <hyperlink ref="B124" r:id="rId1833" location="'Основ'!B528" display="30/254-П УСКЗДО 2016-09-30 Отчет.xls - 'Основ'!B528"/>
    <hyperlink ref="B1566" r:id="rId1834" location="'Основ'!B529" display="30/254-П УСКЗДО 2016-09-30 Отчет.xls - 'Основ'!B529"/>
    <hyperlink ref="B1148" r:id="rId1835" location="'Основ'!B530" display="30/254-П УСКЗДО 2016-09-30 Отчет.xls - 'Основ'!B530"/>
    <hyperlink ref="B889" r:id="rId1836" location="'Основ'!B531" display="30/254-П УСКЗДО 2016-09-30 Отчет.xls - 'Основ'!B531"/>
    <hyperlink ref="B890" r:id="rId1837" location="'Основ'!B532" display="30/254-П УСКЗДО 2016-09-30 Отчет.xls - 'Основ'!B532"/>
    <hyperlink ref="B1743" r:id="rId1838" location="'Основ'!B533" display="30/254-П УСКЗДО 2016-09-30 Отчет.xls - 'Основ'!B533"/>
    <hyperlink ref="B1202" r:id="rId1839" location="'Основ'!B534" display="30/254-П УСКЗДО 2016-09-30 Отчет.xls - 'Основ'!B534"/>
    <hyperlink ref="B1049" r:id="rId1840" location="'Основ'!B535" display="30/254-П УСКЗДО 2016-09-30 Отчет.xls - 'Основ'!B535"/>
    <hyperlink ref="B1742" r:id="rId1841" location="'Основ'!B536" display="30/254-П УСКЗДО 2016-09-30 Отчет.xls - 'Основ'!B536"/>
    <hyperlink ref="B1823" r:id="rId1842" location="'Основ'!B537" display="30/254-П УСКЗДО 2016-09-30 Отчет.xls - 'Основ'!B537"/>
    <hyperlink ref="B1824" r:id="rId1843" location="'Основ'!B538" display="30/254-П УСКЗДО 2016-09-30 Отчет.xls - 'Основ'!B538"/>
    <hyperlink ref="B1005" r:id="rId1844" location="'Основ'!B539" display="30/254-П УСКЗДО 2016-09-30 Отчет.xls - 'Основ'!B539"/>
    <hyperlink ref="B103" r:id="rId1845" location="'Основ'!B540" display="30/254-П УСКЗДО 2016-09-30 Отчет.xls - 'Основ'!B540"/>
    <hyperlink ref="B1881" r:id="rId1846" location="'Основ'!B541" display="30/254-П УСКЗДО 2016-09-30 Отчет.xls - 'Основ'!B541"/>
    <hyperlink ref="B1894" r:id="rId1847" location="'Основ'!B542" display="30/254-П УСКЗДО 2016-09-30 Отчет.xls - 'Основ'!B542"/>
    <hyperlink ref="B1895" r:id="rId1848" location="'Основ'!B543" display="30/254-П УСКЗДО 2016-09-30 Отчет.xls - 'Основ'!B543"/>
    <hyperlink ref="B1460" r:id="rId1849" location="'Основ'!B544" display="30/254-П УСКЗДО 2016-09-30 Отчет.xls - 'Основ'!B544"/>
    <hyperlink ref="B988" r:id="rId1850" location="'Основ'!B545" display="30/254-П УСКЗДО 2016-09-30 Отчет.xls - 'Основ'!B545"/>
    <hyperlink ref="B1716" r:id="rId1851" location="'Основ'!B546" display="30/254-П УСКЗДО 2016-09-30 Отчет.xls - 'Основ'!B546"/>
    <hyperlink ref="B1714" r:id="rId1852" location="'Основ'!B547" display="30/254-П УСКЗДО 2016-09-30 Отчет.xls - 'Основ'!B547"/>
    <hyperlink ref="B1355" r:id="rId1853" location="'Основ'!B548" display="30/254-П УСКЗДО 2016-09-30 Отчет.xls - 'Основ'!B548"/>
    <hyperlink ref="B1715" r:id="rId1854" location="'Основ'!B549" display="30/254-П УСКЗДО 2016-09-30 Отчет.xls - 'Основ'!B549"/>
    <hyperlink ref="B1656" r:id="rId1855" location="'Основ'!B550" display="30/254-П УСКЗДО 2016-09-30 Отчет.xls - 'Основ'!B550"/>
    <hyperlink ref="B245" r:id="rId1856" location="'Основ'!B551" display="30/254-П УСКЗДО 2016-09-30 Отчет.xls - 'Основ'!B551"/>
    <hyperlink ref="B810" r:id="rId1857" location="'Основ'!B552" display="30/254-П УСКЗДО 2016-09-30 Отчет.xls - 'Основ'!B552"/>
    <hyperlink ref="B1329" r:id="rId1858" location="'Основ'!B553" display="30/254-П УСКЗДО 2016-09-30 Отчет.xls - 'Основ'!B553"/>
    <hyperlink ref="B1240" r:id="rId1859" location="'Основ'!B554" display="30/254-П УСКЗДО 2016-09-30 Отчет.xls - 'Основ'!B554"/>
    <hyperlink ref="B1241" r:id="rId1860" location="'Основ'!B555" display="30/254-П УСКЗДО 2016-09-30 Отчет.xls - 'Основ'!B555"/>
    <hyperlink ref="B1235" r:id="rId1861" location="'Основ'!B556" display="30/254-П УСКЗДО 2016-09-30 Отчет.xls - 'Основ'!B556"/>
    <hyperlink ref="B1236" r:id="rId1862" location="'Основ'!B557" display="30/254-П УСКЗДО 2016-09-30 Отчет.xls - 'Основ'!B557"/>
    <hyperlink ref="B1237" r:id="rId1863" location="'Основ'!B558" display="30/254-П УСКЗДО 2016-09-30 Отчет.xls - 'Основ'!B558"/>
    <hyperlink ref="B1238" r:id="rId1864" location="'Основ'!B559" display="30/254-П УСКЗДО 2016-09-30 Отчет.xls - 'Основ'!B559"/>
    <hyperlink ref="B1239" r:id="rId1865" location="'Основ'!B560" display="30/254-П УСКЗДО 2016-09-30 Отчет.xls - 'Основ'!B560"/>
    <hyperlink ref="B1242" r:id="rId1866" location="'Основ'!B561" display="30/254-П УСКЗДО 2016-09-30 Отчет.xls - 'Основ'!B561"/>
    <hyperlink ref="B1243" r:id="rId1867" location="'Основ'!B562" display="30/254-П УСКЗДО 2016-09-30 Отчет.xls - 'Основ'!B562"/>
    <hyperlink ref="B1919" r:id="rId1868" location="'Основ'!B563" display="30/254-П УСКЗДО 2016-09-30 Отчет.xls - 'Основ'!B563"/>
    <hyperlink ref="B1779" r:id="rId1869" location="'Основ'!B564" display="30/254-П УСКЗДО 2016-09-30 Отчет.xls - 'Основ'!B564"/>
    <hyperlink ref="B950" r:id="rId1870" location="'Основ'!B565" display="30/254-П УСКЗДО 2016-09-30 Отчет.xls - 'Основ'!B565"/>
    <hyperlink ref="B1730" r:id="rId1871" location="'Основ'!B566" display="30/254-П УСКЗДО 2016-09-30 Отчет.xls - 'Основ'!B566"/>
    <hyperlink ref="B1816" r:id="rId1872" location="'Основ'!B567" display="30/254-П УСКЗДО 2016-09-30 Отчет.xls - 'Основ'!B567"/>
    <hyperlink ref="B852" r:id="rId1873" location="'Основ'!B568" display="30/254-П УСКЗДО 2016-09-30 Отчет.xls - 'Основ'!B568"/>
    <hyperlink ref="B853" r:id="rId1874" location="'Основ'!B569" display="30/254-П УСКЗДО 2016-09-30 Отчет.xls - 'Основ'!B569"/>
    <hyperlink ref="B854" r:id="rId1875" location="'Основ'!B570" display="30/254-П УСКЗДО 2016-09-30 Отчет.xls - 'Основ'!B570"/>
    <hyperlink ref="B855" r:id="rId1876" location="'Основ'!B571" display="30/254-П УСКЗДО 2016-09-30 Отчет.xls - 'Основ'!B571"/>
    <hyperlink ref="B806" r:id="rId1877" location="'Основ'!B572" display="30/254-П УСКЗДО 2016-09-30 Отчет.xls - 'Основ'!B572"/>
    <hyperlink ref="B1227" r:id="rId1878" location="'Основ'!B573" display="30/254-П УСКЗДО 2016-09-30 Отчет.xls - 'Основ'!B573"/>
    <hyperlink ref="B1228" r:id="rId1879" location="'Основ'!B574" display="30/254-П УСКЗДО 2016-09-30 Отчет.xls - 'Основ'!B574"/>
    <hyperlink ref="B1270" r:id="rId1880" location="'Основ'!B575" display="30/254-П УСКЗДО 2016-09-30 Отчет.xls - 'Основ'!B575"/>
    <hyperlink ref="B995" r:id="rId1881" location="'Основ'!B576" display="30/254-П УСКЗДО 2016-09-30 Отчет.xls - 'Основ'!B576"/>
    <hyperlink ref="B996" r:id="rId1882" location="'Основ'!B577" display="30/254-П УСКЗДО 2016-09-30 Отчет.xls - 'Основ'!B577"/>
    <hyperlink ref="B95" r:id="rId1883" location="'Основ'!B578" display="30/254-П УСКЗДО 2016-09-30 Отчет.xls - 'Основ'!B578"/>
    <hyperlink ref="B88" r:id="rId1884" location="'Основ'!B579" display="30/254-П УСКЗДО 2016-09-30 Отчет.xls - 'Основ'!B579"/>
    <hyperlink ref="B96" r:id="rId1885" location="'Основ'!B580" display="30/254-П УСКЗДО 2016-09-30 Отчет.xls - 'Основ'!B580"/>
    <hyperlink ref="B93" r:id="rId1886" location="'Основ'!B581" display="30/254-П УСКЗДО 2016-09-30 Отчет.xls - 'Основ'!B581"/>
    <hyperlink ref="B81" r:id="rId1887" location="'Основ'!B582" display="30/254-П УСКЗДО 2016-09-30 Отчет.xls - 'Основ'!B582"/>
    <hyperlink ref="B91" r:id="rId1888" location="'Основ'!B583" display="30/254-П УСКЗДО 2016-09-30 Отчет.xls - 'Основ'!B583"/>
    <hyperlink ref="B1271" r:id="rId1889" location="'Основ'!B584" display="30/254-П УСКЗДО 2016-09-30 Отчет.xls - 'Основ'!B584"/>
    <hyperlink ref="B92" r:id="rId1890" location="'Основ'!B585" display="30/254-П УСКЗДО 2016-09-30 Отчет.xls - 'Основ'!B585"/>
    <hyperlink ref="B1251" r:id="rId1891" location="'Основ'!B586" display="30/254-П УСКЗДО 2016-09-30 Отчет.xls - 'Основ'!B586"/>
    <hyperlink ref="B836" r:id="rId1892" location="'Основ'!B587" display="30/254-П УСКЗДО 2016-09-30 Отчет.xls - 'Основ'!B587"/>
    <hyperlink ref="B834" r:id="rId1893" location="'Основ'!B588" display="30/254-П УСКЗДО 2016-09-30 Отчет.xls - 'Основ'!B588"/>
    <hyperlink ref="B1188" r:id="rId1894" location="'Основ'!B589" display="30/254-П УСКЗДО 2016-09-30 Отчет.xls - 'Основ'!B589"/>
    <hyperlink ref="B86" r:id="rId1895" location="'Основ'!B590" display="30/254-П УСКЗДО 2016-09-30 Отчет.xls - 'Основ'!B590"/>
    <hyperlink ref="B841" r:id="rId1896" location="'Основ'!B591" display="30/254-П УСКЗДО 2016-09-30 Отчет.xls - 'Основ'!B591"/>
    <hyperlink ref="B829" r:id="rId1897" location="'Основ'!B592" display="30/254-П УСКЗДО 2016-09-30 Отчет.xls - 'Основ'!B592"/>
    <hyperlink ref="B84" r:id="rId1898" location="'Основ'!B593" display="30/254-П УСКЗДО 2016-09-30 Отчет.xls - 'Основ'!B593"/>
    <hyperlink ref="B842" r:id="rId1899" location="'Основ'!B594" display="30/254-П УСКЗДО 2016-09-30 Отчет.xls - 'Основ'!B594"/>
    <hyperlink ref="B838" r:id="rId1900" location="'Основ'!B595" display="30/254-П УСКЗДО 2016-09-30 Отчет.xls - 'Основ'!B595"/>
    <hyperlink ref="B832" r:id="rId1901" location="'Основ'!B596" display="30/254-П УСКЗДО 2016-09-30 Отчет.xls - 'Основ'!B596"/>
    <hyperlink ref="B843" r:id="rId1902" location="'Основ'!B597" display="30/254-П УСКЗДО 2016-09-30 Отчет.xls - 'Основ'!B597"/>
    <hyperlink ref="B835" r:id="rId1903" location="'Основ'!B598" display="30/254-П УСКЗДО 2016-09-30 Отчет.xls - 'Основ'!B598"/>
    <hyperlink ref="B98" r:id="rId1904" location="'Основ'!B599" display="30/254-П УСКЗДО 2016-09-30 Отчет.xls - 'Основ'!B599"/>
    <hyperlink ref="B85" r:id="rId1905" location="'Основ'!B600" display="30/254-П УСКЗДО 2016-09-30 Отчет.xls - 'Основ'!B600"/>
    <hyperlink ref="B837" r:id="rId1906" location="'Основ'!B601" display="30/254-П УСКЗДО 2016-09-30 Отчет.xls - 'Основ'!B601"/>
    <hyperlink ref="B1283" r:id="rId1907" location="'Основ'!B602" display="30/254-П УСКЗДО 2016-09-30 Отчет.xls - 'Основ'!B602"/>
    <hyperlink ref="B1249" r:id="rId1908" location="'Основ'!B603" display="30/254-П УСКЗДО 2016-09-30 Отчет.xls - 'Основ'!B603"/>
    <hyperlink ref="B1250" r:id="rId1909" location="'Основ'!B604" display="30/254-П УСКЗДО 2016-09-30 Отчет.xls - 'Основ'!B604"/>
    <hyperlink ref="B90" r:id="rId1910" location="'Основ'!B605" display="30/254-П УСКЗДО 2016-09-30 Отчет.xls - 'Основ'!B605"/>
    <hyperlink ref="B97" r:id="rId1911" location="'Основ'!B606" display="30/254-П УСКЗДО 2016-09-30 Отчет.xls - 'Основ'!B606"/>
    <hyperlink ref="B1187" r:id="rId1912" location="'Основ'!B607" display="30/254-П УСКЗДО 2016-09-30 Отчет.xls - 'Основ'!B607"/>
    <hyperlink ref="B83" r:id="rId1913" location="'Основ'!B608" display="30/254-П УСКЗДО 2016-09-30 Отчет.xls - 'Основ'!B608"/>
    <hyperlink ref="B89" r:id="rId1914" location="'Основ'!B609" display="30/254-П УСКЗДО 2016-09-30 Отчет.xls - 'Основ'!B609"/>
    <hyperlink ref="B1284" r:id="rId1915" location="'Основ'!B610" display="30/254-П УСКЗДО 2016-09-30 Отчет.xls - 'Основ'!B610"/>
    <hyperlink ref="B94" r:id="rId1916" location="'Основ'!B611" display="30/254-П УСКЗДО 2016-09-30 Отчет.xls - 'Основ'!B611"/>
    <hyperlink ref="B1190" r:id="rId1917" location="'Основ'!B612" display="30/254-П УСКЗДО 2016-09-30 Отчет.xls - 'Основ'!B612"/>
    <hyperlink ref="B1191" r:id="rId1918" location="'Основ'!B613" display="30/254-П УСКЗДО 2016-09-30 Отчет.xls - 'Основ'!B613"/>
    <hyperlink ref="B87" r:id="rId1919" location="'Основ'!B614" display="30/254-П УСКЗДО 2016-09-30 Отчет.xls - 'Основ'!B614"/>
    <hyperlink ref="B1245" r:id="rId1920" location="'Основ'!B615" display="30/254-П УСКЗДО 2016-09-30 Отчет.xls - 'Основ'!B615"/>
    <hyperlink ref="B1246" r:id="rId1921" location="'Основ'!B616" display="30/254-П УСКЗДО 2016-09-30 Отчет.xls - 'Основ'!B616"/>
    <hyperlink ref="B1252" r:id="rId1922" location="'Основ'!B617" display="30/254-П УСКЗДО 2016-09-30 Отчет.xls - 'Основ'!B617"/>
    <hyperlink ref="B80" r:id="rId1923" location="'Основ'!B618" display="30/254-П УСКЗДО 2016-09-30 Отчет.xls - 'Основ'!B618"/>
    <hyperlink ref="B1193" r:id="rId1924" location="'Основ'!B619" display="30/254-П УСКЗДО 2016-09-30 Отчет.xls - 'Основ'!B619"/>
    <hyperlink ref="B1244" r:id="rId1925" location="'Основ'!B620" display="30/254-П УСКЗДО 2016-09-30 Отчет.xls - 'Основ'!B620"/>
    <hyperlink ref="B828" r:id="rId1926" location="'Основ'!B621" display="30/254-П УСКЗДО 2016-09-30 Отчет.xls - 'Основ'!B621"/>
    <hyperlink ref="B840" r:id="rId1927" location="'Основ'!B622" display="30/254-П УСКЗДО 2016-09-30 Отчет.xls - 'Основ'!B622"/>
    <hyperlink ref="B844" r:id="rId1928" location="'Основ'!B623" display="30/254-П УСКЗДО 2016-09-30 Отчет.xls - 'Основ'!B623"/>
    <hyperlink ref="B831" r:id="rId1929" location="'Основ'!B624" display="30/254-П УСКЗДО 2016-09-30 Отчет.xls - 'Основ'!B624"/>
    <hyperlink ref="B833" r:id="rId1930" location="'Основ'!B625" display="30/254-П УСКЗДО 2016-09-30 Отчет.xls - 'Основ'!B625"/>
    <hyperlink ref="B82" r:id="rId1931" location="'Основ'!B626" display="30/254-П УСКЗДО 2016-09-30 Отчет.xls - 'Основ'!B626"/>
    <hyperlink ref="B79" r:id="rId1932" location="'Основ'!B627" display="30/254-П УСКЗДО 2016-09-30 Отчет.xls - 'Основ'!B627"/>
    <hyperlink ref="B830" r:id="rId1933" location="'Основ'!B628" display="30/254-П УСКЗДО 2016-09-30 Отчет.xls - 'Основ'!B628"/>
    <hyperlink ref="B839" r:id="rId1934" location="'Основ'!B629" display="30/254-П УСКЗДО 2016-09-30 Отчет.xls - 'Основ'!B629"/>
    <hyperlink ref="B1830" r:id="rId1935" location="'Основ'!B630" display="30/254-П УСКЗДО 2016-09-30 Отчет.xls - 'Основ'!B630"/>
    <hyperlink ref="B949" r:id="rId1936" location="'Основ'!B631" display="30/254-П УСКЗДО 2016-09-30 Отчет.xls - 'Основ'!B631"/>
    <hyperlink ref="B994" r:id="rId1937" location="'Основ'!B632" display="30/254-П УСКЗДО 2016-09-30 Отчет.xls - 'Основ'!B632"/>
    <hyperlink ref="B125" r:id="rId1938" location="'Основ'!B633" display="30/254-П УСКЗДО 2016-09-30 Отчет.xls - 'Основ'!B633"/>
  </hyperlinks>
  <pageMargins left="0.75" right="0.75" top="1" bottom="1" header="0.5" footer="0.5"/>
  <pageSetup paperSize="9" orientation="portrait" r:id="rId1939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6"/>
  <sheetViews>
    <sheetView workbookViewId="0">
      <selection activeCell="B6" sqref="B6"/>
    </sheetView>
  </sheetViews>
  <sheetFormatPr defaultRowHeight="12.75" x14ac:dyDescent="0.2"/>
  <sheetData>
    <row r="1" spans="1:3" x14ac:dyDescent="0.2">
      <c r="A1" s="110" t="s">
        <v>30</v>
      </c>
    </row>
    <row r="2" spans="1:3" x14ac:dyDescent="0.2">
      <c r="A2">
        <v>4835</v>
      </c>
      <c r="B2">
        <v>1</v>
      </c>
      <c r="C2" t="s">
        <v>37</v>
      </c>
    </row>
    <row r="3" spans="1:3" x14ac:dyDescent="0.2">
      <c r="A3">
        <v>7065</v>
      </c>
      <c r="B3">
        <v>1</v>
      </c>
      <c r="C3" t="s">
        <v>234</v>
      </c>
    </row>
    <row r="4" spans="1:3" x14ac:dyDescent="0.2">
      <c r="A4">
        <v>18435</v>
      </c>
      <c r="B4">
        <v>1</v>
      </c>
      <c r="C4" t="s">
        <v>1606</v>
      </c>
    </row>
    <row r="5" spans="1:3" x14ac:dyDescent="0.2">
      <c r="A5">
        <v>17609</v>
      </c>
      <c r="B5">
        <v>1</v>
      </c>
      <c r="C5" t="s">
        <v>1606</v>
      </c>
    </row>
    <row r="6" spans="1:3" x14ac:dyDescent="0.2">
      <c r="A6">
        <v>18247</v>
      </c>
      <c r="B6">
        <v>1</v>
      </c>
      <c r="C6" t="s">
        <v>1656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K86"/>
  <sheetViews>
    <sheetView workbookViewId="0">
      <selection activeCell="A8" sqref="A8"/>
    </sheetView>
  </sheetViews>
  <sheetFormatPr defaultRowHeight="12.75" x14ac:dyDescent="0.2"/>
  <cols>
    <col min="1" max="1" width="23.5703125" style="43" customWidth="1"/>
    <col min="4" max="4" width="28" customWidth="1"/>
  </cols>
  <sheetData>
    <row r="1" spans="1:9" x14ac:dyDescent="0.2">
      <c r="A1" s="59" t="s">
        <v>89</v>
      </c>
    </row>
    <row r="2" spans="1:9" x14ac:dyDescent="0.2">
      <c r="A2" s="43" t="s">
        <v>1159</v>
      </c>
      <c r="B2" t="s">
        <v>1672</v>
      </c>
      <c r="C2" t="s">
        <v>1160</v>
      </c>
    </row>
    <row r="4" spans="1:9" x14ac:dyDescent="0.2">
      <c r="A4" s="59" t="s">
        <v>150</v>
      </c>
    </row>
    <row r="5" spans="1:9" x14ac:dyDescent="0.2">
      <c r="A5" s="43" t="s">
        <v>2293</v>
      </c>
      <c r="B5" t="s">
        <v>1673</v>
      </c>
      <c r="C5" t="s">
        <v>443</v>
      </c>
      <c r="D5" s="43" t="s">
        <v>920</v>
      </c>
      <c r="E5" s="43" t="s">
        <v>921</v>
      </c>
      <c r="I5" s="43"/>
    </row>
    <row r="7" spans="1:9" x14ac:dyDescent="0.2">
      <c r="A7" s="59" t="s">
        <v>2046</v>
      </c>
    </row>
    <row r="8" spans="1:9" x14ac:dyDescent="0.2">
      <c r="A8" s="43" t="s">
        <v>2048</v>
      </c>
      <c r="B8" t="s">
        <v>2047</v>
      </c>
      <c r="D8" s="43" t="s">
        <v>2049</v>
      </c>
      <c r="E8" s="43"/>
      <c r="I8" s="43"/>
    </row>
    <row r="10" spans="1:9" x14ac:dyDescent="0.2">
      <c r="A10" s="59" t="s">
        <v>918</v>
      </c>
    </row>
    <row r="11" spans="1:9" x14ac:dyDescent="0.2">
      <c r="A11" s="43" t="s">
        <v>916</v>
      </c>
      <c r="B11" t="s">
        <v>914</v>
      </c>
      <c r="C11" s="43"/>
    </row>
    <row r="13" spans="1:9" x14ac:dyDescent="0.2">
      <c r="A13" s="59" t="s">
        <v>925</v>
      </c>
    </row>
    <row r="14" spans="1:9" x14ac:dyDescent="0.2">
      <c r="A14" s="43" t="s">
        <v>967</v>
      </c>
      <c r="B14" t="s">
        <v>1674</v>
      </c>
      <c r="C14" t="s">
        <v>927</v>
      </c>
    </row>
    <row r="16" spans="1:9" x14ac:dyDescent="0.2">
      <c r="A16" s="59" t="s">
        <v>919</v>
      </c>
    </row>
    <row r="17" spans="1:11" x14ac:dyDescent="0.2">
      <c r="A17" s="43" t="s">
        <v>917</v>
      </c>
      <c r="B17" t="s">
        <v>1675</v>
      </c>
      <c r="C17" t="s">
        <v>915</v>
      </c>
    </row>
    <row r="19" spans="1:11" x14ac:dyDescent="0.2">
      <c r="A19" s="59" t="s">
        <v>70</v>
      </c>
    </row>
    <row r="20" spans="1:11" x14ac:dyDescent="0.2">
      <c r="A20" s="43" t="s">
        <v>1045</v>
      </c>
      <c r="B20" t="s">
        <v>1676</v>
      </c>
      <c r="C20" t="s">
        <v>244</v>
      </c>
    </row>
    <row r="22" spans="1:11" x14ac:dyDescent="0.2">
      <c r="A22" s="59" t="s">
        <v>88</v>
      </c>
    </row>
    <row r="23" spans="1:11" x14ac:dyDescent="0.2">
      <c r="A23" s="43" t="s">
        <v>717</v>
      </c>
      <c r="B23" t="s">
        <v>1677</v>
      </c>
      <c r="C23" t="s">
        <v>363</v>
      </c>
    </row>
    <row r="25" spans="1:11" ht="13.5" thickBot="1" x14ac:dyDescent="0.25">
      <c r="A25" s="112" t="s">
        <v>507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</row>
    <row r="26" spans="1:11" x14ac:dyDescent="0.2">
      <c r="A26" s="59" t="s">
        <v>240</v>
      </c>
    </row>
    <row r="27" spans="1:11" x14ac:dyDescent="0.2">
      <c r="A27" s="43" t="s">
        <v>1400</v>
      </c>
      <c r="B27" t="s">
        <v>444</v>
      </c>
    </row>
    <row r="29" spans="1:11" x14ac:dyDescent="0.2">
      <c r="A29" s="59" t="s">
        <v>52</v>
      </c>
    </row>
    <row r="30" spans="1:11" x14ac:dyDescent="0.2">
      <c r="A30" s="43" t="s">
        <v>213</v>
      </c>
      <c r="B30" t="s">
        <v>31</v>
      </c>
    </row>
    <row r="32" spans="1:11" x14ac:dyDescent="0.2">
      <c r="A32" s="59" t="s">
        <v>214</v>
      </c>
    </row>
    <row r="33" spans="1:2" x14ac:dyDescent="0.2">
      <c r="A33" s="43" t="s">
        <v>1531</v>
      </c>
      <c r="B33" t="s">
        <v>32</v>
      </c>
    </row>
    <row r="35" spans="1:2" x14ac:dyDescent="0.2">
      <c r="A35" s="59" t="s">
        <v>495</v>
      </c>
    </row>
    <row r="36" spans="1:2" x14ac:dyDescent="0.2">
      <c r="A36" s="43" t="s">
        <v>9</v>
      </c>
      <c r="B36" t="s">
        <v>496</v>
      </c>
    </row>
    <row r="38" spans="1:2" x14ac:dyDescent="0.2">
      <c r="A38" s="59" t="s">
        <v>367</v>
      </c>
    </row>
    <row r="39" spans="1:2" x14ac:dyDescent="0.2">
      <c r="A39" s="43" t="s">
        <v>1106</v>
      </c>
      <c r="B39" t="s">
        <v>71</v>
      </c>
    </row>
    <row r="41" spans="1:2" x14ac:dyDescent="0.2">
      <c r="A41" s="59" t="s">
        <v>72</v>
      </c>
    </row>
    <row r="42" spans="1:2" x14ac:dyDescent="0.2">
      <c r="A42" s="43" t="s">
        <v>1107</v>
      </c>
      <c r="B42" t="s">
        <v>33</v>
      </c>
    </row>
    <row r="44" spans="1:2" x14ac:dyDescent="0.2">
      <c r="A44" s="59" t="s">
        <v>215</v>
      </c>
    </row>
    <row r="45" spans="1:2" x14ac:dyDescent="0.2">
      <c r="A45" s="43" t="s">
        <v>1090</v>
      </c>
      <c r="B45" t="s">
        <v>216</v>
      </c>
    </row>
    <row r="47" spans="1:2" x14ac:dyDescent="0.2">
      <c r="A47" s="59" t="s">
        <v>80</v>
      </c>
    </row>
    <row r="48" spans="1:2" x14ac:dyDescent="0.2">
      <c r="A48" s="43" t="s">
        <v>265</v>
      </c>
      <c r="B48" t="s">
        <v>34</v>
      </c>
    </row>
    <row r="50" spans="1:10" x14ac:dyDescent="0.2">
      <c r="A50" s="59" t="s">
        <v>64</v>
      </c>
    </row>
    <row r="51" spans="1:10" x14ac:dyDescent="0.2">
      <c r="A51" s="43" t="s">
        <v>1019</v>
      </c>
      <c r="B51" t="s">
        <v>81</v>
      </c>
    </row>
    <row r="52" spans="1:10" x14ac:dyDescent="0.2">
      <c r="J52" s="43"/>
    </row>
    <row r="53" spans="1:10" x14ac:dyDescent="0.2">
      <c r="A53" s="59" t="s">
        <v>299</v>
      </c>
    </row>
    <row r="54" spans="1:10" x14ac:dyDescent="0.2">
      <c r="A54" s="43" t="s">
        <v>484</v>
      </c>
      <c r="B54" t="s">
        <v>81</v>
      </c>
    </row>
    <row r="56" spans="1:10" x14ac:dyDescent="0.2">
      <c r="A56" s="59" t="s">
        <v>288</v>
      </c>
    </row>
    <row r="57" spans="1:10" x14ac:dyDescent="0.2">
      <c r="A57" s="43" t="s">
        <v>290</v>
      </c>
      <c r="B57" t="s">
        <v>289</v>
      </c>
    </row>
    <row r="59" spans="1:10" x14ac:dyDescent="0.2">
      <c r="A59" s="59" t="s">
        <v>226</v>
      </c>
    </row>
    <row r="60" spans="1:10" x14ac:dyDescent="0.2">
      <c r="A60" s="43" t="s">
        <v>41</v>
      </c>
      <c r="B60" t="s">
        <v>35</v>
      </c>
    </row>
    <row r="62" spans="1:10" x14ac:dyDescent="0.2">
      <c r="A62" s="59" t="s">
        <v>5</v>
      </c>
    </row>
    <row r="63" spans="1:10" x14ac:dyDescent="0.2">
      <c r="A63" s="43" t="s">
        <v>337</v>
      </c>
      <c r="B63" t="s">
        <v>36</v>
      </c>
    </row>
    <row r="65" spans="1:11" ht="13.5" thickBot="1" x14ac:dyDescent="0.25">
      <c r="A65" s="112" t="s">
        <v>506</v>
      </c>
      <c r="B65" s="11"/>
      <c r="C65" s="11"/>
      <c r="D65" s="11"/>
      <c r="E65" s="11"/>
      <c r="F65" s="11"/>
      <c r="G65" s="11"/>
      <c r="H65" s="11"/>
      <c r="I65" s="11"/>
      <c r="J65" s="11"/>
      <c r="K65" s="11"/>
    </row>
    <row r="66" spans="1:11" x14ac:dyDescent="0.2">
      <c r="A66" s="113" t="s">
        <v>508</v>
      </c>
    </row>
    <row r="67" spans="1:11" x14ac:dyDescent="0.2">
      <c r="A67" s="84" t="s">
        <v>1809</v>
      </c>
      <c r="B67" t="s">
        <v>229</v>
      </c>
    </row>
    <row r="69" spans="1:11" x14ac:dyDescent="0.2">
      <c r="A69" s="113" t="s">
        <v>1162</v>
      </c>
    </row>
    <row r="70" spans="1:11" x14ac:dyDescent="0.2">
      <c r="A70" s="84" t="s">
        <v>1810</v>
      </c>
      <c r="B70" t="s">
        <v>229</v>
      </c>
    </row>
    <row r="72" spans="1:11" x14ac:dyDescent="0.2">
      <c r="A72" s="113" t="s">
        <v>478</v>
      </c>
    </row>
    <row r="73" spans="1:11" x14ac:dyDescent="0.2">
      <c r="A73" s="84" t="s">
        <v>530</v>
      </c>
      <c r="B73" t="s">
        <v>232</v>
      </c>
    </row>
    <row r="75" spans="1:11" ht="13.5" thickBot="1" x14ac:dyDescent="0.25">
      <c r="A75" s="112" t="s">
        <v>228</v>
      </c>
      <c r="B75" s="11"/>
      <c r="C75" s="11"/>
      <c r="D75" s="11"/>
      <c r="E75" s="11"/>
      <c r="F75" s="11"/>
      <c r="G75" s="11"/>
      <c r="H75" s="11"/>
      <c r="I75" s="11"/>
      <c r="J75" s="11"/>
      <c r="K75" s="11"/>
    </row>
    <row r="76" spans="1:11" x14ac:dyDescent="0.2">
      <c r="A76" s="113" t="s">
        <v>508</v>
      </c>
    </row>
    <row r="77" spans="1:11" x14ac:dyDescent="0.2">
      <c r="A77" s="84" t="s">
        <v>1811</v>
      </c>
      <c r="B77" t="s">
        <v>1330</v>
      </c>
    </row>
    <row r="79" spans="1:11" x14ac:dyDescent="0.2">
      <c r="A79" s="113" t="s">
        <v>511</v>
      </c>
    </row>
    <row r="80" spans="1:11" x14ac:dyDescent="0.2">
      <c r="A80" s="84" t="s">
        <v>1425</v>
      </c>
      <c r="B80" t="s">
        <v>512</v>
      </c>
    </row>
    <row r="82" spans="1:2" x14ac:dyDescent="0.2">
      <c r="A82" s="113" t="s">
        <v>1813</v>
      </c>
    </row>
    <row r="83" spans="1:2" x14ac:dyDescent="0.2">
      <c r="A83" s="84" t="s">
        <v>1814</v>
      </c>
      <c r="B83" t="s">
        <v>1812</v>
      </c>
    </row>
    <row r="85" spans="1:2" x14ac:dyDescent="0.2">
      <c r="A85" s="113" t="s">
        <v>478</v>
      </c>
    </row>
    <row r="86" spans="1:2" x14ac:dyDescent="0.2">
      <c r="A86" s="84" t="s">
        <v>1332</v>
      </c>
      <c r="B86" t="s">
        <v>1331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7"/>
  <sheetViews>
    <sheetView workbookViewId="0">
      <selection activeCell="B6" sqref="B6"/>
    </sheetView>
  </sheetViews>
  <sheetFormatPr defaultRowHeight="12.75" x14ac:dyDescent="0.2"/>
  <sheetData>
    <row r="1" spans="1:5" x14ac:dyDescent="0.2">
      <c r="A1" s="44" t="s">
        <v>89</v>
      </c>
    </row>
    <row r="2" spans="1:5" x14ac:dyDescent="0.2">
      <c r="A2" s="43" t="s">
        <v>475</v>
      </c>
      <c r="B2" t="s">
        <v>218</v>
      </c>
      <c r="C2" t="s">
        <v>476</v>
      </c>
    </row>
    <row r="3" spans="1:5" x14ac:dyDescent="0.2">
      <c r="A3" s="61" t="s">
        <v>518</v>
      </c>
      <c r="B3" s="61"/>
      <c r="C3" s="61"/>
      <c r="D3" s="61"/>
      <c r="E3" s="61"/>
    </row>
    <row r="4" spans="1:5" x14ac:dyDescent="0.2">
      <c r="A4" s="61"/>
      <c r="B4" s="61" t="s">
        <v>519</v>
      </c>
      <c r="C4" s="61"/>
      <c r="D4" s="61"/>
      <c r="E4" s="61"/>
    </row>
    <row r="5" spans="1:5" x14ac:dyDescent="0.2">
      <c r="A5" s="62"/>
      <c r="B5" s="61" t="s">
        <v>6</v>
      </c>
      <c r="C5" s="61"/>
      <c r="D5" s="61"/>
      <c r="E5" s="61"/>
    </row>
    <row r="6" spans="1:5" x14ac:dyDescent="0.2">
      <c r="A6" s="62"/>
      <c r="B6" s="61"/>
      <c r="C6" s="61" t="s">
        <v>7</v>
      </c>
      <c r="D6" s="61"/>
      <c r="E6" s="61"/>
    </row>
    <row r="7" spans="1:5" x14ac:dyDescent="0.2">
      <c r="A7" s="62"/>
      <c r="B7" s="61"/>
      <c r="C7" s="61"/>
      <c r="D7" s="61" t="s">
        <v>300</v>
      </c>
      <c r="E7" s="61"/>
    </row>
    <row r="8" spans="1:5" x14ac:dyDescent="0.2">
      <c r="A8" s="62"/>
      <c r="B8" s="61"/>
      <c r="C8" s="61"/>
      <c r="D8" s="61" t="s">
        <v>301</v>
      </c>
      <c r="E8" s="61"/>
    </row>
    <row r="9" spans="1:5" x14ac:dyDescent="0.2">
      <c r="A9" s="62"/>
      <c r="B9" s="61"/>
      <c r="C9" s="61" t="s">
        <v>6</v>
      </c>
      <c r="D9" s="61"/>
      <c r="E9" s="61"/>
    </row>
    <row r="10" spans="1:5" x14ac:dyDescent="0.2">
      <c r="A10" s="62"/>
      <c r="B10" s="61"/>
      <c r="C10" s="61"/>
      <c r="D10" s="61" t="s">
        <v>127</v>
      </c>
      <c r="E10" s="61"/>
    </row>
    <row r="11" spans="1:5" x14ac:dyDescent="0.2">
      <c r="A11" s="62"/>
      <c r="B11" s="61"/>
      <c r="C11" s="61"/>
      <c r="D11" s="61"/>
      <c r="E11" s="61" t="s">
        <v>425</v>
      </c>
    </row>
    <row r="12" spans="1:5" x14ac:dyDescent="0.2">
      <c r="A12" s="62"/>
      <c r="B12" s="61"/>
      <c r="C12" s="61"/>
      <c r="D12" s="61"/>
      <c r="E12" s="61" t="s">
        <v>28</v>
      </c>
    </row>
    <row r="13" spans="1:5" x14ac:dyDescent="0.2">
      <c r="A13" s="62"/>
      <c r="B13" s="61"/>
      <c r="C13" s="61"/>
      <c r="D13" s="61" t="s">
        <v>263</v>
      </c>
      <c r="E13" s="61"/>
    </row>
    <row r="14" spans="1:5" x14ac:dyDescent="0.2">
      <c r="A14" s="62"/>
      <c r="B14" s="61"/>
      <c r="C14" s="61"/>
      <c r="D14" s="61" t="s">
        <v>264</v>
      </c>
      <c r="E14" s="61"/>
    </row>
    <row r="15" spans="1:5" x14ac:dyDescent="0.2">
      <c r="A15" s="61"/>
      <c r="B15" s="61"/>
      <c r="C15" s="61" t="s">
        <v>315</v>
      </c>
      <c r="D15" s="61"/>
      <c r="E15" s="61"/>
    </row>
    <row r="16" spans="1:5" x14ac:dyDescent="0.2">
      <c r="A16" s="61"/>
      <c r="B16" s="61"/>
      <c r="C16" s="61" t="s">
        <v>316</v>
      </c>
      <c r="D16" s="61"/>
      <c r="E16" s="61"/>
    </row>
    <row r="17" spans="1:5" x14ac:dyDescent="0.2">
      <c r="A17" s="62"/>
      <c r="B17" s="61" t="s">
        <v>117</v>
      </c>
      <c r="C17" s="61"/>
      <c r="D17" s="61"/>
      <c r="E17" s="61"/>
    </row>
    <row r="18" spans="1:5" x14ac:dyDescent="0.2">
      <c r="A18" s="61"/>
      <c r="B18" s="61" t="s">
        <v>118</v>
      </c>
      <c r="C18" s="61"/>
      <c r="D18" s="61"/>
      <c r="E18" s="61"/>
    </row>
    <row r="19" spans="1:5" x14ac:dyDescent="0.2">
      <c r="A19" s="44"/>
    </row>
    <row r="20" spans="1:5" x14ac:dyDescent="0.2">
      <c r="A20" s="43"/>
    </row>
    <row r="22" spans="1:5" x14ac:dyDescent="0.2">
      <c r="A22" s="44"/>
    </row>
    <row r="23" spans="1:5" x14ac:dyDescent="0.2">
      <c r="A23" s="43"/>
    </row>
    <row r="25" spans="1:5" x14ac:dyDescent="0.2">
      <c r="A25" s="44"/>
    </row>
    <row r="26" spans="1:5" x14ac:dyDescent="0.2">
      <c r="A26" s="43"/>
    </row>
    <row r="28" spans="1:5" x14ac:dyDescent="0.2">
      <c r="A28" s="44"/>
    </row>
    <row r="29" spans="1:5" x14ac:dyDescent="0.2">
      <c r="A29" s="43"/>
    </row>
    <row r="31" spans="1:5" x14ac:dyDescent="0.2">
      <c r="A31" s="44"/>
    </row>
    <row r="32" spans="1:5" x14ac:dyDescent="0.2">
      <c r="A32" s="43"/>
    </row>
    <row r="34" spans="1:1" x14ac:dyDescent="0.2">
      <c r="A34" s="44"/>
    </row>
    <row r="35" spans="1:1" x14ac:dyDescent="0.2">
      <c r="A35" s="43"/>
    </row>
    <row r="37" spans="1:1" x14ac:dyDescent="0.2">
      <c r="A37" s="44"/>
    </row>
    <row r="38" spans="1:1" x14ac:dyDescent="0.2">
      <c r="A38" s="43"/>
    </row>
    <row r="40" spans="1:1" x14ac:dyDescent="0.2">
      <c r="A40" s="44"/>
    </row>
    <row r="41" spans="1:1" x14ac:dyDescent="0.2">
      <c r="A41" s="43"/>
    </row>
    <row r="43" spans="1:1" x14ac:dyDescent="0.2">
      <c r="A43" s="44"/>
    </row>
    <row r="44" spans="1:1" x14ac:dyDescent="0.2">
      <c r="A44" s="43"/>
    </row>
    <row r="46" spans="1:1" x14ac:dyDescent="0.2">
      <c r="A46" s="44"/>
    </row>
    <row r="47" spans="1:1" x14ac:dyDescent="0.2">
      <c r="A47" s="43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26"/>
  <sheetViews>
    <sheetView workbookViewId="0">
      <selection activeCell="A5" sqref="A5"/>
    </sheetView>
  </sheetViews>
  <sheetFormatPr defaultRowHeight="12.75" x14ac:dyDescent="0.2"/>
  <cols>
    <col min="1" max="1" width="28" customWidth="1"/>
  </cols>
  <sheetData>
    <row r="1" spans="1:2" x14ac:dyDescent="0.2">
      <c r="A1" s="44" t="s">
        <v>167</v>
      </c>
    </row>
    <row r="2" spans="1:2" x14ac:dyDescent="0.2">
      <c r="A2" s="59" t="s">
        <v>262</v>
      </c>
      <c r="B2" s="9"/>
    </row>
    <row r="3" spans="1:2" x14ac:dyDescent="0.2">
      <c r="A3" s="60" t="s">
        <v>166</v>
      </c>
    </row>
    <row r="4" spans="1:2" x14ac:dyDescent="0.2">
      <c r="A4" s="59" t="s">
        <v>225</v>
      </c>
    </row>
    <row r="5" spans="1:2" x14ac:dyDescent="0.2">
      <c r="A5" s="146" t="s">
        <v>589</v>
      </c>
    </row>
    <row r="6" spans="1:2" x14ac:dyDescent="0.2">
      <c r="A6" s="43"/>
    </row>
    <row r="7" spans="1:2" x14ac:dyDescent="0.2">
      <c r="A7" s="59" t="s">
        <v>169</v>
      </c>
    </row>
    <row r="8" spans="1:2" x14ac:dyDescent="0.2">
      <c r="A8" s="43" t="s">
        <v>456</v>
      </c>
    </row>
    <row r="11" spans="1:2" x14ac:dyDescent="0.2">
      <c r="A11" s="143" t="s">
        <v>179</v>
      </c>
    </row>
    <row r="12" spans="1:2" x14ac:dyDescent="0.2">
      <c r="A12" t="s">
        <v>171</v>
      </c>
    </row>
    <row r="14" spans="1:2" x14ac:dyDescent="0.2">
      <c r="A14" t="s">
        <v>172</v>
      </c>
    </row>
    <row r="15" spans="1:2" x14ac:dyDescent="0.2">
      <c r="A15" t="s">
        <v>173</v>
      </c>
    </row>
    <row r="16" spans="1:2" x14ac:dyDescent="0.2">
      <c r="A16" t="s">
        <v>174</v>
      </c>
    </row>
    <row r="17" spans="1:1" x14ac:dyDescent="0.2">
      <c r="A17" t="s">
        <v>175</v>
      </c>
    </row>
    <row r="18" spans="1:1" x14ac:dyDescent="0.2">
      <c r="A18" t="s">
        <v>176</v>
      </c>
    </row>
    <row r="19" spans="1:1" x14ac:dyDescent="0.2">
      <c r="A19" t="s">
        <v>177</v>
      </c>
    </row>
    <row r="21" spans="1:1" x14ac:dyDescent="0.2">
      <c r="A21" t="s">
        <v>178</v>
      </c>
    </row>
    <row r="22" spans="1:1" x14ac:dyDescent="0.2">
      <c r="A22" t="s">
        <v>744</v>
      </c>
    </row>
    <row r="23" spans="1:1" x14ac:dyDescent="0.2">
      <c r="A23" t="s">
        <v>745</v>
      </c>
    </row>
    <row r="24" spans="1:1" x14ac:dyDescent="0.2">
      <c r="A24" t="s">
        <v>175</v>
      </c>
    </row>
    <row r="25" spans="1:1" x14ac:dyDescent="0.2">
      <c r="A25" t="s">
        <v>176</v>
      </c>
    </row>
    <row r="26" spans="1:1" x14ac:dyDescent="0.2">
      <c r="A26" t="s">
        <v>177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53</vt:i4>
      </vt:variant>
    </vt:vector>
  </HeadingPairs>
  <TitlesOfParts>
    <vt:vector size="64" baseType="lpstr">
      <vt:lpstr>Классификация клиентов</vt:lpstr>
      <vt:lpstr>Классификация КС</vt:lpstr>
      <vt:lpstr>SVOD</vt:lpstr>
      <vt:lpstr>115-Ф</vt:lpstr>
      <vt:lpstr>ПрофСуж</vt:lpstr>
      <vt:lpstr>Лист3</vt:lpstr>
      <vt:lpstr>подразделения</vt:lpstr>
      <vt:lpstr>исключения</vt:lpstr>
      <vt:lpstr>Запросы</vt:lpstr>
      <vt:lpstr>Запр_ПрофСужд</vt:lpstr>
      <vt:lpstr>доп. запросы</vt:lpstr>
      <vt:lpstr>aid_exc</vt:lpstr>
      <vt:lpstr>DtActPer</vt:lpstr>
      <vt:lpstr>DtAn</vt:lpstr>
      <vt:lpstr>DtAn2</vt:lpstr>
      <vt:lpstr>DtOst</vt:lpstr>
      <vt:lpstr>q_ACC</vt:lpstr>
      <vt:lpstr>q_ACC_NewAID</vt:lpstr>
      <vt:lpstr>q_ACC_OB</vt:lpstr>
      <vt:lpstr>Запр_ПрофСужд!q_AID</vt:lpstr>
      <vt:lpstr>q_AID</vt:lpstr>
      <vt:lpstr>Запр_ПрофСужд!q_AID_1P</vt:lpstr>
      <vt:lpstr>q_AID_1P</vt:lpstr>
      <vt:lpstr>Запр_ПрофСужд!q_AID_313</vt:lpstr>
      <vt:lpstr>q_AID_313</vt:lpstr>
      <vt:lpstr>Запр_ПрофСужд!q_AID_314</vt:lpstr>
      <vt:lpstr>q_AID_314</vt:lpstr>
      <vt:lpstr>Запр_ПрофСужд!q_AID_393_1</vt:lpstr>
      <vt:lpstr>q_AID_393_1</vt:lpstr>
      <vt:lpstr>Запр_ПрофСужд!q_AID_393_2</vt:lpstr>
      <vt:lpstr>q_AID_393_2</vt:lpstr>
      <vt:lpstr>Запр_ПрофСужд!q_AID_Analog</vt:lpstr>
      <vt:lpstr>q_AID_Analog</vt:lpstr>
      <vt:lpstr>q_AID_CQ_IND</vt:lpstr>
      <vt:lpstr>q_AID_Det</vt:lpstr>
      <vt:lpstr>Запр_ПрофСужд!q_AID_Pros</vt:lpstr>
      <vt:lpstr>q_AID_Pros</vt:lpstr>
      <vt:lpstr>Запр_ПрофСужд!q_AID_PRVS</vt:lpstr>
      <vt:lpstr>q_AID_PRVS</vt:lpstr>
      <vt:lpstr>Запр_ПрофСужд!q_AID_PRVS3L</vt:lpstr>
      <vt:lpstr>q_AID_PRVS3L</vt:lpstr>
      <vt:lpstr>Запр_ПрофСужд!q_AID_Restr</vt:lpstr>
      <vt:lpstr>q_AID_Restr</vt:lpstr>
      <vt:lpstr>Запр_ПрофСужд!q_CID</vt:lpstr>
      <vt:lpstr>q_CID</vt:lpstr>
      <vt:lpstr>Запр_ПрофСужд!q_CID_393</vt:lpstr>
      <vt:lpstr>q_CID_393</vt:lpstr>
      <vt:lpstr>q_CID_Conditions</vt:lpstr>
      <vt:lpstr>Запр_ПрофСужд!q_CID_CQ</vt:lpstr>
      <vt:lpstr>q_CID_CQ</vt:lpstr>
      <vt:lpstr>q_CID_Decision</vt:lpstr>
      <vt:lpstr>q_CID_DTFS_wo_LETTER</vt:lpstr>
      <vt:lpstr>Запр_ПрофСужд!q_CID_FS</vt:lpstr>
      <vt:lpstr>q_CID_FS</vt:lpstr>
      <vt:lpstr>q_CID_FS_Exc</vt:lpstr>
      <vt:lpstr>Запр_ПрофСужд!q_CID_Norm</vt:lpstr>
      <vt:lpstr>q_CID_Norm</vt:lpstr>
      <vt:lpstr>q115_ACC</vt:lpstr>
      <vt:lpstr>q115_COD</vt:lpstr>
      <vt:lpstr>q115_OB</vt:lpstr>
      <vt:lpstr>q115_TP</vt:lpstr>
      <vt:lpstr>Report</vt:lpstr>
      <vt:lpstr>ПрофСуж!Заголовки_для_печати</vt:lpstr>
      <vt:lpstr>обл_Сорт</vt:lpstr>
    </vt:vector>
  </TitlesOfParts>
  <Company>ВТБ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Вячеслав Вацик</dc:creator>
  <cp:lastModifiedBy>Балиев Дмитрий Владимирович</cp:lastModifiedBy>
  <cp:lastPrinted>2016-10-11T11:43:46Z</cp:lastPrinted>
  <dcterms:created xsi:type="dcterms:W3CDTF">2011-11-18T05:49:02Z</dcterms:created>
  <dcterms:modified xsi:type="dcterms:W3CDTF">2016-12-02T15:14:22Z</dcterms:modified>
</cp:coreProperties>
</file>